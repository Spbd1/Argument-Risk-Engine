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1904ba17a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f7e7f1f9074d69"/>
    <x:sheet xmlns:r="http://schemas.openxmlformats.org/officeDocument/2006/relationships" name="Taxonomy_Master" sheetId="2" r:id="Rdd2fab38322848c8"/>
    <x:sheet xmlns:r="http://schemas.openxmlformats.org/officeDocument/2006/relationships" name="Category_Map" sheetId="3" r:id="R4f94ce70809e4d6b"/>
    <x:sheet xmlns:r="http://schemas.openxmlformats.org/officeDocument/2006/relationships" name="Source_Map" sheetId="4" r:id="Rad96fc2ca14142ee"/>
    <x:sheet xmlns:r="http://schemas.openxmlformats.org/officeDocument/2006/relationships" name="Validation_Rules" sheetId="5" r:id="R8b23239349154d31"/>
    <x:sheet xmlns:r="http://schemas.openxmlformats.org/officeDocument/2006/relationships" name="Picklists" sheetId="6" r:id="R57ee0e883e784e4f"/>
    <x:sheet xmlns:r="http://schemas.openxmlformats.org/officeDocument/2006/relationships" name="Backlog_Notes" sheetId="7" r:id="Rdcb84bdddd0f40a5"/>
    <x:sheet xmlns:r="http://schemas.openxmlformats.org/officeDocument/2006/relationships" name="Implementation_Brief" sheetId="8" r:id="R4ab091056bf84d8c"/>
    <x:sheet xmlns:r="http://schemas.openxmlformats.org/officeDocument/2006/relationships" name="Model_Provider_Profiles" sheetId="9" r:id="R33e4789be4b04925"/>
    <x:sheet xmlns:r="http://schemas.openxmlformats.org/officeDocument/2006/relationships" name="Taxonomy_Packs" sheetId="10" r:id="R22b6b94cffa04e7f"/>
    <x:sheet xmlns:r="http://schemas.openxmlformats.org/officeDocument/2006/relationships" name="Activation_Workflow" sheetId="11" r:id="R6f5eabbe749e4dca"/>
    <x:sheet xmlns:r="http://schemas.openxmlformats.org/officeDocument/2006/relationships" name="API_Settings_Spec" sheetId="12" r:id="Raad57a302d1148f4"/>
    <x:sheet xmlns:r="http://schemas.openxmlformats.org/officeDocument/2006/relationships" name="Quality_Audit" sheetId="13" r:id="R47fc4226ebfc4073"/>
    <x:sheet xmlns:r="http://schemas.openxmlformats.org/officeDocument/2006/relationships" name="Source_Registry_Extended" sheetId="14" r:id="Rfa38a1275f414cc4"/>
    <x:sheet xmlns:r="http://schemas.openxmlformats.org/officeDocument/2006/relationships" name="Prompt_Addendum" sheetId="15" r:id="R55b7f0c5e2eb4d63"/>
    <x:sheet xmlns:r="http://schemas.openxmlformats.org/officeDocument/2006/relationships" name="Codex_File_Contract" sheetId="16" r:id="R6ae435853286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F4E7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3D5E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ill>
        <x:patternFill>
          <x:bgColor rgb="D9EAD3"/>
        </x:patternFill>
      </x:fill>
    </x:dxf>
    <x:dxf>
      <x:fill>
        <x:patternFill>
          <x:bgColor rgb="FFF2CC"/>
        </x:patternFill>
      </x:fill>
    </x:dxf>
    <x:dxf>
      <x:fill>
        <x:patternFill>
          <x:bgColor rgb="F4CCCC"/>
        </x:patternFill>
      </x:fill>
    </x:dxf>
    <x:dxf>
      <x:font>
        <x:b/>
      </x:font>
      <x:fill>
        <x:patternFill>
          <x:bgColor rgb="D9EAD3"/>
        </x:patternFill>
      </x:fill>
    </x:dxf>
    <x:dxf>
      <x:fill>
        <x:patternFill>
          <x:bgColor rgb="EADCF8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df4743ac747b4" /><Relationship Type="http://schemas.openxmlformats.org/officeDocument/2006/relationships/theme" Target="/xl/theme/theme1.xml" Id="R9c5d1cd0317d4bcb" /><Relationship Type="http://schemas.openxmlformats.org/officeDocument/2006/relationships/sharedStrings" Target="/xl/sharedStrings.xml" Id="R84b0a07ddf2f4e88" /><Relationship Type="http://schemas.openxmlformats.org/officeDocument/2006/relationships/worksheet" Target="/xl/worksheets/sheet1.xml" Id="R98f7e7f1f9074d69" /><Relationship Type="http://schemas.openxmlformats.org/officeDocument/2006/relationships/worksheet" Target="/xl/worksheets/sheet2.xml" Id="Rdd2fab38322848c8" /><Relationship Type="http://schemas.openxmlformats.org/officeDocument/2006/relationships/worksheet" Target="/xl/worksheets/sheet3.xml" Id="R4f94ce70809e4d6b" /><Relationship Type="http://schemas.openxmlformats.org/officeDocument/2006/relationships/worksheet" Target="/xl/worksheets/sheet4.xml" Id="Rad96fc2ca14142ee" /><Relationship Type="http://schemas.openxmlformats.org/officeDocument/2006/relationships/worksheet" Target="/xl/worksheets/sheet5.xml" Id="R8b23239349154d31" /><Relationship Type="http://schemas.openxmlformats.org/officeDocument/2006/relationships/worksheet" Target="/xl/worksheets/sheet6.xml" Id="R57ee0e883e784e4f" /><Relationship Type="http://schemas.openxmlformats.org/officeDocument/2006/relationships/worksheet" Target="/xl/worksheets/sheet7.xml" Id="Rdcb84bdddd0f40a5" /><Relationship Type="http://schemas.openxmlformats.org/officeDocument/2006/relationships/worksheet" Target="/xl/worksheets/sheet8.xml" Id="R4ab091056bf84d8c" /><Relationship Type="http://schemas.openxmlformats.org/officeDocument/2006/relationships/worksheet" Target="/xl/worksheets/sheet9.xml" Id="R33e4789be4b04925" /><Relationship Type="http://schemas.openxmlformats.org/officeDocument/2006/relationships/worksheet" Target="/xl/worksheets/sheet10.xml" Id="R22b6b94cffa04e7f" /><Relationship Type="http://schemas.openxmlformats.org/officeDocument/2006/relationships/worksheet" Target="/xl/worksheets/sheet11.xml" Id="R6f5eabbe749e4dca" /><Relationship Type="http://schemas.openxmlformats.org/officeDocument/2006/relationships/worksheet" Target="/xl/worksheets/sheet12.xml" Id="Raad57a302d1148f4" /><Relationship Type="http://schemas.openxmlformats.org/officeDocument/2006/relationships/worksheet" Target="/xl/worksheets/sheet13.xml" Id="R47fc4226ebfc4073" /><Relationship Type="http://schemas.openxmlformats.org/officeDocument/2006/relationships/worksheet" Target="/xl/worksheets/sheet14.xml" Id="Rfa38a1275f414cc4" /><Relationship Type="http://schemas.openxmlformats.org/officeDocument/2006/relationships/worksheet" Target="/xl/worksheets/sheet15.xml" Id="R55b7f0c5e2eb4d63" /><Relationship Type="http://schemas.openxmlformats.org/officeDocument/2006/relationships/worksheet" Target="/xl/worksheets/sheet16.xml" Id="R6ae435853286400b" /></Relationships>
</file>

<file path=xl/tables/table1.xml><?xml version="1.0" encoding="utf-8"?>
<x:table xmlns:x="http://schemas.openxmlformats.org/spreadsheetml/2006/main" id="1" name="TaxonomyMaster" displayName="TaxonomyMaster" ref="A1:AA1101" headerRowCount="1">
  <x:tableColumns count="27">
    <x:tableColumn id="1" name="tax_id"/>
    <x:tableColumn id="2" name="family_id"/>
    <x:tableColumn id="3" name="parent_label_en"/>
    <x:tableColumn id="4" name="parent_label_fa"/>
    <x:tableColumn id="5" name="variant_label_en"/>
    <x:tableColumn id="6" name="macro_category"/>
    <x:tableColumn id="7" name="subcategory"/>
    <x:tableColumn id="8" name="detection_level"/>
    <x:tableColumn id="9" name="unit_of_analysis"/>
    <x:tableColumn id="10" name="taxonomy_status"/>
    <x:tableColumn id="11" name="evidence_status"/>
    <x:tableColumn id="12" name="priority"/>
    <x:tableColumn id="13" name="enabled_for_mvp"/>
    <x:tableColumn id="14" name="definition_draft"/>
    <x:tableColumn id="15" name="linguistic_or_structural_signals"/>
    <x:tableColumn id="16" name="minimum_evidence_required"/>
    <x:tableColumn id="17" name="false_positive_guard"/>
    <x:tableColumn id="18" name="positive_example_stub"/>
    <x:tableColumn id="19" name="negative_example_stub"/>
    <x:tableColumn id="20" name="severity_low"/>
    <x:tableColumn id="21" name="severity_medium"/>
    <x:tableColumn id="22" name="severity_high"/>
    <x:tableColumn id="23" name="related_family_ids"/>
    <x:tableColumn id="24" name="source_family"/>
    <x:tableColumn id="25" name="primary_source_url"/>
    <x:tableColumn id="26" name="notes_for_review"/>
    <x:tableColumn id="27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CategoryMap" displayName="CategoryMap" ref="A1:E11" headerRowCount="1">
  <x:tableColumns count="5">
    <x:tableColumn id="1" name="macro_category"/>
    <x:tableColumn id="2" name="description"/>
    <x:tableColumn id="3" name="target_count"/>
    <x:tableColumn id="4" name="default_source_family"/>
    <x:tableColumn id="5" name="recommended_initial_use"/>
  </x:tableColumns>
  <x:tableStyleInfo name="TableStyleMedium2" showRowStripes="1"/>
</x:table>
</file>

<file path=xl/tables/table3.xml><?xml version="1.0" encoding="utf-8"?>
<x:table xmlns:x="http://schemas.openxmlformats.org/spreadsheetml/2006/main" id="3" name="SourceMap" displayName="SourceMap" ref="A1:F16" headerRowCount="1">
  <x:tableColumns count="6">
    <x:tableColumn id="1" name="source_key"/>
    <x:tableColumn id="2" name="source_type"/>
    <x:tableColumn id="3" name="scope_supported"/>
    <x:tableColumn id="4" name="bibliographic_note"/>
    <x:tableColumn id="5" name="url"/>
    <x:tableColumn id="6" name="reliability_note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Rules" displayName="ValidationRules" ref="A1:E11" headerRowCount="1">
  <x:tableColumns count="5">
    <x:tableColumn id="1" name="rule_id"/>
    <x:tableColumn id="2" name="rule_type"/>
    <x:tableColumn id="3" name="rule"/>
    <x:tableColumn id="4" name="why_it_matters"/>
    <x:tableColumn id="5" name="implementation_hi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36972a3480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1d0144251f41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621c686e9548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b783249f6a40d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30" hidden="0" customWidth="1"/>
    <x:col min="4" max="4" width="32" hidden="0" customWidth="1"/>
    <x:col min="5" max="5" width="18" hidden="0" customWidth="1"/>
    <x:col min="6" max="6" width="18" hidden="0" customWidth="1"/>
  </x:cols>
  <x:sheetData>
    <x:row r="1">
      <x:c r="A1" s="22" t="str">
        <x:v>Argument-Risk-Engine Taxonomy Workbook</x:v>
      </x:c>
      <x:c r="B1" s="12" t="str"/>
      <x:c r="C1" s="12" t="str"/>
      <x:c r="D1" s="12" t="str"/>
      <x:c r="E1" s="12" t="str"/>
      <x:c r="F1" s="12" t="str"/>
    </x:row>
    <x:row r="2">
      <x:c r="A2" s="12" t="str">
        <x:v>Purpose</x:v>
      </x:c>
      <x:c r="B2" s="12" t="str">
        <x:v>Living academic/professional taxonomy scaffold for claim-level argument-risk analysis.</x:v>
      </x:c>
      <x:c r="C2" s="12" t="str"/>
      <x:c r="D2" s="12" t="str"/>
      <x:c r="E2" s="12" t="str"/>
      <x:c r="F2" s="12" t="str"/>
    </x:row>
    <x:row r="3">
      <x:c r="A3" s="12" t="str">
        <x:v>Important boundary</x:v>
      </x:c>
      <x:c r="B3" s="12" t="str">
        <x:v>This is not truth detection, moral judgement, diagnosis, or author-level bias detection.</x:v>
      </x:c>
      <x:c r="C3" s="12" t="str"/>
      <x:c r="D3" s="12" t="str"/>
      <x:c r="E3" s="12" t="str"/>
      <x:c r="F3" s="12" t="str"/>
    </x:row>
    <x:row r="4">
      <x:c r="A4" s="12" t="str">
        <x:v>Version</x:v>
      </x:c>
      <x:c r="B4" s="12" t="str">
        <x:v>0.1.0-draft</x:v>
      </x:c>
      <x:c r="C4" s="12" t="str">
        <x:v>Generated</x:v>
      </x:c>
      <x:c r="D4" s="12" t="str">
        <x:v>2026-05-16</x:v>
      </x:c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6" t="str">
        <x:v>Metric</x:v>
      </x:c>
      <x:c r="B6" s="6" t="str">
        <x:v>Formula / Value</x:v>
      </x:c>
      <x:c r="C6" s="6" t="str"/>
      <x:c r="D6" s="6" t="str">
        <x:v>Review guidance</x:v>
      </x:c>
      <x:c r="E6" s="6" t="str"/>
      <x:c r="F6" s="6" t="str"/>
    </x:row>
    <x:row r="7">
      <x:c r="A7" s="12" t="str">
        <x:v>Total taxonomy rows</x:v>
      </x:c>
      <x:c r="B7" s="12" t="n">
        <x:f>COUNTA(Taxonomy_Master!A2:A1101)</x:f>
        <x:v>1100</x:v>
      </x:c>
      <x:c r="C7" s="12" t="str"/>
      <x:c r="D7" s="12" t="str">
        <x:v>Rows include canonical patterns and operational candidate subtypes.</x:v>
      </x:c>
      <x:c r="E7" s="12" t="str"/>
      <x:c r="F7" s="12" t="str"/>
    </x:row>
    <x:row r="8">
      <x:c r="A8" s="12" t="str">
        <x:v>P0/P1 rows</x:v>
      </x:c>
      <x:c r="B8" s="12" t="n">
        <x:f>COUNTIF(Taxonomy_Master!L2:L1101,"P0")+COUNTIF(Taxonomy_Master!L2:L1101,"P1")</x:f>
        <x:v>115</x:v>
      </x:c>
      <x:c r="C8" s="12" t="str"/>
      <x:c r="D8" s="12" t="str">
        <x:v>Start implementation with P0, then P1.</x:v>
      </x:c>
      <x:c r="E8" s="12" t="str"/>
      <x:c r="F8" s="12" t="str"/>
    </x:row>
    <x:row r="9">
      <x:c r="A9" s="12" t="str">
        <x:v>Enabled for MVP = yes</x:v>
      </x:c>
      <x:c r="B9" s="12" t="n">
        <x:f>COUNTIF(Taxonomy_Master!M2:M1101,"yes")</x:f>
        <x:v>46</x:v>
      </x:c>
      <x:c r="C9" s="12" t="str"/>
      <x:c r="D9" s="12" t="str">
        <x:v>Only conservative core rows should be enabled initially.</x:v>
      </x:c>
      <x:c r="E9" s="12" t="str"/>
      <x:c r="F9" s="12" t="str"/>
    </x:row>
    <x:row r="10">
      <x:c r="A10" s="12" t="str">
        <x:v>Rows needing review</x:v>
      </x:c>
      <x:c r="B10" s="12" t="n">
        <x:f>COUNTIF(Taxonomy_Master!M2:M1101,"review")+COUNTIF(Taxonomy_Master!M2:M1101,"no")</x:f>
        <x:v>1054</x:v>
      </x:c>
      <x:c r="C10" s="12" t="str"/>
      <x:c r="D10" s="12" t="str">
        <x:v>All non-core rows require review before production use.</x:v>
      </x:c>
      <x:c r="E10" s="12" t="str"/>
      <x:c r="F10" s="12" t="str"/>
    </x:row>
    <x:row r="11">
      <x:c r="A11" s="12" t="str">
        <x:v>Healthy reasoning patterns</x:v>
      </x:c>
      <x:c r="B11" s="12" t="n">
        <x:f>COUNTIF(Taxonomy_Master!F2:F1101,"healthy_reasoning_patterns")</x:f>
        <x:v>100</x:v>
      </x:c>
      <x:c r="C11" s="12" t="str"/>
      <x:c r="D11" s="12" t="str">
        <x:v>Use these to reduce false positives.</x:v>
      </x:c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>
        <x:v>Suggested workflow</x:v>
      </x:c>
      <x:c r="B13" s="12" t="str">
        <x:v>1) Review P0 core rows → 2) write examples → 3) add exclusion criteria → 4) test false positives → 5) enable rows gradually.</x:v>
      </x:c>
      <x:c r="C13" s="12" t="str"/>
      <x:c r="D13" s="12" t="str"/>
      <x:c r="E13" s="12" t="str"/>
      <x:c r="F13" s="12" t="str"/>
    </x:row>
    <x:row r="14">
      <x:c r="A14" s="12"/>
      <x:c r="B14" s="12"/>
      <x:c r="C14" s="12"/>
      <x:c r="D14" s="12"/>
    </x:row>
    <x:row r="15">
      <x:c r="A15" s="33" t="str">
        <x:v>Workbook upgrade status</x:v>
      </x:c>
      <x:c r="B15" s="33" t="str">
        <x:v>0.2.0-taxonomy-first-draft</x:v>
      </x:c>
      <x:c r="C15" s="33" t="str">
        <x:v>Updated</x:v>
      </x:c>
      <x:c r="D15" s="33" t="str">
        <x:v>2026-05-17</x:v>
      </x:c>
    </x:row>
    <x:row r="16">
      <x:c r="A16" s="12" t="str">
        <x:v>New core idea</x:v>
      </x:c>
      <x:c r="B16" s="12" t="str">
        <x:v>Taxonomy-first, model-configurable, activation-gated analyzer</x:v>
      </x:c>
      <x:c r="C16" s="12" t="str"/>
      <x:c r="D16" s="12" t="str"/>
    </x:row>
    <x:row r="17">
      <x:c r="A17" s="12" t="str">
        <x:v>Large taxonomy policy</x:v>
      </x:c>
      <x:c r="B17" s="12" t="str">
        <x:v>Large taxonomy is allowed, but only active classification rows can produce final risk labels.</x:v>
      </x:c>
      <x:c r="C17" s="12" t="str"/>
      <x:c r="D17" s="12" t="str"/>
    </x:row>
    <x:row r="18">
      <x:c r="A18" s="12" t="str">
        <x:v>Dashboard additions needed</x:v>
      </x:c>
      <x:c r="B18" s="12" t="str">
        <x:v>Model Settings, Taxonomy Workbench, Taxonomy Coverage, Review, Evaluation</x:v>
      </x:c>
      <x:c r="C18" s="12" t="str"/>
      <x:c r="D18" s="12" t="str"/>
    </x:row>
    <x:row r="19">
      <x:c r="A19" s="12" t="str">
        <x:v>Codex import instruction</x:v>
      </x:c>
      <x:c r="B19" s="12" t="str">
        <x:v>Treat this workbook as source-of-truth. Import Taxonomy_Master + v2 columns + provider profiles.</x:v>
      </x:c>
      <x:c r="C19" s="12" t="str"/>
      <x:c r="D19" s="12" t="str"/>
    </x:row>
    <x:row r="20">
      <x:c r="A20" s="12" t="str"/>
      <x:c r="B20" s="12" t="str"/>
      <x:c r="C20" s="12" t="str"/>
      <x:c r="D20" s="12" t="str"/>
    </x:row>
    <x:row r="21">
      <x:c r="A21" s="28" t="str">
        <x:v>New sheet</x:v>
      </x:c>
      <x:c r="B21" s="28" t="str">
        <x:v>Purpose</x:v>
      </x:c>
      <x:c r="C21" s="28" t="str"/>
      <x:c r="D21" s="28" t="str">
        <x:v>Use in prompts</x:v>
      </x:c>
    </x:row>
    <x:row r="22">
      <x:c r="A22" s="12" t="str">
        <x:v>Implementation_Brief</x:v>
      </x:c>
      <x:c r="B22" s="12" t="str">
        <x:v>Project-level decisions and changes</x:v>
      </x:c>
      <x:c r="C22" s="12" t="str"/>
      <x:c r="D22" s="12" t="str">
        <x:v>Prompt 1/10</x:v>
      </x:c>
    </x:row>
    <x:row r="23">
      <x:c r="A23" s="12" t="str">
        <x:v>Model_Provider_Profiles</x:v>
      </x:c>
      <x:c r="B23" s="12" t="str">
        <x:v>Configurable local/paid model providers</x:v>
      </x:c>
      <x:c r="C23" s="12" t="str"/>
      <x:c r="D23" s="12" t="str">
        <x:v>Model Settings add-on</x:v>
      </x:c>
    </x:row>
    <x:row r="24">
      <x:c r="A24" s="12" t="str">
        <x:v>Taxonomy_Packs</x:v>
      </x:c>
      <x:c r="B24" s="12" t="str">
        <x:v>Pack-based large taxonomy management</x:v>
      </x:c>
      <x:c r="C24" s="12" t="str"/>
      <x:c r="D24" s="12" t="str">
        <x:v>Taxonomy-first add-on</x:v>
      </x:c>
    </x:row>
    <x:row r="25">
      <x:c r="A25" s="12" t="str">
        <x:v>Activation_Workflow</x:v>
      </x:c>
      <x:c r="B25" s="12" t="str">
        <x:v>Candidate/review/active/deprecated lifecycle</x:v>
      </x:c>
      <x:c r="C25" s="12" t="str"/>
      <x:c r="D25" s="12" t="str">
        <x:v>Taxonomy Workbench</x:v>
      </x:c>
    </x:row>
    <x:row r="26">
      <x:c r="A26" s="12" t="str">
        <x:v>API_Settings_Spec</x:v>
      </x:c>
      <x:c r="B26" s="12" t="str">
        <x:v>Backend/frontend settings endpoints</x:v>
      </x:c>
      <x:c r="C26" s="12" t="str"/>
      <x:c r="D26" s="12" t="str">
        <x:v>Model Settings add-on</x:v>
      </x:c>
    </x:row>
    <x:row r="27">
      <x:c r="A27" s="12" t="str">
        <x:v>Quality_Audit</x:v>
      </x:c>
      <x:c r="B27" s="12" t="str">
        <x:v>Audit checks for taxonomy quality and false positives</x:v>
      </x:c>
      <x:c r="C27" s="12" t="str"/>
      <x:c r="D27" s="12" t="str">
        <x:v>Audit prompt</x:v>
      </x:c>
    </x:row>
    <x:row r="28">
      <x:c r="A28" s="12" t="str">
        <x:v>Prompt_Addendum</x:v>
      </x:c>
      <x:c r="B28" s="12" t="str">
        <x:v>Ready-to-paste Codex modifications</x:v>
      </x:c>
      <x:c r="C28" s="12" t="str"/>
      <x:c r="D28" s="12" t="str">
        <x:v>Use across 10 prompts</x:v>
      </x:c>
    </x:row>
    <x:row r="29">
      <x:c r="A29" s="12" t="str">
        <x:v>Codex_File_Contract</x:v>
      </x:c>
      <x:c r="B29" s="12" t="str">
        <x:v>How Codex should interpret workbook sheets</x:v>
      </x:c>
      <x:c r="C29" s="12" t="str"/>
      <x:c r="D29" s="12" t="str">
        <x:v>Prompt 2/9/10</x:v>
      </x:c>
    </x:row>
    <x:row r="30">
      <x:c r="A30" s="12" t="str">
        <x:v>Source_Registry_Extended</x:v>
      </x:c>
      <x:c r="B30" s="12" t="str">
        <x:v>Academic source registry for canonical constructs</x:v>
      </x:c>
      <x:c r="C30" s="12" t="str"/>
      <x:c r="D30" s="12" t="str">
        <x:v>Taxonomy expansion</x:v>
      </x:c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34" hidden="0" customWidth="1"/>
    <x:col min="21" max="21" width="34" hidden="0" customWidth="1"/>
    <x:col min="22" max="22" width="34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</x:cols>
  <x:sheetData>
    <x:row r="1" ht="30" customHeight="1">
      <x:c r="A1" s="28" t="str">
        <x:v>tax_id</x:v>
      </x:c>
      <x:c r="B1" s="28" t="str">
        <x:v>family_id</x:v>
      </x:c>
      <x:c r="C1" s="28" t="str">
        <x:v>parent_label_en</x:v>
      </x:c>
      <x:c r="D1" s="28" t="str">
        <x:v>parent_label_fa</x:v>
      </x:c>
      <x:c r="E1" s="28" t="str">
        <x:v>variant_label_en</x:v>
      </x:c>
      <x:c r="F1" s="28" t="str">
        <x:v>macro_category</x:v>
      </x:c>
      <x:c r="G1" s="28" t="str">
        <x:v>subcategory</x:v>
      </x:c>
      <x:c r="H1" s="28" t="str">
        <x:v>detection_level</x:v>
      </x:c>
      <x:c r="I1" s="28" t="str">
        <x:v>unit_of_analysis</x:v>
      </x:c>
      <x:c r="J1" s="28" t="str">
        <x:v>taxonomy_status</x:v>
      </x:c>
      <x:c r="K1" s="28" t="str">
        <x:v>evidence_status</x:v>
      </x:c>
      <x:c r="L1" s="28" t="str">
        <x:v>priority</x:v>
      </x:c>
      <x:c r="M1" s="28" t="str">
        <x:v>enabled_for_mvp</x:v>
      </x:c>
      <x:c r="N1" s="28" t="str">
        <x:v>definition_draft</x:v>
      </x:c>
      <x:c r="O1" s="28" t="str">
        <x:v>linguistic_or_structural_signals</x:v>
      </x:c>
      <x:c r="P1" s="28" t="str">
        <x:v>minimum_evidence_required</x:v>
      </x:c>
      <x:c r="Q1" s="28" t="str">
        <x:v>false_positive_guard</x:v>
      </x:c>
      <x:c r="R1" s="28" t="str">
        <x:v>positive_example_stub</x:v>
      </x:c>
      <x:c r="S1" s="28" t="str">
        <x:v>negative_example_stub</x:v>
      </x:c>
      <x:c r="T1" s="28" t="str">
        <x:v>severity_low</x:v>
      </x:c>
      <x:c r="U1" s="28" t="str">
        <x:v>severity_medium</x:v>
      </x:c>
      <x:c r="V1" s="28" t="str">
        <x:v>severity_high</x:v>
      </x:c>
      <x:c r="W1" s="28" t="str">
        <x:v>related_family_ids</x:v>
      </x:c>
      <x:c r="X1" s="28" t="str">
        <x:v>source_family</x:v>
      </x:c>
      <x:c r="Y1" s="28" t="str">
        <x:v>primary_source_url</x:v>
      </x:c>
      <x:c r="Z1" s="28" t="str">
        <x:v>notes_for_review</x:v>
      </x:c>
      <x:c r="AA1" s="28" t="str">
        <x:v>version</x:v>
      </x:c>
      <x:c r="AB1" s="28" t="str">
        <x:v>pack_v2</x:v>
      </x:c>
      <x:c r="AC1" s="28" t="str">
        <x:v>academic_status_v2</x:v>
      </x:c>
      <x:c r="AD1" s="28" t="str">
        <x:v>academic_consensus</x:v>
      </x:c>
      <x:c r="AE1" s="28" t="str">
        <x:v>activation_status</x:v>
      </x:c>
      <x:c r="AF1" s="28" t="str">
        <x:v>enabled_for_retrieval</x:v>
      </x:c>
      <x:c r="AG1" s="28" t="str">
        <x:v>enabled_for_classification</x:v>
      </x:c>
      <x:c r="AH1" s="28" t="str">
        <x:v>requires_context</x:v>
      </x:c>
      <x:c r="AI1" s="28" t="str">
        <x:v>requires_human_judgment</x:v>
      </x:c>
      <x:c r="AJ1" s="28" t="str">
        <x:v>false_positive_sensitivity</x:v>
      </x:c>
      <x:c r="AK1" s="28" t="str">
        <x:v>healthy_suppressor</x:v>
      </x:c>
      <x:c r="AL1" s="28" t="str">
        <x:v>model_assisted_allowed</x:v>
      </x:c>
      <x:c r="AM1" s="28" t="str">
        <x:v>source_ref_required</x:v>
      </x:c>
      <x:c r="AN1" s="28" t="str">
        <x:v>codex_import_action</x:v>
      </x:c>
      <x:c r="AO1" s="28" t="str">
        <x:v>taxonomy_quality_flag</x:v>
      </x:c>
      <x:c r="AP1" s="28" t="str">
        <x:v>review_stage</x:v>
      </x:c>
      <x:c r="AQ1" s="28" t="str">
        <x:v>last_reviewed_at</x:v>
      </x:c>
      <x:c r="AR1" s="28" t="str">
        <x:v>review_notes_v2</x:v>
      </x:c>
    </x:row>
    <x:row r="2">
      <x:c r="A2" s="13" t="str">
        <x:v>straw_man_canonical</x:v>
      </x:c>
      <x:c r="B2" s="13" t="str">
        <x:v>straw_man</x:v>
      </x:c>
      <x:c r="C2" s="13" t="str">
        <x:v>Straw man</x:v>
      </x:c>
      <x:c r="D2" s="13" t="str">
        <x:v>تحریف موضع مقابل</x:v>
      </x:c>
      <x:c r="E2" s="13" t="str">
        <x:v>Canonical form</x:v>
      </x:c>
      <x:c r="F2" s="13" t="str">
        <x:v>reasoning_failures</x:v>
      </x:c>
      <x:c r="G2" s="13" t="str">
        <x:v>canonical</x:v>
      </x:c>
      <x:c r="H2" s="13" t="str">
        <x:v>structural</x:v>
      </x:c>
      <x:c r="I2" s="13" t="str">
        <x:v>claim</x:v>
      </x:c>
      <x:c r="J2" s="13" t="str">
        <x:v>core_named_candidate</x:v>
      </x:c>
      <x:c r="K2" s="13" t="str">
        <x:v>established_parent_needs_row_review</x:v>
      </x:c>
      <x:c r="L2" s="13" t="str">
        <x:v>P0</x:v>
      </x:c>
      <x:c r="M2" s="13" t="str">
        <x:v>yes</x:v>
      </x:c>
      <x:c r="N2" s="13" t="str">
        <x:v>Operational subtype under Straw man: the parent pattern appears in its standard recognizable form. Parent definition: Misrepresenting an opponent's position to make it easier to refute.</x:v>
      </x:c>
      <x:c r="O2" s="13" t="str">
        <x:v>Look for: explicit claim-level evidence; parent-family cues for Straw man; variant cue: the parent pattern appears in its standard recognizable form; avoid author-level inference.</x:v>
      </x:c>
      <x:c r="P2" s="13" t="str">
        <x:v>Exact evidence span in text plus claim-level reasoning link; for contextual/discourse entries, require surrounding context.</x:v>
      </x:c>
      <x:c r="Q2" s="13" t="str">
        <x:v>Do not label merely because topic is controversial, emotional, or wrong. Do not judge intent or personality. Require textual evidence and consider healthy-reasoning cues.</x:v>
      </x:c>
      <x:c r="R2" s="13" t="str">
        <x:v>Stub: A claim relies on the parent pattern appears in its standard recognizable form to support a conclusion without adequate qualification.</x:v>
      </x:c>
      <x:c r="S2" s="13" t="str">
        <x:v>Stub: A claim discusses straw man with caveats, balanced evidence, or no argumentative use of the pattern.</x:v>
      </x:c>
      <x:c r="T2" s="13" t="str">
        <x:v>Mild or ambiguous cue; do not classify without clear evidence span.</x:v>
      </x:c>
      <x:c r="U2" s="13" t="str">
        <x:v>Clear claim-level pattern with some argumentative impact.</x:v>
      </x:c>
      <x:c r="V2" s="13" t="str">
        <x:v>Strong pattern central to the conclusion and likely to materially distort reasoning.</x:v>
      </x:c>
      <x:c r="W2" s="13" t="str"/>
      <x:c r="X2" s="13" t="str">
        <x:v>sep_fallacies</x:v>
      </x:c>
      <x:c r="Y2" s="13" t="str">
        <x:v>https://plato.stanford.edu/entries/fallacies/</x:v>
      </x:c>
      <x:c r="Z2" s="13" t="str">
        <x:v>Review before enabling. This workbook is a living taxonomy scaffold, not a validated scientific benchmark.</x:v>
      </x:c>
      <x:c r="AA2" s="13" t="str">
        <x:v>0.1.0-draft</x:v>
      </x:c>
      <x:c r="AB2" s="12" t="str">
        <x:f>IF(ISNUMBER(SEARCH("healthy",F2)),"healthy_reasoning_patterns",IF(ISNUMBER(SEARCH("statistical",F2)),"statistical_reasoning",IF(ISNUMBER(SEARCH("causal",F2)),"causal_reasoning",IF(ISNUMBER(SEARCH("social",F2)),"social_influence",IF(ISNUMBER(SEARCH("rhetoric",F2)),"rhetoric_discourse",IF(ISNUMBER(SEARCH("behavior",F2)),"behavioural_economics",IF(ISNUMBER(SEARCH("cognitive",F2)),"cognitive_biases",IF(J2="protective_pattern","healthy_reasoning_patterns",IF(L2="P0","core_mvp","extended_fallacies")))))))))</x:f>
        <x:v>core_mvp</x:v>
      </x:c>
      <x:c r="AC2" s="12" t="str">
        <x:f>IF(ISNUMBER(SEARCH("operational",J2)),"operational",IF(ISNUMBER(SEARCH("deprecated",J2)),"deprecated",IF(L2="P0","canonical","recognized_subtype")))</x:f>
        <x:v>canonical</x:v>
      </x:c>
      <x:c r="AD2" s="12" t="str">
        <x:f>IF(AC2="canonical","high",IF(AC2="recognized_subtype","medium",IF(AC2="operational","operational_only","debated")))</x:f>
        <x:v>high</x:v>
      </x:c>
      <x:c r="AE2" s="12" t="str">
        <x:f>IF(AC2="deprecated","deprecated",IF(M2="yes","active",IF(M2="review","review_required","backlog")))</x:f>
        <x:v>active</x:v>
      </x:c>
      <x:c r="AF2" s="12" t="str">
        <x:f>IF(OR(AE2="active",AE2="review_required"),"yes","no")</x:f>
        <x:v>yes</x:v>
      </x:c>
      <x:c r="AG2" s="12" t="str">
        <x:f>IF(AND(AE2="active",M2="yes",NOT(ISNUMBER(SEARCH("healthy",AB2)))),"yes","no")</x:f>
        <x:v>yes</x:v>
      </x:c>
      <x:c r="AH2" s="12" t="str">
        <x:f>IF(OR(H2="contextual",H2="dialogue",H2="discourse",I2="claim+context",I2="discourse_segment"),"yes","no")</x:f>
        <x:v>no</x:v>
      </x:c>
      <x:c r="AI2" s="12" t="str">
        <x:f>IF(OR(AH2="yes",AD2="debated",AC2="operational"),"yes","no")</x:f>
        <x:v>no</x:v>
      </x:c>
      <x:c r="AJ2" s="12" t="str">
        <x:f>IF(OR(AH2="yes",AC2="operational",AD2="debated"),"high",IF(AND(AG2="yes",L2="P0"),"medium","low"))</x:f>
        <x:v>medium</x:v>
      </x:c>
      <x:c r="AK2" s="12" t="str">
        <x:f>IF(ISNUMBER(SEARCH("healthy",AB2)),"yes","no")</x:f>
        <x:v>no</x:v>
      </x:c>
      <x:c r="AL2" s="12" t="str">
        <x:f>IF(AG2="yes","yes","candidate_only")</x:f>
        <x:v>yes</x:v>
      </x:c>
      <x:c r="AM2" s="12" t="str">
        <x:f>IF(OR(AC2="canonical",AG2="yes"),"yes","recommended")</x:f>
        <x:v>yes</x:v>
      </x:c>
      <x:c r="AN2" s="12" t="str">
        <x:f>IF(AC2="deprecated","exclude",IF(AND(AG2="yes",AJ2="high"),"import_but_human_review_required",IF(AG2="yes","import_as_active","import_as_backlog")))</x:f>
        <x:v>import_as_active</x:v>
      </x:c>
      <x:c r="AO2" s="12" t="str">
        <x:f>IF(AND(AG2="yes",OR(P2="",Q2="",R2="",S2="")),"missing_required_mvp_fields",IF(AND(AC2="canonical",Y2=""),"missing_source_ref","ok"))</x:f>
        <x:v>ok</x:v>
      </x:c>
      <x:c r="AP2" s="12" t="str">
        <x:f>IF(AO2="ok","ready_for_codex_import","needs_review")</x:f>
        <x:v>ready_for_codex_import</x:v>
      </x:c>
      <x:c r="AQ2" s="12"/>
      <x:c r="AR2" s="12" t="str">
        <x:v>Added v2 operational fields. Review before classification activation.</x:v>
      </x:c>
    </x:row>
    <x:row r="3">
      <x:c r="A3" s="13" t="str">
        <x:v>weak_man_canonical</x:v>
      </x:c>
      <x:c r="B3" s="13" t="str">
        <x:v>weak_man</x:v>
      </x:c>
      <x:c r="C3" s="13" t="str">
        <x:v>Weak man</x:v>
      </x:c>
      <x:c r="D3" s="13" t="str">
        <x:v>انتخاب نسخه ضعیف استدلال مقابل</x:v>
      </x:c>
      <x:c r="E3" s="13" t="str">
        <x:v>Canonical form</x:v>
      </x:c>
      <x:c r="F3" s="13" t="str">
        <x:v>reasoning_failures</x:v>
      </x:c>
      <x:c r="G3" s="13" t="str">
        <x:v>canonical</x:v>
      </x:c>
      <x:c r="H3" s="13" t="str">
        <x:v>structural</x:v>
      </x:c>
      <x:c r="I3" s="13" t="str">
        <x:v>claim</x:v>
      </x:c>
      <x:c r="J3" s="13" t="str">
        <x:v>core_named_candidate</x:v>
      </x:c>
      <x:c r="K3" s="13" t="str">
        <x:v>established_parent_needs_row_review</x:v>
      </x:c>
      <x:c r="L3" s="13" t="str">
        <x:v>P0</x:v>
      </x:c>
      <x:c r="M3" s="13" t="str">
        <x:v>yes</x:v>
      </x:c>
      <x:c r="N3" s="13" t="str">
        <x:v>Operational subtype under Weak man: the parent pattern appears in its standard recognizable form. Parent definition: Targeting a weak version of a broader position rather than the strongest relevant version.</x:v>
      </x:c>
      <x:c r="O3" s="13" t="str">
        <x:v>Look for: explicit claim-level evidence; parent-family cues for Weak man; variant cue: the parent pattern appears in its standard recognizable form; avoid author-level inference.</x:v>
      </x:c>
      <x:c r="P3" s="13" t="str">
        <x:v>Exact evidence span in text plus claim-level reasoning link; for contextual/discourse entries, require surrounding context.</x:v>
      </x:c>
      <x:c r="Q3" s="13" t="str">
        <x:v>Do not label merely because topic is controversial, emotional, or wrong. Do not judge intent or personality. Require textual evidence and consider healthy-reasoning cues.</x:v>
      </x:c>
      <x:c r="R3" s="13" t="str">
        <x:v>Stub: A claim relies on the parent pattern appears in its standard recognizable form to support a conclusion without adequate qualification.</x:v>
      </x:c>
      <x:c r="S3" s="13" t="str">
        <x:v>Stub: A claim discusses weak man with caveats, balanced evidence, or no argumentative use of the pattern.</x:v>
      </x:c>
      <x:c r="T3" s="13" t="str">
        <x:v>Mild or ambiguous cue; do not classify without clear evidence span.</x:v>
      </x:c>
      <x:c r="U3" s="13" t="str">
        <x:v>Clear claim-level pattern with some argumentative impact.</x:v>
      </x:c>
      <x:c r="V3" s="13" t="str">
        <x:v>Strong pattern central to the conclusion and likely to materially distort reasoning.</x:v>
      </x:c>
      <x:c r="W3" s="13" t="str"/>
      <x:c r="X3" s="13" t="str">
        <x:v>sep_fallacies</x:v>
      </x:c>
      <x:c r="Y3" s="13" t="str">
        <x:v>https://plato.stanford.edu/entries/fallacies/</x:v>
      </x:c>
      <x:c r="Z3" s="13" t="str">
        <x:v>Review before enabling. This workbook is a living taxonomy scaffold, not a validated scientific benchmark.</x:v>
      </x:c>
      <x:c r="AA3" s="13" t="str">
        <x:v>0.1.0-draft</x:v>
      </x:c>
      <x:c r="AB3" s="12" t="str">
        <x:f>IF(ISNUMBER(SEARCH("healthy",F3)),"healthy_reasoning_patterns",IF(ISNUMBER(SEARCH("statistical",F3)),"statistical_reasoning",IF(ISNUMBER(SEARCH("causal",F3)),"causal_reasoning",IF(ISNUMBER(SEARCH("social",F3)),"social_influence",IF(ISNUMBER(SEARCH("rhetoric",F3)),"rhetoric_discourse",IF(ISNUMBER(SEARCH("behavior",F3)),"behavioural_economics",IF(ISNUMBER(SEARCH("cognitive",F3)),"cognitive_biases",IF(J3="protective_pattern","healthy_reasoning_patterns",IF(L3="P0","core_mvp","extended_fallacies")))))))))</x:f>
        <x:v>core_mvp</x:v>
      </x:c>
      <x:c r="AC3" s="12" t="str">
        <x:f>IF(ISNUMBER(SEARCH("operational",J3)),"operational",IF(ISNUMBER(SEARCH("deprecated",J3)),"deprecated",IF(L3="P0","canonical","recognized_subtype")))</x:f>
        <x:v>canonical</x:v>
      </x:c>
      <x:c r="AD3" s="12" t="str">
        <x:f>IF(AC3="canonical","high",IF(AC3="recognized_subtype","medium",IF(AC3="operational","operational_only","debated")))</x:f>
        <x:v>high</x:v>
      </x:c>
      <x:c r="AE3" s="12" t="str">
        <x:f>IF(AC3="deprecated","deprecated",IF(M3="yes","active",IF(M3="review","review_required","backlog")))</x:f>
        <x:v>active</x:v>
      </x:c>
      <x:c r="AF3" s="12" t="str">
        <x:f>IF(OR(AE3="active",AE3="review_required"),"yes","no")</x:f>
        <x:v>yes</x:v>
      </x:c>
      <x:c r="AG3" s="12" t="str">
        <x:f>IF(AND(AE3="active",M3="yes",NOT(ISNUMBER(SEARCH("healthy",AB3)))),"yes","no")</x:f>
        <x:v>yes</x:v>
      </x:c>
      <x:c r="AH3" s="12" t="str">
        <x:f>IF(OR(H3="contextual",H3="dialogue",H3="discourse",I3="claim+context",I3="discourse_segment"),"yes","no")</x:f>
        <x:v>no</x:v>
      </x:c>
      <x:c r="AI3" s="12" t="str">
        <x:f>IF(OR(AH3="yes",AD3="debated",AC3="operational"),"yes","no")</x:f>
        <x:v>no</x:v>
      </x:c>
      <x:c r="AJ3" s="12" t="str">
        <x:f>IF(OR(AH3="yes",AC3="operational",AD3="debated"),"high",IF(AND(AG3="yes",L3="P0"),"medium","low"))</x:f>
        <x:v>medium</x:v>
      </x:c>
      <x:c r="AK3" s="12" t="str">
        <x:f>IF(ISNUMBER(SEARCH("healthy",AB3)),"yes","no")</x:f>
        <x:v>no</x:v>
      </x:c>
      <x:c r="AL3" s="12" t="str">
        <x:f>IF(AG3="yes","yes","candidate_only")</x:f>
        <x:v>yes</x:v>
      </x:c>
      <x:c r="AM3" s="12" t="str">
        <x:f>IF(OR(AC3="canonical",AG3="yes"),"yes","recommended")</x:f>
        <x:v>yes</x:v>
      </x:c>
      <x:c r="AN3" s="12" t="str">
        <x:f>IF(AC3="deprecated","exclude",IF(AND(AG3="yes",AJ3="high"),"import_but_human_review_required",IF(AG3="yes","import_as_active","import_as_backlog")))</x:f>
        <x:v>import_as_active</x:v>
      </x:c>
      <x:c r="AO3" s="12" t="str">
        <x:f>IF(AND(AG3="yes",OR(P3="",Q3="",R3="",S3="")),"missing_required_mvp_fields",IF(AND(AC3="canonical",Y3=""),"missing_source_ref","ok"))</x:f>
        <x:v>ok</x:v>
      </x:c>
      <x:c r="AP3" s="12" t="str">
        <x:f>IF(AO3="ok","ready_for_codex_import","needs_review")</x:f>
        <x:v>ready_for_codex_import</x:v>
      </x:c>
      <x:c r="AQ3" s="12"/>
      <x:c r="AR3" s="12" t="str">
        <x:v>Added v2 operational fields. Review before classification activation.</x:v>
      </x:c>
    </x:row>
    <x:row r="4">
      <x:c r="A4" s="13" t="str">
        <x:v>ad_hominem_abusive_canonical</x:v>
      </x:c>
      <x:c r="B4" s="13" t="str">
        <x:v>ad_hominem_abusive</x:v>
      </x:c>
      <x:c r="C4" s="13" t="str">
        <x:v>Abusive ad hominem</x:v>
      </x:c>
      <x:c r="D4" s="13" t="str">
        <x:v>حمله شخصی مستقیم</x:v>
      </x:c>
      <x:c r="E4" s="13" t="str">
        <x:v>Canonical form</x:v>
      </x:c>
      <x:c r="F4" s="13" t="str">
        <x:v>reasoning_failures</x:v>
      </x:c>
      <x:c r="G4" s="13" t="str">
        <x:v>canonical</x:v>
      </x:c>
      <x:c r="H4" s="13" t="str">
        <x:v>structural</x:v>
      </x:c>
      <x:c r="I4" s="13" t="str">
        <x:v>claim</x:v>
      </x:c>
      <x:c r="J4" s="13" t="str">
        <x:v>core_named_candidate</x:v>
      </x:c>
      <x:c r="K4" s="13" t="str">
        <x:v>established_parent_needs_row_review</x:v>
      </x:c>
      <x:c r="L4" s="13" t="str">
        <x:v>P0</x:v>
      </x:c>
      <x:c r="M4" s="13" t="str">
        <x:v>yes</x:v>
      </x:c>
      <x:c r="N4" s="13" t="str">
        <x:v>Operational subtype under Abusive ad hominem: the parent pattern appears in its standard recognizable form. Parent definition: Rejecting a claim by attacking a person rather than the claim-level reasons.</x:v>
      </x:c>
      <x:c r="O4" s="13" t="str">
        <x:v>Look for: explicit claim-level evidence; parent-family cues for Abusive ad hominem; variant cue: the parent pattern appears in its standard recognizable form; avoid author-level inference.</x:v>
      </x:c>
      <x:c r="P4" s="13" t="str">
        <x:v>Exact evidence span in text plus claim-level reasoning link; for contextual/discourse entries, require surrounding context.</x:v>
      </x:c>
      <x:c r="Q4" s="13" t="str">
        <x:v>Do not label merely because topic is controversial, emotional, or wrong. Do not judge intent or personality. Require textual evidence and consider healthy-reasoning cues.</x:v>
      </x:c>
      <x:c r="R4" s="13" t="str">
        <x:v>Stub: A claim relies on the parent pattern appears in its standard recognizable form to support a conclusion without adequate qualification.</x:v>
      </x:c>
      <x:c r="S4" s="13" t="str">
        <x:v>Stub: A claim discusses abusive ad hominem with caveats, balanced evidence, or no argumentative use of the pattern.</x:v>
      </x:c>
      <x:c r="T4" s="13" t="str">
        <x:v>Mild or ambiguous cue; do not classify without clear evidence span.</x:v>
      </x:c>
      <x:c r="U4" s="13" t="str">
        <x:v>Clear claim-level pattern with some argumentative impact.</x:v>
      </x:c>
      <x:c r="V4" s="13" t="str">
        <x:v>Strong pattern central to the conclusion and likely to materially distort reasoning.</x:v>
      </x:c>
      <x:c r="W4" s="13" t="str"/>
      <x:c r="X4" s="13" t="str">
        <x:v>sep_fallacies</x:v>
      </x:c>
      <x:c r="Y4" s="13" t="str">
        <x:v>https://plato.stanford.edu/entries/fallacies/</x:v>
      </x:c>
      <x:c r="Z4" s="13" t="str">
        <x:v>Review before enabling. This workbook is a living taxonomy scaffold, not a validated scientific benchmark.</x:v>
      </x:c>
      <x:c r="AA4" s="13" t="str">
        <x:v>0.1.0-draft</x:v>
      </x:c>
      <x:c r="AB4" s="12" t="str">
        <x:f>IF(ISNUMBER(SEARCH("healthy",F4)),"healthy_reasoning_patterns",IF(ISNUMBER(SEARCH("statistical",F4)),"statistical_reasoning",IF(ISNUMBER(SEARCH("causal",F4)),"causal_reasoning",IF(ISNUMBER(SEARCH("social",F4)),"social_influence",IF(ISNUMBER(SEARCH("rhetoric",F4)),"rhetoric_discourse",IF(ISNUMBER(SEARCH("behavior",F4)),"behavioural_economics",IF(ISNUMBER(SEARCH("cognitive",F4)),"cognitive_biases",IF(J4="protective_pattern","healthy_reasoning_patterns",IF(L4="P0","core_mvp","extended_fallacies")))))))))</x:f>
        <x:v>core_mvp</x:v>
      </x:c>
      <x:c r="AC4" s="12" t="str">
        <x:f>IF(ISNUMBER(SEARCH("operational",J4)),"operational",IF(ISNUMBER(SEARCH("deprecated",J4)),"deprecated",IF(L4="P0","canonical","recognized_subtype")))</x:f>
        <x:v>canonical</x:v>
      </x:c>
      <x:c r="AD4" s="12" t="str">
        <x:f>IF(AC4="canonical","high",IF(AC4="recognized_subtype","medium",IF(AC4="operational","operational_only","debated")))</x:f>
        <x:v>high</x:v>
      </x:c>
      <x:c r="AE4" s="12" t="str">
        <x:f>IF(AC4="deprecated","deprecated",IF(M4="yes","active",IF(M4="review","review_required","backlog")))</x:f>
        <x:v>active</x:v>
      </x:c>
      <x:c r="AF4" s="12" t="str">
        <x:f>IF(OR(AE4="active",AE4="review_required"),"yes","no")</x:f>
        <x:v>yes</x:v>
      </x:c>
      <x:c r="AG4" s="12" t="str">
        <x:f>IF(AND(AE4="active",M4="yes",NOT(ISNUMBER(SEARCH("healthy",AB4)))),"yes","no")</x:f>
        <x:v>yes</x:v>
      </x:c>
      <x:c r="AH4" s="12" t="str">
        <x:f>IF(OR(H4="contextual",H4="dialogue",H4="discourse",I4="claim+context",I4="discourse_segment"),"yes","no")</x:f>
        <x:v>no</x:v>
      </x:c>
      <x:c r="AI4" s="12" t="str">
        <x:f>IF(OR(AH4="yes",AD4="debated",AC4="operational"),"yes","no")</x:f>
        <x:v>no</x:v>
      </x:c>
      <x:c r="AJ4" s="12" t="str">
        <x:f>IF(OR(AH4="yes",AC4="operational",AD4="debated"),"high",IF(AND(AG4="yes",L4="P0"),"medium","low"))</x:f>
        <x:v>medium</x:v>
      </x:c>
      <x:c r="AK4" s="12" t="str">
        <x:f>IF(ISNUMBER(SEARCH("healthy",AB4)),"yes","no")</x:f>
        <x:v>no</x:v>
      </x:c>
      <x:c r="AL4" s="12" t="str">
        <x:f>IF(AG4="yes","yes","candidate_only")</x:f>
        <x:v>yes</x:v>
      </x:c>
      <x:c r="AM4" s="12" t="str">
        <x:f>IF(OR(AC4="canonical",AG4="yes"),"yes","recommended")</x:f>
        <x:v>yes</x:v>
      </x:c>
      <x:c r="AN4" s="12" t="str">
        <x:f>IF(AC4="deprecated","exclude",IF(AND(AG4="yes",AJ4="high"),"import_but_human_review_required",IF(AG4="yes","import_as_active","import_as_backlog")))</x:f>
        <x:v>import_as_active</x:v>
      </x:c>
      <x:c r="AO4" s="12" t="str">
        <x:f>IF(AND(AG4="yes",OR(P4="",Q4="",R4="",S4="")),"missing_required_mvp_fields",IF(AND(AC4="canonical",Y4=""),"missing_source_ref","ok"))</x:f>
        <x:v>ok</x:v>
      </x:c>
      <x:c r="AP4" s="12" t="str">
        <x:f>IF(AO4="ok","ready_for_codex_import","needs_review")</x:f>
        <x:v>ready_for_codex_import</x:v>
      </x:c>
      <x:c r="AQ4" s="12"/>
      <x:c r="AR4" s="12" t="str">
        <x:v>Added v2 operational fields. Review before classification activation.</x:v>
      </x:c>
    </x:row>
    <x:row r="5">
      <x:c r="A5" s="13" t="str">
        <x:v>ad_hominem_circumstantial_canonical</x:v>
      </x:c>
      <x:c r="B5" s="13" t="str">
        <x:v>ad_hominem_circumstantial</x:v>
      </x:c>
      <x:c r="C5" s="13" t="str">
        <x:v>Circumstantial ad hominem</x:v>
      </x:c>
      <x:c r="D5" s="13" t="str">
        <x:v>حمله به شرایط شخص</x:v>
      </x:c>
      <x:c r="E5" s="13" t="str">
        <x:v>Canonical form</x:v>
      </x:c>
      <x:c r="F5" s="13" t="str">
        <x:v>reasoning_failures</x:v>
      </x:c>
      <x:c r="G5" s="13" t="str">
        <x:v>canonical</x:v>
      </x:c>
      <x:c r="H5" s="13" t="str">
        <x:v>structural</x:v>
      </x:c>
      <x:c r="I5" s="13" t="str">
        <x:v>claim</x:v>
      </x:c>
      <x:c r="J5" s="13" t="str">
        <x:v>core_named_candidate</x:v>
      </x:c>
      <x:c r="K5" s="13" t="str">
        <x:v>established_parent_needs_row_review</x:v>
      </x:c>
      <x:c r="L5" s="13" t="str">
        <x:v>P0</x:v>
      </x:c>
      <x:c r="M5" s="13" t="str">
        <x:v>yes</x:v>
      </x:c>
      <x:c r="N5" s="13" t="str">
        <x:v>Operational subtype under Circumstantial ad hominem: the parent pattern appears in its standard recognizable form. Parent definition: Treating a speaker's circumstances as decisive against their claim without claim-level evidence.</x:v>
      </x:c>
      <x:c r="O5" s="13" t="str">
        <x:v>Look for: explicit claim-level evidence; parent-family cues for Circumstantial ad hominem; variant cue: the parent pattern appears in its standard recognizable form; avoid author-level inference.</x:v>
      </x:c>
      <x:c r="P5" s="13" t="str">
        <x:v>Exact evidence span in text plus claim-level reasoning link; for contextual/discourse entries, require surrounding context.</x:v>
      </x:c>
      <x:c r="Q5" s="13" t="str">
        <x:v>Do not label merely because topic is controversial, emotional, or wrong. Do not judge intent or personality. Require textual evidence and consider healthy-reasoning cues.</x:v>
      </x:c>
      <x:c r="R5" s="13" t="str">
        <x:v>Stub: A claim relies on the parent pattern appears in its standard recognizable form to support a conclusion without adequate qualification.</x:v>
      </x:c>
      <x:c r="S5" s="13" t="str">
        <x:v>Stub: A claim discusses circumstantial ad hominem with caveats, balanced evidence, or no argumentative use of the pattern.</x:v>
      </x:c>
      <x:c r="T5" s="13" t="str">
        <x:v>Mild or ambiguous cue; do not classify without clear evidence span.</x:v>
      </x:c>
      <x:c r="U5" s="13" t="str">
        <x:v>Clear claim-level pattern with some argumentative impact.</x:v>
      </x:c>
      <x:c r="V5" s="13" t="str">
        <x:v>Strong pattern central to the conclusion and likely to materially distort reasoning.</x:v>
      </x:c>
      <x:c r="W5" s="13" t="str">
        <x:v>cherry_picking; missing_counterevidence; evidence_grading</x:v>
      </x:c>
      <x:c r="X5" s="13" t="str">
        <x:v>sep_fallacies</x:v>
      </x:c>
      <x:c r="Y5" s="13" t="str">
        <x:v>https://plato.stanford.edu/entries/fallacies/</x:v>
      </x:c>
      <x:c r="Z5" s="13" t="str">
        <x:v>Review before enabling. This workbook is a living taxonomy scaffold, not a validated scientific benchmark.</x:v>
      </x:c>
      <x:c r="AA5" s="13" t="str">
        <x:v>0.1.0-draft</x:v>
      </x:c>
      <x:c r="AB5" s="12" t="str">
        <x:f>IF(ISNUMBER(SEARCH("healthy",F5)),"healthy_reasoning_patterns",IF(ISNUMBER(SEARCH("statistical",F5)),"statistical_reasoning",IF(ISNUMBER(SEARCH("causal",F5)),"causal_reasoning",IF(ISNUMBER(SEARCH("social",F5)),"social_influence",IF(ISNUMBER(SEARCH("rhetoric",F5)),"rhetoric_discourse",IF(ISNUMBER(SEARCH("behavior",F5)),"behavioural_economics",IF(ISNUMBER(SEARCH("cognitive",F5)),"cognitive_biases",IF(J5="protective_pattern","healthy_reasoning_patterns",IF(L5="P0","core_mvp","extended_fallacies")))))))))</x:f>
        <x:v>core_mvp</x:v>
      </x:c>
      <x:c r="AC5" s="12" t="str">
        <x:f>IF(ISNUMBER(SEARCH("operational",J5)),"operational",IF(ISNUMBER(SEARCH("deprecated",J5)),"deprecated",IF(L5="P0","canonical","recognized_subtype")))</x:f>
        <x:v>canonical</x:v>
      </x:c>
      <x:c r="AD5" s="12" t="str">
        <x:f>IF(AC5="canonical","high",IF(AC5="recognized_subtype","medium",IF(AC5="operational","operational_only","debated")))</x:f>
        <x:v>high</x:v>
      </x:c>
      <x:c r="AE5" s="12" t="str">
        <x:f>IF(AC5="deprecated","deprecated",IF(M5="yes","active",IF(M5="review","review_required","backlog")))</x:f>
        <x:v>active</x:v>
      </x:c>
      <x:c r="AF5" s="12" t="str">
        <x:f>IF(OR(AE5="active",AE5="review_required"),"yes","no")</x:f>
        <x:v>yes</x:v>
      </x:c>
      <x:c r="AG5" s="12" t="str">
        <x:f>IF(AND(AE5="active",M5="yes",NOT(ISNUMBER(SEARCH("healthy",AB5)))),"yes","no")</x:f>
        <x:v>yes</x:v>
      </x:c>
      <x:c r="AH5" s="12" t="str">
        <x:f>IF(OR(H5="contextual",H5="dialogue",H5="discourse",I5="claim+context",I5="discourse_segment"),"yes","no")</x:f>
        <x:v>no</x:v>
      </x:c>
      <x:c r="AI5" s="12" t="str">
        <x:f>IF(OR(AH5="yes",AD5="debated",AC5="operational"),"yes","no")</x:f>
        <x:v>no</x:v>
      </x:c>
      <x:c r="AJ5" s="12" t="str">
        <x:f>IF(OR(AH5="yes",AC5="operational",AD5="debated"),"high",IF(AND(AG5="yes",L5="P0"),"medium","low"))</x:f>
        <x:v>medium</x:v>
      </x:c>
      <x:c r="AK5" s="12" t="str">
        <x:f>IF(ISNUMBER(SEARCH("healthy",AB5)),"yes","no")</x:f>
        <x:v>no</x:v>
      </x:c>
      <x:c r="AL5" s="12" t="str">
        <x:f>IF(AG5="yes","yes","candidate_only")</x:f>
        <x:v>yes</x:v>
      </x:c>
      <x:c r="AM5" s="12" t="str">
        <x:f>IF(OR(AC5="canonical",AG5="yes"),"yes","recommended")</x:f>
        <x:v>yes</x:v>
      </x:c>
      <x:c r="AN5" s="12" t="str">
        <x:f>IF(AC5="deprecated","exclude",IF(AND(AG5="yes",AJ5="high"),"import_but_human_review_required",IF(AG5="yes","import_as_active","import_as_backlog")))</x:f>
        <x:v>import_as_active</x:v>
      </x:c>
      <x:c r="AO5" s="12" t="str">
        <x:f>IF(AND(AG5="yes",OR(P5="",Q5="",R5="",S5="")),"missing_required_mvp_fields",IF(AND(AC5="canonical",Y5=""),"missing_source_ref","ok"))</x:f>
        <x:v>ok</x:v>
      </x:c>
      <x:c r="AP5" s="12" t="str">
        <x:f>IF(AO5="ok","ready_for_codex_import","needs_review")</x:f>
        <x:v>ready_for_codex_import</x:v>
      </x:c>
      <x:c r="AQ5" s="12"/>
      <x:c r="AR5" s="12" t="str">
        <x:v>Added v2 operational fields. Review before classification activation.</x:v>
      </x:c>
    </x:row>
    <x:row r="6">
      <x:c r="A6" s="13" t="str">
        <x:v>tu_quoque_canonical</x:v>
      </x:c>
      <x:c r="B6" s="13" t="str">
        <x:v>tu_quoque</x:v>
      </x:c>
      <x:c r="C6" s="13" t="str">
        <x:v>Tu quoque</x:v>
      </x:c>
      <x:c r="D6" s="13" t="str">
        <x:v>تو هم همین‌طور</x:v>
      </x:c>
      <x:c r="E6" s="13" t="str">
        <x:v>Canonical form</x:v>
      </x:c>
      <x:c r="F6" s="13" t="str">
        <x:v>reasoning_failures</x:v>
      </x:c>
      <x:c r="G6" s="13" t="str">
        <x:v>canonical</x:v>
      </x:c>
      <x:c r="H6" s="13" t="str">
        <x:v>dialogue</x:v>
      </x:c>
      <x:c r="I6" s="13" t="str">
        <x:v>discourse_segment</x:v>
      </x:c>
      <x:c r="J6" s="13" t="str">
        <x:v>core_named_candidate</x:v>
      </x:c>
      <x:c r="K6" s="13" t="str">
        <x:v>established_parent_needs_row_review</x:v>
      </x:c>
      <x:c r="L6" s="13" t="str">
        <x:v>P0</x:v>
      </x:c>
      <x:c r="M6" s="13" t="str">
        <x:v>yes</x:v>
      </x:c>
      <x:c r="N6" s="13" t="str">
        <x:v>Operational subtype under Tu quoque: the parent pattern appears in its standard recognizable form. Parent definition: Deflecting criticism by alleging inconsistency in the critic rather than addressing the argument.</x:v>
      </x:c>
      <x:c r="O6" s="13" t="str">
        <x:v>Look for: explicit claim-level evidence; parent-family cues for Tu quoque; variant cue: the parent pattern appears in its standard recognizable form; avoid author-level inference.</x:v>
      </x:c>
      <x:c r="P6" s="13" t="str">
        <x:v>Exact evidence span in text plus claim-level reasoning link; for contextual/discourse entries, require surrounding context.</x:v>
      </x:c>
      <x:c r="Q6" s="13" t="str">
        <x:v>Do not label merely because topic is controversial, emotional, or wrong. Do not judge intent or personality. Require textual evidence and consider healthy-reasoning cues.</x:v>
      </x:c>
      <x:c r="R6" s="13" t="str">
        <x:v>Stub: A claim relies on the parent pattern appears in its standard recognizable form to support a conclusion without adequate qualification.</x:v>
      </x:c>
      <x:c r="S6" s="13" t="str">
        <x:v>Stub: A claim discusses tu quoque with caveats, balanced evidence, or no argumentative use of the pattern.</x:v>
      </x:c>
      <x:c r="T6" s="13" t="str">
        <x:v>Mild or ambiguous cue; do not classify without clear evidence span.</x:v>
      </x:c>
      <x:c r="U6" s="13" t="str">
        <x:v>Clear claim-level pattern with some argumentative impact.</x:v>
      </x:c>
      <x:c r="V6" s="13" t="str">
        <x:v>Strong pattern central to the conclusion and likely to materially distort reasoning.</x:v>
      </x:c>
      <x:c r="W6" s="13" t="str"/>
      <x:c r="X6" s="13" t="str">
        <x:v>sep_fallacies</x:v>
      </x:c>
      <x:c r="Y6" s="13" t="str">
        <x:v>https://plato.stanford.edu/entries/fallacies/</x:v>
      </x:c>
      <x:c r="Z6" s="13" t="str">
        <x:v>Review before enabling. This workbook is a living taxonomy scaffold, not a validated scientific benchmark.</x:v>
      </x:c>
      <x:c r="AA6" s="13" t="str">
        <x:v>0.1.0-draft</x:v>
      </x:c>
      <x:c r="AB6" s="12" t="str">
        <x:f>IF(ISNUMBER(SEARCH("healthy",F6)),"healthy_reasoning_patterns",IF(ISNUMBER(SEARCH("statistical",F6)),"statistical_reasoning",IF(ISNUMBER(SEARCH("causal",F6)),"causal_reasoning",IF(ISNUMBER(SEARCH("social",F6)),"social_influence",IF(ISNUMBER(SEARCH("rhetoric",F6)),"rhetoric_discourse",IF(ISNUMBER(SEARCH("behavior",F6)),"behavioural_economics",IF(ISNUMBER(SEARCH("cognitive",F6)),"cognitive_biases",IF(J6="protective_pattern","healthy_reasoning_patterns",IF(L6="P0","core_mvp","extended_fallacies")))))))))</x:f>
        <x:v>core_mvp</x:v>
      </x:c>
      <x:c r="AC6" s="12" t="str">
        <x:f>IF(ISNUMBER(SEARCH("operational",J6)),"operational",IF(ISNUMBER(SEARCH("deprecated",J6)),"deprecated",IF(L6="P0","canonical","recognized_subtype")))</x:f>
        <x:v>canonical</x:v>
      </x:c>
      <x:c r="AD6" s="12" t="str">
        <x:f>IF(AC6="canonical","high",IF(AC6="recognized_subtype","medium",IF(AC6="operational","operational_only","debated")))</x:f>
        <x:v>high</x:v>
      </x:c>
      <x:c r="AE6" s="12" t="str">
        <x:f>IF(AC6="deprecated","deprecated",IF(M6="yes","active",IF(M6="review","review_required","backlog")))</x:f>
        <x:v>active</x:v>
      </x:c>
      <x:c r="AF6" s="12" t="str">
        <x:f>IF(OR(AE6="active",AE6="review_required"),"yes","no")</x:f>
        <x:v>yes</x:v>
      </x:c>
      <x:c r="AG6" s="12" t="str">
        <x:f>IF(AND(AE6="active",M6="yes",NOT(ISNUMBER(SEARCH("healthy",AB6)))),"yes","no")</x:f>
        <x:v>yes</x:v>
      </x:c>
      <x:c r="AH6" s="12" t="str">
        <x:f>IF(OR(H6="contextual",H6="dialogue",H6="discourse",I6="claim+context",I6="discourse_segment"),"yes","no")</x:f>
        <x:v>yes</x:v>
      </x:c>
      <x:c r="AI6" s="12" t="str">
        <x:f>IF(OR(AH6="yes",AD6="debated",AC6="operational"),"yes","no")</x:f>
        <x:v>yes</x:v>
      </x:c>
      <x:c r="AJ6" s="12" t="str">
        <x:f>IF(OR(AH6="yes",AC6="operational",AD6="debated"),"high",IF(AND(AG6="yes",L6="P0"),"medium","low"))</x:f>
        <x:v>high</x:v>
      </x:c>
      <x:c r="AK6" s="12" t="str">
        <x:f>IF(ISNUMBER(SEARCH("healthy",AB6)),"yes","no")</x:f>
        <x:v>no</x:v>
      </x:c>
      <x:c r="AL6" s="12" t="str">
        <x:f>IF(AG6="yes","yes","candidate_only")</x:f>
        <x:v>yes</x:v>
      </x:c>
      <x:c r="AM6" s="12" t="str">
        <x:f>IF(OR(AC6="canonical",AG6="yes"),"yes","recommended")</x:f>
        <x:v>yes</x:v>
      </x:c>
      <x:c r="AN6" s="12" t="str">
        <x:f>IF(AC6="deprecated","exclude",IF(AND(AG6="yes",AJ6="high"),"import_but_human_review_required",IF(AG6="yes","import_as_active","import_as_backlog")))</x:f>
        <x:v>import_but_human_review_required</x:v>
      </x:c>
      <x:c r="AO6" s="12" t="str">
        <x:f>IF(AND(AG6="yes",OR(P6="",Q6="",R6="",S6="")),"missing_required_mvp_fields",IF(AND(AC6="canonical",Y6=""),"missing_source_ref","ok"))</x:f>
        <x:v>ok</x:v>
      </x:c>
      <x:c r="AP6" s="12" t="str">
        <x:f>IF(AO6="ok","ready_for_codex_import","needs_review")</x:f>
        <x:v>ready_for_codex_import</x:v>
      </x:c>
      <x:c r="AQ6" s="12"/>
      <x:c r="AR6" s="12" t="str">
        <x:v>Added v2 operational fields. Review before classification activation.</x:v>
      </x:c>
    </x:row>
    <x:row r="7">
      <x:c r="A7" s="13" t="str">
        <x:v>guilt_by_association_canonical</x:v>
      </x:c>
      <x:c r="B7" s="13" t="str">
        <x:v>guilt_by_association</x:v>
      </x:c>
      <x:c r="C7" s="13" t="str">
        <x:v>Guilt by association</x:v>
      </x:c>
      <x:c r="D7" s="13" t="str">
        <x:v>بی‌اعتبارسازی با نسبت دادن ارتباط</x:v>
      </x:c>
      <x:c r="E7" s="13" t="str">
        <x:v>Canonical form</x:v>
      </x:c>
      <x:c r="F7" s="13" t="str">
        <x:v>reasoning_failures</x:v>
      </x:c>
      <x:c r="G7" s="13" t="str">
        <x:v>canonical</x:v>
      </x:c>
      <x:c r="H7" s="13" t="str">
        <x:v>contextual</x:v>
      </x:c>
      <x:c r="I7" s="13" t="str">
        <x:v>claim+context</x:v>
      </x:c>
      <x:c r="J7" s="13" t="str">
        <x:v>core_named_candidate</x:v>
      </x:c>
      <x:c r="K7" s="13" t="str">
        <x:v>established_parent_needs_row_review</x:v>
      </x:c>
      <x:c r="L7" s="13" t="str">
        <x:v>P0</x:v>
      </x:c>
      <x:c r="M7" s="13" t="str">
        <x:v>yes</x:v>
      </x:c>
      <x:c r="N7" s="13" t="str">
        <x:v>Operational subtype under Guilt by association: the parent pattern appears in its standard recognizable form. Parent definition: Rejecting a claim because its speaker is associated with a disliked person or group.</x:v>
      </x:c>
      <x:c r="O7" s="13" t="str">
        <x:v>Look for: explicit claim-level evidence; parent-family cues for Guilt by association; variant cue: the parent pattern appears in its standard recognizable form; avoid author-level inference.</x:v>
      </x:c>
      <x:c r="P7" s="13" t="str">
        <x:v>Exact evidence span in text plus claim-level reasoning link; for contextual/discourse entries, require surrounding context.</x:v>
      </x:c>
      <x:c r="Q7" s="13" t="str">
        <x:v>Do not label merely because topic is controversial, emotional, or wrong. Do not judge intent or personality. Require textual evidence and consider healthy-reasoning cues.</x:v>
      </x:c>
      <x:c r="R7" s="13" t="str">
        <x:v>Stub: A claim relies on the parent pattern appears in its standard recognizable form to support a conclusion without adequate qualification.</x:v>
      </x:c>
      <x:c r="S7" s="13" t="str">
        <x:v>Stub: A claim discusses guilt by association with caveats, balanced evidence, or no argumentative use of the pattern.</x:v>
      </x:c>
      <x:c r="T7" s="13" t="str">
        <x:v>Mild or ambiguous cue; do not classify without clear evidence span.</x:v>
      </x:c>
      <x:c r="U7" s="13" t="str">
        <x:v>Clear claim-level pattern with some argumentative impact.</x:v>
      </x:c>
      <x:c r="V7" s="13" t="str">
        <x:v>Strong pattern central to the conclusion and likely to materially distort reasoning.</x:v>
      </x:c>
      <x:c r="W7" s="13" t="str"/>
      <x:c r="X7" s="13" t="str">
        <x:v>sep_fallacies</x:v>
      </x:c>
      <x:c r="Y7" s="13" t="str">
        <x:v>https://plato.stanford.edu/entries/fallacies/</x:v>
      </x:c>
      <x:c r="Z7" s="13" t="str">
        <x:v>Review before enabling. This workbook is a living taxonomy scaffold, not a validated scientific benchmark.</x:v>
      </x:c>
      <x:c r="AA7" s="13" t="str">
        <x:v>0.1.0-draft</x:v>
      </x:c>
      <x:c r="AB7" s="12" t="str">
        <x:f>IF(ISNUMBER(SEARCH("healthy",F7)),"healthy_reasoning_patterns",IF(ISNUMBER(SEARCH("statistical",F7)),"statistical_reasoning",IF(ISNUMBER(SEARCH("causal",F7)),"causal_reasoning",IF(ISNUMBER(SEARCH("social",F7)),"social_influence",IF(ISNUMBER(SEARCH("rhetoric",F7)),"rhetoric_discourse",IF(ISNUMBER(SEARCH("behavior",F7)),"behavioural_economics",IF(ISNUMBER(SEARCH("cognitive",F7)),"cognitive_biases",IF(J7="protective_pattern","healthy_reasoning_patterns",IF(L7="P0","core_mvp","extended_fallacies")))))))))</x:f>
        <x:v>core_mvp</x:v>
      </x:c>
      <x:c r="AC7" s="12" t="str">
        <x:f>IF(ISNUMBER(SEARCH("operational",J7)),"operational",IF(ISNUMBER(SEARCH("deprecated",J7)),"deprecated",IF(L7="P0","canonical","recognized_subtype")))</x:f>
        <x:v>canonical</x:v>
      </x:c>
      <x:c r="AD7" s="12" t="str">
        <x:f>IF(AC7="canonical","high",IF(AC7="recognized_subtype","medium",IF(AC7="operational","operational_only","debated")))</x:f>
        <x:v>high</x:v>
      </x:c>
      <x:c r="AE7" s="12" t="str">
        <x:f>IF(AC7="deprecated","deprecated",IF(M7="yes","active",IF(M7="review","review_required","backlog")))</x:f>
        <x:v>active</x:v>
      </x:c>
      <x:c r="AF7" s="12" t="str">
        <x:f>IF(OR(AE7="active",AE7="review_required"),"yes","no")</x:f>
        <x:v>yes</x:v>
      </x:c>
      <x:c r="AG7" s="12" t="str">
        <x:f>IF(AND(AE7="active",M7="yes",NOT(ISNUMBER(SEARCH("healthy",AB7)))),"yes","no")</x:f>
        <x:v>yes</x:v>
      </x:c>
      <x:c r="AH7" s="12" t="str">
        <x:f>IF(OR(H7="contextual",H7="dialogue",H7="discourse",I7="claim+context",I7="discourse_segment"),"yes","no")</x:f>
        <x:v>yes</x:v>
      </x:c>
      <x:c r="AI7" s="12" t="str">
        <x:f>IF(OR(AH7="yes",AD7="debated",AC7="operational"),"yes","no")</x:f>
        <x:v>yes</x:v>
      </x:c>
      <x:c r="AJ7" s="12" t="str">
        <x:f>IF(OR(AH7="yes",AC7="operational",AD7="debated"),"high",IF(AND(AG7="yes",L7="P0"),"medium","low"))</x:f>
        <x:v>high</x:v>
      </x:c>
      <x:c r="AK7" s="12" t="str">
        <x:f>IF(ISNUMBER(SEARCH("healthy",AB7)),"yes","no")</x:f>
        <x:v>no</x:v>
      </x:c>
      <x:c r="AL7" s="12" t="str">
        <x:f>IF(AG7="yes","yes","candidate_only")</x:f>
        <x:v>yes</x:v>
      </x:c>
      <x:c r="AM7" s="12" t="str">
        <x:f>IF(OR(AC7="canonical",AG7="yes"),"yes","recommended")</x:f>
        <x:v>yes</x:v>
      </x:c>
      <x:c r="AN7" s="12" t="str">
        <x:f>IF(AC7="deprecated","exclude",IF(AND(AG7="yes",AJ7="high"),"import_but_human_review_required",IF(AG7="yes","import_as_active","import_as_backlog")))</x:f>
        <x:v>import_but_human_review_required</x:v>
      </x:c>
      <x:c r="AO7" s="12" t="str">
        <x:f>IF(AND(AG7="yes",OR(P7="",Q7="",R7="",S7="")),"missing_required_mvp_fields",IF(AND(AC7="canonical",Y7=""),"missing_source_ref","ok"))</x:f>
        <x:v>ok</x:v>
      </x:c>
      <x:c r="AP7" s="12" t="str">
        <x:f>IF(AO7="ok","ready_for_codex_import","needs_review")</x:f>
        <x:v>ready_for_codex_import</x:v>
      </x:c>
      <x:c r="AQ7" s="12"/>
      <x:c r="AR7" s="12" t="str">
        <x:v>Added v2 operational fields. Review before classification activation.</x:v>
      </x:c>
    </x:row>
    <x:row r="8">
      <x:c r="A8" s="13" t="str">
        <x:v>genetic_fallacy_canonical</x:v>
      </x:c>
      <x:c r="B8" s="13" t="str">
        <x:v>genetic_fallacy</x:v>
      </x:c>
      <x:c r="C8" s="13" t="str">
        <x:v>Genetic fallacy</x:v>
      </x:c>
      <x:c r="D8" s="13" t="str">
        <x:v>مغالطه منشأ</x:v>
      </x:c>
      <x:c r="E8" s="13" t="str">
        <x:v>Canonical form</x:v>
      </x:c>
      <x:c r="F8" s="13" t="str">
        <x:v>reasoning_failures</x:v>
      </x:c>
      <x:c r="G8" s="13" t="str">
        <x:v>canonical</x:v>
      </x:c>
      <x:c r="H8" s="13" t="str">
        <x:v>contextual</x:v>
      </x:c>
      <x:c r="I8" s="13" t="str">
        <x:v>claim+context</x:v>
      </x:c>
      <x:c r="J8" s="13" t="str">
        <x:v>core_named_candidate</x:v>
      </x:c>
      <x:c r="K8" s="13" t="str">
        <x:v>established_parent_needs_row_review</x:v>
      </x:c>
      <x:c r="L8" s="13" t="str">
        <x:v>P0</x:v>
      </x:c>
      <x:c r="M8" s="13" t="str">
        <x:v>yes</x:v>
      </x:c>
      <x:c r="N8" s="13" t="str">
        <x:v>Operational subtype under Genetic fallacy: the parent pattern appears in its standard recognizable form. Parent definition: Judging a claim solely by its origin rather than its current evidence or reasoning.</x:v>
      </x:c>
      <x:c r="O8" s="13" t="str">
        <x:v>Look for: explicit claim-level evidence; parent-family cues for Genetic fallacy; variant cue: the parent pattern appears in its standard recognizable form; avoid author-level inference.</x:v>
      </x:c>
      <x:c r="P8" s="13" t="str">
        <x:v>Exact evidence span in text plus claim-level reasoning link; for contextual/discourse entries, require surrounding context.</x:v>
      </x:c>
      <x:c r="Q8" s="13" t="str">
        <x:v>Do not label merely because topic is controversial, emotional, or wrong. Do not judge intent or personality. Require textual evidence and consider healthy-reasoning cues.</x:v>
      </x:c>
      <x:c r="R8" s="13" t="str">
        <x:v>Stub: A claim relies on the parent pattern appears in its standard recognizable form to support a conclusion without adequate qualification.</x:v>
      </x:c>
      <x:c r="S8" s="13" t="str">
        <x:v>Stub: A claim discusses genetic fallacy with caveats, balanced evidence, or no argumentative use of the pattern.</x:v>
      </x:c>
      <x:c r="T8" s="13" t="str">
        <x:v>Mild or ambiguous cue; do not classify without clear evidence span.</x:v>
      </x:c>
      <x:c r="U8" s="13" t="str">
        <x:v>Clear claim-level pattern with some argumentative impact.</x:v>
      </x:c>
      <x:c r="V8" s="13" t="str">
        <x:v>Strong pattern central to the conclusion and likely to materially distort reasoning.</x:v>
      </x:c>
      <x:c r="W8" s="13" t="str">
        <x:v>cherry_picking; missing_counterevidence; evidence_grading</x:v>
      </x:c>
      <x:c r="X8" s="13" t="str">
        <x:v>sep_fallacies</x:v>
      </x:c>
      <x:c r="Y8" s="13" t="str">
        <x:v>https://plato.stanford.edu/entries/fallacies/</x:v>
      </x:c>
      <x:c r="Z8" s="13" t="str">
        <x:v>Review before enabling. This workbook is a living taxonomy scaffold, not a validated scientific benchmark.</x:v>
      </x:c>
      <x:c r="AA8" s="13" t="str">
        <x:v>0.1.0-draft</x:v>
      </x:c>
      <x:c r="AB8" s="12" t="str">
        <x:f>IF(ISNUMBER(SEARCH("healthy",F8)),"healthy_reasoning_patterns",IF(ISNUMBER(SEARCH("statistical",F8)),"statistical_reasoning",IF(ISNUMBER(SEARCH("causal",F8)),"causal_reasoning",IF(ISNUMBER(SEARCH("social",F8)),"social_influence",IF(ISNUMBER(SEARCH("rhetoric",F8)),"rhetoric_discourse",IF(ISNUMBER(SEARCH("behavior",F8)),"behavioural_economics",IF(ISNUMBER(SEARCH("cognitive",F8)),"cognitive_biases",IF(J8="protective_pattern","healthy_reasoning_patterns",IF(L8="P0","core_mvp","extended_fallacies")))))))))</x:f>
        <x:v>core_mvp</x:v>
      </x:c>
      <x:c r="AC8" s="12" t="str">
        <x:f>IF(ISNUMBER(SEARCH("operational",J8)),"operational",IF(ISNUMBER(SEARCH("deprecated",J8)),"deprecated",IF(L8="P0","canonical","recognized_subtype")))</x:f>
        <x:v>canonical</x:v>
      </x:c>
      <x:c r="AD8" s="12" t="str">
        <x:f>IF(AC8="canonical","high",IF(AC8="recognized_subtype","medium",IF(AC8="operational","operational_only","debated")))</x:f>
        <x:v>high</x:v>
      </x:c>
      <x:c r="AE8" s="12" t="str">
        <x:f>IF(AC8="deprecated","deprecated",IF(M8="yes","active",IF(M8="review","review_required","backlog")))</x:f>
        <x:v>active</x:v>
      </x:c>
      <x:c r="AF8" s="12" t="str">
        <x:f>IF(OR(AE8="active",AE8="review_required"),"yes","no")</x:f>
        <x:v>yes</x:v>
      </x:c>
      <x:c r="AG8" s="12" t="str">
        <x:f>IF(AND(AE8="active",M8="yes",NOT(ISNUMBER(SEARCH("healthy",AB8)))),"yes","no")</x:f>
        <x:v>yes</x:v>
      </x:c>
      <x:c r="AH8" s="12" t="str">
        <x:f>IF(OR(H8="contextual",H8="dialogue",H8="discourse",I8="claim+context",I8="discourse_segment"),"yes","no")</x:f>
        <x:v>yes</x:v>
      </x:c>
      <x:c r="AI8" s="12" t="str">
        <x:f>IF(OR(AH8="yes",AD8="debated",AC8="operational"),"yes","no")</x:f>
        <x:v>yes</x:v>
      </x:c>
      <x:c r="AJ8" s="12" t="str">
        <x:f>IF(OR(AH8="yes",AC8="operational",AD8="debated"),"high",IF(AND(AG8="yes",L8="P0"),"medium","low"))</x:f>
        <x:v>high</x:v>
      </x:c>
      <x:c r="AK8" s="12" t="str">
        <x:f>IF(ISNUMBER(SEARCH("healthy",AB8)),"yes","no")</x:f>
        <x:v>no</x:v>
      </x:c>
      <x:c r="AL8" s="12" t="str">
        <x:f>IF(AG8="yes","yes","candidate_only")</x:f>
        <x:v>yes</x:v>
      </x:c>
      <x:c r="AM8" s="12" t="str">
        <x:f>IF(OR(AC8="canonical",AG8="yes"),"yes","recommended")</x:f>
        <x:v>yes</x:v>
      </x:c>
      <x:c r="AN8" s="12" t="str">
        <x:f>IF(AC8="deprecated","exclude",IF(AND(AG8="yes",AJ8="high"),"import_but_human_review_required",IF(AG8="yes","import_as_active","import_as_backlog")))</x:f>
        <x:v>import_but_human_review_required</x:v>
      </x:c>
      <x:c r="AO8" s="12" t="str">
        <x:f>IF(AND(AG8="yes",OR(P8="",Q8="",R8="",S8="")),"missing_required_mvp_fields",IF(AND(AC8="canonical",Y8=""),"missing_source_ref","ok"))</x:f>
        <x:v>ok</x:v>
      </x:c>
      <x:c r="AP8" s="12" t="str">
        <x:f>IF(AO8="ok","ready_for_codex_import","needs_review")</x:f>
        <x:v>ready_for_codex_import</x:v>
      </x:c>
      <x:c r="AQ8" s="12"/>
      <x:c r="AR8" s="12" t="str">
        <x:v>Added v2 operational fields. Review before classification activation.</x:v>
      </x:c>
    </x:row>
    <x:row r="9">
      <x:c r="A9" s="13" t="str">
        <x:v>appeal_to_authority_misuse_canonical</x:v>
      </x:c>
      <x:c r="B9" s="13" t="str">
        <x:v>appeal_to_authority_misuse</x:v>
      </x:c>
      <x:c r="C9" s="13" t="str">
        <x:v>Misused appeal to authority</x:v>
      </x:c>
      <x:c r="D9" s="13" t="str">
        <x:v>استناد ناموجه به مرجع</x:v>
      </x:c>
      <x:c r="E9" s="13" t="str">
        <x:v>Canonical form</x:v>
      </x:c>
      <x:c r="F9" s="13" t="str">
        <x:v>reasoning_failures</x:v>
      </x:c>
      <x:c r="G9" s="13" t="str">
        <x:v>canonical</x:v>
      </x:c>
      <x:c r="H9" s="13" t="str">
        <x:v>contextual</x:v>
      </x:c>
      <x:c r="I9" s="13" t="str">
        <x:v>claim+context</x:v>
      </x:c>
      <x:c r="J9" s="13" t="str">
        <x:v>core_named_candidate</x:v>
      </x:c>
      <x:c r="K9" s="13" t="str">
        <x:v>established_parent_needs_row_review</x:v>
      </x:c>
      <x:c r="L9" s="13" t="str">
        <x:v>P0</x:v>
      </x:c>
      <x:c r="M9" s="13" t="str">
        <x:v>yes</x:v>
      </x:c>
      <x:c r="N9" s="13" t="str">
        <x:v>Operational subtype under Misused appeal to authority: the parent pattern appears in its standard recognizable form. Parent definition: Using authority as a substitute for relevant evidence, especially outside the authority's domain.</x:v>
      </x:c>
      <x:c r="O9" s="13" t="str">
        <x:v>Look for: explicit claim-level evidence; parent-family cues for Misused appeal to authority; variant cue: the parent pattern appears in its standard recognizable form; avoid author-level inference.</x:v>
      </x:c>
      <x:c r="P9" s="13" t="str">
        <x:v>Exact evidence span in text plus claim-level reasoning link; for contextual/discourse entries, require surrounding context.</x:v>
      </x:c>
      <x:c r="Q9" s="13" t="str">
        <x:v>Do not label merely because topic is controversial, emotional, or wrong. Do not judge intent or personality. Require textual evidence and consider healthy-reasoning cues.</x:v>
      </x:c>
      <x:c r="R9" s="13" t="str">
        <x:v>Stub: A claim relies on the parent pattern appears in its standard recognizable form to support a conclusion without adequate qualification.</x:v>
      </x:c>
      <x:c r="S9" s="13" t="str">
        <x:v>Stub: A claim discusses misused appeal to authority with caveats, balanced evidence, or no argumentative use of the pattern.</x:v>
      </x:c>
      <x:c r="T9" s="13" t="str">
        <x:v>Mild or ambiguous cue; do not classify without clear evidence span.</x:v>
      </x:c>
      <x:c r="U9" s="13" t="str">
        <x:v>Clear claim-level pattern with some argumentative impact.</x:v>
      </x:c>
      <x:c r="V9" s="13" t="str">
        <x:v>Strong pattern central to the conclusion and likely to materially distort reasoning.</x:v>
      </x:c>
      <x:c r="W9" s="13" t="str">
        <x:v>authority_bias; appeal_to_authority_misuse; source_triangulation</x:v>
      </x:c>
      <x:c r="X9" s="13" t="str">
        <x:v>walton_argumentation_schemes</x:v>
      </x:c>
      <x:c r="Y9" s="13" t="str">
        <x:v>https://www.cambridge.org/core/books/argumentation-schemes/1D013BFA2695C72B14134F2C38B17B85</x:v>
      </x:c>
      <x:c r="Z9" s="13" t="str">
        <x:v>Review before enabling. This workbook is a living taxonomy scaffold, not a validated scientific benchmark.</x:v>
      </x:c>
      <x:c r="AA9" s="13" t="str">
        <x:v>0.1.0-draft</x:v>
      </x:c>
      <x:c r="AB9" s="12" t="str">
        <x:f>IF(ISNUMBER(SEARCH("healthy",F9)),"healthy_reasoning_patterns",IF(ISNUMBER(SEARCH("statistical",F9)),"statistical_reasoning",IF(ISNUMBER(SEARCH("causal",F9)),"causal_reasoning",IF(ISNUMBER(SEARCH("social",F9)),"social_influence",IF(ISNUMBER(SEARCH("rhetoric",F9)),"rhetoric_discourse",IF(ISNUMBER(SEARCH("behavior",F9)),"behavioural_economics",IF(ISNUMBER(SEARCH("cognitive",F9)),"cognitive_biases",IF(J9="protective_pattern","healthy_reasoning_patterns",IF(L9="P0","core_mvp","extended_fallacies")))))))))</x:f>
        <x:v>core_mvp</x:v>
      </x:c>
      <x:c r="AC9" s="12" t="str">
        <x:f>IF(ISNUMBER(SEARCH("operational",J9)),"operational",IF(ISNUMBER(SEARCH("deprecated",J9)),"deprecated",IF(L9="P0","canonical","recognized_subtype")))</x:f>
        <x:v>canonical</x:v>
      </x:c>
      <x:c r="AD9" s="12" t="str">
        <x:f>IF(AC9="canonical","high",IF(AC9="recognized_subtype","medium",IF(AC9="operational","operational_only","debated")))</x:f>
        <x:v>high</x:v>
      </x:c>
      <x:c r="AE9" s="12" t="str">
        <x:f>IF(AC9="deprecated","deprecated",IF(M9="yes","active",IF(M9="review","review_required","backlog")))</x:f>
        <x:v>active</x:v>
      </x:c>
      <x:c r="AF9" s="12" t="str">
        <x:f>IF(OR(AE9="active",AE9="review_required"),"yes","no")</x:f>
        <x:v>yes</x:v>
      </x:c>
      <x:c r="AG9" s="12" t="str">
        <x:f>IF(AND(AE9="active",M9="yes",NOT(ISNUMBER(SEARCH("healthy",AB9)))),"yes","no")</x:f>
        <x:v>yes</x:v>
      </x:c>
      <x:c r="AH9" s="12" t="str">
        <x:f>IF(OR(H9="contextual",H9="dialogue",H9="discourse",I9="claim+context",I9="discourse_segment"),"yes","no")</x:f>
        <x:v>yes</x:v>
      </x:c>
      <x:c r="AI9" s="12" t="str">
        <x:f>IF(OR(AH9="yes",AD9="debated",AC9="operational"),"yes","no")</x:f>
        <x:v>yes</x:v>
      </x:c>
      <x:c r="AJ9" s="12" t="str">
        <x:f>IF(OR(AH9="yes",AC9="operational",AD9="debated"),"high",IF(AND(AG9="yes",L9="P0"),"medium","low"))</x:f>
        <x:v>high</x:v>
      </x:c>
      <x:c r="AK9" s="12" t="str">
        <x:f>IF(ISNUMBER(SEARCH("healthy",AB9)),"yes","no")</x:f>
        <x:v>no</x:v>
      </x:c>
      <x:c r="AL9" s="12" t="str">
        <x:f>IF(AG9="yes","yes","candidate_only")</x:f>
        <x:v>yes</x:v>
      </x:c>
      <x:c r="AM9" s="12" t="str">
        <x:f>IF(OR(AC9="canonical",AG9="yes"),"yes","recommended")</x:f>
        <x:v>yes</x:v>
      </x:c>
      <x:c r="AN9" s="12" t="str">
        <x:f>IF(AC9="deprecated","exclude",IF(AND(AG9="yes",AJ9="high"),"import_but_human_review_required",IF(AG9="yes","import_as_active","import_as_backlog")))</x:f>
        <x:v>import_but_human_review_required</x:v>
      </x:c>
      <x:c r="AO9" s="12" t="str">
        <x:f>IF(AND(AG9="yes",OR(P9="",Q9="",R9="",S9="")),"missing_required_mvp_fields",IF(AND(AC9="canonical",Y9=""),"missing_source_ref","ok"))</x:f>
        <x:v>ok</x:v>
      </x:c>
      <x:c r="AP9" s="12" t="str">
        <x:f>IF(AO9="ok","ready_for_codex_import","needs_review")</x:f>
        <x:v>ready_for_codex_import</x:v>
      </x:c>
      <x:c r="AQ9" s="12"/>
      <x:c r="AR9" s="12" t="str">
        <x:v>Added v2 operational fields. Review before classification activation.</x:v>
      </x:c>
    </x:row>
    <x:row r="10">
      <x:c r="A10" s="13" t="str">
        <x:v>appeal_to_emotion_canonical</x:v>
      </x:c>
      <x:c r="B10" s="13" t="str">
        <x:v>appeal_to_emotion</x:v>
      </x:c>
      <x:c r="C10" s="13" t="str">
        <x:v>Appeal to emotion</x:v>
      </x:c>
      <x:c r="D10" s="13" t="str">
        <x:v>استناد به احساسات</x:v>
      </x:c>
      <x:c r="E10" s="13" t="str">
        <x:v>Canonical form</x:v>
      </x:c>
      <x:c r="F10" s="13" t="str">
        <x:v>reasoning_failures</x:v>
      </x:c>
      <x:c r="G10" s="13" t="str">
        <x:v>canonical</x:v>
      </x:c>
      <x:c r="H10" s="13" t="str">
        <x:v>discourse</x:v>
      </x:c>
      <x:c r="I10" s="13" t="str">
        <x:v>discourse_segment</x:v>
      </x:c>
      <x:c r="J10" s="13" t="str">
        <x:v>core_named_candidate</x:v>
      </x:c>
      <x:c r="K10" s="13" t="str">
        <x:v>established_parent_needs_row_review</x:v>
      </x:c>
      <x:c r="L10" s="13" t="str">
        <x:v>P0</x:v>
      </x:c>
      <x:c r="M10" s="13" t="str">
        <x:v>yes</x:v>
      </x:c>
      <x:c r="N10" s="13" t="str">
        <x:v>Operational subtype under Appeal to emotion: the parent pattern appears in its standard recognizable form. Parent definition: Using emotion as the main support for a conclusion without adequate reasons.</x:v>
      </x:c>
      <x:c r="O10" s="13" t="str">
        <x:v>Look for: explicit claim-level evidence; parent-family cues for Appeal to emotion; variant cue: the parent pattern appears in its standard recognizable form; avoid author-level inference.</x:v>
      </x:c>
      <x:c r="P10" s="13" t="str">
        <x:v>Exact evidence span in text plus claim-level reasoning link; for contextual/discourse entries, require surrounding context.</x:v>
      </x:c>
      <x:c r="Q10" s="13" t="str">
        <x:v>Do not label merely because topic is controversial, emotional, or wrong. Do not judge intent or personality. Require textual evidence and consider healthy-reasoning cues.</x:v>
      </x:c>
      <x:c r="R10" s="13" t="str">
        <x:v>Stub: A claim relies on the parent pattern appears in its standard recognizable form to support a conclusion without adequate qualification.</x:v>
      </x:c>
      <x:c r="S10" s="13" t="str">
        <x:v>Stub: A claim discusses appeal to emotion with caveats, balanced evidence, or no argumentative use of the pattern.</x:v>
      </x:c>
      <x:c r="T10" s="13" t="str">
        <x:v>Mild or ambiguous cue; do not classify without clear evidence span.</x:v>
      </x:c>
      <x:c r="U10" s="13" t="str">
        <x:v>Clear claim-level pattern with some argumentative impact.</x:v>
      </x:c>
      <x:c r="V10" s="13" t="str">
        <x:v>Strong pattern central to the conclusion and likely to materially distort reasoning.</x:v>
      </x:c>
      <x:c r="W10" s="13" t="str"/>
      <x:c r="X10" s="13" t="str">
        <x:v>sep_fallacies</x:v>
      </x:c>
      <x:c r="Y10" s="13" t="str">
        <x:v>https://plato.stanford.edu/entries/fallacies/</x:v>
      </x:c>
      <x:c r="Z10" s="13" t="str">
        <x:v>Review before enabling. This workbook is a living taxonomy scaffold, not a validated scientific benchmark.</x:v>
      </x:c>
      <x:c r="AA10" s="13" t="str">
        <x:v>0.1.0-draft</x:v>
      </x:c>
      <x:c r="AB10" s="12" t="str">
        <x:f>IF(ISNUMBER(SEARCH("healthy",F10)),"healthy_reasoning_patterns",IF(ISNUMBER(SEARCH("statistical",F10)),"statistical_reasoning",IF(ISNUMBER(SEARCH("causal",F10)),"causal_reasoning",IF(ISNUMBER(SEARCH("social",F10)),"social_influence",IF(ISNUMBER(SEARCH("rhetoric",F10)),"rhetoric_discourse",IF(ISNUMBER(SEARCH("behavior",F10)),"behavioural_economics",IF(ISNUMBER(SEARCH("cognitive",F10)),"cognitive_biases",IF(J10="protective_pattern","healthy_reasoning_patterns",IF(L10="P0","core_mvp","extended_fallacies")))))))))</x:f>
        <x:v>core_mvp</x:v>
      </x:c>
      <x:c r="AC10" s="12" t="str">
        <x:f>IF(ISNUMBER(SEARCH("operational",J10)),"operational",IF(ISNUMBER(SEARCH("deprecated",J10)),"deprecated",IF(L10="P0","canonical","recognized_subtype")))</x:f>
        <x:v>canonical</x:v>
      </x:c>
      <x:c r="AD10" s="12" t="str">
        <x:f>IF(AC10="canonical","high",IF(AC10="recognized_subtype","medium",IF(AC10="operational","operational_only","debated")))</x:f>
        <x:v>high</x:v>
      </x:c>
      <x:c r="AE10" s="12" t="str">
        <x:f>IF(AC10="deprecated","deprecated",IF(M10="yes","active",IF(M10="review","review_required","backlog")))</x:f>
        <x:v>active</x:v>
      </x:c>
      <x:c r="AF10" s="12" t="str">
        <x:f>IF(OR(AE10="active",AE10="review_required"),"yes","no")</x:f>
        <x:v>yes</x:v>
      </x:c>
      <x:c r="AG10" s="12" t="str">
        <x:f>IF(AND(AE10="active",M10="yes",NOT(ISNUMBER(SEARCH("healthy",AB10)))),"yes","no")</x:f>
        <x:v>yes</x:v>
      </x:c>
      <x:c r="AH10" s="12" t="str">
        <x:f>IF(OR(H10="contextual",H10="dialogue",H10="discourse",I10="claim+context",I10="discourse_segment"),"yes","no")</x:f>
        <x:v>yes</x:v>
      </x:c>
      <x:c r="AI10" s="12" t="str">
        <x:f>IF(OR(AH10="yes",AD10="debated",AC10="operational"),"yes","no")</x:f>
        <x:v>yes</x:v>
      </x:c>
      <x:c r="AJ10" s="12" t="str">
        <x:f>IF(OR(AH10="yes",AC10="operational",AD10="debated"),"high",IF(AND(AG10="yes",L10="P0"),"medium","low"))</x:f>
        <x:v>high</x:v>
      </x:c>
      <x:c r="AK10" s="12" t="str">
        <x:f>IF(ISNUMBER(SEARCH("healthy",AB10)),"yes","no")</x:f>
        <x:v>no</x:v>
      </x:c>
      <x:c r="AL10" s="12" t="str">
        <x:f>IF(AG10="yes","yes","candidate_only")</x:f>
        <x:v>yes</x:v>
      </x:c>
      <x:c r="AM10" s="12" t="str">
        <x:f>IF(OR(AC10="canonical",AG10="yes"),"yes","recommended")</x:f>
        <x:v>yes</x:v>
      </x:c>
      <x:c r="AN10" s="12" t="str">
        <x:f>IF(AC10="deprecated","exclude",IF(AND(AG10="yes",AJ10="high"),"import_but_human_review_required",IF(AG10="yes","import_as_active","import_as_backlog")))</x:f>
        <x:v>import_but_human_review_required</x:v>
      </x:c>
      <x:c r="AO10" s="12" t="str">
        <x:f>IF(AND(AG10="yes",OR(P10="",Q10="",R10="",S10="")),"missing_required_mvp_fields",IF(AND(AC10="canonical",Y10=""),"missing_source_ref","ok"))</x:f>
        <x:v>ok</x:v>
      </x:c>
      <x:c r="AP10" s="12" t="str">
        <x:f>IF(AO10="ok","ready_for_codex_import","needs_review")</x:f>
        <x:v>ready_for_codex_import</x:v>
      </x:c>
      <x:c r="AQ10" s="12"/>
      <x:c r="AR10" s="12" t="str">
        <x:v>Added v2 operational fields. Review before classification activation.</x:v>
      </x:c>
    </x:row>
    <x:row r="11">
      <x:c r="A11" s="13" t="str">
        <x:v>appeal_to_fear_canonical</x:v>
      </x:c>
      <x:c r="B11" s="13" t="str">
        <x:v>appeal_to_fear</x:v>
      </x:c>
      <x:c r="C11" s="13" t="str">
        <x:v>Appeal to fear</x:v>
      </x:c>
      <x:c r="D11" s="13" t="str">
        <x:v>استناد به ترس</x:v>
      </x:c>
      <x:c r="E11" s="13" t="str">
        <x:v>Canonical form</x:v>
      </x:c>
      <x:c r="F11" s="13" t="str">
        <x:v>reasoning_failures</x:v>
      </x:c>
      <x:c r="G11" s="13" t="str">
        <x:v>canonical</x:v>
      </x:c>
      <x:c r="H11" s="13" t="str">
        <x:v>discourse</x:v>
      </x:c>
      <x:c r="I11" s="13" t="str">
        <x:v>discourse_segment</x:v>
      </x:c>
      <x:c r="J11" s="13" t="str">
        <x:v>core_named_candidate</x:v>
      </x:c>
      <x:c r="K11" s="13" t="str">
        <x:v>established_parent_needs_row_review</x:v>
      </x:c>
      <x:c r="L11" s="13" t="str">
        <x:v>P0</x:v>
      </x:c>
      <x:c r="M11" s="13" t="str">
        <x:v>yes</x:v>
      </x:c>
      <x:c r="N11" s="13" t="str">
        <x:v>Operational subtype under Appeal to fear: the parent pattern appears in its standard recognizable form. Parent definition: Using fear or threat as decisive support for a claim or choice.</x:v>
      </x:c>
      <x:c r="O11" s="13" t="str">
        <x:v>Look for: explicit claim-level evidence; parent-family cues for Appeal to fear; variant cue: the parent pattern appears in its standard recognizable form; avoid author-level inference.</x:v>
      </x:c>
      <x:c r="P11" s="13" t="str">
        <x:v>Exact evidence span in text plus claim-level reasoning link; for contextual/discourse entries, require surrounding context.</x:v>
      </x:c>
      <x:c r="Q11" s="13" t="str">
        <x:v>Do not label merely because topic is controversial, emotional, or wrong. Do not judge intent or personality. Require textual evidence and consider healthy-reasoning cues.</x:v>
      </x:c>
      <x:c r="R11" s="13" t="str">
        <x:v>Stub: A claim relies on the parent pattern appears in its standard recognizable form to support a conclusion without adequate qualification.</x:v>
      </x:c>
      <x:c r="S11" s="13" t="str">
        <x:v>Stub: A claim discusses appeal to fear with caveats, balanced evidence, or no argumentative use of the pattern.</x:v>
      </x:c>
      <x:c r="T11" s="13" t="str">
        <x:v>Mild or ambiguous cue; do not classify without clear evidence span.</x:v>
      </x:c>
      <x:c r="U11" s="13" t="str">
        <x:v>Clear claim-level pattern with some argumentative impact.</x:v>
      </x:c>
      <x:c r="V11" s="13" t="str">
        <x:v>Strong pattern central to the conclusion and likely to materially distort reasoning.</x:v>
      </x:c>
      <x:c r="W11" s="13" t="str"/>
      <x:c r="X11" s="13" t="str">
        <x:v>sep_fallacies</x:v>
      </x:c>
      <x:c r="Y11" s="13" t="str">
        <x:v>https://plato.stanford.edu/entries/fallacies/</x:v>
      </x:c>
      <x:c r="Z11" s="13" t="str">
        <x:v>Review before enabling. This workbook is a living taxonomy scaffold, not a validated scientific benchmark.</x:v>
      </x:c>
      <x:c r="AA11" s="13" t="str">
        <x:v>0.1.0-draft</x:v>
      </x:c>
      <x:c r="AB11" s="12" t="str">
        <x:f>IF(ISNUMBER(SEARCH("healthy",F11)),"healthy_reasoning_patterns",IF(ISNUMBER(SEARCH("statistical",F11)),"statistical_reasoning",IF(ISNUMBER(SEARCH("causal",F11)),"causal_reasoning",IF(ISNUMBER(SEARCH("social",F11)),"social_influence",IF(ISNUMBER(SEARCH("rhetoric",F11)),"rhetoric_discourse",IF(ISNUMBER(SEARCH("behavior",F11)),"behavioural_economics",IF(ISNUMBER(SEARCH("cognitive",F11)),"cognitive_biases",IF(J11="protective_pattern","healthy_reasoning_patterns",IF(L11="P0","core_mvp","extended_fallacies")))))))))</x:f>
        <x:v>core_mvp</x:v>
      </x:c>
      <x:c r="AC11" s="12" t="str">
        <x:f>IF(ISNUMBER(SEARCH("operational",J11)),"operational",IF(ISNUMBER(SEARCH("deprecated",J11)),"deprecated",IF(L11="P0","canonical","recognized_subtype")))</x:f>
        <x:v>canonical</x:v>
      </x:c>
      <x:c r="AD11" s="12" t="str">
        <x:f>IF(AC11="canonical","high",IF(AC11="recognized_subtype","medium",IF(AC11="operational","operational_only","debated")))</x:f>
        <x:v>high</x:v>
      </x:c>
      <x:c r="AE11" s="12" t="str">
        <x:f>IF(AC11="deprecated","deprecated",IF(M11="yes","active",IF(M11="review","review_required","backlog")))</x:f>
        <x:v>active</x:v>
      </x:c>
      <x:c r="AF11" s="12" t="str">
        <x:f>IF(OR(AE11="active",AE11="review_required"),"yes","no")</x:f>
        <x:v>yes</x:v>
      </x:c>
      <x:c r="AG11" s="12" t="str">
        <x:f>IF(AND(AE11="active",M11="yes",NOT(ISNUMBER(SEARCH("healthy",AB11)))),"yes","no")</x:f>
        <x:v>yes</x:v>
      </x:c>
      <x:c r="AH11" s="12" t="str">
        <x:f>IF(OR(H11="contextual",H11="dialogue",H11="discourse",I11="claim+context",I11="discourse_segment"),"yes","no")</x:f>
        <x:v>yes</x:v>
      </x:c>
      <x:c r="AI11" s="12" t="str">
        <x:f>IF(OR(AH11="yes",AD11="debated",AC11="operational"),"yes","no")</x:f>
        <x:v>yes</x:v>
      </x:c>
      <x:c r="AJ11" s="12" t="str">
        <x:f>IF(OR(AH11="yes",AC11="operational",AD11="debated"),"high",IF(AND(AG11="yes",L11="P0"),"medium","low"))</x:f>
        <x:v>high</x:v>
      </x:c>
      <x:c r="AK11" s="12" t="str">
        <x:f>IF(ISNUMBER(SEARCH("healthy",AB11)),"yes","no")</x:f>
        <x:v>no</x:v>
      </x:c>
      <x:c r="AL11" s="12" t="str">
        <x:f>IF(AG11="yes","yes","candidate_only")</x:f>
        <x:v>yes</x:v>
      </x:c>
      <x:c r="AM11" s="12" t="str">
        <x:f>IF(OR(AC11="canonical",AG11="yes"),"yes","recommended")</x:f>
        <x:v>yes</x:v>
      </x:c>
      <x:c r="AN11" s="12" t="str">
        <x:f>IF(AC11="deprecated","exclude",IF(AND(AG11="yes",AJ11="high"),"import_but_human_review_required",IF(AG11="yes","import_as_active","import_as_backlog")))</x:f>
        <x:v>import_but_human_review_required</x:v>
      </x:c>
      <x:c r="AO11" s="12" t="str">
        <x:f>IF(AND(AG11="yes",OR(P11="",Q11="",R11="",S11="")),"missing_required_mvp_fields",IF(AND(AC11="canonical",Y11=""),"missing_source_ref","ok"))</x:f>
        <x:v>ok</x:v>
      </x:c>
      <x:c r="AP11" s="12" t="str">
        <x:f>IF(AO11="ok","ready_for_codex_import","needs_review")</x:f>
        <x:v>ready_for_codex_import</x:v>
      </x:c>
      <x:c r="AQ11" s="12"/>
      <x:c r="AR11" s="12" t="str">
        <x:v>Added v2 operational fields. Review before classification activation.</x:v>
      </x:c>
    </x:row>
    <x:row r="12">
      <x:c r="A12" s="13" t="str">
        <x:v>appeal_to_pity_canonical</x:v>
      </x:c>
      <x:c r="B12" s="13" t="str">
        <x:v>appeal_to_pity</x:v>
      </x:c>
      <x:c r="C12" s="13" t="str">
        <x:v>Appeal to pity</x:v>
      </x:c>
      <x:c r="D12" s="13" t="str">
        <x:v>استناد به ترحم</x:v>
      </x:c>
      <x:c r="E12" s="13" t="str">
        <x:v>Canonical form</x:v>
      </x:c>
      <x:c r="F12" s="13" t="str">
        <x:v>reasoning_failures</x:v>
      </x:c>
      <x:c r="G12" s="13" t="str">
        <x:v>canonical</x:v>
      </x:c>
      <x:c r="H12" s="13" t="str">
        <x:v>discourse</x:v>
      </x:c>
      <x:c r="I12" s="13" t="str">
        <x:v>discourse_segment</x:v>
      </x:c>
      <x:c r="J12" s="13" t="str">
        <x:v>core_named_candidate</x:v>
      </x:c>
      <x:c r="K12" s="13" t="str">
        <x:v>established_parent_needs_row_review</x:v>
      </x:c>
      <x:c r="L12" s="13" t="str">
        <x:v>P0</x:v>
      </x:c>
      <x:c r="M12" s="13" t="str">
        <x:v>yes</x:v>
      </x:c>
      <x:c r="N12" s="13" t="str">
        <x:v>Operational subtype under Appeal to pity: the parent pattern appears in its standard recognizable form. Parent definition: Substituting pity or sympathy for relevant evidence.</x:v>
      </x:c>
      <x:c r="O12" s="13" t="str">
        <x:v>Look for: explicit claim-level evidence; parent-family cues for Appeal to pity; variant cue: the parent pattern appears in its standard recognizable form; avoid author-level inference.</x:v>
      </x:c>
      <x:c r="P12" s="13" t="str">
        <x:v>Exact evidence span in text plus claim-level reasoning link; for contextual/discourse entries, require surrounding context.</x:v>
      </x:c>
      <x:c r="Q12" s="13" t="str">
        <x:v>Do not label merely because topic is controversial, emotional, or wrong. Do not judge intent or personality. Require textual evidence and consider healthy-reasoning cues.</x:v>
      </x:c>
      <x:c r="R12" s="13" t="str">
        <x:v>Stub: A claim relies on the parent pattern appears in its standard recognizable form to support a conclusion without adequate qualification.</x:v>
      </x:c>
      <x:c r="S12" s="13" t="str">
        <x:v>Stub: A claim discusses appeal to pity with caveats, balanced evidence, or no argumentative use of the pattern.</x:v>
      </x:c>
      <x:c r="T12" s="13" t="str">
        <x:v>Mild or ambiguous cue; do not classify without clear evidence span.</x:v>
      </x:c>
      <x:c r="U12" s="13" t="str">
        <x:v>Clear claim-level pattern with some argumentative impact.</x:v>
      </x:c>
      <x:c r="V12" s="13" t="str">
        <x:v>Strong pattern central to the conclusion and likely to materially distort reasoning.</x:v>
      </x:c>
      <x:c r="W12" s="13" t="str">
        <x:v>cherry_picking; missing_counterevidence; evidence_grading</x:v>
      </x:c>
      <x:c r="X12" s="13" t="str">
        <x:v>sep_fallacies</x:v>
      </x:c>
      <x:c r="Y12" s="13" t="str">
        <x:v>https://plato.stanford.edu/entries/fallacies/</x:v>
      </x:c>
      <x:c r="Z12" s="13" t="str">
        <x:v>Review before enabling. This workbook is a living taxonomy scaffold, not a validated scientific benchmark.</x:v>
      </x:c>
      <x:c r="AA12" s="13" t="str">
        <x:v>0.1.0-draft</x:v>
      </x:c>
      <x:c r="AB12" s="12" t="str">
        <x:f>IF(ISNUMBER(SEARCH("healthy",F12)),"healthy_reasoning_patterns",IF(ISNUMBER(SEARCH("statistical",F12)),"statistical_reasoning",IF(ISNUMBER(SEARCH("causal",F12)),"causal_reasoning",IF(ISNUMBER(SEARCH("social",F12)),"social_influence",IF(ISNUMBER(SEARCH("rhetoric",F12)),"rhetoric_discourse",IF(ISNUMBER(SEARCH("behavior",F12)),"behavioural_economics",IF(ISNUMBER(SEARCH("cognitive",F12)),"cognitive_biases",IF(J12="protective_pattern","healthy_reasoning_patterns",IF(L12="P0","core_mvp","extended_fallacies")))))))))</x:f>
        <x:v>core_mvp</x:v>
      </x:c>
      <x:c r="AC12" s="12" t="str">
        <x:f>IF(ISNUMBER(SEARCH("operational",J12)),"operational",IF(ISNUMBER(SEARCH("deprecated",J12)),"deprecated",IF(L12="P0","canonical","recognized_subtype")))</x:f>
        <x:v>canonical</x:v>
      </x:c>
      <x:c r="AD12" s="12" t="str">
        <x:f>IF(AC12="canonical","high",IF(AC12="recognized_subtype","medium",IF(AC12="operational","operational_only","debated")))</x:f>
        <x:v>high</x:v>
      </x:c>
      <x:c r="AE12" s="12" t="str">
        <x:f>IF(AC12="deprecated","deprecated",IF(M12="yes","active",IF(M12="review","review_required","backlog")))</x:f>
        <x:v>active</x:v>
      </x:c>
      <x:c r="AF12" s="12" t="str">
        <x:f>IF(OR(AE12="active",AE12="review_required"),"yes","no")</x:f>
        <x:v>yes</x:v>
      </x:c>
      <x:c r="AG12" s="12" t="str">
        <x:f>IF(AND(AE12="active",M12="yes",NOT(ISNUMBER(SEARCH("healthy",AB12)))),"yes","no")</x:f>
        <x:v>yes</x:v>
      </x:c>
      <x:c r="AH12" s="12" t="str">
        <x:f>IF(OR(H12="contextual",H12="dialogue",H12="discourse",I12="claim+context",I12="discourse_segment"),"yes","no")</x:f>
        <x:v>yes</x:v>
      </x:c>
      <x:c r="AI12" s="12" t="str">
        <x:f>IF(OR(AH12="yes",AD12="debated",AC12="operational"),"yes","no")</x:f>
        <x:v>yes</x:v>
      </x:c>
      <x:c r="AJ12" s="12" t="str">
        <x:f>IF(OR(AH12="yes",AC12="operational",AD12="debated"),"high",IF(AND(AG12="yes",L12="P0"),"medium","low"))</x:f>
        <x:v>high</x:v>
      </x:c>
      <x:c r="AK12" s="12" t="str">
        <x:f>IF(ISNUMBER(SEARCH("healthy",AB12)),"yes","no")</x:f>
        <x:v>no</x:v>
      </x:c>
      <x:c r="AL12" s="12" t="str">
        <x:f>IF(AG12="yes","yes","candidate_only")</x:f>
        <x:v>yes</x:v>
      </x:c>
      <x:c r="AM12" s="12" t="str">
        <x:f>IF(OR(AC12="canonical",AG12="yes"),"yes","recommended")</x:f>
        <x:v>yes</x:v>
      </x:c>
      <x:c r="AN12" s="12" t="str">
        <x:f>IF(AC12="deprecated","exclude",IF(AND(AG12="yes",AJ12="high"),"import_but_human_review_required",IF(AG12="yes","import_as_active","import_as_backlog")))</x:f>
        <x:v>import_but_human_review_required</x:v>
      </x:c>
      <x:c r="AO12" s="12" t="str">
        <x:f>IF(AND(AG12="yes",OR(P12="",Q12="",R12="",S12="")),"missing_required_mvp_fields",IF(AND(AC12="canonical",Y12=""),"missing_source_ref","ok"))</x:f>
        <x:v>ok</x:v>
      </x:c>
      <x:c r="AP12" s="12" t="str">
        <x:f>IF(AO12="ok","ready_for_codex_import","needs_review")</x:f>
        <x:v>ready_for_codex_import</x:v>
      </x:c>
      <x:c r="AQ12" s="12"/>
      <x:c r="AR12" s="12" t="str">
        <x:v>Added v2 operational fields. Review before classification activation.</x:v>
      </x:c>
    </x:row>
    <x:row r="13">
      <x:c r="A13" s="13" t="str">
        <x:v>appeal_to_force_canonical</x:v>
      </x:c>
      <x:c r="B13" s="13" t="str">
        <x:v>appeal_to_force</x:v>
      </x:c>
      <x:c r="C13" s="13" t="str">
        <x:v>Appeal to force</x:v>
      </x:c>
      <x:c r="D13" s="13" t="str">
        <x:v>استناد به اجبار</x:v>
      </x:c>
      <x:c r="E13" s="13" t="str">
        <x:v>Canonical form</x:v>
      </x:c>
      <x:c r="F13" s="13" t="str">
        <x:v>reasoning_failures</x:v>
      </x:c>
      <x:c r="G13" s="13" t="str">
        <x:v>canonical</x:v>
      </x:c>
      <x:c r="H13" s="13" t="str">
        <x:v>dialogue</x:v>
      </x:c>
      <x:c r="I13" s="13" t="str">
        <x:v>discourse_segment</x:v>
      </x:c>
      <x:c r="J13" s="13" t="str">
        <x:v>core_named_candidate</x:v>
      </x:c>
      <x:c r="K13" s="13" t="str">
        <x:v>established_parent_needs_row_review</x:v>
      </x:c>
      <x:c r="L13" s="13" t="str">
        <x:v>P0</x:v>
      </x:c>
      <x:c r="M13" s="13" t="str">
        <x:v>yes</x:v>
      </x:c>
      <x:c r="N13" s="13" t="str">
        <x:v>Operational subtype under Appeal to force: the parent pattern appears in its standard recognizable form. Parent definition: Relying on threat or coercion rather than reasons.</x:v>
      </x:c>
      <x:c r="O13" s="13" t="str">
        <x:v>Look for: explicit claim-level evidence; parent-family cues for Appeal to force; variant cue: the parent pattern appears in its standard recognizable form; avoid author-level inference.</x:v>
      </x:c>
      <x:c r="P13" s="13" t="str">
        <x:v>Exact evidence span in text plus claim-level reasoning link; for contextual/discourse entries, require surrounding context.</x:v>
      </x:c>
      <x:c r="Q13" s="13" t="str">
        <x:v>Do not label merely because topic is controversial, emotional, or wrong. Do not judge intent or personality. Require textual evidence and consider healthy-reasoning cues.</x:v>
      </x:c>
      <x:c r="R13" s="13" t="str">
        <x:v>Stub: A claim relies on the parent pattern appears in its standard recognizable form to support a conclusion without adequate qualification.</x:v>
      </x:c>
      <x:c r="S13" s="13" t="str">
        <x:v>Stub: A claim discusses appeal to force with caveats, balanced evidence, or no argumentative use of the pattern.</x:v>
      </x:c>
      <x:c r="T13" s="13" t="str">
        <x:v>Mild or ambiguous cue; do not classify without clear evidence span.</x:v>
      </x:c>
      <x:c r="U13" s="13" t="str">
        <x:v>Clear claim-level pattern with some argumentative impact.</x:v>
      </x:c>
      <x:c r="V13" s="13" t="str">
        <x:v>Strong pattern central to the conclusion and likely to materially distort reasoning.</x:v>
      </x:c>
      <x:c r="W13" s="13" t="str"/>
      <x:c r="X13" s="13" t="str">
        <x:v>sep_fallacies</x:v>
      </x:c>
      <x:c r="Y13" s="13" t="str">
        <x:v>https://plato.stanford.edu/entries/fallacies/</x:v>
      </x:c>
      <x:c r="Z13" s="13" t="str">
        <x:v>Review before enabling. This workbook is a living taxonomy scaffold, not a validated scientific benchmark.</x:v>
      </x:c>
      <x:c r="AA13" s="13" t="str">
        <x:v>0.1.0-draft</x:v>
      </x:c>
      <x:c r="AB13" s="12" t="str">
        <x:f>IF(ISNUMBER(SEARCH("healthy",F13)),"healthy_reasoning_patterns",IF(ISNUMBER(SEARCH("statistical",F13)),"statistical_reasoning",IF(ISNUMBER(SEARCH("causal",F13)),"causal_reasoning",IF(ISNUMBER(SEARCH("social",F13)),"social_influence",IF(ISNUMBER(SEARCH("rhetoric",F13)),"rhetoric_discourse",IF(ISNUMBER(SEARCH("behavior",F13)),"behavioural_economics",IF(ISNUMBER(SEARCH("cognitive",F13)),"cognitive_biases",IF(J13="protective_pattern","healthy_reasoning_patterns",IF(L13="P0","core_mvp","extended_fallacies")))))))))</x:f>
        <x:v>core_mvp</x:v>
      </x:c>
      <x:c r="AC13" s="12" t="str">
        <x:f>IF(ISNUMBER(SEARCH("operational",J13)),"operational",IF(ISNUMBER(SEARCH("deprecated",J13)),"deprecated",IF(L13="P0","canonical","recognized_subtype")))</x:f>
        <x:v>canonical</x:v>
      </x:c>
      <x:c r="AD13" s="12" t="str">
        <x:f>IF(AC13="canonical","high",IF(AC13="recognized_subtype","medium",IF(AC13="operational","operational_only","debated")))</x:f>
        <x:v>high</x:v>
      </x:c>
      <x:c r="AE13" s="12" t="str">
        <x:f>IF(AC13="deprecated","deprecated",IF(M13="yes","active",IF(M13="review","review_required","backlog")))</x:f>
        <x:v>active</x:v>
      </x:c>
      <x:c r="AF13" s="12" t="str">
        <x:f>IF(OR(AE13="active",AE13="review_required"),"yes","no")</x:f>
        <x:v>yes</x:v>
      </x:c>
      <x:c r="AG13" s="12" t="str">
        <x:f>IF(AND(AE13="active",M13="yes",NOT(ISNUMBER(SEARCH("healthy",AB13)))),"yes","no")</x:f>
        <x:v>yes</x:v>
      </x:c>
      <x:c r="AH13" s="12" t="str">
        <x:f>IF(OR(H13="contextual",H13="dialogue",H13="discourse",I13="claim+context",I13="discourse_segment"),"yes","no")</x:f>
        <x:v>yes</x:v>
      </x:c>
      <x:c r="AI13" s="12" t="str">
        <x:f>IF(OR(AH13="yes",AD13="debated",AC13="operational"),"yes","no")</x:f>
        <x:v>yes</x:v>
      </x:c>
      <x:c r="AJ13" s="12" t="str">
        <x:f>IF(OR(AH13="yes",AC13="operational",AD13="debated"),"high",IF(AND(AG13="yes",L13="P0"),"medium","low"))</x:f>
        <x:v>high</x:v>
      </x:c>
      <x:c r="AK13" s="12" t="str">
        <x:f>IF(ISNUMBER(SEARCH("healthy",AB13)),"yes","no")</x:f>
        <x:v>no</x:v>
      </x:c>
      <x:c r="AL13" s="12" t="str">
        <x:f>IF(AG13="yes","yes","candidate_only")</x:f>
        <x:v>yes</x:v>
      </x:c>
      <x:c r="AM13" s="12" t="str">
        <x:f>IF(OR(AC13="canonical",AG13="yes"),"yes","recommended")</x:f>
        <x:v>yes</x:v>
      </x:c>
      <x:c r="AN13" s="12" t="str">
        <x:f>IF(AC13="deprecated","exclude",IF(AND(AG13="yes",AJ13="high"),"import_but_human_review_required",IF(AG13="yes","import_as_active","import_as_backlog")))</x:f>
        <x:v>import_but_human_review_required</x:v>
      </x:c>
      <x:c r="AO13" s="12" t="str">
        <x:f>IF(AND(AG13="yes",OR(P13="",Q13="",R13="",S13="")),"missing_required_mvp_fields",IF(AND(AC13="canonical",Y13=""),"missing_source_ref","ok"))</x:f>
        <x:v>ok</x:v>
      </x:c>
      <x:c r="AP13" s="12" t="str">
        <x:f>IF(AO13="ok","ready_for_codex_import","needs_review")</x:f>
        <x:v>ready_for_codex_import</x:v>
      </x:c>
      <x:c r="AQ13" s="12"/>
      <x:c r="AR13" s="12" t="str">
        <x:v>Added v2 operational fields. Review before classification activation.</x:v>
      </x:c>
    </x:row>
    <x:row r="14">
      <x:c r="A14" s="13" t="str">
        <x:v>appeal_to_popularity_canonical</x:v>
      </x:c>
      <x:c r="B14" s="13" t="str">
        <x:v>appeal_to_popularity</x:v>
      </x:c>
      <x:c r="C14" s="13" t="str">
        <x:v>Ad populum</x:v>
      </x:c>
      <x:c r="D14" s="13" t="str">
        <x:v>استناد به محبوبیت</x:v>
      </x:c>
      <x:c r="E14" s="13" t="str">
        <x:v>Canonical form</x:v>
      </x:c>
      <x:c r="F14" s="13" t="str">
        <x:v>reasoning_failures</x:v>
      </x:c>
      <x:c r="G14" s="13" t="str">
        <x:v>canonical</x:v>
      </x:c>
      <x:c r="H14" s="13" t="str">
        <x:v>contextual</x:v>
      </x:c>
      <x:c r="I14" s="13" t="str">
        <x:v>claim+context</x:v>
      </x:c>
      <x:c r="J14" s="13" t="str">
        <x:v>core_named_candidate</x:v>
      </x:c>
      <x:c r="K14" s="13" t="str">
        <x:v>established_parent_needs_row_review</x:v>
      </x:c>
      <x:c r="L14" s="13" t="str">
        <x:v>P0</x:v>
      </x:c>
      <x:c r="M14" s="13" t="str">
        <x:v>yes</x:v>
      </x:c>
      <x:c r="N14" s="13" t="str">
        <x:v>Operational subtype under Ad populum: the parent pattern appears in its standard recognizable form. Parent definition: Treating popularity as sufficient proof of truth or correctness.</x:v>
      </x:c>
      <x:c r="O14" s="13" t="str">
        <x:v>Look for: explicit claim-level evidence; parent-family cues for Ad populum; variant cue: the parent pattern appears in its standard recognizable form; avoid author-level inference.</x:v>
      </x:c>
      <x:c r="P14" s="13" t="str">
        <x:v>Exact evidence span in text plus claim-level reasoning link; for contextual/discourse entries, require surrounding context.</x:v>
      </x:c>
      <x:c r="Q14" s="13" t="str">
        <x:v>Do not label merely because topic is controversial, emotional, or wrong. Do not judge intent or personality. Require textual evidence and consider healthy-reasoning cues.</x:v>
      </x:c>
      <x:c r="R14" s="13" t="str">
        <x:v>Stub: A claim relies on the parent pattern appears in its standard recognizable form to support a conclusion without adequate qualification.</x:v>
      </x:c>
      <x:c r="S14" s="13" t="str">
        <x:v>Stub: A claim discusses ad populum with caveats, balanced evidence, or no argumentative use of the pattern.</x:v>
      </x:c>
      <x:c r="T14" s="13" t="str">
        <x:v>Mild or ambiguous cue; do not classify without clear evidence span.</x:v>
      </x:c>
      <x:c r="U14" s="13" t="str">
        <x:v>Clear claim-level pattern with some argumentative impact.</x:v>
      </x:c>
      <x:c r="V14" s="13" t="str">
        <x:v>Strong pattern central to the conclusion and likely to materially distort reasoning.</x:v>
      </x:c>
      <x:c r="W14" s="13" t="str"/>
      <x:c r="X14" s="13" t="str">
        <x:v>sep_fallacies</x:v>
      </x:c>
      <x:c r="Y14" s="13" t="str">
        <x:v>https://plato.stanford.edu/entries/fallacies/</x:v>
      </x:c>
      <x:c r="Z14" s="13" t="str">
        <x:v>Review before enabling. This workbook is a living taxonomy scaffold, not a validated scientific benchmark.</x:v>
      </x:c>
      <x:c r="AA14" s="13" t="str">
        <x:v>0.1.0-draft</x:v>
      </x:c>
      <x:c r="AB14" s="12" t="str">
        <x:f>IF(ISNUMBER(SEARCH("healthy",F14)),"healthy_reasoning_patterns",IF(ISNUMBER(SEARCH("statistical",F14)),"statistical_reasoning",IF(ISNUMBER(SEARCH("causal",F14)),"causal_reasoning",IF(ISNUMBER(SEARCH("social",F14)),"social_influence",IF(ISNUMBER(SEARCH("rhetoric",F14)),"rhetoric_discourse",IF(ISNUMBER(SEARCH("behavior",F14)),"behavioural_economics",IF(ISNUMBER(SEARCH("cognitive",F14)),"cognitive_biases",IF(J14="protective_pattern","healthy_reasoning_patterns",IF(L14="P0","core_mvp","extended_fallacies")))))))))</x:f>
        <x:v>core_mvp</x:v>
      </x:c>
      <x:c r="AC14" s="12" t="str">
        <x:f>IF(ISNUMBER(SEARCH("operational",J14)),"operational",IF(ISNUMBER(SEARCH("deprecated",J14)),"deprecated",IF(L14="P0","canonical","recognized_subtype")))</x:f>
        <x:v>canonical</x:v>
      </x:c>
      <x:c r="AD14" s="12" t="str">
        <x:f>IF(AC14="canonical","high",IF(AC14="recognized_subtype","medium",IF(AC14="operational","operational_only","debated")))</x:f>
        <x:v>high</x:v>
      </x:c>
      <x:c r="AE14" s="12" t="str">
        <x:f>IF(AC14="deprecated","deprecated",IF(M14="yes","active",IF(M14="review","review_required","backlog")))</x:f>
        <x:v>active</x:v>
      </x:c>
      <x:c r="AF14" s="12" t="str">
        <x:f>IF(OR(AE14="active",AE14="review_required"),"yes","no")</x:f>
        <x:v>yes</x:v>
      </x:c>
      <x:c r="AG14" s="12" t="str">
        <x:f>IF(AND(AE14="active",M14="yes",NOT(ISNUMBER(SEARCH("healthy",AB14)))),"yes","no")</x:f>
        <x:v>yes</x:v>
      </x:c>
      <x:c r="AH14" s="12" t="str">
        <x:f>IF(OR(H14="contextual",H14="dialogue",H14="discourse",I14="claim+context",I14="discourse_segment"),"yes","no")</x:f>
        <x:v>yes</x:v>
      </x:c>
      <x:c r="AI14" s="12" t="str">
        <x:f>IF(OR(AH14="yes",AD14="debated",AC14="operational"),"yes","no")</x:f>
        <x:v>yes</x:v>
      </x:c>
      <x:c r="AJ14" s="12" t="str">
        <x:f>IF(OR(AH14="yes",AC14="operational",AD14="debated"),"high",IF(AND(AG14="yes",L14="P0"),"medium","low"))</x:f>
        <x:v>high</x:v>
      </x:c>
      <x:c r="AK14" s="12" t="str">
        <x:f>IF(ISNUMBER(SEARCH("healthy",AB14)),"yes","no")</x:f>
        <x:v>no</x:v>
      </x:c>
      <x:c r="AL14" s="12" t="str">
        <x:f>IF(AG14="yes","yes","candidate_only")</x:f>
        <x:v>yes</x:v>
      </x:c>
      <x:c r="AM14" s="12" t="str">
        <x:f>IF(OR(AC14="canonical",AG14="yes"),"yes","recommended")</x:f>
        <x:v>yes</x:v>
      </x:c>
      <x:c r="AN14" s="12" t="str">
        <x:f>IF(AC14="deprecated","exclude",IF(AND(AG14="yes",AJ14="high"),"import_but_human_review_required",IF(AG14="yes","import_as_active","import_as_backlog")))</x:f>
        <x:v>import_but_human_review_required</x:v>
      </x:c>
      <x:c r="AO14" s="12" t="str">
        <x:f>IF(AND(AG14="yes",OR(P14="",Q14="",R14="",S14="")),"missing_required_mvp_fields",IF(AND(AC14="canonical",Y14=""),"missing_source_ref","ok"))</x:f>
        <x:v>ok</x:v>
      </x:c>
      <x:c r="AP14" s="12" t="str">
        <x:f>IF(AO14="ok","ready_for_codex_import","needs_review")</x:f>
        <x:v>ready_for_codex_import</x:v>
      </x:c>
      <x:c r="AQ14" s="12"/>
      <x:c r="AR14" s="12" t="str">
        <x:v>Added v2 operational fields. Review before classification activation.</x:v>
      </x:c>
    </x:row>
    <x:row r="15">
      <x:c r="A15" s="13" t="str">
        <x:v>false_dilemma_canonical</x:v>
      </x:c>
      <x:c r="B15" s="13" t="str">
        <x:v>false_dilemma</x:v>
      </x:c>
      <x:c r="C15" s="13" t="str">
        <x:v>False dilemma</x:v>
      </x:c>
      <x:c r="D15" s="13" t="str">
        <x:v>دوگانه کاذب</x:v>
      </x:c>
      <x:c r="E15" s="13" t="str">
        <x:v>Canonical form</x:v>
      </x:c>
      <x:c r="F15" s="13" t="str">
        <x:v>reasoning_failures</x:v>
      </x:c>
      <x:c r="G15" s="13" t="str">
        <x:v>canonical</x:v>
      </x:c>
      <x:c r="H15" s="13" t="str">
        <x:v>structural</x:v>
      </x:c>
      <x:c r="I15" s="13" t="str">
        <x:v>claim</x:v>
      </x:c>
      <x:c r="J15" s="13" t="str">
        <x:v>core_named_candidate</x:v>
      </x:c>
      <x:c r="K15" s="13" t="str">
        <x:v>established_parent_needs_row_review</x:v>
      </x:c>
      <x:c r="L15" s="13" t="str">
        <x:v>P0</x:v>
      </x:c>
      <x:c r="M15" s="13" t="str">
        <x:v>yes</x:v>
      </x:c>
      <x:c r="N15" s="13" t="str">
        <x:v>Operational subtype under False dilemma: the parent pattern appears in its standard recognizable form. Parent definition: Presenting limited options as exhaustive when relevant alternatives exist.</x:v>
      </x:c>
      <x:c r="O15" s="13" t="str">
        <x:v>Look for: explicit claim-level evidence; parent-family cues for False dilemma; variant cue: the parent pattern appears in its standard recognizable form; avoid author-level inference.</x:v>
      </x:c>
      <x:c r="P15" s="13" t="str">
        <x:v>Exact evidence span in text plus claim-level reasoning link; for contextual/discourse entries, require surrounding context.</x:v>
      </x:c>
      <x:c r="Q15" s="13" t="str">
        <x:v>Do not label merely because topic is controversial, emotional, or wrong. Do not judge intent or personality. Require textual evidence and consider healthy-reasoning cues.</x:v>
      </x:c>
      <x:c r="R15" s="13" t="str">
        <x:v>Stub: A claim relies on the parent pattern appears in its standard recognizable form to support a conclusion without adequate qualification.</x:v>
      </x:c>
      <x:c r="S15" s="13" t="str">
        <x:v>Stub: A claim discusses false dilemma with caveats, balanced evidence, or no argumentative use of the pattern.</x:v>
      </x:c>
      <x:c r="T15" s="13" t="str">
        <x:v>Mild or ambiguous cue; do not classify without clear evidence span.</x:v>
      </x:c>
      <x:c r="U15" s="13" t="str">
        <x:v>Clear claim-level pattern with some argumentative impact.</x:v>
      </x:c>
      <x:c r="V15" s="13" t="str">
        <x:v>Strong pattern central to the conclusion and likely to materially distort reasoning.</x:v>
      </x:c>
      <x:c r="W15" s="13" t="str"/>
      <x:c r="X15" s="13" t="str">
        <x:v>sep_fallacies</x:v>
      </x:c>
      <x:c r="Y15" s="13" t="str">
        <x:v>https://plato.stanford.edu/entries/fallacies/</x:v>
      </x:c>
      <x:c r="Z15" s="13" t="str">
        <x:v>Review before enabling. This workbook is a living taxonomy scaffold, not a validated scientific benchmark.</x:v>
      </x:c>
      <x:c r="AA15" s="13" t="str">
        <x:v>0.1.0-draft</x:v>
      </x:c>
      <x:c r="AB15" s="12" t="str">
        <x:f>IF(ISNUMBER(SEARCH("healthy",F15)),"healthy_reasoning_patterns",IF(ISNUMBER(SEARCH("statistical",F15)),"statistical_reasoning",IF(ISNUMBER(SEARCH("causal",F15)),"causal_reasoning",IF(ISNUMBER(SEARCH("social",F15)),"social_influence",IF(ISNUMBER(SEARCH("rhetoric",F15)),"rhetoric_discourse",IF(ISNUMBER(SEARCH("behavior",F15)),"behavioural_economics",IF(ISNUMBER(SEARCH("cognitive",F15)),"cognitive_biases",IF(J15="protective_pattern","healthy_reasoning_patterns",IF(L15="P0","core_mvp","extended_fallacies")))))))))</x:f>
        <x:v>core_mvp</x:v>
      </x:c>
      <x:c r="AC15" s="12" t="str">
        <x:f>IF(ISNUMBER(SEARCH("operational",J15)),"operational",IF(ISNUMBER(SEARCH("deprecated",J15)),"deprecated",IF(L15="P0","canonical","recognized_subtype")))</x:f>
        <x:v>canonical</x:v>
      </x:c>
      <x:c r="AD15" s="12" t="str">
        <x:f>IF(AC15="canonical","high",IF(AC15="recognized_subtype","medium",IF(AC15="operational","operational_only","debated")))</x:f>
        <x:v>high</x:v>
      </x:c>
      <x:c r="AE15" s="12" t="str">
        <x:f>IF(AC15="deprecated","deprecated",IF(M15="yes","active",IF(M15="review","review_required","backlog")))</x:f>
        <x:v>active</x:v>
      </x:c>
      <x:c r="AF15" s="12" t="str">
        <x:f>IF(OR(AE15="active",AE15="review_required"),"yes","no")</x:f>
        <x:v>yes</x:v>
      </x:c>
      <x:c r="AG15" s="12" t="str">
        <x:f>IF(AND(AE15="active",M15="yes",NOT(ISNUMBER(SEARCH("healthy",AB15)))),"yes","no")</x:f>
        <x:v>yes</x:v>
      </x:c>
      <x:c r="AH15" s="12" t="str">
        <x:f>IF(OR(H15="contextual",H15="dialogue",H15="discourse",I15="claim+context",I15="discourse_segment"),"yes","no")</x:f>
        <x:v>no</x:v>
      </x:c>
      <x:c r="AI15" s="12" t="str">
        <x:f>IF(OR(AH15="yes",AD15="debated",AC15="operational"),"yes","no")</x:f>
        <x:v>no</x:v>
      </x:c>
      <x:c r="AJ15" s="12" t="str">
        <x:f>IF(OR(AH15="yes",AC15="operational",AD15="debated"),"high",IF(AND(AG15="yes",L15="P0"),"medium","low"))</x:f>
        <x:v>medium</x:v>
      </x:c>
      <x:c r="AK15" s="12" t="str">
        <x:f>IF(ISNUMBER(SEARCH("healthy",AB15)),"yes","no")</x:f>
        <x:v>no</x:v>
      </x:c>
      <x:c r="AL15" s="12" t="str">
        <x:f>IF(AG15="yes","yes","candidate_only")</x:f>
        <x:v>yes</x:v>
      </x:c>
      <x:c r="AM15" s="12" t="str">
        <x:f>IF(OR(AC15="canonical",AG15="yes"),"yes","recommended")</x:f>
        <x:v>yes</x:v>
      </x:c>
      <x:c r="AN15" s="12" t="str">
        <x:f>IF(AC15="deprecated","exclude",IF(AND(AG15="yes",AJ15="high"),"import_but_human_review_required",IF(AG15="yes","import_as_active","import_as_backlog")))</x:f>
        <x:v>import_as_active</x:v>
      </x:c>
      <x:c r="AO15" s="12" t="str">
        <x:f>IF(AND(AG15="yes",OR(P15="",Q15="",R15="",S15="")),"missing_required_mvp_fields",IF(AND(AC15="canonical",Y15=""),"missing_source_ref","ok"))</x:f>
        <x:v>ok</x:v>
      </x:c>
      <x:c r="AP15" s="12" t="str">
        <x:f>IF(AO15="ok","ready_for_codex_import","needs_review")</x:f>
        <x:v>ready_for_codex_import</x:v>
      </x:c>
      <x:c r="AQ15" s="12"/>
      <x:c r="AR15" s="12" t="str">
        <x:v>Added v2 operational fields. Review before classification activation.</x:v>
      </x:c>
    </x:row>
    <x:row r="16">
      <x:c r="A16" s="13" t="str">
        <x:v>false_equivalence_canonical</x:v>
      </x:c>
      <x:c r="B16" s="13" t="str">
        <x:v>false_equivalence</x:v>
      </x:c>
      <x:c r="C16" s="13" t="str">
        <x:v>False equivalence</x:v>
      </x:c>
      <x:c r="D16" s="13" t="str">
        <x:v>معادل‌سازی کاذب</x:v>
      </x:c>
      <x:c r="E16" s="13" t="str">
        <x:v>Canonical form</x:v>
      </x:c>
      <x:c r="F16" s="13" t="str">
        <x:v>reasoning_failures</x:v>
      </x:c>
      <x:c r="G16" s="13" t="str">
        <x:v>canonical</x:v>
      </x:c>
      <x:c r="H16" s="13" t="str">
        <x:v>structural</x:v>
      </x:c>
      <x:c r="I16" s="13" t="str">
        <x:v>claim</x:v>
      </x:c>
      <x:c r="J16" s="13" t="str">
        <x:v>core_named_candidate</x:v>
      </x:c>
      <x:c r="K16" s="13" t="str">
        <x:v>established_parent_needs_row_review</x:v>
      </x:c>
      <x:c r="L16" s="13" t="str">
        <x:v>P0</x:v>
      </x:c>
      <x:c r="M16" s="13" t="str">
        <x:v>yes</x:v>
      </x:c>
      <x:c r="N16" s="13" t="str">
        <x:v>Operational subtype under False equivalence: the parent pattern appears in its standard recognizable form. Parent definition: Treating two cases as equivalent while ignoring relevant differences.</x:v>
      </x:c>
      <x:c r="O16" s="13" t="str">
        <x:v>Look for: explicit claim-level evidence; parent-family cues for False equivalence; variant cue: the parent pattern appears in its standard recognizable form; avoid author-level inference.</x:v>
      </x:c>
      <x:c r="P16" s="13" t="str">
        <x:v>Exact evidence span in text plus claim-level reasoning link; for contextual/discourse entries, require surrounding context.</x:v>
      </x:c>
      <x:c r="Q16" s="13" t="str">
        <x:v>Do not label merely because topic is controversial, emotional, or wrong. Do not judge intent or personality. Require textual evidence and consider healthy-reasoning cues.</x:v>
      </x:c>
      <x:c r="R16" s="13" t="str">
        <x:v>Stub: A claim relies on the parent pattern appears in its standard recognizable form to support a conclusion without adequate qualification.</x:v>
      </x:c>
      <x:c r="S16" s="13" t="str">
        <x:v>Stub: A claim discusses false equivalence with caveats, balanced evidence, or no argumentative use of the pattern.</x:v>
      </x:c>
      <x:c r="T16" s="13" t="str">
        <x:v>Mild or ambiguous cue; do not classify without clear evidence span.</x:v>
      </x:c>
      <x:c r="U16" s="13" t="str">
        <x:v>Clear claim-level pattern with some argumentative impact.</x:v>
      </x:c>
      <x:c r="V16" s="13" t="str">
        <x:v>Strong pattern central to the conclusion and likely to materially distort reasoning.</x:v>
      </x:c>
      <x:c r="W16" s="13" t="str"/>
      <x:c r="X16" s="13" t="str">
        <x:v>sep_fallacies</x:v>
      </x:c>
      <x:c r="Y16" s="13" t="str">
        <x:v>https://plato.stanford.edu/entries/fallacies/</x:v>
      </x:c>
      <x:c r="Z16" s="13" t="str">
        <x:v>Review before enabling. This workbook is a living taxonomy scaffold, not a validated scientific benchmark.</x:v>
      </x:c>
      <x:c r="AA16" s="13" t="str">
        <x:v>0.1.0-draft</x:v>
      </x:c>
      <x:c r="AB16" s="12" t="str">
        <x:f>IF(ISNUMBER(SEARCH("healthy",F16)),"healthy_reasoning_patterns",IF(ISNUMBER(SEARCH("statistical",F16)),"statistical_reasoning",IF(ISNUMBER(SEARCH("causal",F16)),"causal_reasoning",IF(ISNUMBER(SEARCH("social",F16)),"social_influence",IF(ISNUMBER(SEARCH("rhetoric",F16)),"rhetoric_discourse",IF(ISNUMBER(SEARCH("behavior",F16)),"behavioural_economics",IF(ISNUMBER(SEARCH("cognitive",F16)),"cognitive_biases",IF(J16="protective_pattern","healthy_reasoning_patterns",IF(L16="P0","core_mvp","extended_fallacies")))))))))</x:f>
        <x:v>core_mvp</x:v>
      </x:c>
      <x:c r="AC16" s="12" t="str">
        <x:f>IF(ISNUMBER(SEARCH("operational",J16)),"operational",IF(ISNUMBER(SEARCH("deprecated",J16)),"deprecated",IF(L16="P0","canonical","recognized_subtype")))</x:f>
        <x:v>canonical</x:v>
      </x:c>
      <x:c r="AD16" s="12" t="str">
        <x:f>IF(AC16="canonical","high",IF(AC16="recognized_subtype","medium",IF(AC16="operational","operational_only","debated")))</x:f>
        <x:v>high</x:v>
      </x:c>
      <x:c r="AE16" s="12" t="str">
        <x:f>IF(AC16="deprecated","deprecated",IF(M16="yes","active",IF(M16="review","review_required","backlog")))</x:f>
        <x:v>active</x:v>
      </x:c>
      <x:c r="AF16" s="12" t="str">
        <x:f>IF(OR(AE16="active",AE16="review_required"),"yes","no")</x:f>
        <x:v>yes</x:v>
      </x:c>
      <x:c r="AG16" s="12" t="str">
        <x:f>IF(AND(AE16="active",M16="yes",NOT(ISNUMBER(SEARCH("healthy",AB16)))),"yes","no")</x:f>
        <x:v>yes</x:v>
      </x:c>
      <x:c r="AH16" s="12" t="str">
        <x:f>IF(OR(H16="contextual",H16="dialogue",H16="discourse",I16="claim+context",I16="discourse_segment"),"yes","no")</x:f>
        <x:v>no</x:v>
      </x:c>
      <x:c r="AI16" s="12" t="str">
        <x:f>IF(OR(AH16="yes",AD16="debated",AC16="operational"),"yes","no")</x:f>
        <x:v>no</x:v>
      </x:c>
      <x:c r="AJ16" s="12" t="str">
        <x:f>IF(OR(AH16="yes",AC16="operational",AD16="debated"),"high",IF(AND(AG16="yes",L16="P0"),"medium","low"))</x:f>
        <x:v>medium</x:v>
      </x:c>
      <x:c r="AK16" s="12" t="str">
        <x:f>IF(ISNUMBER(SEARCH("healthy",AB16)),"yes","no")</x:f>
        <x:v>no</x:v>
      </x:c>
      <x:c r="AL16" s="12" t="str">
        <x:f>IF(AG16="yes","yes","candidate_only")</x:f>
        <x:v>yes</x:v>
      </x:c>
      <x:c r="AM16" s="12" t="str">
        <x:f>IF(OR(AC16="canonical",AG16="yes"),"yes","recommended")</x:f>
        <x:v>yes</x:v>
      </x:c>
      <x:c r="AN16" s="12" t="str">
        <x:f>IF(AC16="deprecated","exclude",IF(AND(AG16="yes",AJ16="high"),"import_but_human_review_required",IF(AG16="yes","import_as_active","import_as_backlog")))</x:f>
        <x:v>import_as_active</x:v>
      </x:c>
      <x:c r="AO16" s="12" t="str">
        <x:f>IF(AND(AG16="yes",OR(P16="",Q16="",R16="",S16="")),"missing_required_mvp_fields",IF(AND(AC16="canonical",Y16=""),"missing_source_ref","ok"))</x:f>
        <x:v>ok</x:v>
      </x:c>
      <x:c r="AP16" s="12" t="str">
        <x:f>IF(AO16="ok","ready_for_codex_import","needs_review")</x:f>
        <x:v>ready_for_codex_import</x:v>
      </x:c>
      <x:c r="AQ16" s="12"/>
      <x:c r="AR16" s="12" t="str">
        <x:v>Added v2 operational fields. Review before classification activation.</x:v>
      </x:c>
    </x:row>
    <x:row r="17">
      <x:c r="A17" s="13" t="str">
        <x:v>slippery_slope_canonical</x:v>
      </x:c>
      <x:c r="B17" s="13" t="str">
        <x:v>slippery_slope</x:v>
      </x:c>
      <x:c r="C17" s="13" t="str">
        <x:v>Slippery slope</x:v>
      </x:c>
      <x:c r="D17" s="13" t="str">
        <x:v>شیب لغزنده</x:v>
      </x:c>
      <x:c r="E17" s="13" t="str">
        <x:v>Canonical form</x:v>
      </x:c>
      <x:c r="F17" s="13" t="str">
        <x:v>reasoning_failures</x:v>
      </x:c>
      <x:c r="G17" s="13" t="str">
        <x:v>canonical</x:v>
      </x:c>
      <x:c r="H17" s="13" t="str">
        <x:v>structural</x:v>
      </x:c>
      <x:c r="I17" s="13" t="str">
        <x:v>claim</x:v>
      </x:c>
      <x:c r="J17" s="13" t="str">
        <x:v>core_named_candidate</x:v>
      </x:c>
      <x:c r="K17" s="13" t="str">
        <x:v>established_parent_needs_row_review</x:v>
      </x:c>
      <x:c r="L17" s="13" t="str">
        <x:v>P0</x:v>
      </x:c>
      <x:c r="M17" s="13" t="str">
        <x:v>yes</x:v>
      </x:c>
      <x:c r="N17" s="13" t="str">
        <x:v>Operational subtype under Slippery slope: the parent pattern appears in its standard recognizable form. Parent definition: Asserting a chain of consequences without adequate causal support.</x:v>
      </x:c>
      <x:c r="O17" s="13" t="str">
        <x:v>Look for: explicit claim-level evidence; parent-family cues for Slippery slope; variant cue: the parent pattern appears in its standard recognizable form; avoid author-level inference.</x:v>
      </x:c>
      <x:c r="P17" s="13" t="str">
        <x:v>Exact evidence span in text plus claim-level reasoning link; for contextual/discourse entries, require surrounding context.</x:v>
      </x:c>
      <x:c r="Q17" s="13" t="str">
        <x:v>Do not label merely because topic is controversial, emotional, or wrong. Do not judge intent or personality. Require textual evidence and consider healthy-reasoning cues.</x:v>
      </x:c>
      <x:c r="R17" s="13" t="str">
        <x:v>Stub: A claim relies on the parent pattern appears in its standard recognizable form to support a conclusion without adequate qualification.</x:v>
      </x:c>
      <x:c r="S17" s="13" t="str">
        <x:v>Stub: A claim discusses slippery slope with caveats, balanced evidence, or no argumentative use of the pattern.</x:v>
      </x:c>
      <x:c r="T17" s="13" t="str">
        <x:v>Mild or ambiguous cue; do not classify without clear evidence span.</x:v>
      </x:c>
      <x:c r="U17" s="13" t="str">
        <x:v>Clear claim-level pattern with some argumentative impact.</x:v>
      </x:c>
      <x:c r="V17" s="13" t="str">
        <x:v>Strong pattern central to the conclusion and likely to materially distort reasoning.</x:v>
      </x:c>
      <x:c r="W17" s="13" t="str">
        <x:v>post_hoc; cum_hoc; alternative_explanation_neglect</x:v>
      </x:c>
      <x:c r="X17" s="13" t="str">
        <x:v>sep_fallacies</x:v>
      </x:c>
      <x:c r="Y17" s="13" t="str">
        <x:v>https://plato.stanford.edu/entries/fallacies/</x:v>
      </x:c>
      <x:c r="Z17" s="13" t="str">
        <x:v>Review before enabling. This workbook is a living taxonomy scaffold, not a validated scientific benchmark.</x:v>
      </x:c>
      <x:c r="AA17" s="13" t="str">
        <x:v>0.1.0-draft</x:v>
      </x:c>
      <x:c r="AB17" s="12" t="str">
        <x:f>IF(ISNUMBER(SEARCH("healthy",F17)),"healthy_reasoning_patterns",IF(ISNUMBER(SEARCH("statistical",F17)),"statistical_reasoning",IF(ISNUMBER(SEARCH("causal",F17)),"causal_reasoning",IF(ISNUMBER(SEARCH("social",F17)),"social_influence",IF(ISNUMBER(SEARCH("rhetoric",F17)),"rhetoric_discourse",IF(ISNUMBER(SEARCH("behavior",F17)),"behavioural_economics",IF(ISNUMBER(SEARCH("cognitive",F17)),"cognitive_biases",IF(J17="protective_pattern","healthy_reasoning_patterns",IF(L17="P0","core_mvp","extended_fallacies")))))))))</x:f>
        <x:v>core_mvp</x:v>
      </x:c>
      <x:c r="AC17" s="12" t="str">
        <x:f>IF(ISNUMBER(SEARCH("operational",J17)),"operational",IF(ISNUMBER(SEARCH("deprecated",J17)),"deprecated",IF(L17="P0","canonical","recognized_subtype")))</x:f>
        <x:v>canonical</x:v>
      </x:c>
      <x:c r="AD17" s="12" t="str">
        <x:f>IF(AC17="canonical","high",IF(AC17="recognized_subtype","medium",IF(AC17="operational","operational_only","debated")))</x:f>
        <x:v>high</x:v>
      </x:c>
      <x:c r="AE17" s="12" t="str">
        <x:f>IF(AC17="deprecated","deprecated",IF(M17="yes","active",IF(M17="review","review_required","backlog")))</x:f>
        <x:v>active</x:v>
      </x:c>
      <x:c r="AF17" s="12" t="str">
        <x:f>IF(OR(AE17="active",AE17="review_required"),"yes","no")</x:f>
        <x:v>yes</x:v>
      </x:c>
      <x:c r="AG17" s="12" t="str">
        <x:f>IF(AND(AE17="active",M17="yes",NOT(ISNUMBER(SEARCH("healthy",AB17)))),"yes","no")</x:f>
        <x:v>yes</x:v>
      </x:c>
      <x:c r="AH17" s="12" t="str">
        <x:f>IF(OR(H17="contextual",H17="dialogue",H17="discourse",I17="claim+context",I17="discourse_segment"),"yes","no")</x:f>
        <x:v>no</x:v>
      </x:c>
      <x:c r="AI17" s="12" t="str">
        <x:f>IF(OR(AH17="yes",AD17="debated",AC17="operational"),"yes","no")</x:f>
        <x:v>no</x:v>
      </x:c>
      <x:c r="AJ17" s="12" t="str">
        <x:f>IF(OR(AH17="yes",AC17="operational",AD17="debated"),"high",IF(AND(AG17="yes",L17="P0"),"medium","low"))</x:f>
        <x:v>medium</x:v>
      </x:c>
      <x:c r="AK17" s="12" t="str">
        <x:f>IF(ISNUMBER(SEARCH("healthy",AB17)),"yes","no")</x:f>
        <x:v>no</x:v>
      </x:c>
      <x:c r="AL17" s="12" t="str">
        <x:f>IF(AG17="yes","yes","candidate_only")</x:f>
        <x:v>yes</x:v>
      </x:c>
      <x:c r="AM17" s="12" t="str">
        <x:f>IF(OR(AC17="canonical",AG17="yes"),"yes","recommended")</x:f>
        <x:v>yes</x:v>
      </x:c>
      <x:c r="AN17" s="12" t="str">
        <x:f>IF(AC17="deprecated","exclude",IF(AND(AG17="yes",AJ17="high"),"import_but_human_review_required",IF(AG17="yes","import_as_active","import_as_backlog")))</x:f>
        <x:v>import_as_active</x:v>
      </x:c>
      <x:c r="AO17" s="12" t="str">
        <x:f>IF(AND(AG17="yes",OR(P17="",Q17="",R17="",S17="")),"missing_required_mvp_fields",IF(AND(AC17="canonical",Y17=""),"missing_source_ref","ok"))</x:f>
        <x:v>ok</x:v>
      </x:c>
      <x:c r="AP17" s="12" t="str">
        <x:f>IF(AO17="ok","ready_for_codex_import","needs_review")</x:f>
        <x:v>ready_for_codex_import</x:v>
      </x:c>
      <x:c r="AQ17" s="12"/>
      <x:c r="AR17" s="12" t="str">
        <x:v>Added v2 operational fields. Review before classification activation.</x:v>
      </x:c>
    </x:row>
    <x:row r="18">
      <x:c r="A18" s="13" t="str">
        <x:v>hasty_generalization_canonical</x:v>
      </x:c>
      <x:c r="B18" s="13" t="str">
        <x:v>hasty_generalization</x:v>
      </x:c>
      <x:c r="C18" s="13" t="str">
        <x:v>Hasty generalization</x:v>
      </x:c>
      <x:c r="D18" s="13" t="str">
        <x:v>تعمیم شتاب‌زده</x:v>
      </x:c>
      <x:c r="E18" s="13" t="str">
        <x:v>Canonical form</x:v>
      </x:c>
      <x:c r="F18" s="13" t="str">
        <x:v>reasoning_failures</x:v>
      </x:c>
      <x:c r="G18" s="13" t="str">
        <x:v>canonical</x:v>
      </x:c>
      <x:c r="H18" s="13" t="str">
        <x:v>structural</x:v>
      </x:c>
      <x:c r="I18" s="13" t="str">
        <x:v>claim</x:v>
      </x:c>
      <x:c r="J18" s="13" t="str">
        <x:v>core_named_candidate</x:v>
      </x:c>
      <x:c r="K18" s="13" t="str">
        <x:v>established_parent_needs_row_review</x:v>
      </x:c>
      <x:c r="L18" s="13" t="str">
        <x:v>P0</x:v>
      </x:c>
      <x:c r="M18" s="13" t="str">
        <x:v>yes</x:v>
      </x:c>
      <x:c r="N18" s="13" t="str">
        <x:v>Operational subtype under Hasty generalization: the parent pattern appears in its standard recognizable form. Parent definition: Drawing a broad conclusion from insufficient or unrepresentative cases.</x:v>
      </x:c>
      <x:c r="O18" s="13" t="str">
        <x:v>Look for: explicit claim-level evidence; parent-family cues for Hasty generalization; variant cue: the parent pattern appears in its standard recognizable form; avoid author-level inference.</x:v>
      </x:c>
      <x:c r="P18" s="13" t="str">
        <x:v>Exact evidence span in text plus claim-level reasoning link; for contextual/discourse entries, require surrounding context.</x:v>
      </x:c>
      <x:c r="Q18" s="13" t="str">
        <x:v>Do not label merely because topic is controversial, emotional, or wrong. Do not judge intent or personality. Require textual evidence and consider healthy-reasoning cues.</x:v>
      </x:c>
      <x:c r="R18" s="13" t="str">
        <x:v>Stub: A claim relies on the parent pattern appears in its standard recognizable form to support a conclusion without adequate qualification.</x:v>
      </x:c>
      <x:c r="S18" s="13" t="str">
        <x:v>Stub: A claim discusses hasty generalization with caveats, balanced evidence, or no argumentative use of the pattern.</x:v>
      </x:c>
      <x:c r="T18" s="13" t="str">
        <x:v>Mild or ambiguous cue; do not classify without clear evidence span.</x:v>
      </x:c>
      <x:c r="U18" s="13" t="str">
        <x:v>Clear claim-level pattern with some argumentative impact.</x:v>
      </x:c>
      <x:c r="V18" s="13" t="str">
        <x:v>Strong pattern central to the conclusion and likely to materially distort reasoning.</x:v>
      </x:c>
      <x:c r="W18" s="13" t="str"/>
      <x:c r="X18" s="13" t="str">
        <x:v>sep_fallacies</x:v>
      </x:c>
      <x:c r="Y18" s="13" t="str">
        <x:v>https://plato.stanford.edu/entries/fallacies/</x:v>
      </x:c>
      <x:c r="Z18" s="13" t="str">
        <x:v>Review before enabling. This workbook is a living taxonomy scaffold, not a validated scientific benchmark.</x:v>
      </x:c>
      <x:c r="AA18" s="13" t="str">
        <x:v>0.1.0-draft</x:v>
      </x:c>
      <x:c r="AB18" s="12" t="str">
        <x:f>IF(ISNUMBER(SEARCH("healthy",F18)),"healthy_reasoning_patterns",IF(ISNUMBER(SEARCH("statistical",F18)),"statistical_reasoning",IF(ISNUMBER(SEARCH("causal",F18)),"causal_reasoning",IF(ISNUMBER(SEARCH("social",F18)),"social_influence",IF(ISNUMBER(SEARCH("rhetoric",F18)),"rhetoric_discourse",IF(ISNUMBER(SEARCH("behavior",F18)),"behavioural_economics",IF(ISNUMBER(SEARCH("cognitive",F18)),"cognitive_biases",IF(J18="protective_pattern","healthy_reasoning_patterns",IF(L18="P0","core_mvp","extended_fallacies")))))))))</x:f>
        <x:v>core_mvp</x:v>
      </x:c>
      <x:c r="AC18" s="12" t="str">
        <x:f>IF(ISNUMBER(SEARCH("operational",J18)),"operational",IF(ISNUMBER(SEARCH("deprecated",J18)),"deprecated",IF(L18="P0","canonical","recognized_subtype")))</x:f>
        <x:v>canonical</x:v>
      </x:c>
      <x:c r="AD18" s="12" t="str">
        <x:f>IF(AC18="canonical","high",IF(AC18="recognized_subtype","medium",IF(AC18="operational","operational_only","debated")))</x:f>
        <x:v>high</x:v>
      </x:c>
      <x:c r="AE18" s="12" t="str">
        <x:f>IF(AC18="deprecated","deprecated",IF(M18="yes","active",IF(M18="review","review_required","backlog")))</x:f>
        <x:v>active</x:v>
      </x:c>
      <x:c r="AF18" s="12" t="str">
        <x:f>IF(OR(AE18="active",AE18="review_required"),"yes","no")</x:f>
        <x:v>yes</x:v>
      </x:c>
      <x:c r="AG18" s="12" t="str">
        <x:f>IF(AND(AE18="active",M18="yes",NOT(ISNUMBER(SEARCH("healthy",AB18)))),"yes","no")</x:f>
        <x:v>yes</x:v>
      </x:c>
      <x:c r="AH18" s="12" t="str">
        <x:f>IF(OR(H18="contextual",H18="dialogue",H18="discourse",I18="claim+context",I18="discourse_segment"),"yes","no")</x:f>
        <x:v>no</x:v>
      </x:c>
      <x:c r="AI18" s="12" t="str">
        <x:f>IF(OR(AH18="yes",AD18="debated",AC18="operational"),"yes","no")</x:f>
        <x:v>no</x:v>
      </x:c>
      <x:c r="AJ18" s="12" t="str">
        <x:f>IF(OR(AH18="yes",AC18="operational",AD18="debated"),"high",IF(AND(AG18="yes",L18="P0"),"medium","low"))</x:f>
        <x:v>medium</x:v>
      </x:c>
      <x:c r="AK18" s="12" t="str">
        <x:f>IF(ISNUMBER(SEARCH("healthy",AB18)),"yes","no")</x:f>
        <x:v>no</x:v>
      </x:c>
      <x:c r="AL18" s="12" t="str">
        <x:f>IF(AG18="yes","yes","candidate_only")</x:f>
        <x:v>yes</x:v>
      </x:c>
      <x:c r="AM18" s="12" t="str">
        <x:f>IF(OR(AC18="canonical",AG18="yes"),"yes","recommended")</x:f>
        <x:v>yes</x:v>
      </x:c>
      <x:c r="AN18" s="12" t="str">
        <x:f>IF(AC18="deprecated","exclude",IF(AND(AG18="yes",AJ18="high"),"import_but_human_review_required",IF(AG18="yes","import_as_active","import_as_backlog")))</x:f>
        <x:v>import_as_active</x:v>
      </x:c>
      <x:c r="AO18" s="12" t="str">
        <x:f>IF(AND(AG18="yes",OR(P18="",Q18="",R18="",S18="")),"missing_required_mvp_fields",IF(AND(AC18="canonical",Y18=""),"missing_source_ref","ok"))</x:f>
        <x:v>ok</x:v>
      </x:c>
      <x:c r="AP18" s="12" t="str">
        <x:f>IF(AO18="ok","ready_for_codex_import","needs_review")</x:f>
        <x:v>ready_for_codex_import</x:v>
      </x:c>
      <x:c r="AQ18" s="12"/>
      <x:c r="AR18" s="12" t="str">
        <x:v>Added v2 operational fields. Review before classification activation.</x:v>
      </x:c>
    </x:row>
    <x:row r="19">
      <x:c r="A19" s="13" t="str">
        <x:v>accident_fallacy_canonical</x:v>
      </x:c>
      <x:c r="B19" s="13" t="str">
        <x:v>accident_fallacy</x:v>
      </x:c>
      <x:c r="C19" s="13" t="str">
        <x:v>Accident</x:v>
      </x:c>
      <x:c r="D19" s="13" t="str">
        <x:v>کاربرد نادرست قاعده کلی</x:v>
      </x:c>
      <x:c r="E19" s="13" t="str">
        <x:v>Canonical form</x:v>
      </x:c>
      <x:c r="F19" s="13" t="str">
        <x:v>reasoning_failures</x:v>
      </x:c>
      <x:c r="G19" s="13" t="str">
        <x:v>canonical</x:v>
      </x:c>
      <x:c r="H19" s="13" t="str">
        <x:v>structural</x:v>
      </x:c>
      <x:c r="I19" s="13" t="str">
        <x:v>claim</x:v>
      </x:c>
      <x:c r="J19" s="13" t="str">
        <x:v>core_named_candidate</x:v>
      </x:c>
      <x:c r="K19" s="13" t="str">
        <x:v>established_parent_needs_row_review</x:v>
      </x:c>
      <x:c r="L19" s="13" t="str">
        <x:v>P0</x:v>
      </x:c>
      <x:c r="M19" s="13" t="str">
        <x:v>yes</x:v>
      </x:c>
      <x:c r="N19" s="13" t="str">
        <x:v>Operational subtype under Accident: the parent pattern appears in its standard recognizable form. Parent definition: Applying a general rule to an exceptional case without qualification.</x:v>
      </x:c>
      <x:c r="O19" s="13" t="str">
        <x:v>Look for: explicit claim-level evidence; parent-family cues for Accident; variant cue: the parent pattern appears in its standard recognizable form; avoid author-level inference.</x:v>
      </x:c>
      <x:c r="P19" s="13" t="str">
        <x:v>Exact evidence span in text plus claim-level reasoning link; for contextual/discourse entries, require surrounding context.</x:v>
      </x:c>
      <x:c r="Q19" s="13" t="str">
        <x:v>Do not label merely because topic is controversial, emotional, or wrong. Do not judge intent or personality. Require textual evidence and consider healthy-reasoning cues.</x:v>
      </x:c>
      <x:c r="R19" s="13" t="str">
        <x:v>Stub: A claim relies on the parent pattern appears in its standard recognizable form to support a conclusion without adequate qualification.</x:v>
      </x:c>
      <x:c r="S19" s="13" t="str">
        <x:v>Stub: A claim discusses accident with caveats, balanced evidence, or no argumentative use of the pattern.</x:v>
      </x:c>
      <x:c r="T19" s="13" t="str">
        <x:v>Mild or ambiguous cue; do not classify without clear evidence span.</x:v>
      </x:c>
      <x:c r="U19" s="13" t="str">
        <x:v>Clear claim-level pattern with some argumentative impact.</x:v>
      </x:c>
      <x:c r="V19" s="13" t="str">
        <x:v>Strong pattern central to the conclusion and likely to materially distort reasoning.</x:v>
      </x:c>
      <x:c r="W19" s="13" t="str"/>
      <x:c r="X19" s="13" t="str">
        <x:v>sep_fallacies</x:v>
      </x:c>
      <x:c r="Y19" s="13" t="str">
        <x:v>https://plato.stanford.edu/entries/fallacies/</x:v>
      </x:c>
      <x:c r="Z19" s="13" t="str">
        <x:v>Review before enabling. This workbook is a living taxonomy scaffold, not a validated scientific benchmark.</x:v>
      </x:c>
      <x:c r="AA19" s="13" t="str">
        <x:v>0.1.0-draft</x:v>
      </x:c>
      <x:c r="AB19" s="12" t="str">
        <x:f>IF(ISNUMBER(SEARCH("healthy",F19)),"healthy_reasoning_patterns",IF(ISNUMBER(SEARCH("statistical",F19)),"statistical_reasoning",IF(ISNUMBER(SEARCH("causal",F19)),"causal_reasoning",IF(ISNUMBER(SEARCH("social",F19)),"social_influence",IF(ISNUMBER(SEARCH("rhetoric",F19)),"rhetoric_discourse",IF(ISNUMBER(SEARCH("behavior",F19)),"behavioural_economics",IF(ISNUMBER(SEARCH("cognitive",F19)),"cognitive_biases",IF(J19="protective_pattern","healthy_reasoning_patterns",IF(L19="P0","core_mvp","extended_fallacies")))))))))</x:f>
        <x:v>core_mvp</x:v>
      </x:c>
      <x:c r="AC19" s="12" t="str">
        <x:f>IF(ISNUMBER(SEARCH("operational",J19)),"operational",IF(ISNUMBER(SEARCH("deprecated",J19)),"deprecated",IF(L19="P0","canonical","recognized_subtype")))</x:f>
        <x:v>canonical</x:v>
      </x:c>
      <x:c r="AD19" s="12" t="str">
        <x:f>IF(AC19="canonical","high",IF(AC19="recognized_subtype","medium",IF(AC19="operational","operational_only","debated")))</x:f>
        <x:v>high</x:v>
      </x:c>
      <x:c r="AE19" s="12" t="str">
        <x:f>IF(AC19="deprecated","deprecated",IF(M19="yes","active",IF(M19="review","review_required","backlog")))</x:f>
        <x:v>active</x:v>
      </x:c>
      <x:c r="AF19" s="12" t="str">
        <x:f>IF(OR(AE19="active",AE19="review_required"),"yes","no")</x:f>
        <x:v>yes</x:v>
      </x:c>
      <x:c r="AG19" s="12" t="str">
        <x:f>IF(AND(AE19="active",M19="yes",NOT(ISNUMBER(SEARCH("healthy",AB19)))),"yes","no")</x:f>
        <x:v>yes</x:v>
      </x:c>
      <x:c r="AH19" s="12" t="str">
        <x:f>IF(OR(H19="contextual",H19="dialogue",H19="discourse",I19="claim+context",I19="discourse_segment"),"yes","no")</x:f>
        <x:v>no</x:v>
      </x:c>
      <x:c r="AI19" s="12" t="str">
        <x:f>IF(OR(AH19="yes",AD19="debated",AC19="operational"),"yes","no")</x:f>
        <x:v>no</x:v>
      </x:c>
      <x:c r="AJ19" s="12" t="str">
        <x:f>IF(OR(AH19="yes",AC19="operational",AD19="debated"),"high",IF(AND(AG19="yes",L19="P0"),"medium","low"))</x:f>
        <x:v>medium</x:v>
      </x:c>
      <x:c r="AK19" s="12" t="str">
        <x:f>IF(ISNUMBER(SEARCH("healthy",AB19)),"yes","no")</x:f>
        <x:v>no</x:v>
      </x:c>
      <x:c r="AL19" s="12" t="str">
        <x:f>IF(AG19="yes","yes","candidate_only")</x:f>
        <x:v>yes</x:v>
      </x:c>
      <x:c r="AM19" s="12" t="str">
        <x:f>IF(OR(AC19="canonical",AG19="yes"),"yes","recommended")</x:f>
        <x:v>yes</x:v>
      </x:c>
      <x:c r="AN19" s="12" t="str">
        <x:f>IF(AC19="deprecated","exclude",IF(AND(AG19="yes",AJ19="high"),"import_but_human_review_required",IF(AG19="yes","import_as_active","import_as_backlog")))</x:f>
        <x:v>import_as_active</x:v>
      </x:c>
      <x:c r="AO19" s="12" t="str">
        <x:f>IF(AND(AG19="yes",OR(P19="",Q19="",R19="",S19="")),"missing_required_mvp_fields",IF(AND(AC19="canonical",Y19=""),"missing_source_ref","ok"))</x:f>
        <x:v>ok</x:v>
      </x:c>
      <x:c r="AP19" s="12" t="str">
        <x:f>IF(AO19="ok","ready_for_codex_import","needs_review")</x:f>
        <x:v>ready_for_codex_import</x:v>
      </x:c>
      <x:c r="AQ19" s="12"/>
      <x:c r="AR19" s="12" t="str">
        <x:v>Added v2 operational fields. Review before classification activation.</x:v>
      </x:c>
    </x:row>
    <x:row r="20">
      <x:c r="A20" s="13" t="str">
        <x:v>converse_accident_canonical</x:v>
      </x:c>
      <x:c r="B20" s="13" t="str">
        <x:v>converse_accident</x:v>
      </x:c>
      <x:c r="C20" s="13" t="str">
        <x:v>Converse accident</x:v>
      </x:c>
      <x:c r="D20" s="13" t="str">
        <x:v>تعمیم استثنا</x:v>
      </x:c>
      <x:c r="E20" s="13" t="str">
        <x:v>Canonical form</x:v>
      </x:c>
      <x:c r="F20" s="13" t="str">
        <x:v>reasoning_failures</x:v>
      </x:c>
      <x:c r="G20" s="13" t="str">
        <x:v>canonical</x:v>
      </x:c>
      <x:c r="H20" s="13" t="str">
        <x:v>structural</x:v>
      </x:c>
      <x:c r="I20" s="13" t="str">
        <x:v>claim</x:v>
      </x:c>
      <x:c r="J20" s="13" t="str">
        <x:v>core_named_candidate</x:v>
      </x:c>
      <x:c r="K20" s="13" t="str">
        <x:v>established_parent_needs_row_review</x:v>
      </x:c>
      <x:c r="L20" s="13" t="str">
        <x:v>P0</x:v>
      </x:c>
      <x:c r="M20" s="13" t="str">
        <x:v>yes</x:v>
      </x:c>
      <x:c r="N20" s="13" t="str">
        <x:v>Operational subtype under Converse accident: the parent pattern appears in its standard recognizable form. Parent definition: Generalizing from an exceptional case to a broad rule.</x:v>
      </x:c>
      <x:c r="O20" s="13" t="str">
        <x:v>Look for: explicit claim-level evidence; parent-family cues for Converse accident; variant cue: the parent pattern appears in its standard recognizable form; avoid author-level inference.</x:v>
      </x:c>
      <x:c r="P20" s="13" t="str">
        <x:v>Exact evidence span in text plus claim-level reasoning link; for contextual/discourse entries, require surrounding context.</x:v>
      </x:c>
      <x:c r="Q20" s="13" t="str">
        <x:v>Do not label merely because topic is controversial, emotional, or wrong. Do not judge intent or personality. Require textual evidence and consider healthy-reasoning cues.</x:v>
      </x:c>
      <x:c r="R20" s="13" t="str">
        <x:v>Stub: A claim relies on the parent pattern appears in its standard recognizable form to support a conclusion without adequate qualification.</x:v>
      </x:c>
      <x:c r="S20" s="13" t="str">
        <x:v>Stub: A claim discusses converse accident with caveats, balanced evidence, or no argumentative use of the pattern.</x:v>
      </x:c>
      <x:c r="T20" s="13" t="str">
        <x:v>Mild or ambiguous cue; do not classify without clear evidence span.</x:v>
      </x:c>
      <x:c r="U20" s="13" t="str">
        <x:v>Clear claim-level pattern with some argumentative impact.</x:v>
      </x:c>
      <x:c r="V20" s="13" t="str">
        <x:v>Strong pattern central to the conclusion and likely to materially distort reasoning.</x:v>
      </x:c>
      <x:c r="W20" s="13" t="str"/>
      <x:c r="X20" s="13" t="str">
        <x:v>sep_fallacies</x:v>
      </x:c>
      <x:c r="Y20" s="13" t="str">
        <x:v>https://plato.stanford.edu/entries/fallacies/</x:v>
      </x:c>
      <x:c r="Z20" s="13" t="str">
        <x:v>Review before enabling. This workbook is a living taxonomy scaffold, not a validated scientific benchmark.</x:v>
      </x:c>
      <x:c r="AA20" s="13" t="str">
        <x:v>0.1.0-draft</x:v>
      </x:c>
      <x:c r="AB20" s="12" t="str">
        <x:f>IF(ISNUMBER(SEARCH("healthy",F20)),"healthy_reasoning_patterns",IF(ISNUMBER(SEARCH("statistical",F20)),"statistical_reasoning",IF(ISNUMBER(SEARCH("causal",F20)),"causal_reasoning",IF(ISNUMBER(SEARCH("social",F20)),"social_influence",IF(ISNUMBER(SEARCH("rhetoric",F20)),"rhetoric_discourse",IF(ISNUMBER(SEARCH("behavior",F20)),"behavioural_economics",IF(ISNUMBER(SEARCH("cognitive",F20)),"cognitive_biases",IF(J20="protective_pattern","healthy_reasoning_patterns",IF(L20="P0","core_mvp","extended_fallacies")))))))))</x:f>
        <x:v>core_mvp</x:v>
      </x:c>
      <x:c r="AC20" s="12" t="str">
        <x:f>IF(ISNUMBER(SEARCH("operational",J20)),"operational",IF(ISNUMBER(SEARCH("deprecated",J20)),"deprecated",IF(L20="P0","canonical","recognized_subtype")))</x:f>
        <x:v>canonical</x:v>
      </x:c>
      <x:c r="AD20" s="12" t="str">
        <x:f>IF(AC20="canonical","high",IF(AC20="recognized_subtype","medium",IF(AC20="operational","operational_only","debated")))</x:f>
        <x:v>high</x:v>
      </x:c>
      <x:c r="AE20" s="12" t="str">
        <x:f>IF(AC20="deprecated","deprecated",IF(M20="yes","active",IF(M20="review","review_required","backlog")))</x:f>
        <x:v>active</x:v>
      </x:c>
      <x:c r="AF20" s="12" t="str">
        <x:f>IF(OR(AE20="active",AE20="review_required"),"yes","no")</x:f>
        <x:v>yes</x:v>
      </x:c>
      <x:c r="AG20" s="12" t="str">
        <x:f>IF(AND(AE20="active",M20="yes",NOT(ISNUMBER(SEARCH("healthy",AB20)))),"yes","no")</x:f>
        <x:v>yes</x:v>
      </x:c>
      <x:c r="AH20" s="12" t="str">
        <x:f>IF(OR(H20="contextual",H20="dialogue",H20="discourse",I20="claim+context",I20="discourse_segment"),"yes","no")</x:f>
        <x:v>no</x:v>
      </x:c>
      <x:c r="AI20" s="12" t="str">
        <x:f>IF(OR(AH20="yes",AD20="debated",AC20="operational"),"yes","no")</x:f>
        <x:v>no</x:v>
      </x:c>
      <x:c r="AJ20" s="12" t="str">
        <x:f>IF(OR(AH20="yes",AC20="operational",AD20="debated"),"high",IF(AND(AG20="yes",L20="P0"),"medium","low"))</x:f>
        <x:v>medium</x:v>
      </x:c>
      <x:c r="AK20" s="12" t="str">
        <x:f>IF(ISNUMBER(SEARCH("healthy",AB20)),"yes","no")</x:f>
        <x:v>no</x:v>
      </x:c>
      <x:c r="AL20" s="12" t="str">
        <x:f>IF(AG20="yes","yes","candidate_only")</x:f>
        <x:v>yes</x:v>
      </x:c>
      <x:c r="AM20" s="12" t="str">
        <x:f>IF(OR(AC20="canonical",AG20="yes"),"yes","recommended")</x:f>
        <x:v>yes</x:v>
      </x:c>
      <x:c r="AN20" s="12" t="str">
        <x:f>IF(AC20="deprecated","exclude",IF(AND(AG20="yes",AJ20="high"),"import_but_human_review_required",IF(AG20="yes","import_as_active","import_as_backlog")))</x:f>
        <x:v>import_as_active</x:v>
      </x:c>
      <x:c r="AO20" s="12" t="str">
        <x:f>IF(AND(AG20="yes",OR(P20="",Q20="",R20="",S20="")),"missing_required_mvp_fields",IF(AND(AC20="canonical",Y20=""),"missing_source_ref","ok"))</x:f>
        <x:v>ok</x:v>
      </x:c>
      <x:c r="AP20" s="12" t="str">
        <x:f>IF(AO20="ok","ready_for_codex_import","needs_review")</x:f>
        <x:v>ready_for_codex_import</x:v>
      </x:c>
      <x:c r="AQ20" s="12"/>
      <x:c r="AR20" s="12" t="str">
        <x:v>Added v2 operational fields. Review before classification activation.</x:v>
      </x:c>
    </x:row>
    <x:row r="21">
      <x:c r="A21" s="13" t="str">
        <x:v>composition_fallacy_canonical</x:v>
      </x:c>
      <x:c r="B21" s="13" t="str">
        <x:v>composition_fallacy</x:v>
      </x:c>
      <x:c r="C21" s="13" t="str">
        <x:v>Composition</x:v>
      </x:c>
      <x:c r="D21" s="13" t="str">
        <x:v>مغالطه ترکیب</x:v>
      </x:c>
      <x:c r="E21" s="13" t="str">
        <x:v>Canonical form</x:v>
      </x:c>
      <x:c r="F21" s="13" t="str">
        <x:v>reasoning_failures</x:v>
      </x:c>
      <x:c r="G21" s="13" t="str">
        <x:v>canonical</x:v>
      </x:c>
      <x:c r="H21" s="13" t="str">
        <x:v>structural</x:v>
      </x:c>
      <x:c r="I21" s="13" t="str">
        <x:v>claim</x:v>
      </x:c>
      <x:c r="J21" s="13" t="str">
        <x:v>core_named_candidate</x:v>
      </x:c>
      <x:c r="K21" s="13" t="str">
        <x:v>established_parent_needs_row_review</x:v>
      </x:c>
      <x:c r="L21" s="13" t="str">
        <x:v>P0</x:v>
      </x:c>
      <x:c r="M21" s="13" t="str">
        <x:v>yes</x:v>
      </x:c>
      <x:c r="N21" s="13" t="str">
        <x:v>Operational subtype under Composition: the parent pattern appears in its standard recognizable form. Parent definition: Inferring that a whole has a property because its parts have it.</x:v>
      </x:c>
      <x:c r="O21" s="13" t="str">
        <x:v>Look for: explicit claim-level evidence; parent-family cues for Composition; variant cue: the parent pattern appears in its standard recognizable form; avoid author-level inference.</x:v>
      </x:c>
      <x:c r="P21" s="13" t="str">
        <x:v>Exact evidence span in text plus claim-level reasoning link; for contextual/discourse entries, require surrounding context.</x:v>
      </x:c>
      <x:c r="Q21" s="13" t="str">
        <x:v>Do not label merely because topic is controversial, emotional, or wrong. Do not judge intent or personality. Require textual evidence and consider healthy-reasoning cues.</x:v>
      </x:c>
      <x:c r="R21" s="13" t="str">
        <x:v>Stub: A claim relies on the parent pattern appears in its standard recognizable form to support a conclusion without adequate qualification.</x:v>
      </x:c>
      <x:c r="S21" s="13" t="str">
        <x:v>Stub: A claim discusses composition with caveats, balanced evidence, or no argumentative use of the pattern.</x:v>
      </x:c>
      <x:c r="T21" s="13" t="str">
        <x:v>Mild or ambiguous cue; do not classify without clear evidence span.</x:v>
      </x:c>
      <x:c r="U21" s="13" t="str">
        <x:v>Clear claim-level pattern with some argumentative impact.</x:v>
      </x:c>
      <x:c r="V21" s="13" t="str">
        <x:v>Strong pattern central to the conclusion and likely to materially distort reasoning.</x:v>
      </x:c>
      <x:c r="W21" s="13" t="str"/>
      <x:c r="X21" s="13" t="str">
        <x:v>sep_fallacies</x:v>
      </x:c>
      <x:c r="Y21" s="13" t="str">
        <x:v>https://plato.stanford.edu/entries/fallacies/</x:v>
      </x:c>
      <x:c r="Z21" s="13" t="str">
        <x:v>Review before enabling. This workbook is a living taxonomy scaffold, not a validated scientific benchmark.</x:v>
      </x:c>
      <x:c r="AA21" s="13" t="str">
        <x:v>0.1.0-draft</x:v>
      </x:c>
      <x:c r="AB21" s="12" t="str">
        <x:f>IF(ISNUMBER(SEARCH("healthy",F21)),"healthy_reasoning_patterns",IF(ISNUMBER(SEARCH("statistical",F21)),"statistical_reasoning",IF(ISNUMBER(SEARCH("causal",F21)),"causal_reasoning",IF(ISNUMBER(SEARCH("social",F21)),"social_influence",IF(ISNUMBER(SEARCH("rhetoric",F21)),"rhetoric_discourse",IF(ISNUMBER(SEARCH("behavior",F21)),"behavioural_economics",IF(ISNUMBER(SEARCH("cognitive",F21)),"cognitive_biases",IF(J21="protective_pattern","healthy_reasoning_patterns",IF(L21="P0","core_mvp","extended_fallacies")))))))))</x:f>
        <x:v>core_mvp</x:v>
      </x:c>
      <x:c r="AC21" s="12" t="str">
        <x:f>IF(ISNUMBER(SEARCH("operational",J21)),"operational",IF(ISNUMBER(SEARCH("deprecated",J21)),"deprecated",IF(L21="P0","canonical","recognized_subtype")))</x:f>
        <x:v>canonical</x:v>
      </x:c>
      <x:c r="AD21" s="12" t="str">
        <x:f>IF(AC21="canonical","high",IF(AC21="recognized_subtype","medium",IF(AC21="operational","operational_only","debated")))</x:f>
        <x:v>high</x:v>
      </x:c>
      <x:c r="AE21" s="12" t="str">
        <x:f>IF(AC21="deprecated","deprecated",IF(M21="yes","active",IF(M21="review","review_required","backlog")))</x:f>
        <x:v>active</x:v>
      </x:c>
      <x:c r="AF21" s="12" t="str">
        <x:f>IF(OR(AE21="active",AE21="review_required"),"yes","no")</x:f>
        <x:v>yes</x:v>
      </x:c>
      <x:c r="AG21" s="12" t="str">
        <x:f>IF(AND(AE21="active",M21="yes",NOT(ISNUMBER(SEARCH("healthy",AB21)))),"yes","no")</x:f>
        <x:v>yes</x:v>
      </x:c>
      <x:c r="AH21" s="12" t="str">
        <x:f>IF(OR(H21="contextual",H21="dialogue",H21="discourse",I21="claim+context",I21="discourse_segment"),"yes","no")</x:f>
        <x:v>no</x:v>
      </x:c>
      <x:c r="AI21" s="12" t="str">
        <x:f>IF(OR(AH21="yes",AD21="debated",AC21="operational"),"yes","no")</x:f>
        <x:v>no</x:v>
      </x:c>
      <x:c r="AJ21" s="12" t="str">
        <x:f>IF(OR(AH21="yes",AC21="operational",AD21="debated"),"high",IF(AND(AG21="yes",L21="P0"),"medium","low"))</x:f>
        <x:v>medium</x:v>
      </x:c>
      <x:c r="AK21" s="12" t="str">
        <x:f>IF(ISNUMBER(SEARCH("healthy",AB21)),"yes","no")</x:f>
        <x:v>no</x:v>
      </x:c>
      <x:c r="AL21" s="12" t="str">
        <x:f>IF(AG21="yes","yes","candidate_only")</x:f>
        <x:v>yes</x:v>
      </x:c>
      <x:c r="AM21" s="12" t="str">
        <x:f>IF(OR(AC21="canonical",AG21="yes"),"yes","recommended")</x:f>
        <x:v>yes</x:v>
      </x:c>
      <x:c r="AN21" s="12" t="str">
        <x:f>IF(AC21="deprecated","exclude",IF(AND(AG21="yes",AJ21="high"),"import_but_human_review_required",IF(AG21="yes","import_as_active","import_as_backlog")))</x:f>
        <x:v>import_as_active</x:v>
      </x:c>
      <x:c r="AO21" s="12" t="str">
        <x:f>IF(AND(AG21="yes",OR(P21="",Q21="",R21="",S21="")),"missing_required_mvp_fields",IF(AND(AC21="canonical",Y21=""),"missing_source_ref","ok"))</x:f>
        <x:v>ok</x:v>
      </x:c>
      <x:c r="AP21" s="12" t="str">
        <x:f>IF(AO21="ok","ready_for_codex_import","needs_review")</x:f>
        <x:v>ready_for_codex_import</x:v>
      </x:c>
      <x:c r="AQ21" s="12"/>
      <x:c r="AR21" s="12" t="str">
        <x:v>Added v2 operational fields. Review before classification activation.</x:v>
      </x:c>
    </x:row>
    <x:row r="22">
      <x:c r="A22" s="13" t="str">
        <x:v>division_fallacy_canonical</x:v>
      </x:c>
      <x:c r="B22" s="13" t="str">
        <x:v>division_fallacy</x:v>
      </x:c>
      <x:c r="C22" s="13" t="str">
        <x:v>Division</x:v>
      </x:c>
      <x:c r="D22" s="13" t="str">
        <x:v>مغالطه تقسیم</x:v>
      </x:c>
      <x:c r="E22" s="13" t="str">
        <x:v>Canonical form</x:v>
      </x:c>
      <x:c r="F22" s="13" t="str">
        <x:v>reasoning_failures</x:v>
      </x:c>
      <x:c r="G22" s="13" t="str">
        <x:v>canonical</x:v>
      </x:c>
      <x:c r="H22" s="13" t="str">
        <x:v>structural</x:v>
      </x:c>
      <x:c r="I22" s="13" t="str">
        <x:v>claim</x:v>
      </x:c>
      <x:c r="J22" s="13" t="str">
        <x:v>core_named_candidate</x:v>
      </x:c>
      <x:c r="K22" s="13" t="str">
        <x:v>established_parent_needs_row_review</x:v>
      </x:c>
      <x:c r="L22" s="13" t="str">
        <x:v>P0</x:v>
      </x:c>
      <x:c r="M22" s="13" t="str">
        <x:v>yes</x:v>
      </x:c>
      <x:c r="N22" s="13" t="str">
        <x:v>Operational subtype under Division: the parent pattern appears in its standard recognizable form. Parent definition: Inferring that parts have a property because the whole has it.</x:v>
      </x:c>
      <x:c r="O22" s="13" t="str">
        <x:v>Look for: explicit claim-level evidence; parent-family cues for Division; variant cue: the parent pattern appears in its standard recognizable form; avoid author-level inference.</x:v>
      </x:c>
      <x:c r="P22" s="13" t="str">
        <x:v>Exact evidence span in text plus claim-level reasoning link; for contextual/discourse entries, require surrounding context.</x:v>
      </x:c>
      <x:c r="Q22" s="13" t="str">
        <x:v>Do not label merely because topic is controversial, emotional, or wrong. Do not judge intent or personality. Require textual evidence and consider healthy-reasoning cues.</x:v>
      </x:c>
      <x:c r="R22" s="13" t="str">
        <x:v>Stub: A claim relies on the parent pattern appears in its standard recognizable form to support a conclusion without adequate qualification.</x:v>
      </x:c>
      <x:c r="S22" s="13" t="str">
        <x:v>Stub: A claim discusses division with caveats, balanced evidence, or no argumentative use of the pattern.</x:v>
      </x:c>
      <x:c r="T22" s="13" t="str">
        <x:v>Mild or ambiguous cue; do not classify without clear evidence span.</x:v>
      </x:c>
      <x:c r="U22" s="13" t="str">
        <x:v>Clear claim-level pattern with some argumentative impact.</x:v>
      </x:c>
      <x:c r="V22" s="13" t="str">
        <x:v>Strong pattern central to the conclusion and likely to materially distort reasoning.</x:v>
      </x:c>
      <x:c r="W22" s="13" t="str"/>
      <x:c r="X22" s="13" t="str">
        <x:v>sep_fallacies</x:v>
      </x:c>
      <x:c r="Y22" s="13" t="str">
        <x:v>https://plato.stanford.edu/entries/fallacies/</x:v>
      </x:c>
      <x:c r="Z22" s="13" t="str">
        <x:v>Review before enabling. This workbook is a living taxonomy scaffold, not a validated scientific benchmark.</x:v>
      </x:c>
      <x:c r="AA22" s="13" t="str">
        <x:v>0.1.0-draft</x:v>
      </x:c>
      <x:c r="AB22" s="12" t="str">
        <x:f>IF(ISNUMBER(SEARCH("healthy",F22)),"healthy_reasoning_patterns",IF(ISNUMBER(SEARCH("statistical",F22)),"statistical_reasoning",IF(ISNUMBER(SEARCH("causal",F22)),"causal_reasoning",IF(ISNUMBER(SEARCH("social",F22)),"social_influence",IF(ISNUMBER(SEARCH("rhetoric",F22)),"rhetoric_discourse",IF(ISNUMBER(SEARCH("behavior",F22)),"behavioural_economics",IF(ISNUMBER(SEARCH("cognitive",F22)),"cognitive_biases",IF(J22="protective_pattern","healthy_reasoning_patterns",IF(L22="P0","core_mvp","extended_fallacies")))))))))</x:f>
        <x:v>core_mvp</x:v>
      </x:c>
      <x:c r="AC22" s="12" t="str">
        <x:f>IF(ISNUMBER(SEARCH("operational",J22)),"operational",IF(ISNUMBER(SEARCH("deprecated",J22)),"deprecated",IF(L22="P0","canonical","recognized_subtype")))</x:f>
        <x:v>canonical</x:v>
      </x:c>
      <x:c r="AD22" s="12" t="str">
        <x:f>IF(AC22="canonical","high",IF(AC22="recognized_subtype","medium",IF(AC22="operational","operational_only","debated")))</x:f>
        <x:v>high</x:v>
      </x:c>
      <x:c r="AE22" s="12" t="str">
        <x:f>IF(AC22="deprecated","deprecated",IF(M22="yes","active",IF(M22="review","review_required","backlog")))</x:f>
        <x:v>active</x:v>
      </x:c>
      <x:c r="AF22" s="12" t="str">
        <x:f>IF(OR(AE22="active",AE22="review_required"),"yes","no")</x:f>
        <x:v>yes</x:v>
      </x:c>
      <x:c r="AG22" s="12" t="str">
        <x:f>IF(AND(AE22="active",M22="yes",NOT(ISNUMBER(SEARCH("healthy",AB22)))),"yes","no")</x:f>
        <x:v>yes</x:v>
      </x:c>
      <x:c r="AH22" s="12" t="str">
        <x:f>IF(OR(H22="contextual",H22="dialogue",H22="discourse",I22="claim+context",I22="discourse_segment"),"yes","no")</x:f>
        <x:v>no</x:v>
      </x:c>
      <x:c r="AI22" s="12" t="str">
        <x:f>IF(OR(AH22="yes",AD22="debated",AC22="operational"),"yes","no")</x:f>
        <x:v>no</x:v>
      </x:c>
      <x:c r="AJ22" s="12" t="str">
        <x:f>IF(OR(AH22="yes",AC22="operational",AD22="debated"),"high",IF(AND(AG22="yes",L22="P0"),"medium","low"))</x:f>
        <x:v>medium</x:v>
      </x:c>
      <x:c r="AK22" s="12" t="str">
        <x:f>IF(ISNUMBER(SEARCH("healthy",AB22)),"yes","no")</x:f>
        <x:v>no</x:v>
      </x:c>
      <x:c r="AL22" s="12" t="str">
        <x:f>IF(AG22="yes","yes","candidate_only")</x:f>
        <x:v>yes</x:v>
      </x:c>
      <x:c r="AM22" s="12" t="str">
        <x:f>IF(OR(AC22="canonical",AG22="yes"),"yes","recommended")</x:f>
        <x:v>yes</x:v>
      </x:c>
      <x:c r="AN22" s="12" t="str">
        <x:f>IF(AC22="deprecated","exclude",IF(AND(AG22="yes",AJ22="high"),"import_but_human_review_required",IF(AG22="yes","import_as_active","import_as_backlog")))</x:f>
        <x:v>import_as_active</x:v>
      </x:c>
      <x:c r="AO22" s="12" t="str">
        <x:f>IF(AND(AG22="yes",OR(P22="",Q22="",R22="",S22="")),"missing_required_mvp_fields",IF(AND(AC22="canonical",Y22=""),"missing_source_ref","ok"))</x:f>
        <x:v>ok</x:v>
      </x:c>
      <x:c r="AP22" s="12" t="str">
        <x:f>IF(AO22="ok","ready_for_codex_import","needs_review")</x:f>
        <x:v>ready_for_codex_import</x:v>
      </x:c>
      <x:c r="AQ22" s="12"/>
      <x:c r="AR22" s="12" t="str">
        <x:v>Added v2 operational fields. Review before classification activation.</x:v>
      </x:c>
    </x:row>
    <x:row r="23">
      <x:c r="A23" s="13" t="str">
        <x:v>equivocation_canonical</x:v>
      </x:c>
      <x:c r="B23" s="13" t="str">
        <x:v>equivocation</x:v>
      </x:c>
      <x:c r="C23" s="13" t="str">
        <x:v>Equivocation</x:v>
      </x:c>
      <x:c r="D23" s="13" t="str">
        <x:v>اشتراک لفظی</x:v>
      </x:c>
      <x:c r="E23" s="13" t="str">
        <x:v>Canonical form</x:v>
      </x:c>
      <x:c r="F23" s="13" t="str">
        <x:v>reasoning_failures</x:v>
      </x:c>
      <x:c r="G23" s="13" t="str">
        <x:v>canonical</x:v>
      </x:c>
      <x:c r="H23" s="13" t="str">
        <x:v>lexical</x:v>
      </x:c>
      <x:c r="I23" s="13" t="str">
        <x:v>claim</x:v>
      </x:c>
      <x:c r="J23" s="13" t="str">
        <x:v>core_named_candidate</x:v>
      </x:c>
      <x:c r="K23" s="13" t="str">
        <x:v>established_parent_needs_row_review</x:v>
      </x:c>
      <x:c r="L23" s="13" t="str">
        <x:v>P0</x:v>
      </x:c>
      <x:c r="M23" s="13" t="str">
        <x:v>yes</x:v>
      </x:c>
      <x:c r="N23" s="13" t="str">
        <x:v>Operational subtype under Equivocation: the parent pattern appears in its standard recognizable form. Parent definition: Using a key term in different senses within the same argument.</x:v>
      </x:c>
      <x:c r="O23" s="13" t="str">
        <x:v>Look for: explicit claim-level evidence; parent-family cues for Equivocation; variant cue: the parent pattern appears in its standard recognizable form; avoid author-level inference.</x:v>
      </x:c>
      <x:c r="P23" s="13" t="str">
        <x:v>Exact evidence span in text plus claim-level reasoning link; for contextual/discourse entries, require surrounding context.</x:v>
      </x:c>
      <x:c r="Q23" s="13" t="str">
        <x:v>Do not label merely because topic is controversial, emotional, or wrong. Do not judge intent or personality. Require textual evidence and consider healthy-reasoning cues.</x:v>
      </x:c>
      <x:c r="R23" s="13" t="str">
        <x:v>Stub: A claim relies on the parent pattern appears in its standard recognizable form to support a conclusion without adequate qualification.</x:v>
      </x:c>
      <x:c r="S23" s="13" t="str">
        <x:v>Stub: A claim discusses equivocation with caveats, balanced evidence, or no argumentative use of the pattern.</x:v>
      </x:c>
      <x:c r="T23" s="13" t="str">
        <x:v>Mild or ambiguous cue; do not classify without clear evidence span.</x:v>
      </x:c>
      <x:c r="U23" s="13" t="str">
        <x:v>Clear claim-level pattern with some argumentative impact.</x:v>
      </x:c>
      <x:c r="V23" s="13" t="str">
        <x:v>Strong pattern central to the conclusion and likely to materially distort reasoning.</x:v>
      </x:c>
      <x:c r="W23" s="13" t="str"/>
      <x:c r="X23" s="13" t="str">
        <x:v>sep_fallacies</x:v>
      </x:c>
      <x:c r="Y23" s="13" t="str">
        <x:v>https://plato.stanford.edu/entries/fallacies/</x:v>
      </x:c>
      <x:c r="Z23" s="13" t="str">
        <x:v>Review before enabling. This workbook is a living taxonomy scaffold, not a validated scientific benchmark.</x:v>
      </x:c>
      <x:c r="AA23" s="13" t="str">
        <x:v>0.1.0-draft</x:v>
      </x:c>
      <x:c r="AB23" s="12" t="str">
        <x:f>IF(ISNUMBER(SEARCH("healthy",F23)),"healthy_reasoning_patterns",IF(ISNUMBER(SEARCH("statistical",F23)),"statistical_reasoning",IF(ISNUMBER(SEARCH("causal",F23)),"causal_reasoning",IF(ISNUMBER(SEARCH("social",F23)),"social_influence",IF(ISNUMBER(SEARCH("rhetoric",F23)),"rhetoric_discourse",IF(ISNUMBER(SEARCH("behavior",F23)),"behavioural_economics",IF(ISNUMBER(SEARCH("cognitive",F23)),"cognitive_biases",IF(J23="protective_pattern","healthy_reasoning_patterns",IF(L23="P0","core_mvp","extended_fallacies")))))))))</x:f>
        <x:v>core_mvp</x:v>
      </x:c>
      <x:c r="AC23" s="12" t="str">
        <x:f>IF(ISNUMBER(SEARCH("operational",J23)),"operational",IF(ISNUMBER(SEARCH("deprecated",J23)),"deprecated",IF(L23="P0","canonical","recognized_subtype")))</x:f>
        <x:v>canonical</x:v>
      </x:c>
      <x:c r="AD23" s="12" t="str">
        <x:f>IF(AC23="canonical","high",IF(AC23="recognized_subtype","medium",IF(AC23="operational","operational_only","debated")))</x:f>
        <x:v>high</x:v>
      </x:c>
      <x:c r="AE23" s="12" t="str">
        <x:f>IF(AC23="deprecated","deprecated",IF(M23="yes","active",IF(M23="review","review_required","backlog")))</x:f>
        <x:v>active</x:v>
      </x:c>
      <x:c r="AF23" s="12" t="str">
        <x:f>IF(OR(AE23="active",AE23="review_required"),"yes","no")</x:f>
        <x:v>yes</x:v>
      </x:c>
      <x:c r="AG23" s="12" t="str">
        <x:f>IF(AND(AE23="active",M23="yes",NOT(ISNUMBER(SEARCH("healthy",AB23)))),"yes","no")</x:f>
        <x:v>yes</x:v>
      </x:c>
      <x:c r="AH23" s="12" t="str">
        <x:f>IF(OR(H23="contextual",H23="dialogue",H23="discourse",I23="claim+context",I23="discourse_segment"),"yes","no")</x:f>
        <x:v>no</x:v>
      </x:c>
      <x:c r="AI23" s="12" t="str">
        <x:f>IF(OR(AH23="yes",AD23="debated",AC23="operational"),"yes","no")</x:f>
        <x:v>no</x:v>
      </x:c>
      <x:c r="AJ23" s="12" t="str">
        <x:f>IF(OR(AH23="yes",AC23="operational",AD23="debated"),"high",IF(AND(AG23="yes",L23="P0"),"medium","low"))</x:f>
        <x:v>medium</x:v>
      </x:c>
      <x:c r="AK23" s="12" t="str">
        <x:f>IF(ISNUMBER(SEARCH("healthy",AB23)),"yes","no")</x:f>
        <x:v>no</x:v>
      </x:c>
      <x:c r="AL23" s="12" t="str">
        <x:f>IF(AG23="yes","yes","candidate_only")</x:f>
        <x:v>yes</x:v>
      </x:c>
      <x:c r="AM23" s="12" t="str">
        <x:f>IF(OR(AC23="canonical",AG23="yes"),"yes","recommended")</x:f>
        <x:v>yes</x:v>
      </x:c>
      <x:c r="AN23" s="12" t="str">
        <x:f>IF(AC23="deprecated","exclude",IF(AND(AG23="yes",AJ23="high"),"import_but_human_review_required",IF(AG23="yes","import_as_active","import_as_backlog")))</x:f>
        <x:v>import_as_active</x:v>
      </x:c>
      <x:c r="AO23" s="12" t="str">
        <x:f>IF(AND(AG23="yes",OR(P23="",Q23="",R23="",S23="")),"missing_required_mvp_fields",IF(AND(AC23="canonical",Y23=""),"missing_source_ref","ok"))</x:f>
        <x:v>ok</x:v>
      </x:c>
      <x:c r="AP23" s="12" t="str">
        <x:f>IF(AO23="ok","ready_for_codex_import","needs_review")</x:f>
        <x:v>ready_for_codex_import</x:v>
      </x:c>
      <x:c r="AQ23" s="12"/>
      <x:c r="AR23" s="12" t="str">
        <x:v>Added v2 operational fields. Review before classification activation.</x:v>
      </x:c>
    </x:row>
    <x:row r="24">
      <x:c r="A24" s="13" t="str">
        <x:v>amphiboly_canonical</x:v>
      </x:c>
      <x:c r="B24" s="13" t="str">
        <x:v>amphiboly</x:v>
      </x:c>
      <x:c r="C24" s="13" t="str">
        <x:v>Amphiboly</x:v>
      </x:c>
      <x:c r="D24" s="13" t="str">
        <x:v>ابهام نحوی</x:v>
      </x:c>
      <x:c r="E24" s="13" t="str">
        <x:v>Canonical form</x:v>
      </x:c>
      <x:c r="F24" s="13" t="str">
        <x:v>reasoning_failures</x:v>
      </x:c>
      <x:c r="G24" s="13" t="str">
        <x:v>canonical</x:v>
      </x:c>
      <x:c r="H24" s="13" t="str">
        <x:v>lexical</x:v>
      </x:c>
      <x:c r="I24" s="13" t="str">
        <x:v>claim</x:v>
      </x:c>
      <x:c r="J24" s="13" t="str">
        <x:v>core_named_candidate</x:v>
      </x:c>
      <x:c r="K24" s="13" t="str">
        <x:v>established_parent_needs_row_review</x:v>
      </x:c>
      <x:c r="L24" s="13" t="str">
        <x:v>P0</x:v>
      </x:c>
      <x:c r="M24" s="13" t="str">
        <x:v>yes</x:v>
      </x:c>
      <x:c r="N24" s="13" t="str">
        <x:v>Operational subtype under Amphiboly: the parent pattern appears in its standard recognizable form. Parent definition: Relying on syntactic ambiguity to support a conclusion.</x:v>
      </x:c>
      <x:c r="O24" s="13" t="str">
        <x:v>Look for: explicit claim-level evidence; parent-family cues for Amphiboly; variant cue: the parent pattern appears in its standard recognizable form; avoid author-level inference.</x:v>
      </x:c>
      <x:c r="P24" s="13" t="str">
        <x:v>Exact evidence span in text plus claim-level reasoning link; for contextual/discourse entries, require surrounding context.</x:v>
      </x:c>
      <x:c r="Q24" s="13" t="str">
        <x:v>Do not label merely because topic is controversial, emotional, or wrong. Do not judge intent or personality. Require textual evidence and consider healthy-reasoning cues.</x:v>
      </x:c>
      <x:c r="R24" s="13" t="str">
        <x:v>Stub: A claim relies on the parent pattern appears in its standard recognizable form to support a conclusion without adequate qualification.</x:v>
      </x:c>
      <x:c r="S24" s="13" t="str">
        <x:v>Stub: A claim discusses amphiboly with caveats, balanced evidence, or no argumentative use of the pattern.</x:v>
      </x:c>
      <x:c r="T24" s="13" t="str">
        <x:v>Mild or ambiguous cue; do not classify without clear evidence span.</x:v>
      </x:c>
      <x:c r="U24" s="13" t="str">
        <x:v>Clear claim-level pattern with some argumentative impact.</x:v>
      </x:c>
      <x:c r="V24" s="13" t="str">
        <x:v>Strong pattern central to the conclusion and likely to materially distort reasoning.</x:v>
      </x:c>
      <x:c r="W24" s="13" t="str"/>
      <x:c r="X24" s="13" t="str">
        <x:v>sep_fallacies</x:v>
      </x:c>
      <x:c r="Y24" s="13" t="str">
        <x:v>https://plato.stanford.edu/entries/fallacies/</x:v>
      </x:c>
      <x:c r="Z24" s="13" t="str">
        <x:v>Review before enabling. This workbook is a living taxonomy scaffold, not a validated scientific benchmark.</x:v>
      </x:c>
      <x:c r="AA24" s="13" t="str">
        <x:v>0.1.0-draft</x:v>
      </x:c>
      <x:c r="AB24" s="12" t="str">
        <x:f>IF(ISNUMBER(SEARCH("healthy",F24)),"healthy_reasoning_patterns",IF(ISNUMBER(SEARCH("statistical",F24)),"statistical_reasoning",IF(ISNUMBER(SEARCH("causal",F24)),"causal_reasoning",IF(ISNUMBER(SEARCH("social",F24)),"social_influence",IF(ISNUMBER(SEARCH("rhetoric",F24)),"rhetoric_discourse",IF(ISNUMBER(SEARCH("behavior",F24)),"behavioural_economics",IF(ISNUMBER(SEARCH("cognitive",F24)),"cognitive_biases",IF(J24="protective_pattern","healthy_reasoning_patterns",IF(L24="P0","core_mvp","extended_fallacies")))))))))</x:f>
        <x:v>core_mvp</x:v>
      </x:c>
      <x:c r="AC24" s="12" t="str">
        <x:f>IF(ISNUMBER(SEARCH("operational",J24)),"operational",IF(ISNUMBER(SEARCH("deprecated",J24)),"deprecated",IF(L24="P0","canonical","recognized_subtype")))</x:f>
        <x:v>canonical</x:v>
      </x:c>
      <x:c r="AD24" s="12" t="str">
        <x:f>IF(AC24="canonical","high",IF(AC24="recognized_subtype","medium",IF(AC24="operational","operational_only","debated")))</x:f>
        <x:v>high</x:v>
      </x:c>
      <x:c r="AE24" s="12" t="str">
        <x:f>IF(AC24="deprecated","deprecated",IF(M24="yes","active",IF(M24="review","review_required","backlog")))</x:f>
        <x:v>active</x:v>
      </x:c>
      <x:c r="AF24" s="12" t="str">
        <x:f>IF(OR(AE24="active",AE24="review_required"),"yes","no")</x:f>
        <x:v>yes</x:v>
      </x:c>
      <x:c r="AG24" s="12" t="str">
        <x:f>IF(AND(AE24="active",M24="yes",NOT(ISNUMBER(SEARCH("healthy",AB24)))),"yes","no")</x:f>
        <x:v>yes</x:v>
      </x:c>
      <x:c r="AH24" s="12" t="str">
        <x:f>IF(OR(H24="contextual",H24="dialogue",H24="discourse",I24="claim+context",I24="discourse_segment"),"yes","no")</x:f>
        <x:v>no</x:v>
      </x:c>
      <x:c r="AI24" s="12" t="str">
        <x:f>IF(OR(AH24="yes",AD24="debated",AC24="operational"),"yes","no")</x:f>
        <x:v>no</x:v>
      </x:c>
      <x:c r="AJ24" s="12" t="str">
        <x:f>IF(OR(AH24="yes",AC24="operational",AD24="debated"),"high",IF(AND(AG24="yes",L24="P0"),"medium","low"))</x:f>
        <x:v>medium</x:v>
      </x:c>
      <x:c r="AK24" s="12" t="str">
        <x:f>IF(ISNUMBER(SEARCH("healthy",AB24)),"yes","no")</x:f>
        <x:v>no</x:v>
      </x:c>
      <x:c r="AL24" s="12" t="str">
        <x:f>IF(AG24="yes","yes","candidate_only")</x:f>
        <x:v>yes</x:v>
      </x:c>
      <x:c r="AM24" s="12" t="str">
        <x:f>IF(OR(AC24="canonical",AG24="yes"),"yes","recommended")</x:f>
        <x:v>yes</x:v>
      </x:c>
      <x:c r="AN24" s="12" t="str">
        <x:f>IF(AC24="deprecated","exclude",IF(AND(AG24="yes",AJ24="high"),"import_but_human_review_required",IF(AG24="yes","import_as_active","import_as_backlog")))</x:f>
        <x:v>import_as_active</x:v>
      </x:c>
      <x:c r="AO24" s="12" t="str">
        <x:f>IF(AND(AG24="yes",OR(P24="",Q24="",R24="",S24="")),"missing_required_mvp_fields",IF(AND(AC24="canonical",Y24=""),"missing_source_ref","ok"))</x:f>
        <x:v>ok</x:v>
      </x:c>
      <x:c r="AP24" s="12" t="str">
        <x:f>IF(AO24="ok","ready_for_codex_import","needs_review")</x:f>
        <x:v>ready_for_codex_import</x:v>
      </x:c>
      <x:c r="AQ24" s="12"/>
      <x:c r="AR24" s="12" t="str">
        <x:v>Added v2 operational fields. Review before classification activation.</x:v>
      </x:c>
    </x:row>
    <x:row r="25">
      <x:c r="A25" s="13" t="str">
        <x:v>begging_the_question_canonical</x:v>
      </x:c>
      <x:c r="B25" s="13" t="str">
        <x:v>begging_the_question</x:v>
      </x:c>
      <x:c r="C25" s="13" t="str">
        <x:v>Begging the question</x:v>
      </x:c>
      <x:c r="D25" s="13" t="str">
        <x:v>مصادره به مطلوب</x:v>
      </x:c>
      <x:c r="E25" s="13" t="str">
        <x:v>Canonical form</x:v>
      </x:c>
      <x:c r="F25" s="13" t="str">
        <x:v>reasoning_failures</x:v>
      </x:c>
      <x:c r="G25" s="13" t="str">
        <x:v>canonical</x:v>
      </x:c>
      <x:c r="H25" s="13" t="str">
        <x:v>structural</x:v>
      </x:c>
      <x:c r="I25" s="13" t="str">
        <x:v>claim</x:v>
      </x:c>
      <x:c r="J25" s="13" t="str">
        <x:v>core_named_candidate</x:v>
      </x:c>
      <x:c r="K25" s="13" t="str">
        <x:v>established_parent_needs_row_review</x:v>
      </x:c>
      <x:c r="L25" s="13" t="str">
        <x:v>P0</x:v>
      </x:c>
      <x:c r="M25" s="13" t="str">
        <x:v>yes</x:v>
      </x:c>
      <x:c r="N25" s="13" t="str">
        <x:v>Operational subtype under Begging the question: the parent pattern appears in its standard recognizable form. Parent definition: Assuming what the argument is meant to prove.</x:v>
      </x:c>
      <x:c r="O25" s="13" t="str">
        <x:v>Look for: explicit claim-level evidence; parent-family cues for Begging the question; variant cue: the parent pattern appears in its standard recognizable form; avoid author-level inference.</x:v>
      </x:c>
      <x:c r="P25" s="13" t="str">
        <x:v>Exact evidence span in text plus claim-level reasoning link; for contextual/discourse entries, require surrounding context.</x:v>
      </x:c>
      <x:c r="Q25" s="13" t="str">
        <x:v>Do not label merely because topic is controversial, emotional, or wrong. Do not judge intent or personality. Require textual evidence and consider healthy-reasoning cues.</x:v>
      </x:c>
      <x:c r="R25" s="13" t="str">
        <x:v>Stub: A claim relies on the parent pattern appears in its standard recognizable form to support a conclusion without adequate qualification.</x:v>
      </x:c>
      <x:c r="S25" s="13" t="str">
        <x:v>Stub: A claim discusses begging the question with caveats, balanced evidence, or no argumentative use of the pattern.</x:v>
      </x:c>
      <x:c r="T25" s="13" t="str">
        <x:v>Mild or ambiguous cue; do not classify without clear evidence span.</x:v>
      </x:c>
      <x:c r="U25" s="13" t="str">
        <x:v>Clear claim-level pattern with some argumentative impact.</x:v>
      </x:c>
      <x:c r="V25" s="13" t="str">
        <x:v>Strong pattern central to the conclusion and likely to materially distort reasoning.</x:v>
      </x:c>
      <x:c r="W25" s="13" t="str"/>
      <x:c r="X25" s="13" t="str">
        <x:v>sep_fallacies</x:v>
      </x:c>
      <x:c r="Y25" s="13" t="str">
        <x:v>https://plato.stanford.edu/entries/fallacies/</x:v>
      </x:c>
      <x:c r="Z25" s="13" t="str">
        <x:v>Review before enabling. This workbook is a living taxonomy scaffold, not a validated scientific benchmark.</x:v>
      </x:c>
      <x:c r="AA25" s="13" t="str">
        <x:v>0.1.0-draft</x:v>
      </x:c>
      <x:c r="AB25" s="12" t="str">
        <x:f>IF(ISNUMBER(SEARCH("healthy",F25)),"healthy_reasoning_patterns",IF(ISNUMBER(SEARCH("statistical",F25)),"statistical_reasoning",IF(ISNUMBER(SEARCH("causal",F25)),"causal_reasoning",IF(ISNUMBER(SEARCH("social",F25)),"social_influence",IF(ISNUMBER(SEARCH("rhetoric",F25)),"rhetoric_discourse",IF(ISNUMBER(SEARCH("behavior",F25)),"behavioural_economics",IF(ISNUMBER(SEARCH("cognitive",F25)),"cognitive_biases",IF(J25="protective_pattern","healthy_reasoning_patterns",IF(L25="P0","core_mvp","extended_fallacies")))))))))</x:f>
        <x:v>core_mvp</x:v>
      </x:c>
      <x:c r="AC25" s="12" t="str">
        <x:f>IF(ISNUMBER(SEARCH("operational",J25)),"operational",IF(ISNUMBER(SEARCH("deprecated",J25)),"deprecated",IF(L25="P0","canonical","recognized_subtype")))</x:f>
        <x:v>canonical</x:v>
      </x:c>
      <x:c r="AD25" s="12" t="str">
        <x:f>IF(AC25="canonical","high",IF(AC25="recognized_subtype","medium",IF(AC25="operational","operational_only","debated")))</x:f>
        <x:v>high</x:v>
      </x:c>
      <x:c r="AE25" s="12" t="str">
        <x:f>IF(AC25="deprecated","deprecated",IF(M25="yes","active",IF(M25="review","review_required","backlog")))</x:f>
        <x:v>active</x:v>
      </x:c>
      <x:c r="AF25" s="12" t="str">
        <x:f>IF(OR(AE25="active",AE25="review_required"),"yes","no")</x:f>
        <x:v>yes</x:v>
      </x:c>
      <x:c r="AG25" s="12" t="str">
        <x:f>IF(AND(AE25="active",M25="yes",NOT(ISNUMBER(SEARCH("healthy",AB25)))),"yes","no")</x:f>
        <x:v>yes</x:v>
      </x:c>
      <x:c r="AH25" s="12" t="str">
        <x:f>IF(OR(H25="contextual",H25="dialogue",H25="discourse",I25="claim+context",I25="discourse_segment"),"yes","no")</x:f>
        <x:v>no</x:v>
      </x:c>
      <x:c r="AI25" s="12" t="str">
        <x:f>IF(OR(AH25="yes",AD25="debated",AC25="operational"),"yes","no")</x:f>
        <x:v>no</x:v>
      </x:c>
      <x:c r="AJ25" s="12" t="str">
        <x:f>IF(OR(AH25="yes",AC25="operational",AD25="debated"),"high",IF(AND(AG25="yes",L25="P0"),"medium","low"))</x:f>
        <x:v>medium</x:v>
      </x:c>
      <x:c r="AK25" s="12" t="str">
        <x:f>IF(ISNUMBER(SEARCH("healthy",AB25)),"yes","no")</x:f>
        <x:v>no</x:v>
      </x:c>
      <x:c r="AL25" s="12" t="str">
        <x:f>IF(AG25="yes","yes","candidate_only")</x:f>
        <x:v>yes</x:v>
      </x:c>
      <x:c r="AM25" s="12" t="str">
        <x:f>IF(OR(AC25="canonical",AG25="yes"),"yes","recommended")</x:f>
        <x:v>yes</x:v>
      </x:c>
      <x:c r="AN25" s="12" t="str">
        <x:f>IF(AC25="deprecated","exclude",IF(AND(AG25="yes",AJ25="high"),"import_but_human_review_required",IF(AG25="yes","import_as_active","import_as_backlog")))</x:f>
        <x:v>import_as_active</x:v>
      </x:c>
      <x:c r="AO25" s="12" t="str">
        <x:f>IF(AND(AG25="yes",OR(P25="",Q25="",R25="",S25="")),"missing_required_mvp_fields",IF(AND(AC25="canonical",Y25=""),"missing_source_ref","ok"))</x:f>
        <x:v>ok</x:v>
      </x:c>
      <x:c r="AP25" s="12" t="str">
        <x:f>IF(AO25="ok","ready_for_codex_import","needs_review")</x:f>
        <x:v>ready_for_codex_import</x:v>
      </x:c>
      <x:c r="AQ25" s="12"/>
      <x:c r="AR25" s="12" t="str">
        <x:v>Added v2 operational fields. Review before classification activation.</x:v>
      </x:c>
    </x:row>
    <x:row r="26">
      <x:c r="A26" s="13" t="str">
        <x:v>circular_reasoning_canonical</x:v>
      </x:c>
      <x:c r="B26" s="13" t="str">
        <x:v>circular_reasoning</x:v>
      </x:c>
      <x:c r="C26" s="13" t="str">
        <x:v>Circular reasoning</x:v>
      </x:c>
      <x:c r="D26" s="13" t="str">
        <x:v>استدلال دوری</x:v>
      </x:c>
      <x:c r="E26" s="13" t="str">
        <x:v>Canonical form</x:v>
      </x:c>
      <x:c r="F26" s="13" t="str">
        <x:v>reasoning_failures</x:v>
      </x:c>
      <x:c r="G26" s="13" t="str">
        <x:v>canonical</x:v>
      </x:c>
      <x:c r="H26" s="13" t="str">
        <x:v>structural</x:v>
      </x:c>
      <x:c r="I26" s="13" t="str">
        <x:v>claim</x:v>
      </x:c>
      <x:c r="J26" s="13" t="str">
        <x:v>core_named_candidate</x:v>
      </x:c>
      <x:c r="K26" s="13" t="str">
        <x:v>established_parent_needs_row_review</x:v>
      </x:c>
      <x:c r="L26" s="13" t="str">
        <x:v>P0</x:v>
      </x:c>
      <x:c r="M26" s="13" t="str">
        <x:v>yes</x:v>
      </x:c>
      <x:c r="N26" s="13" t="str">
        <x:v>Operational subtype under Circular reasoning: the parent pattern appears in its standard recognizable form. Parent definition: Using the conclusion, directly or indirectly, as support for itself.</x:v>
      </x:c>
      <x:c r="O26" s="13" t="str">
        <x:v>Look for: explicit claim-level evidence; parent-family cues for Circular reasoning; variant cue: the parent pattern appears in its standard recognizable form; avoid author-level inference.</x:v>
      </x:c>
      <x:c r="P26" s="13" t="str">
        <x:v>Exact evidence span in text plus claim-level reasoning link; for contextual/discourse entries, require surrounding context.</x:v>
      </x:c>
      <x:c r="Q26" s="13" t="str">
        <x:v>Do not label merely because topic is controversial, emotional, or wrong. Do not judge intent or personality. Require textual evidence and consider healthy-reasoning cues.</x:v>
      </x:c>
      <x:c r="R26" s="13" t="str">
        <x:v>Stub: A claim relies on the parent pattern appears in its standard recognizable form to support a conclusion without adequate qualification.</x:v>
      </x:c>
      <x:c r="S26" s="13" t="str">
        <x:v>Stub: A claim discusses circular reasoning with caveats, balanced evidence, or no argumentative use of the pattern.</x:v>
      </x:c>
      <x:c r="T26" s="13" t="str">
        <x:v>Mild or ambiguous cue; do not classify without clear evidence span.</x:v>
      </x:c>
      <x:c r="U26" s="13" t="str">
        <x:v>Clear claim-level pattern with some argumentative impact.</x:v>
      </x:c>
      <x:c r="V26" s="13" t="str">
        <x:v>Strong pattern central to the conclusion and likely to materially distort reasoning.</x:v>
      </x:c>
      <x:c r="W26" s="13" t="str"/>
      <x:c r="X26" s="13" t="str">
        <x:v>sep_fallacies</x:v>
      </x:c>
      <x:c r="Y26" s="13" t="str">
        <x:v>https://plato.stanford.edu/entries/fallacies/</x:v>
      </x:c>
      <x:c r="Z26" s="13" t="str">
        <x:v>Review before enabling. This workbook is a living taxonomy scaffold, not a validated scientific benchmark.</x:v>
      </x:c>
      <x:c r="AA26" s="13" t="str">
        <x:v>0.1.0-draft</x:v>
      </x:c>
      <x:c r="AB26" s="12" t="str">
        <x:f>IF(ISNUMBER(SEARCH("healthy",F26)),"healthy_reasoning_patterns",IF(ISNUMBER(SEARCH("statistical",F26)),"statistical_reasoning",IF(ISNUMBER(SEARCH("causal",F26)),"causal_reasoning",IF(ISNUMBER(SEARCH("social",F26)),"social_influence",IF(ISNUMBER(SEARCH("rhetoric",F26)),"rhetoric_discourse",IF(ISNUMBER(SEARCH("behavior",F26)),"behavioural_economics",IF(ISNUMBER(SEARCH("cognitive",F26)),"cognitive_biases",IF(J26="protective_pattern","healthy_reasoning_patterns",IF(L26="P0","core_mvp","extended_fallacies")))))))))</x:f>
        <x:v>core_mvp</x:v>
      </x:c>
      <x:c r="AC26" s="12" t="str">
        <x:f>IF(ISNUMBER(SEARCH("operational",J26)),"operational",IF(ISNUMBER(SEARCH("deprecated",J26)),"deprecated",IF(L26="P0","canonical","recognized_subtype")))</x:f>
        <x:v>canonical</x:v>
      </x:c>
      <x:c r="AD26" s="12" t="str">
        <x:f>IF(AC26="canonical","high",IF(AC26="recognized_subtype","medium",IF(AC26="operational","operational_only","debated")))</x:f>
        <x:v>high</x:v>
      </x:c>
      <x:c r="AE26" s="12" t="str">
        <x:f>IF(AC26="deprecated","deprecated",IF(M26="yes","active",IF(M26="review","review_required","backlog")))</x:f>
        <x:v>active</x:v>
      </x:c>
      <x:c r="AF26" s="12" t="str">
        <x:f>IF(OR(AE26="active",AE26="review_required"),"yes","no")</x:f>
        <x:v>yes</x:v>
      </x:c>
      <x:c r="AG26" s="12" t="str">
        <x:f>IF(AND(AE26="active",M26="yes",NOT(ISNUMBER(SEARCH("healthy",AB26)))),"yes","no")</x:f>
        <x:v>yes</x:v>
      </x:c>
      <x:c r="AH26" s="12" t="str">
        <x:f>IF(OR(H26="contextual",H26="dialogue",H26="discourse",I26="claim+context",I26="discourse_segment"),"yes","no")</x:f>
        <x:v>no</x:v>
      </x:c>
      <x:c r="AI26" s="12" t="str">
        <x:f>IF(OR(AH26="yes",AD26="debated",AC26="operational"),"yes","no")</x:f>
        <x:v>no</x:v>
      </x:c>
      <x:c r="AJ26" s="12" t="str">
        <x:f>IF(OR(AH26="yes",AC26="operational",AD26="debated"),"high",IF(AND(AG26="yes",L26="P0"),"medium","low"))</x:f>
        <x:v>medium</x:v>
      </x:c>
      <x:c r="AK26" s="12" t="str">
        <x:f>IF(ISNUMBER(SEARCH("healthy",AB26)),"yes","no")</x:f>
        <x:v>no</x:v>
      </x:c>
      <x:c r="AL26" s="12" t="str">
        <x:f>IF(AG26="yes","yes","candidate_only")</x:f>
        <x:v>yes</x:v>
      </x:c>
      <x:c r="AM26" s="12" t="str">
        <x:f>IF(OR(AC26="canonical",AG26="yes"),"yes","recommended")</x:f>
        <x:v>yes</x:v>
      </x:c>
      <x:c r="AN26" s="12" t="str">
        <x:f>IF(AC26="deprecated","exclude",IF(AND(AG26="yes",AJ26="high"),"import_but_human_review_required",IF(AG26="yes","import_as_active","import_as_backlog")))</x:f>
        <x:v>import_as_active</x:v>
      </x:c>
      <x:c r="AO26" s="12" t="str">
        <x:f>IF(AND(AG26="yes",OR(P26="",Q26="",R26="",S26="")),"missing_required_mvp_fields",IF(AND(AC26="canonical",Y26=""),"missing_source_ref","ok"))</x:f>
        <x:v>ok</x:v>
      </x:c>
      <x:c r="AP26" s="12" t="str">
        <x:f>IF(AO26="ok","ready_for_codex_import","needs_review")</x:f>
        <x:v>ready_for_codex_import</x:v>
      </x:c>
      <x:c r="AQ26" s="12"/>
      <x:c r="AR26" s="12" t="str">
        <x:v>Added v2 operational fields. Review before classification activation.</x:v>
      </x:c>
    </x:row>
    <x:row r="27">
      <x:c r="A27" s="13" t="str">
        <x:v>loaded_question_canonical</x:v>
      </x:c>
      <x:c r="B27" s="13" t="str">
        <x:v>loaded_question</x:v>
      </x:c>
      <x:c r="C27" s="13" t="str">
        <x:v>Loaded question</x:v>
      </x:c>
      <x:c r="D27" s="13" t="str">
        <x:v>پرسش بارگذاری‌شده</x:v>
      </x:c>
      <x:c r="E27" s="13" t="str">
        <x:v>Canonical form</x:v>
      </x:c>
      <x:c r="F27" s="13" t="str">
        <x:v>reasoning_failures</x:v>
      </x:c>
      <x:c r="G27" s="13" t="str">
        <x:v>canonical</x:v>
      </x:c>
      <x:c r="H27" s="13" t="str">
        <x:v>structural</x:v>
      </x:c>
      <x:c r="I27" s="13" t="str">
        <x:v>claim</x:v>
      </x:c>
      <x:c r="J27" s="13" t="str">
        <x:v>core_named_candidate</x:v>
      </x:c>
      <x:c r="K27" s="13" t="str">
        <x:v>established_parent_needs_row_review</x:v>
      </x:c>
      <x:c r="L27" s="13" t="str">
        <x:v>P0</x:v>
      </x:c>
      <x:c r="M27" s="13" t="str">
        <x:v>yes</x:v>
      </x:c>
      <x:c r="N27" s="13" t="str">
        <x:v>Operational subtype under Loaded question: the parent pattern appears in its standard recognizable form. Parent definition: Asking a question that embeds a disputed presupposition.</x:v>
      </x:c>
      <x:c r="O27" s="13" t="str">
        <x:v>Look for: explicit claim-level evidence; parent-family cues for Loaded question; variant cue: the parent pattern appears in its standard recognizable form; avoid author-level inference.</x:v>
      </x:c>
      <x:c r="P27" s="13" t="str">
        <x:v>Exact evidence span in text plus claim-level reasoning link; for contextual/discourse entries, require surrounding context.</x:v>
      </x:c>
      <x:c r="Q27" s="13" t="str">
        <x:v>Do not label merely because topic is controversial, emotional, or wrong. Do not judge intent or personality. Require textual evidence and consider healthy-reasoning cues.</x:v>
      </x:c>
      <x:c r="R27" s="13" t="str">
        <x:v>Stub: A claim relies on the parent pattern appears in its standard recognizable form to support a conclusion without adequate qualification.</x:v>
      </x:c>
      <x:c r="S27" s="13" t="str">
        <x:v>Stub: A claim discusses loaded question with caveats, balanced evidence, or no argumentative use of the pattern.</x:v>
      </x:c>
      <x:c r="T27" s="13" t="str">
        <x:v>Mild or ambiguous cue; do not classify without clear evidence span.</x:v>
      </x:c>
      <x:c r="U27" s="13" t="str">
        <x:v>Clear claim-level pattern with some argumentative impact.</x:v>
      </x:c>
      <x:c r="V27" s="13" t="str">
        <x:v>Strong pattern central to the conclusion and likely to materially distort reasoning.</x:v>
      </x:c>
      <x:c r="W27" s="13" t="str"/>
      <x:c r="X27" s="13" t="str">
        <x:v>sep_fallacies</x:v>
      </x:c>
      <x:c r="Y27" s="13" t="str">
        <x:v>https://plato.stanford.edu/entries/fallacies/</x:v>
      </x:c>
      <x:c r="Z27" s="13" t="str">
        <x:v>Review before enabling. This workbook is a living taxonomy scaffold, not a validated scientific benchmark.</x:v>
      </x:c>
      <x:c r="AA27" s="13" t="str">
        <x:v>0.1.0-draft</x:v>
      </x:c>
      <x:c r="AB27" s="12" t="str">
        <x:f>IF(ISNUMBER(SEARCH("healthy",F27)),"healthy_reasoning_patterns",IF(ISNUMBER(SEARCH("statistical",F27)),"statistical_reasoning",IF(ISNUMBER(SEARCH("causal",F27)),"causal_reasoning",IF(ISNUMBER(SEARCH("social",F27)),"social_influence",IF(ISNUMBER(SEARCH("rhetoric",F27)),"rhetoric_discourse",IF(ISNUMBER(SEARCH("behavior",F27)),"behavioural_economics",IF(ISNUMBER(SEARCH("cognitive",F27)),"cognitive_biases",IF(J27="protective_pattern","healthy_reasoning_patterns",IF(L27="P0","core_mvp","extended_fallacies")))))))))</x:f>
        <x:v>core_mvp</x:v>
      </x:c>
      <x:c r="AC27" s="12" t="str">
        <x:f>IF(ISNUMBER(SEARCH("operational",J27)),"operational",IF(ISNUMBER(SEARCH("deprecated",J27)),"deprecated",IF(L27="P0","canonical","recognized_subtype")))</x:f>
        <x:v>canonical</x:v>
      </x:c>
      <x:c r="AD27" s="12" t="str">
        <x:f>IF(AC27="canonical","high",IF(AC27="recognized_subtype","medium",IF(AC27="operational","operational_only","debated")))</x:f>
        <x:v>high</x:v>
      </x:c>
      <x:c r="AE27" s="12" t="str">
        <x:f>IF(AC27="deprecated","deprecated",IF(M27="yes","active",IF(M27="review","review_required","backlog")))</x:f>
        <x:v>active</x:v>
      </x:c>
      <x:c r="AF27" s="12" t="str">
        <x:f>IF(OR(AE27="active",AE27="review_required"),"yes","no")</x:f>
        <x:v>yes</x:v>
      </x:c>
      <x:c r="AG27" s="12" t="str">
        <x:f>IF(AND(AE27="active",M27="yes",NOT(ISNUMBER(SEARCH("healthy",AB27)))),"yes","no")</x:f>
        <x:v>yes</x:v>
      </x:c>
      <x:c r="AH27" s="12" t="str">
        <x:f>IF(OR(H27="contextual",H27="dialogue",H27="discourse",I27="claim+context",I27="discourse_segment"),"yes","no")</x:f>
        <x:v>no</x:v>
      </x:c>
      <x:c r="AI27" s="12" t="str">
        <x:f>IF(OR(AH27="yes",AD27="debated",AC27="operational"),"yes","no")</x:f>
        <x:v>no</x:v>
      </x:c>
      <x:c r="AJ27" s="12" t="str">
        <x:f>IF(OR(AH27="yes",AC27="operational",AD27="debated"),"high",IF(AND(AG27="yes",L27="P0"),"medium","low"))</x:f>
        <x:v>medium</x:v>
      </x:c>
      <x:c r="AK27" s="12" t="str">
        <x:f>IF(ISNUMBER(SEARCH("healthy",AB27)),"yes","no")</x:f>
        <x:v>no</x:v>
      </x:c>
      <x:c r="AL27" s="12" t="str">
        <x:f>IF(AG27="yes","yes","candidate_only")</x:f>
        <x:v>yes</x:v>
      </x:c>
      <x:c r="AM27" s="12" t="str">
        <x:f>IF(OR(AC27="canonical",AG27="yes"),"yes","recommended")</x:f>
        <x:v>yes</x:v>
      </x:c>
      <x:c r="AN27" s="12" t="str">
        <x:f>IF(AC27="deprecated","exclude",IF(AND(AG27="yes",AJ27="high"),"import_but_human_review_required",IF(AG27="yes","import_as_active","import_as_backlog")))</x:f>
        <x:v>import_as_active</x:v>
      </x:c>
      <x:c r="AO27" s="12" t="str">
        <x:f>IF(AND(AG27="yes",OR(P27="",Q27="",R27="",S27="")),"missing_required_mvp_fields",IF(AND(AC27="canonical",Y27=""),"missing_source_ref","ok"))</x:f>
        <x:v>ok</x:v>
      </x:c>
      <x:c r="AP27" s="12" t="str">
        <x:f>IF(AO27="ok","ready_for_codex_import","needs_review")</x:f>
        <x:v>ready_for_codex_import</x:v>
      </x:c>
      <x:c r="AQ27" s="12"/>
      <x:c r="AR27" s="12" t="str">
        <x:v>Added v2 operational fields. Review before classification activation.</x:v>
      </x:c>
    </x:row>
    <x:row r="28">
      <x:c r="A28" s="13" t="str">
        <x:v>red_herring_canonical</x:v>
      </x:c>
      <x:c r="B28" s="13" t="str">
        <x:v>red_herring</x:v>
      </x:c>
      <x:c r="C28" s="13" t="str">
        <x:v>Red herring</x:v>
      </x:c>
      <x:c r="D28" s="13" t="str">
        <x:v>انحراف بحث</x:v>
      </x:c>
      <x:c r="E28" s="13" t="str">
        <x:v>Canonical form</x:v>
      </x:c>
      <x:c r="F28" s="13" t="str">
        <x:v>reasoning_failures</x:v>
      </x:c>
      <x:c r="G28" s="13" t="str">
        <x:v>canonical</x:v>
      </x:c>
      <x:c r="H28" s="13" t="str">
        <x:v>dialogue</x:v>
      </x:c>
      <x:c r="I28" s="13" t="str">
        <x:v>discourse_segment</x:v>
      </x:c>
      <x:c r="J28" s="13" t="str">
        <x:v>core_named_candidate</x:v>
      </x:c>
      <x:c r="K28" s="13" t="str">
        <x:v>established_parent_needs_row_review</x:v>
      </x:c>
      <x:c r="L28" s="13" t="str">
        <x:v>P0</x:v>
      </x:c>
      <x:c r="M28" s="13" t="str">
        <x:v>yes</x:v>
      </x:c>
      <x:c r="N28" s="13" t="str">
        <x:v>Operational subtype under Red herring: the parent pattern appears in its standard recognizable form. Parent definition: Introducing irrelevant material that distracts from the issue.</x:v>
      </x:c>
      <x:c r="O28" s="13" t="str">
        <x:v>Look for: explicit claim-level evidence; parent-family cues for Red herring; variant cue: the parent pattern appears in its standard recognizable form; avoid author-level inference.</x:v>
      </x:c>
      <x:c r="P28" s="13" t="str">
        <x:v>Exact evidence span in text plus claim-level reasoning link; for contextual/discourse entries, require surrounding context.</x:v>
      </x:c>
      <x:c r="Q28" s="13" t="str">
        <x:v>Do not label merely because topic is controversial, emotional, or wrong. Do not judge intent or personality. Require textual evidence and consider healthy-reasoning cues.</x:v>
      </x:c>
      <x:c r="R28" s="13" t="str">
        <x:v>Stub: A claim relies on the parent pattern appears in its standard recognizable form to support a conclusion without adequate qualification.</x:v>
      </x:c>
      <x:c r="S28" s="13" t="str">
        <x:v>Stub: A claim discusses red herring with caveats, balanced evidence, or no argumentative use of the pattern.</x:v>
      </x:c>
      <x:c r="T28" s="13" t="str">
        <x:v>Mild or ambiguous cue; do not classify without clear evidence span.</x:v>
      </x:c>
      <x:c r="U28" s="13" t="str">
        <x:v>Clear claim-level pattern with some argumentative impact.</x:v>
      </x:c>
      <x:c r="V28" s="13" t="str">
        <x:v>Strong pattern central to the conclusion and likely to materially distort reasoning.</x:v>
      </x:c>
      <x:c r="W28" s="13" t="str"/>
      <x:c r="X28" s="13" t="str">
        <x:v>sep_fallacies</x:v>
      </x:c>
      <x:c r="Y28" s="13" t="str">
        <x:v>https://plato.stanford.edu/entries/fallacies/</x:v>
      </x:c>
      <x:c r="Z28" s="13" t="str">
        <x:v>Review before enabling. This workbook is a living taxonomy scaffold, not a validated scientific benchmark.</x:v>
      </x:c>
      <x:c r="AA28" s="13" t="str">
        <x:v>0.1.0-draft</x:v>
      </x:c>
      <x:c r="AB28" s="12" t="str">
        <x:f>IF(ISNUMBER(SEARCH("healthy",F28)),"healthy_reasoning_patterns",IF(ISNUMBER(SEARCH("statistical",F28)),"statistical_reasoning",IF(ISNUMBER(SEARCH("causal",F28)),"causal_reasoning",IF(ISNUMBER(SEARCH("social",F28)),"social_influence",IF(ISNUMBER(SEARCH("rhetoric",F28)),"rhetoric_discourse",IF(ISNUMBER(SEARCH("behavior",F28)),"behavioural_economics",IF(ISNUMBER(SEARCH("cognitive",F28)),"cognitive_biases",IF(J28="protective_pattern","healthy_reasoning_patterns",IF(L28="P0","core_mvp","extended_fallacies")))))))))</x:f>
        <x:v>core_mvp</x:v>
      </x:c>
      <x:c r="AC28" s="12" t="str">
        <x:f>IF(ISNUMBER(SEARCH("operational",J28)),"operational",IF(ISNUMBER(SEARCH("deprecated",J28)),"deprecated",IF(L28="P0","canonical","recognized_subtype")))</x:f>
        <x:v>canonical</x:v>
      </x:c>
      <x:c r="AD28" s="12" t="str">
        <x:f>IF(AC28="canonical","high",IF(AC28="recognized_subtype","medium",IF(AC28="operational","operational_only","debated")))</x:f>
        <x:v>high</x:v>
      </x:c>
      <x:c r="AE28" s="12" t="str">
        <x:f>IF(AC28="deprecated","deprecated",IF(M28="yes","active",IF(M28="review","review_required","backlog")))</x:f>
        <x:v>active</x:v>
      </x:c>
      <x:c r="AF28" s="12" t="str">
        <x:f>IF(OR(AE28="active",AE28="review_required"),"yes","no")</x:f>
        <x:v>yes</x:v>
      </x:c>
      <x:c r="AG28" s="12" t="str">
        <x:f>IF(AND(AE28="active",M28="yes",NOT(ISNUMBER(SEARCH("healthy",AB28)))),"yes","no")</x:f>
        <x:v>yes</x:v>
      </x:c>
      <x:c r="AH28" s="12" t="str">
        <x:f>IF(OR(H28="contextual",H28="dialogue",H28="discourse",I28="claim+context",I28="discourse_segment"),"yes","no")</x:f>
        <x:v>yes</x:v>
      </x:c>
      <x:c r="AI28" s="12" t="str">
        <x:f>IF(OR(AH28="yes",AD28="debated",AC28="operational"),"yes","no")</x:f>
        <x:v>yes</x:v>
      </x:c>
      <x:c r="AJ28" s="12" t="str">
        <x:f>IF(OR(AH28="yes",AC28="operational",AD28="debated"),"high",IF(AND(AG28="yes",L28="P0"),"medium","low"))</x:f>
        <x:v>high</x:v>
      </x:c>
      <x:c r="AK28" s="12" t="str">
        <x:f>IF(ISNUMBER(SEARCH("healthy",AB28)),"yes","no")</x:f>
        <x:v>no</x:v>
      </x:c>
      <x:c r="AL28" s="12" t="str">
        <x:f>IF(AG28="yes","yes","candidate_only")</x:f>
        <x:v>yes</x:v>
      </x:c>
      <x:c r="AM28" s="12" t="str">
        <x:f>IF(OR(AC28="canonical",AG28="yes"),"yes","recommended")</x:f>
        <x:v>yes</x:v>
      </x:c>
      <x:c r="AN28" s="12" t="str">
        <x:f>IF(AC28="deprecated","exclude",IF(AND(AG28="yes",AJ28="high"),"import_but_human_review_required",IF(AG28="yes","import_as_active","import_as_backlog")))</x:f>
        <x:v>import_but_human_review_required</x:v>
      </x:c>
      <x:c r="AO28" s="12" t="str">
        <x:f>IF(AND(AG28="yes",OR(P28="",Q28="",R28="",S28="")),"missing_required_mvp_fields",IF(AND(AC28="canonical",Y28=""),"missing_source_ref","ok"))</x:f>
        <x:v>ok</x:v>
      </x:c>
      <x:c r="AP28" s="12" t="str">
        <x:f>IF(AO28="ok","ready_for_codex_import","needs_review")</x:f>
        <x:v>ready_for_codex_import</x:v>
      </x:c>
      <x:c r="AQ28" s="12"/>
      <x:c r="AR28" s="12" t="str">
        <x:v>Added v2 operational fields. Review before classification activation.</x:v>
      </x:c>
    </x:row>
    <x:row r="29">
      <x:c r="A29" s="13" t="str">
        <x:v>ignoratio_elenchi_canonical</x:v>
      </x:c>
      <x:c r="B29" s="13" t="str">
        <x:v>ignoratio_elenchi</x:v>
      </x:c>
      <x:c r="C29" s="13" t="str">
        <x:v>Irrelevant conclusion</x:v>
      </x:c>
      <x:c r="D29" s="13" t="str">
        <x:v>نتیجه نامربوط</x:v>
      </x:c>
      <x:c r="E29" s="13" t="str">
        <x:v>Canonical form</x:v>
      </x:c>
      <x:c r="F29" s="13" t="str">
        <x:v>reasoning_failures</x:v>
      </x:c>
      <x:c r="G29" s="13" t="str">
        <x:v>canonical</x:v>
      </x:c>
      <x:c r="H29" s="13" t="str">
        <x:v>structural</x:v>
      </x:c>
      <x:c r="I29" s="13" t="str">
        <x:v>claim</x:v>
      </x:c>
      <x:c r="J29" s="13" t="str">
        <x:v>core_named_candidate</x:v>
      </x:c>
      <x:c r="K29" s="13" t="str">
        <x:v>established_parent_needs_row_review</x:v>
      </x:c>
      <x:c r="L29" s="13" t="str">
        <x:v>P0</x:v>
      </x:c>
      <x:c r="M29" s="13" t="str">
        <x:v>yes</x:v>
      </x:c>
      <x:c r="N29" s="13" t="str">
        <x:v>Operational subtype under Irrelevant conclusion: the parent pattern appears in its standard recognizable form. Parent definition: Offering support for a conclusion different from the one at issue.</x:v>
      </x:c>
      <x:c r="O29" s="13" t="str">
        <x:v>Look for: explicit claim-level evidence; parent-family cues for Irrelevant conclusion; variant cue: the parent pattern appears in its standard recognizable form; avoid author-level inference.</x:v>
      </x:c>
      <x:c r="P29" s="13" t="str">
        <x:v>Exact evidence span in text plus claim-level reasoning link; for contextual/discourse entries, require surrounding context.</x:v>
      </x:c>
      <x:c r="Q29" s="13" t="str">
        <x:v>Do not label merely because topic is controversial, emotional, or wrong. Do not judge intent or personality. Require textual evidence and consider healthy-reasoning cues.</x:v>
      </x:c>
      <x:c r="R29" s="13" t="str">
        <x:v>Stub: A claim relies on the parent pattern appears in its standard recognizable form to support a conclusion without adequate qualification.</x:v>
      </x:c>
      <x:c r="S29" s="13" t="str">
        <x:v>Stub: A claim discusses irrelevant conclusion with caveats, balanced evidence, or no argumentative use of the pattern.</x:v>
      </x:c>
      <x:c r="T29" s="13" t="str">
        <x:v>Mild or ambiguous cue; do not classify without clear evidence span.</x:v>
      </x:c>
      <x:c r="U29" s="13" t="str">
        <x:v>Clear claim-level pattern with some argumentative impact.</x:v>
      </x:c>
      <x:c r="V29" s="13" t="str">
        <x:v>Strong pattern central to the conclusion and likely to materially distort reasoning.</x:v>
      </x:c>
      <x:c r="W29" s="13" t="str"/>
      <x:c r="X29" s="13" t="str">
        <x:v>sep_fallacies</x:v>
      </x:c>
      <x:c r="Y29" s="13" t="str">
        <x:v>https://plato.stanford.edu/entries/fallacies/</x:v>
      </x:c>
      <x:c r="Z29" s="13" t="str">
        <x:v>Review before enabling. This workbook is a living taxonomy scaffold, not a validated scientific benchmark.</x:v>
      </x:c>
      <x:c r="AA29" s="13" t="str">
        <x:v>0.1.0-draft</x:v>
      </x:c>
      <x:c r="AB29" s="12" t="str">
        <x:f>IF(ISNUMBER(SEARCH("healthy",F29)),"healthy_reasoning_patterns",IF(ISNUMBER(SEARCH("statistical",F29)),"statistical_reasoning",IF(ISNUMBER(SEARCH("causal",F29)),"causal_reasoning",IF(ISNUMBER(SEARCH("social",F29)),"social_influence",IF(ISNUMBER(SEARCH("rhetoric",F29)),"rhetoric_discourse",IF(ISNUMBER(SEARCH("behavior",F29)),"behavioural_economics",IF(ISNUMBER(SEARCH("cognitive",F29)),"cognitive_biases",IF(J29="protective_pattern","healthy_reasoning_patterns",IF(L29="P0","core_mvp","extended_fallacies")))))))))</x:f>
        <x:v>core_mvp</x:v>
      </x:c>
      <x:c r="AC29" s="12" t="str">
        <x:f>IF(ISNUMBER(SEARCH("operational",J29)),"operational",IF(ISNUMBER(SEARCH("deprecated",J29)),"deprecated",IF(L29="P0","canonical","recognized_subtype")))</x:f>
        <x:v>canonical</x:v>
      </x:c>
      <x:c r="AD29" s="12" t="str">
        <x:f>IF(AC29="canonical","high",IF(AC29="recognized_subtype","medium",IF(AC29="operational","operational_only","debated")))</x:f>
        <x:v>high</x:v>
      </x:c>
      <x:c r="AE29" s="12" t="str">
        <x:f>IF(AC29="deprecated","deprecated",IF(M29="yes","active",IF(M29="review","review_required","backlog")))</x:f>
        <x:v>active</x:v>
      </x:c>
      <x:c r="AF29" s="12" t="str">
        <x:f>IF(OR(AE29="active",AE29="review_required"),"yes","no")</x:f>
        <x:v>yes</x:v>
      </x:c>
      <x:c r="AG29" s="12" t="str">
        <x:f>IF(AND(AE29="active",M29="yes",NOT(ISNUMBER(SEARCH("healthy",AB29)))),"yes","no")</x:f>
        <x:v>yes</x:v>
      </x:c>
      <x:c r="AH29" s="12" t="str">
        <x:f>IF(OR(H29="contextual",H29="dialogue",H29="discourse",I29="claim+context",I29="discourse_segment"),"yes","no")</x:f>
        <x:v>no</x:v>
      </x:c>
      <x:c r="AI29" s="12" t="str">
        <x:f>IF(OR(AH29="yes",AD29="debated",AC29="operational"),"yes","no")</x:f>
        <x:v>no</x:v>
      </x:c>
      <x:c r="AJ29" s="12" t="str">
        <x:f>IF(OR(AH29="yes",AC29="operational",AD29="debated"),"high",IF(AND(AG29="yes",L29="P0"),"medium","low"))</x:f>
        <x:v>medium</x:v>
      </x:c>
      <x:c r="AK29" s="12" t="str">
        <x:f>IF(ISNUMBER(SEARCH("healthy",AB29)),"yes","no")</x:f>
        <x:v>no</x:v>
      </x:c>
      <x:c r="AL29" s="12" t="str">
        <x:f>IF(AG29="yes","yes","candidate_only")</x:f>
        <x:v>yes</x:v>
      </x:c>
      <x:c r="AM29" s="12" t="str">
        <x:f>IF(OR(AC29="canonical",AG29="yes"),"yes","recommended")</x:f>
        <x:v>yes</x:v>
      </x:c>
      <x:c r="AN29" s="12" t="str">
        <x:f>IF(AC29="deprecated","exclude",IF(AND(AG29="yes",AJ29="high"),"import_but_human_review_required",IF(AG29="yes","import_as_active","import_as_backlog")))</x:f>
        <x:v>import_as_active</x:v>
      </x:c>
      <x:c r="AO29" s="12" t="str">
        <x:f>IF(AND(AG29="yes",OR(P29="",Q29="",R29="",S29="")),"missing_required_mvp_fields",IF(AND(AC29="canonical",Y29=""),"missing_source_ref","ok"))</x:f>
        <x:v>ok</x:v>
      </x:c>
      <x:c r="AP29" s="12" t="str">
        <x:f>IF(AO29="ok","ready_for_codex_import","needs_review")</x:f>
        <x:v>ready_for_codex_import</x:v>
      </x:c>
      <x:c r="AQ29" s="12"/>
      <x:c r="AR29" s="12" t="str">
        <x:v>Added v2 operational fields. Review before classification activation.</x:v>
      </x:c>
    </x:row>
    <x:row r="30">
      <x:c r="A30" s="13" t="str">
        <x:v>moving_goalposts_canonical</x:v>
      </x:c>
      <x:c r="B30" s="13" t="str">
        <x:v>moving_goalposts</x:v>
      </x:c>
      <x:c r="C30" s="13" t="str">
        <x:v>Moving the goalposts</x:v>
      </x:c>
      <x:c r="D30" s="13" t="str">
        <x:v>تغییر معیار پس از پاسخ</x:v>
      </x:c>
      <x:c r="E30" s="13" t="str">
        <x:v>Canonical form</x:v>
      </x:c>
      <x:c r="F30" s="13" t="str">
        <x:v>reasoning_failures</x:v>
      </x:c>
      <x:c r="G30" s="13" t="str">
        <x:v>canonical</x:v>
      </x:c>
      <x:c r="H30" s="13" t="str">
        <x:v>dialogue</x:v>
      </x:c>
      <x:c r="I30" s="13" t="str">
        <x:v>discourse_segment</x:v>
      </x:c>
      <x:c r="J30" s="13" t="str">
        <x:v>core_named_candidate</x:v>
      </x:c>
      <x:c r="K30" s="13" t="str">
        <x:v>established_parent_needs_row_review</x:v>
      </x:c>
      <x:c r="L30" s="13" t="str">
        <x:v>P0</x:v>
      </x:c>
      <x:c r="M30" s="13" t="str">
        <x:v>yes</x:v>
      </x:c>
      <x:c r="N30" s="13" t="str">
        <x:v>Operational subtype under Moving the goalposts: the parent pattern appears in its standard recognizable form. Parent definition: Changing acceptance criteria after evidence has been provided.</x:v>
      </x:c>
      <x:c r="O30" s="13" t="str">
        <x:v>Look for: explicit claim-level evidence; parent-family cues for Moving the goalposts; variant cue: the parent pattern appears in its standard recognizable form; avoid author-level inference.</x:v>
      </x:c>
      <x:c r="P30" s="13" t="str">
        <x:v>Exact evidence span in text plus claim-level reasoning link; for contextual/discourse entries, require surrounding context.</x:v>
      </x:c>
      <x:c r="Q30" s="13" t="str">
        <x:v>Do not label merely because topic is controversial, emotional, or wrong. Do not judge intent or personality. Require textual evidence and consider healthy-reasoning cues.</x:v>
      </x:c>
      <x:c r="R30" s="13" t="str">
        <x:v>Stub: A claim relies on the parent pattern appears in its standard recognizable form to support a conclusion without adequate qualification.</x:v>
      </x:c>
      <x:c r="S30" s="13" t="str">
        <x:v>Stub: A claim discusses moving the goalposts with caveats, balanced evidence, or no argumentative use of the pattern.</x:v>
      </x:c>
      <x:c r="T30" s="13" t="str">
        <x:v>Mild or ambiguous cue; do not classify without clear evidence span.</x:v>
      </x:c>
      <x:c r="U30" s="13" t="str">
        <x:v>Clear claim-level pattern with some argumentative impact.</x:v>
      </x:c>
      <x:c r="V30" s="13" t="str">
        <x:v>Strong pattern central to the conclusion and likely to materially distort reasoning.</x:v>
      </x:c>
      <x:c r="W30" s="13" t="str">
        <x:v>cherry_picking; missing_counterevidence; evidence_grading</x:v>
      </x:c>
      <x:c r="X30" s="13" t="str">
        <x:v>pragmadialectics</x:v>
      </x:c>
      <x:c r="Y30" s="13" t="str">
        <x:v>https://doi.org/10.1017/CBO9780511616389</x:v>
      </x:c>
      <x:c r="Z30" s="13" t="str">
        <x:v>Review before enabling. This workbook is a living taxonomy scaffold, not a validated scientific benchmark.</x:v>
      </x:c>
      <x:c r="AA30" s="13" t="str">
        <x:v>0.1.0-draft</x:v>
      </x:c>
      <x:c r="AB30" s="12" t="str">
        <x:f>IF(ISNUMBER(SEARCH("healthy",F30)),"healthy_reasoning_patterns",IF(ISNUMBER(SEARCH("statistical",F30)),"statistical_reasoning",IF(ISNUMBER(SEARCH("causal",F30)),"causal_reasoning",IF(ISNUMBER(SEARCH("social",F30)),"social_influence",IF(ISNUMBER(SEARCH("rhetoric",F30)),"rhetoric_discourse",IF(ISNUMBER(SEARCH("behavior",F30)),"behavioural_economics",IF(ISNUMBER(SEARCH("cognitive",F30)),"cognitive_biases",IF(J30="protective_pattern","healthy_reasoning_patterns",IF(L30="P0","core_mvp","extended_fallacies")))))))))</x:f>
        <x:v>core_mvp</x:v>
      </x:c>
      <x:c r="AC30" s="12" t="str">
        <x:f>IF(ISNUMBER(SEARCH("operational",J30)),"operational",IF(ISNUMBER(SEARCH("deprecated",J30)),"deprecated",IF(L30="P0","canonical","recognized_subtype")))</x:f>
        <x:v>canonical</x:v>
      </x:c>
      <x:c r="AD30" s="12" t="str">
        <x:f>IF(AC30="canonical","high",IF(AC30="recognized_subtype","medium",IF(AC30="operational","operational_only","debated")))</x:f>
        <x:v>high</x:v>
      </x:c>
      <x:c r="AE30" s="12" t="str">
        <x:f>IF(AC30="deprecated","deprecated",IF(M30="yes","active",IF(M30="review","review_required","backlog")))</x:f>
        <x:v>active</x:v>
      </x:c>
      <x:c r="AF30" s="12" t="str">
        <x:f>IF(OR(AE30="active",AE30="review_required"),"yes","no")</x:f>
        <x:v>yes</x:v>
      </x:c>
      <x:c r="AG30" s="12" t="str">
        <x:f>IF(AND(AE30="active",M30="yes",NOT(ISNUMBER(SEARCH("healthy",AB30)))),"yes","no")</x:f>
        <x:v>yes</x:v>
      </x:c>
      <x:c r="AH30" s="12" t="str">
        <x:f>IF(OR(H30="contextual",H30="dialogue",H30="discourse",I30="claim+context",I30="discourse_segment"),"yes","no")</x:f>
        <x:v>yes</x:v>
      </x:c>
      <x:c r="AI30" s="12" t="str">
        <x:f>IF(OR(AH30="yes",AD30="debated",AC30="operational"),"yes","no")</x:f>
        <x:v>yes</x:v>
      </x:c>
      <x:c r="AJ30" s="12" t="str">
        <x:f>IF(OR(AH30="yes",AC30="operational",AD30="debated"),"high",IF(AND(AG30="yes",L30="P0"),"medium","low"))</x:f>
        <x:v>high</x:v>
      </x:c>
      <x:c r="AK30" s="12" t="str">
        <x:f>IF(ISNUMBER(SEARCH("healthy",AB30)),"yes","no")</x:f>
        <x:v>no</x:v>
      </x:c>
      <x:c r="AL30" s="12" t="str">
        <x:f>IF(AG30="yes","yes","candidate_only")</x:f>
        <x:v>yes</x:v>
      </x:c>
      <x:c r="AM30" s="12" t="str">
        <x:f>IF(OR(AC30="canonical",AG30="yes"),"yes","recommended")</x:f>
        <x:v>yes</x:v>
      </x:c>
      <x:c r="AN30" s="12" t="str">
        <x:f>IF(AC30="deprecated","exclude",IF(AND(AG30="yes",AJ30="high"),"import_but_human_review_required",IF(AG30="yes","import_as_active","import_as_backlog")))</x:f>
        <x:v>import_but_human_review_required</x:v>
      </x:c>
      <x:c r="AO30" s="12" t="str">
        <x:f>IF(AND(AG30="yes",OR(P30="",Q30="",R30="",S30="")),"missing_required_mvp_fields",IF(AND(AC30="canonical",Y30=""),"missing_source_ref","ok"))</x:f>
        <x:v>ok</x:v>
      </x:c>
      <x:c r="AP30" s="12" t="str">
        <x:f>IF(AO30="ok","ready_for_codex_import","needs_review")</x:f>
        <x:v>ready_for_codex_import</x:v>
      </x:c>
      <x:c r="AQ30" s="12"/>
      <x:c r="AR30" s="12" t="str">
        <x:v>Added v2 operational fields. Review before classification activation.</x:v>
      </x:c>
    </x:row>
    <x:row r="31">
      <x:c r="A31" s="13" t="str">
        <x:v>no_true_scotsman_canonical</x:v>
      </x:c>
      <x:c r="B31" s="13" t="str">
        <x:v>no_true_scotsman</x:v>
      </x:c>
      <x:c r="C31" s="13" t="str">
        <x:v>No true Scotsman</x:v>
      </x:c>
      <x:c r="D31" s="13" t="str">
        <x:v>اسکاتلندی واقعی نیست</x:v>
      </x:c>
      <x:c r="E31" s="13" t="str">
        <x:v>Canonical form</x:v>
      </x:c>
      <x:c r="F31" s="13" t="str">
        <x:v>reasoning_failures</x:v>
      </x:c>
      <x:c r="G31" s="13" t="str">
        <x:v>canonical</x:v>
      </x:c>
      <x:c r="H31" s="13" t="str">
        <x:v>dialogue</x:v>
      </x:c>
      <x:c r="I31" s="13" t="str">
        <x:v>discourse_segment</x:v>
      </x:c>
      <x:c r="J31" s="13" t="str">
        <x:v>core_named_candidate</x:v>
      </x:c>
      <x:c r="K31" s="13" t="str">
        <x:v>established_parent_needs_row_review</x:v>
      </x:c>
      <x:c r="L31" s="13" t="str">
        <x:v>P0</x:v>
      </x:c>
      <x:c r="M31" s="13" t="str">
        <x:v>yes</x:v>
      </x:c>
      <x:c r="N31" s="13" t="str">
        <x:v>Operational subtype under No true Scotsman: the parent pattern appears in its standard recognizable form. Parent definition: Protecting a generalization by redefining membership ad hoc.</x:v>
      </x:c>
      <x:c r="O31" s="13" t="str">
        <x:v>Look for: explicit claim-level evidence; parent-family cues for No true Scotsman; variant cue: the parent pattern appears in its standard recognizable form; avoid author-level inference.</x:v>
      </x:c>
      <x:c r="P31" s="13" t="str">
        <x:v>Exact evidence span in text plus claim-level reasoning link; for contextual/discourse entries, require surrounding context.</x:v>
      </x:c>
      <x:c r="Q31" s="13" t="str">
        <x:v>Do not label merely because topic is controversial, emotional, or wrong. Do not judge intent or personality. Require textual evidence and consider healthy-reasoning cues.</x:v>
      </x:c>
      <x:c r="R31" s="13" t="str">
        <x:v>Stub: A claim relies on the parent pattern appears in its standard recognizable form to support a conclusion without adequate qualification.</x:v>
      </x:c>
      <x:c r="S31" s="13" t="str">
        <x:v>Stub: A claim discusses no true scotsman with caveats, balanced evidence, or no argumentative use of the pattern.</x:v>
      </x:c>
      <x:c r="T31" s="13" t="str">
        <x:v>Mild or ambiguous cue; do not classify without clear evidence span.</x:v>
      </x:c>
      <x:c r="U31" s="13" t="str">
        <x:v>Clear claim-level pattern with some argumentative impact.</x:v>
      </x:c>
      <x:c r="V31" s="13" t="str">
        <x:v>Strong pattern central to the conclusion and likely to materially distort reasoning.</x:v>
      </x:c>
      <x:c r="W31" s="13" t="str"/>
      <x:c r="X31" s="13" t="str">
        <x:v>sep_fallacies</x:v>
      </x:c>
      <x:c r="Y31" s="13" t="str">
        <x:v>https://plato.stanford.edu/entries/fallacies/</x:v>
      </x:c>
      <x:c r="Z31" s="13" t="str">
        <x:v>Review before enabling. This workbook is a living taxonomy scaffold, not a validated scientific benchmark.</x:v>
      </x:c>
      <x:c r="AA31" s="13" t="str">
        <x:v>0.1.0-draft</x:v>
      </x:c>
      <x:c r="AB31" s="12" t="str">
        <x:f>IF(ISNUMBER(SEARCH("healthy",F31)),"healthy_reasoning_patterns",IF(ISNUMBER(SEARCH("statistical",F31)),"statistical_reasoning",IF(ISNUMBER(SEARCH("causal",F31)),"causal_reasoning",IF(ISNUMBER(SEARCH("social",F31)),"social_influence",IF(ISNUMBER(SEARCH("rhetoric",F31)),"rhetoric_discourse",IF(ISNUMBER(SEARCH("behavior",F31)),"behavioural_economics",IF(ISNUMBER(SEARCH("cognitive",F31)),"cognitive_biases",IF(J31="protective_pattern","healthy_reasoning_patterns",IF(L31="P0","core_mvp","extended_fallacies")))))))))</x:f>
        <x:v>core_mvp</x:v>
      </x:c>
      <x:c r="AC31" s="12" t="str">
        <x:f>IF(ISNUMBER(SEARCH("operational",J31)),"operational",IF(ISNUMBER(SEARCH("deprecated",J31)),"deprecated",IF(L31="P0","canonical","recognized_subtype")))</x:f>
        <x:v>canonical</x:v>
      </x:c>
      <x:c r="AD31" s="12" t="str">
        <x:f>IF(AC31="canonical","high",IF(AC31="recognized_subtype","medium",IF(AC31="operational","operational_only","debated")))</x:f>
        <x:v>high</x:v>
      </x:c>
      <x:c r="AE31" s="12" t="str">
        <x:f>IF(AC31="deprecated","deprecated",IF(M31="yes","active",IF(M31="review","review_required","backlog")))</x:f>
        <x:v>active</x:v>
      </x:c>
      <x:c r="AF31" s="12" t="str">
        <x:f>IF(OR(AE31="active",AE31="review_required"),"yes","no")</x:f>
        <x:v>yes</x:v>
      </x:c>
      <x:c r="AG31" s="12" t="str">
        <x:f>IF(AND(AE31="active",M31="yes",NOT(ISNUMBER(SEARCH("healthy",AB31)))),"yes","no")</x:f>
        <x:v>yes</x:v>
      </x:c>
      <x:c r="AH31" s="12" t="str">
        <x:f>IF(OR(H31="contextual",H31="dialogue",H31="discourse",I31="claim+context",I31="discourse_segment"),"yes","no")</x:f>
        <x:v>yes</x:v>
      </x:c>
      <x:c r="AI31" s="12" t="str">
        <x:f>IF(OR(AH31="yes",AD31="debated",AC31="operational"),"yes","no")</x:f>
        <x:v>yes</x:v>
      </x:c>
      <x:c r="AJ31" s="12" t="str">
        <x:f>IF(OR(AH31="yes",AC31="operational",AD31="debated"),"high",IF(AND(AG31="yes",L31="P0"),"medium","low"))</x:f>
        <x:v>high</x:v>
      </x:c>
      <x:c r="AK31" s="12" t="str">
        <x:f>IF(ISNUMBER(SEARCH("healthy",AB31)),"yes","no")</x:f>
        <x:v>no</x:v>
      </x:c>
      <x:c r="AL31" s="12" t="str">
        <x:f>IF(AG31="yes","yes","candidate_only")</x:f>
        <x:v>yes</x:v>
      </x:c>
      <x:c r="AM31" s="12" t="str">
        <x:f>IF(OR(AC31="canonical",AG31="yes"),"yes","recommended")</x:f>
        <x:v>yes</x:v>
      </x:c>
      <x:c r="AN31" s="12" t="str">
        <x:f>IF(AC31="deprecated","exclude",IF(AND(AG31="yes",AJ31="high"),"import_but_human_review_required",IF(AG31="yes","import_as_active","import_as_backlog")))</x:f>
        <x:v>import_but_human_review_required</x:v>
      </x:c>
      <x:c r="AO31" s="12" t="str">
        <x:f>IF(AND(AG31="yes",OR(P31="",Q31="",R31="",S31="")),"missing_required_mvp_fields",IF(AND(AC31="canonical",Y31=""),"missing_source_ref","ok"))</x:f>
        <x:v>ok</x:v>
      </x:c>
      <x:c r="AP31" s="12" t="str">
        <x:f>IF(AO31="ok","ready_for_codex_import","needs_review")</x:f>
        <x:v>ready_for_codex_import</x:v>
      </x:c>
      <x:c r="AQ31" s="12"/>
      <x:c r="AR31" s="12" t="str">
        <x:v>Added v2 operational fields. Review before classification activation.</x:v>
      </x:c>
    </x:row>
    <x:row r="32">
      <x:c r="A32" s="13" t="str">
        <x:v>special_pleading_canonical</x:v>
      </x:c>
      <x:c r="B32" s="13" t="str">
        <x:v>special_pleading</x:v>
      </x:c>
      <x:c r="C32" s="13" t="str">
        <x:v>Special pleading</x:v>
      </x:c>
      <x:c r="D32" s="13" t="str">
        <x:v>استثناسازی ناموجه</x:v>
      </x:c>
      <x:c r="E32" s="13" t="str">
        <x:v>Canonical form</x:v>
      </x:c>
      <x:c r="F32" s="13" t="str">
        <x:v>reasoning_failures</x:v>
      </x:c>
      <x:c r="G32" s="13" t="str">
        <x:v>canonical</x:v>
      </x:c>
      <x:c r="H32" s="13" t="str">
        <x:v>dialogue</x:v>
      </x:c>
      <x:c r="I32" s="13" t="str">
        <x:v>discourse_segment</x:v>
      </x:c>
      <x:c r="J32" s="13" t="str">
        <x:v>core_named_candidate</x:v>
      </x:c>
      <x:c r="K32" s="13" t="str">
        <x:v>established_parent_needs_row_review</x:v>
      </x:c>
      <x:c r="L32" s="13" t="str">
        <x:v>P0</x:v>
      </x:c>
      <x:c r="M32" s="13" t="str">
        <x:v>yes</x:v>
      </x:c>
      <x:c r="N32" s="13" t="str">
        <x:v>Operational subtype under Special pleading: the parent pattern appears in its standard recognizable form. Parent definition: Applying standards inconsistently without relevant justification.</x:v>
      </x:c>
      <x:c r="O32" s="13" t="str">
        <x:v>Look for: explicit claim-level evidence; parent-family cues for Special pleading; variant cue: the parent pattern appears in its standard recognizable form; avoid author-level inference.</x:v>
      </x:c>
      <x:c r="P32" s="13" t="str">
        <x:v>Exact evidence span in text plus claim-level reasoning link; for contextual/discourse entries, require surrounding context.</x:v>
      </x:c>
      <x:c r="Q32" s="13" t="str">
        <x:v>Do not label merely because topic is controversial, emotional, or wrong. Do not judge intent or personality. Require textual evidence and consider healthy-reasoning cues.</x:v>
      </x:c>
      <x:c r="R32" s="13" t="str">
        <x:v>Stub: A claim relies on the parent pattern appears in its standard recognizable form to support a conclusion without adequate qualification.</x:v>
      </x:c>
      <x:c r="S32" s="13" t="str">
        <x:v>Stub: A claim discusses special pleading with caveats, balanced evidence, or no argumentative use of the pattern.</x:v>
      </x:c>
      <x:c r="T32" s="13" t="str">
        <x:v>Mild or ambiguous cue; do not classify without clear evidence span.</x:v>
      </x:c>
      <x:c r="U32" s="13" t="str">
        <x:v>Clear claim-level pattern with some argumentative impact.</x:v>
      </x:c>
      <x:c r="V32" s="13" t="str">
        <x:v>Strong pattern central to the conclusion and likely to materially distort reasoning.</x:v>
      </x:c>
      <x:c r="W32" s="13" t="str"/>
      <x:c r="X32" s="13" t="str">
        <x:v>sep_fallacies</x:v>
      </x:c>
      <x:c r="Y32" s="13" t="str">
        <x:v>https://plato.stanford.edu/entries/fallacies/</x:v>
      </x:c>
      <x:c r="Z32" s="13" t="str">
        <x:v>Review before enabling. This workbook is a living taxonomy scaffold, not a validated scientific benchmark.</x:v>
      </x:c>
      <x:c r="AA32" s="13" t="str">
        <x:v>0.1.0-draft</x:v>
      </x:c>
      <x:c r="AB32" s="12" t="str">
        <x:f>IF(ISNUMBER(SEARCH("healthy",F32)),"healthy_reasoning_patterns",IF(ISNUMBER(SEARCH("statistical",F32)),"statistical_reasoning",IF(ISNUMBER(SEARCH("causal",F32)),"causal_reasoning",IF(ISNUMBER(SEARCH("social",F32)),"social_influence",IF(ISNUMBER(SEARCH("rhetoric",F32)),"rhetoric_discourse",IF(ISNUMBER(SEARCH("behavior",F32)),"behavioural_economics",IF(ISNUMBER(SEARCH("cognitive",F32)),"cognitive_biases",IF(J32="protective_pattern","healthy_reasoning_patterns",IF(L32="P0","core_mvp","extended_fallacies")))))))))</x:f>
        <x:v>core_mvp</x:v>
      </x:c>
      <x:c r="AC32" s="12" t="str">
        <x:f>IF(ISNUMBER(SEARCH("operational",J32)),"operational",IF(ISNUMBER(SEARCH("deprecated",J32)),"deprecated",IF(L32="P0","canonical","recognized_subtype")))</x:f>
        <x:v>canonical</x:v>
      </x:c>
      <x:c r="AD32" s="12" t="str">
        <x:f>IF(AC32="canonical","high",IF(AC32="recognized_subtype","medium",IF(AC32="operational","operational_only","debated")))</x:f>
        <x:v>high</x:v>
      </x:c>
      <x:c r="AE32" s="12" t="str">
        <x:f>IF(AC32="deprecated","deprecated",IF(M32="yes","active",IF(M32="review","review_required","backlog")))</x:f>
        <x:v>active</x:v>
      </x:c>
      <x:c r="AF32" s="12" t="str">
        <x:f>IF(OR(AE32="active",AE32="review_required"),"yes","no")</x:f>
        <x:v>yes</x:v>
      </x:c>
      <x:c r="AG32" s="12" t="str">
        <x:f>IF(AND(AE32="active",M32="yes",NOT(ISNUMBER(SEARCH("healthy",AB32)))),"yes","no")</x:f>
        <x:v>yes</x:v>
      </x:c>
      <x:c r="AH32" s="12" t="str">
        <x:f>IF(OR(H32="contextual",H32="dialogue",H32="discourse",I32="claim+context",I32="discourse_segment"),"yes","no")</x:f>
        <x:v>yes</x:v>
      </x:c>
      <x:c r="AI32" s="12" t="str">
        <x:f>IF(OR(AH32="yes",AD32="debated",AC32="operational"),"yes","no")</x:f>
        <x:v>yes</x:v>
      </x:c>
      <x:c r="AJ32" s="12" t="str">
        <x:f>IF(OR(AH32="yes",AC32="operational",AD32="debated"),"high",IF(AND(AG32="yes",L32="P0"),"medium","low"))</x:f>
        <x:v>high</x:v>
      </x:c>
      <x:c r="AK32" s="12" t="str">
        <x:f>IF(ISNUMBER(SEARCH("healthy",AB32)),"yes","no")</x:f>
        <x:v>no</x:v>
      </x:c>
      <x:c r="AL32" s="12" t="str">
        <x:f>IF(AG32="yes","yes","candidate_only")</x:f>
        <x:v>yes</x:v>
      </x:c>
      <x:c r="AM32" s="12" t="str">
        <x:f>IF(OR(AC32="canonical",AG32="yes"),"yes","recommended")</x:f>
        <x:v>yes</x:v>
      </x:c>
      <x:c r="AN32" s="12" t="str">
        <x:f>IF(AC32="deprecated","exclude",IF(AND(AG32="yes",AJ32="high"),"import_but_human_review_required",IF(AG32="yes","import_as_active","import_as_backlog")))</x:f>
        <x:v>import_but_human_review_required</x:v>
      </x:c>
      <x:c r="AO32" s="12" t="str">
        <x:f>IF(AND(AG32="yes",OR(P32="",Q32="",R32="",S32="")),"missing_required_mvp_fields",IF(AND(AC32="canonical",Y32=""),"missing_source_ref","ok"))</x:f>
        <x:v>ok</x:v>
      </x:c>
      <x:c r="AP32" s="12" t="str">
        <x:f>IF(AO32="ok","ready_for_codex_import","needs_review")</x:f>
        <x:v>ready_for_codex_import</x:v>
      </x:c>
      <x:c r="AQ32" s="12"/>
      <x:c r="AR32" s="12" t="str">
        <x:v>Added v2 operational fields. Review before classification activation.</x:v>
      </x:c>
    </x:row>
    <x:row r="33">
      <x:c r="A33" s="13" t="str">
        <x:v>burden_of_proof_shift_canonical</x:v>
      </x:c>
      <x:c r="B33" s="13" t="str">
        <x:v>burden_of_proof_shift</x:v>
      </x:c>
      <x:c r="C33" s="13" t="str">
        <x:v>Burden-of-proof shift</x:v>
      </x:c>
      <x:c r="D33" s="13" t="str">
        <x:v>جابجایی بار اثبات</x:v>
      </x:c>
      <x:c r="E33" s="13" t="str">
        <x:v>Canonical form</x:v>
      </x:c>
      <x:c r="F33" s="13" t="str">
        <x:v>reasoning_failures</x:v>
      </x:c>
      <x:c r="G33" s="13" t="str">
        <x:v>canonical</x:v>
      </x:c>
      <x:c r="H33" s="13" t="str">
        <x:v>dialogue</x:v>
      </x:c>
      <x:c r="I33" s="13" t="str">
        <x:v>discourse_segment</x:v>
      </x:c>
      <x:c r="J33" s="13" t="str">
        <x:v>core_named_candidate</x:v>
      </x:c>
      <x:c r="K33" s="13" t="str">
        <x:v>established_parent_needs_row_review</x:v>
      </x:c>
      <x:c r="L33" s="13" t="str">
        <x:v>P0</x:v>
      </x:c>
      <x:c r="M33" s="13" t="str">
        <x:v>yes</x:v>
      </x:c>
      <x:c r="N33" s="13" t="str">
        <x:v>Operational subtype under Burden-of-proof shift: the parent pattern appears in its standard recognizable form. Parent definition: Demanding disproof instead of supporting one's own claim.</x:v>
      </x:c>
      <x:c r="O33" s="13" t="str">
        <x:v>Look for: explicit claim-level evidence; parent-family cues for Burden-of-proof shift; variant cue: the parent pattern appears in its standard recognizable form; avoid author-level inference.</x:v>
      </x:c>
      <x:c r="P33" s="13" t="str">
        <x:v>Exact evidence span in text plus claim-level reasoning link; for contextual/discourse entries, require surrounding context.</x:v>
      </x:c>
      <x:c r="Q33" s="13" t="str">
        <x:v>Do not label merely because topic is controversial, emotional, or wrong. Do not judge intent or personality. Require textual evidence and consider healthy-reasoning cues.</x:v>
      </x:c>
      <x:c r="R33" s="13" t="str">
        <x:v>Stub: A claim relies on the parent pattern appears in its standard recognizable form to support a conclusion without adequate qualification.</x:v>
      </x:c>
      <x:c r="S33" s="13" t="str">
        <x:v>Stub: A claim discusses burden-of-proof shift with caveats, balanced evidence, or no argumentative use of the pattern.</x:v>
      </x:c>
      <x:c r="T33" s="13" t="str">
        <x:v>Mild or ambiguous cue; do not classify without clear evidence span.</x:v>
      </x:c>
      <x:c r="U33" s="13" t="str">
        <x:v>Clear claim-level pattern with some argumentative impact.</x:v>
      </x:c>
      <x:c r="V33" s="13" t="str">
        <x:v>Strong pattern central to the conclusion and likely to materially distort reasoning.</x:v>
      </x:c>
      <x:c r="W33" s="13" t="str"/>
      <x:c r="X33" s="13" t="str">
        <x:v>pragmadialectics</x:v>
      </x:c>
      <x:c r="Y33" s="13" t="str">
        <x:v>https://doi.org/10.1017/CBO9780511616389</x:v>
      </x:c>
      <x:c r="Z33" s="13" t="str">
        <x:v>Review before enabling. This workbook is a living taxonomy scaffold, not a validated scientific benchmark.</x:v>
      </x:c>
      <x:c r="AA33" s="13" t="str">
        <x:v>0.1.0-draft</x:v>
      </x:c>
      <x:c r="AB33" s="12" t="str">
        <x:f>IF(ISNUMBER(SEARCH("healthy",F33)),"healthy_reasoning_patterns",IF(ISNUMBER(SEARCH("statistical",F33)),"statistical_reasoning",IF(ISNUMBER(SEARCH("causal",F33)),"causal_reasoning",IF(ISNUMBER(SEARCH("social",F33)),"social_influence",IF(ISNUMBER(SEARCH("rhetoric",F33)),"rhetoric_discourse",IF(ISNUMBER(SEARCH("behavior",F33)),"behavioural_economics",IF(ISNUMBER(SEARCH("cognitive",F33)),"cognitive_biases",IF(J33="protective_pattern","healthy_reasoning_patterns",IF(L33="P0","core_mvp","extended_fallacies")))))))))</x:f>
        <x:v>core_mvp</x:v>
      </x:c>
      <x:c r="AC33" s="12" t="str">
        <x:f>IF(ISNUMBER(SEARCH("operational",J33)),"operational",IF(ISNUMBER(SEARCH("deprecated",J33)),"deprecated",IF(L33="P0","canonical","recognized_subtype")))</x:f>
        <x:v>canonical</x:v>
      </x:c>
      <x:c r="AD33" s="12" t="str">
        <x:f>IF(AC33="canonical","high",IF(AC33="recognized_subtype","medium",IF(AC33="operational","operational_only","debated")))</x:f>
        <x:v>high</x:v>
      </x:c>
      <x:c r="AE33" s="12" t="str">
        <x:f>IF(AC33="deprecated","deprecated",IF(M33="yes","active",IF(M33="review","review_required","backlog")))</x:f>
        <x:v>active</x:v>
      </x:c>
      <x:c r="AF33" s="12" t="str">
        <x:f>IF(OR(AE33="active",AE33="review_required"),"yes","no")</x:f>
        <x:v>yes</x:v>
      </x:c>
      <x:c r="AG33" s="12" t="str">
        <x:f>IF(AND(AE33="active",M33="yes",NOT(ISNUMBER(SEARCH("healthy",AB33)))),"yes","no")</x:f>
        <x:v>yes</x:v>
      </x:c>
      <x:c r="AH33" s="12" t="str">
        <x:f>IF(OR(H33="contextual",H33="dialogue",H33="discourse",I33="claim+context",I33="discourse_segment"),"yes","no")</x:f>
        <x:v>yes</x:v>
      </x:c>
      <x:c r="AI33" s="12" t="str">
        <x:f>IF(OR(AH33="yes",AD33="debated",AC33="operational"),"yes","no")</x:f>
        <x:v>yes</x:v>
      </x:c>
      <x:c r="AJ33" s="12" t="str">
        <x:f>IF(OR(AH33="yes",AC33="operational",AD33="debated"),"high",IF(AND(AG33="yes",L33="P0"),"medium","low"))</x:f>
        <x:v>high</x:v>
      </x:c>
      <x:c r="AK33" s="12" t="str">
        <x:f>IF(ISNUMBER(SEARCH("healthy",AB33)),"yes","no")</x:f>
        <x:v>no</x:v>
      </x:c>
      <x:c r="AL33" s="12" t="str">
        <x:f>IF(AG33="yes","yes","candidate_only")</x:f>
        <x:v>yes</x:v>
      </x:c>
      <x:c r="AM33" s="12" t="str">
        <x:f>IF(OR(AC33="canonical",AG33="yes"),"yes","recommended")</x:f>
        <x:v>yes</x:v>
      </x:c>
      <x:c r="AN33" s="12" t="str">
        <x:f>IF(AC33="deprecated","exclude",IF(AND(AG33="yes",AJ33="high"),"import_but_human_review_required",IF(AG33="yes","import_as_active","import_as_backlog")))</x:f>
        <x:v>import_but_human_review_required</x:v>
      </x:c>
      <x:c r="AO33" s="12" t="str">
        <x:f>IF(AND(AG33="yes",OR(P33="",Q33="",R33="",S33="")),"missing_required_mvp_fields",IF(AND(AC33="canonical",Y33=""),"missing_source_ref","ok"))</x:f>
        <x:v>ok</x:v>
      </x:c>
      <x:c r="AP33" s="12" t="str">
        <x:f>IF(AO33="ok","ready_for_codex_import","needs_review")</x:f>
        <x:v>ready_for_codex_import</x:v>
      </x:c>
      <x:c r="AQ33" s="12"/>
      <x:c r="AR33" s="12" t="str">
        <x:v>Added v2 operational fields. Review before classification activation.</x:v>
      </x:c>
    </x:row>
    <x:row r="34">
      <x:c r="A34" s="13" t="str">
        <x:v>appeal_to_ignorance_canonical</x:v>
      </x:c>
      <x:c r="B34" s="13" t="str">
        <x:v>appeal_to_ignorance</x:v>
      </x:c>
      <x:c r="C34" s="13" t="str">
        <x:v>Appeal to ignorance</x:v>
      </x:c>
      <x:c r="D34" s="13" t="str">
        <x:v>استناد به نادانی</x:v>
      </x:c>
      <x:c r="E34" s="13" t="str">
        <x:v>Canonical form</x:v>
      </x:c>
      <x:c r="F34" s="13" t="str">
        <x:v>reasoning_failures</x:v>
      </x:c>
      <x:c r="G34" s="13" t="str">
        <x:v>canonical</x:v>
      </x:c>
      <x:c r="H34" s="13" t="str">
        <x:v>structural</x:v>
      </x:c>
      <x:c r="I34" s="13" t="str">
        <x:v>claim</x:v>
      </x:c>
      <x:c r="J34" s="13" t="str">
        <x:v>core_named_candidate</x:v>
      </x:c>
      <x:c r="K34" s="13" t="str">
        <x:v>established_parent_needs_row_review</x:v>
      </x:c>
      <x:c r="L34" s="13" t="str">
        <x:v>P0</x:v>
      </x:c>
      <x:c r="M34" s="13" t="str">
        <x:v>yes</x:v>
      </x:c>
      <x:c r="N34" s="13" t="str">
        <x:v>Operational subtype under Appeal to ignorance: the parent pattern appears in its standard recognizable form. Parent definition: Treating lack of disproof as proof or lack of proof as disproof.</x:v>
      </x:c>
      <x:c r="O34" s="13" t="str">
        <x:v>Look for: explicit claim-level evidence; parent-family cues for Appeal to ignorance; variant cue: the parent pattern appears in its standard recognizable form; avoid author-level inference.</x:v>
      </x:c>
      <x:c r="P34" s="13" t="str">
        <x:v>Exact evidence span in text plus claim-level reasoning link; for contextual/discourse entries, require surrounding context.</x:v>
      </x:c>
      <x:c r="Q34" s="13" t="str">
        <x:v>Do not label merely because topic is controversial, emotional, or wrong. Do not judge intent or personality. Require textual evidence and consider healthy-reasoning cues.</x:v>
      </x:c>
      <x:c r="R34" s="13" t="str">
        <x:v>Stub: A claim relies on the parent pattern appears in its standard recognizable form to support a conclusion without adequate qualification.</x:v>
      </x:c>
      <x:c r="S34" s="13" t="str">
        <x:v>Stub: A claim discusses appeal to ignorance with caveats, balanced evidence, or no argumentative use of the pattern.</x:v>
      </x:c>
      <x:c r="T34" s="13" t="str">
        <x:v>Mild or ambiguous cue; do not classify without clear evidence span.</x:v>
      </x:c>
      <x:c r="U34" s="13" t="str">
        <x:v>Clear claim-level pattern with some argumentative impact.</x:v>
      </x:c>
      <x:c r="V34" s="13" t="str">
        <x:v>Strong pattern central to the conclusion and likely to materially distort reasoning.</x:v>
      </x:c>
      <x:c r="W34" s="13" t="str"/>
      <x:c r="X34" s="13" t="str">
        <x:v>sep_fallacies</x:v>
      </x:c>
      <x:c r="Y34" s="13" t="str">
        <x:v>https://plato.stanford.edu/entries/fallacies/</x:v>
      </x:c>
      <x:c r="Z34" s="13" t="str">
        <x:v>Review before enabling. This workbook is a living taxonomy scaffold, not a validated scientific benchmark.</x:v>
      </x:c>
      <x:c r="AA34" s="13" t="str">
        <x:v>0.1.0-draft</x:v>
      </x:c>
      <x:c r="AB34" s="12" t="str">
        <x:f>IF(ISNUMBER(SEARCH("healthy",F34)),"healthy_reasoning_patterns",IF(ISNUMBER(SEARCH("statistical",F34)),"statistical_reasoning",IF(ISNUMBER(SEARCH("causal",F34)),"causal_reasoning",IF(ISNUMBER(SEARCH("social",F34)),"social_influence",IF(ISNUMBER(SEARCH("rhetoric",F34)),"rhetoric_discourse",IF(ISNUMBER(SEARCH("behavior",F34)),"behavioural_economics",IF(ISNUMBER(SEARCH("cognitive",F34)),"cognitive_biases",IF(J34="protective_pattern","healthy_reasoning_patterns",IF(L34="P0","core_mvp","extended_fallacies")))))))))</x:f>
        <x:v>core_mvp</x:v>
      </x:c>
      <x:c r="AC34" s="12" t="str">
        <x:f>IF(ISNUMBER(SEARCH("operational",J34)),"operational",IF(ISNUMBER(SEARCH("deprecated",J34)),"deprecated",IF(L34="P0","canonical","recognized_subtype")))</x:f>
        <x:v>canonical</x:v>
      </x:c>
      <x:c r="AD34" s="12" t="str">
        <x:f>IF(AC34="canonical","high",IF(AC34="recognized_subtype","medium",IF(AC34="operational","operational_only","debated")))</x:f>
        <x:v>high</x:v>
      </x:c>
      <x:c r="AE34" s="12" t="str">
        <x:f>IF(AC34="deprecated","deprecated",IF(M34="yes","active",IF(M34="review","review_required","backlog")))</x:f>
        <x:v>active</x:v>
      </x:c>
      <x:c r="AF34" s="12" t="str">
        <x:f>IF(OR(AE34="active",AE34="review_required"),"yes","no")</x:f>
        <x:v>yes</x:v>
      </x:c>
      <x:c r="AG34" s="12" t="str">
        <x:f>IF(AND(AE34="active",M34="yes",NOT(ISNUMBER(SEARCH("healthy",AB34)))),"yes","no")</x:f>
        <x:v>yes</x:v>
      </x:c>
      <x:c r="AH34" s="12" t="str">
        <x:f>IF(OR(H34="contextual",H34="dialogue",H34="discourse",I34="claim+context",I34="discourse_segment"),"yes","no")</x:f>
        <x:v>no</x:v>
      </x:c>
      <x:c r="AI34" s="12" t="str">
        <x:f>IF(OR(AH34="yes",AD34="debated",AC34="operational"),"yes","no")</x:f>
        <x:v>no</x:v>
      </x:c>
      <x:c r="AJ34" s="12" t="str">
        <x:f>IF(OR(AH34="yes",AC34="operational",AD34="debated"),"high",IF(AND(AG34="yes",L34="P0"),"medium","low"))</x:f>
        <x:v>medium</x:v>
      </x:c>
      <x:c r="AK34" s="12" t="str">
        <x:f>IF(ISNUMBER(SEARCH("healthy",AB34)),"yes","no")</x:f>
        <x:v>no</x:v>
      </x:c>
      <x:c r="AL34" s="12" t="str">
        <x:f>IF(AG34="yes","yes","candidate_only")</x:f>
        <x:v>yes</x:v>
      </x:c>
      <x:c r="AM34" s="12" t="str">
        <x:f>IF(OR(AC34="canonical",AG34="yes"),"yes","recommended")</x:f>
        <x:v>yes</x:v>
      </x:c>
      <x:c r="AN34" s="12" t="str">
        <x:f>IF(AC34="deprecated","exclude",IF(AND(AG34="yes",AJ34="high"),"import_but_human_review_required",IF(AG34="yes","import_as_active","import_as_backlog")))</x:f>
        <x:v>import_as_active</x:v>
      </x:c>
      <x:c r="AO34" s="12" t="str">
        <x:f>IF(AND(AG34="yes",OR(P34="",Q34="",R34="",S34="")),"missing_required_mvp_fields",IF(AND(AC34="canonical",Y34=""),"missing_source_ref","ok"))</x:f>
        <x:v>ok</x:v>
      </x:c>
      <x:c r="AP34" s="12" t="str">
        <x:f>IF(AO34="ok","ready_for_codex_import","needs_review")</x:f>
        <x:v>ready_for_codex_import</x:v>
      </x:c>
      <x:c r="AQ34" s="12"/>
      <x:c r="AR34" s="12" t="str">
        <x:v>Added v2 operational fields. Review before classification activation.</x:v>
      </x:c>
    </x:row>
    <x:row r="35">
      <x:c r="A35" s="13" t="str">
        <x:v>post_hoc_canonical</x:v>
      </x:c>
      <x:c r="B35" s="13" t="str">
        <x:v>post_hoc</x:v>
      </x:c>
      <x:c r="C35" s="13" t="str">
        <x:v>Post hoc ergo propter hoc</x:v>
      </x:c>
      <x:c r="D35" s="13" t="str">
        <x:v>پس از آن، پس به علت آن</x:v>
      </x:c>
      <x:c r="E35" s="13" t="str">
        <x:v>Canonical form</x:v>
      </x:c>
      <x:c r="F35" s="13" t="str">
        <x:v>reasoning_failures</x:v>
      </x:c>
      <x:c r="G35" s="13" t="str">
        <x:v>canonical</x:v>
      </x:c>
      <x:c r="H35" s="13" t="str">
        <x:v>contextual</x:v>
      </x:c>
      <x:c r="I35" s="13" t="str">
        <x:v>claim+context</x:v>
      </x:c>
      <x:c r="J35" s="13" t="str">
        <x:v>core_named_candidate</x:v>
      </x:c>
      <x:c r="K35" s="13" t="str">
        <x:v>established_parent_needs_row_review</x:v>
      </x:c>
      <x:c r="L35" s="13" t="str">
        <x:v>P0</x:v>
      </x:c>
      <x:c r="M35" s="13" t="str">
        <x:v>yes</x:v>
      </x:c>
      <x:c r="N35" s="13" t="str">
        <x:v>Operational subtype under Post hoc ergo propter hoc: the parent pattern appears in its standard recognizable form. Parent definition: Inferring causation from temporal sequence alone.</x:v>
      </x:c>
      <x:c r="O35" s="13" t="str">
        <x:v>Look for: explicit claim-level evidence; parent-family cues for Post hoc ergo propter hoc; variant cue: the parent pattern appears in its standard recognizable form; avoid author-level inference.</x:v>
      </x:c>
      <x:c r="P35" s="13" t="str">
        <x:v>Exact evidence span in text plus claim-level reasoning link; for contextual/discourse entries, require surrounding context.</x:v>
      </x:c>
      <x:c r="Q35" s="13" t="str">
        <x:v>Do not label merely because topic is controversial, emotional, or wrong. Do not judge intent or personality. Require textual evidence and consider healthy-reasoning cues.</x:v>
      </x:c>
      <x:c r="R35" s="13" t="str">
        <x:v>Stub: A claim relies on the parent pattern appears in its standard recognizable form to support a conclusion without adequate qualification.</x:v>
      </x:c>
      <x:c r="S35" s="13" t="str">
        <x:v>Stub: A claim discusses post hoc ergo propter hoc with caveats, balanced evidence, or no argumentative use of the pattern.</x:v>
      </x:c>
      <x:c r="T35" s="13" t="str">
        <x:v>Mild or ambiguous cue; do not classify without clear evidence span.</x:v>
      </x:c>
      <x:c r="U35" s="13" t="str">
        <x:v>Clear claim-level pattern with some argumentative impact.</x:v>
      </x:c>
      <x:c r="V35" s="13" t="str">
        <x:v>Strong pattern central to the conclusion and likely to materially distort reasoning.</x:v>
      </x:c>
      <x:c r="W35" s="13" t="str"/>
      <x:c r="X35" s="13" t="str">
        <x:v>sep_fallacies</x:v>
      </x:c>
      <x:c r="Y35" s="13" t="str">
        <x:v>https://plato.stanford.edu/entries/fallacies/</x:v>
      </x:c>
      <x:c r="Z35" s="13" t="str">
        <x:v>Review before enabling. This workbook is a living taxonomy scaffold, not a validated scientific benchmark.</x:v>
      </x:c>
      <x:c r="AA35" s="13" t="str">
        <x:v>0.1.0-draft</x:v>
      </x:c>
      <x:c r="AB35" s="12" t="str">
        <x:f>IF(ISNUMBER(SEARCH("healthy",F35)),"healthy_reasoning_patterns",IF(ISNUMBER(SEARCH("statistical",F35)),"statistical_reasoning",IF(ISNUMBER(SEARCH("causal",F35)),"causal_reasoning",IF(ISNUMBER(SEARCH("social",F35)),"social_influence",IF(ISNUMBER(SEARCH("rhetoric",F35)),"rhetoric_discourse",IF(ISNUMBER(SEARCH("behavior",F35)),"behavioural_economics",IF(ISNUMBER(SEARCH("cognitive",F35)),"cognitive_biases",IF(J35="protective_pattern","healthy_reasoning_patterns",IF(L35="P0","core_mvp","extended_fallacies")))))))))</x:f>
        <x:v>core_mvp</x:v>
      </x:c>
      <x:c r="AC35" s="12" t="str">
        <x:f>IF(ISNUMBER(SEARCH("operational",J35)),"operational",IF(ISNUMBER(SEARCH("deprecated",J35)),"deprecated",IF(L35="P0","canonical","recognized_subtype")))</x:f>
        <x:v>canonical</x:v>
      </x:c>
      <x:c r="AD35" s="12" t="str">
        <x:f>IF(AC35="canonical","high",IF(AC35="recognized_subtype","medium",IF(AC35="operational","operational_only","debated")))</x:f>
        <x:v>high</x:v>
      </x:c>
      <x:c r="AE35" s="12" t="str">
        <x:f>IF(AC35="deprecated","deprecated",IF(M35="yes","active",IF(M35="review","review_required","backlog")))</x:f>
        <x:v>active</x:v>
      </x:c>
      <x:c r="AF35" s="12" t="str">
        <x:f>IF(OR(AE35="active",AE35="review_required"),"yes","no")</x:f>
        <x:v>yes</x:v>
      </x:c>
      <x:c r="AG35" s="12" t="str">
        <x:f>IF(AND(AE35="active",M35="yes",NOT(ISNUMBER(SEARCH("healthy",AB35)))),"yes","no")</x:f>
        <x:v>yes</x:v>
      </x:c>
      <x:c r="AH35" s="12" t="str">
        <x:f>IF(OR(H35="contextual",H35="dialogue",H35="discourse",I35="claim+context",I35="discourse_segment"),"yes","no")</x:f>
        <x:v>yes</x:v>
      </x:c>
      <x:c r="AI35" s="12" t="str">
        <x:f>IF(OR(AH35="yes",AD35="debated",AC35="operational"),"yes","no")</x:f>
        <x:v>yes</x:v>
      </x:c>
      <x:c r="AJ35" s="12" t="str">
        <x:f>IF(OR(AH35="yes",AC35="operational",AD35="debated"),"high",IF(AND(AG35="yes",L35="P0"),"medium","low"))</x:f>
        <x:v>high</x:v>
      </x:c>
      <x:c r="AK35" s="12" t="str">
        <x:f>IF(ISNUMBER(SEARCH("healthy",AB35)),"yes","no")</x:f>
        <x:v>no</x:v>
      </x:c>
      <x:c r="AL35" s="12" t="str">
        <x:f>IF(AG35="yes","yes","candidate_only")</x:f>
        <x:v>yes</x:v>
      </x:c>
      <x:c r="AM35" s="12" t="str">
        <x:f>IF(OR(AC35="canonical",AG35="yes"),"yes","recommended")</x:f>
        <x:v>yes</x:v>
      </x:c>
      <x:c r="AN35" s="12" t="str">
        <x:f>IF(AC35="deprecated","exclude",IF(AND(AG35="yes",AJ35="high"),"import_but_human_review_required",IF(AG35="yes","import_as_active","import_as_backlog")))</x:f>
        <x:v>import_but_human_review_required</x:v>
      </x:c>
      <x:c r="AO35" s="12" t="str">
        <x:f>IF(AND(AG35="yes",OR(P35="",Q35="",R35="",S35="")),"missing_required_mvp_fields",IF(AND(AC35="canonical",Y35=""),"missing_source_ref","ok"))</x:f>
        <x:v>ok</x:v>
      </x:c>
      <x:c r="AP35" s="12" t="str">
        <x:f>IF(AO35="ok","ready_for_codex_import","needs_review")</x:f>
        <x:v>ready_for_codex_import</x:v>
      </x:c>
      <x:c r="AQ35" s="12"/>
      <x:c r="AR35" s="12" t="str">
        <x:v>Added v2 operational fields. Review before classification activation.</x:v>
      </x:c>
    </x:row>
    <x:row r="36">
      <x:c r="A36" s="13" t="str">
        <x:v>cum_hoc_canonical</x:v>
      </x:c>
      <x:c r="B36" s="13" t="str">
        <x:v>cum_hoc</x:v>
      </x:c>
      <x:c r="C36" s="13" t="str">
        <x:v>Cum hoc ergo propter hoc</x:v>
      </x:c>
      <x:c r="D36" s="13" t="str">
        <x:v>همزمانی به جای علیت</x:v>
      </x:c>
      <x:c r="E36" s="13" t="str">
        <x:v>Canonical form</x:v>
      </x:c>
      <x:c r="F36" s="13" t="str">
        <x:v>reasoning_failures</x:v>
      </x:c>
      <x:c r="G36" s="13" t="str">
        <x:v>canonical</x:v>
      </x:c>
      <x:c r="H36" s="13" t="str">
        <x:v>contextual</x:v>
      </x:c>
      <x:c r="I36" s="13" t="str">
        <x:v>claim+context</x:v>
      </x:c>
      <x:c r="J36" s="13" t="str">
        <x:v>core_named_candidate</x:v>
      </x:c>
      <x:c r="K36" s="13" t="str">
        <x:v>established_parent_needs_row_review</x:v>
      </x:c>
      <x:c r="L36" s="13" t="str">
        <x:v>P0</x:v>
      </x:c>
      <x:c r="M36" s="13" t="str">
        <x:v>yes</x:v>
      </x:c>
      <x:c r="N36" s="13" t="str">
        <x:v>Operational subtype under Cum hoc ergo propter hoc: the parent pattern appears in its standard recognizable form. Parent definition: Inferring causation from co-occurrence alone.</x:v>
      </x:c>
      <x:c r="O36" s="13" t="str">
        <x:v>Look for: explicit claim-level evidence; parent-family cues for Cum hoc ergo propter hoc; variant cue: the parent pattern appears in its standard recognizable form; avoid author-level inference.</x:v>
      </x:c>
      <x:c r="P36" s="13" t="str">
        <x:v>Exact evidence span in text plus claim-level reasoning link; for contextual/discourse entries, require surrounding context.</x:v>
      </x:c>
      <x:c r="Q36" s="13" t="str">
        <x:v>Do not label merely because topic is controversial, emotional, or wrong. Do not judge intent or personality. Require textual evidence and consider healthy-reasoning cues.</x:v>
      </x:c>
      <x:c r="R36" s="13" t="str">
        <x:v>Stub: A claim relies on the parent pattern appears in its standard recognizable form to support a conclusion without adequate qualification.</x:v>
      </x:c>
      <x:c r="S36" s="13" t="str">
        <x:v>Stub: A claim discusses cum hoc ergo propter hoc with caveats, balanced evidence, or no argumentative use of the pattern.</x:v>
      </x:c>
      <x:c r="T36" s="13" t="str">
        <x:v>Mild or ambiguous cue; do not classify without clear evidence span.</x:v>
      </x:c>
      <x:c r="U36" s="13" t="str">
        <x:v>Clear claim-level pattern with some argumentative impact.</x:v>
      </x:c>
      <x:c r="V36" s="13" t="str">
        <x:v>Strong pattern central to the conclusion and likely to materially distort reasoning.</x:v>
      </x:c>
      <x:c r="W36" s="13" t="str"/>
      <x:c r="X36" s="13" t="str">
        <x:v>sep_fallacies</x:v>
      </x:c>
      <x:c r="Y36" s="13" t="str">
        <x:v>https://plato.stanford.edu/entries/fallacies/</x:v>
      </x:c>
      <x:c r="Z36" s="13" t="str">
        <x:v>Review before enabling. This workbook is a living taxonomy scaffold, not a validated scientific benchmark.</x:v>
      </x:c>
      <x:c r="AA36" s="13" t="str">
        <x:v>0.1.0-draft</x:v>
      </x:c>
      <x:c r="AB36" s="12" t="str">
        <x:f>IF(ISNUMBER(SEARCH("healthy",F36)),"healthy_reasoning_patterns",IF(ISNUMBER(SEARCH("statistical",F36)),"statistical_reasoning",IF(ISNUMBER(SEARCH("causal",F36)),"causal_reasoning",IF(ISNUMBER(SEARCH("social",F36)),"social_influence",IF(ISNUMBER(SEARCH("rhetoric",F36)),"rhetoric_discourse",IF(ISNUMBER(SEARCH("behavior",F36)),"behavioural_economics",IF(ISNUMBER(SEARCH("cognitive",F36)),"cognitive_biases",IF(J36="protective_pattern","healthy_reasoning_patterns",IF(L36="P0","core_mvp","extended_fallacies")))))))))</x:f>
        <x:v>core_mvp</x:v>
      </x:c>
      <x:c r="AC36" s="12" t="str">
        <x:f>IF(ISNUMBER(SEARCH("operational",J36)),"operational",IF(ISNUMBER(SEARCH("deprecated",J36)),"deprecated",IF(L36="P0","canonical","recognized_subtype")))</x:f>
        <x:v>canonical</x:v>
      </x:c>
      <x:c r="AD36" s="12" t="str">
        <x:f>IF(AC36="canonical","high",IF(AC36="recognized_subtype","medium",IF(AC36="operational","operational_only","debated")))</x:f>
        <x:v>high</x:v>
      </x:c>
      <x:c r="AE36" s="12" t="str">
        <x:f>IF(AC36="deprecated","deprecated",IF(M36="yes","active",IF(M36="review","review_required","backlog")))</x:f>
        <x:v>active</x:v>
      </x:c>
      <x:c r="AF36" s="12" t="str">
        <x:f>IF(OR(AE36="active",AE36="review_required"),"yes","no")</x:f>
        <x:v>yes</x:v>
      </x:c>
      <x:c r="AG36" s="12" t="str">
        <x:f>IF(AND(AE36="active",M36="yes",NOT(ISNUMBER(SEARCH("healthy",AB36)))),"yes","no")</x:f>
        <x:v>yes</x:v>
      </x:c>
      <x:c r="AH36" s="12" t="str">
        <x:f>IF(OR(H36="contextual",H36="dialogue",H36="discourse",I36="claim+context",I36="discourse_segment"),"yes","no")</x:f>
        <x:v>yes</x:v>
      </x:c>
      <x:c r="AI36" s="12" t="str">
        <x:f>IF(OR(AH36="yes",AD36="debated",AC36="operational"),"yes","no")</x:f>
        <x:v>yes</x:v>
      </x:c>
      <x:c r="AJ36" s="12" t="str">
        <x:f>IF(OR(AH36="yes",AC36="operational",AD36="debated"),"high",IF(AND(AG36="yes",L36="P0"),"medium","low"))</x:f>
        <x:v>high</x:v>
      </x:c>
      <x:c r="AK36" s="12" t="str">
        <x:f>IF(ISNUMBER(SEARCH("healthy",AB36)),"yes","no")</x:f>
        <x:v>no</x:v>
      </x:c>
      <x:c r="AL36" s="12" t="str">
        <x:f>IF(AG36="yes","yes","candidate_only")</x:f>
        <x:v>yes</x:v>
      </x:c>
      <x:c r="AM36" s="12" t="str">
        <x:f>IF(OR(AC36="canonical",AG36="yes"),"yes","recommended")</x:f>
        <x:v>yes</x:v>
      </x:c>
      <x:c r="AN36" s="12" t="str">
        <x:f>IF(AC36="deprecated","exclude",IF(AND(AG36="yes",AJ36="high"),"import_but_human_review_required",IF(AG36="yes","import_as_active","import_as_backlog")))</x:f>
        <x:v>import_but_human_review_required</x:v>
      </x:c>
      <x:c r="AO36" s="12" t="str">
        <x:f>IF(AND(AG36="yes",OR(P36="",Q36="",R36="",S36="")),"missing_required_mvp_fields",IF(AND(AC36="canonical",Y36=""),"missing_source_ref","ok"))</x:f>
        <x:v>ok</x:v>
      </x:c>
      <x:c r="AP36" s="12" t="str">
        <x:f>IF(AO36="ok","ready_for_codex_import","needs_review")</x:f>
        <x:v>ready_for_codex_import</x:v>
      </x:c>
      <x:c r="AQ36" s="12"/>
      <x:c r="AR36" s="12" t="str">
        <x:v>Added v2 operational fields. Review before classification activation.</x:v>
      </x:c>
    </x:row>
    <x:row r="37">
      <x:c r="A37" s="13" t="str">
        <x:v>non_sequitur_canonical</x:v>
      </x:c>
      <x:c r="B37" s="13" t="str">
        <x:v>non_sequitur</x:v>
      </x:c>
      <x:c r="C37" s="13" t="str">
        <x:v>Non sequitur</x:v>
      </x:c>
      <x:c r="D37" s="13" t="str">
        <x:v>نتیجه نامنبع</x:v>
      </x:c>
      <x:c r="E37" s="13" t="str">
        <x:v>Canonical form</x:v>
      </x:c>
      <x:c r="F37" s="13" t="str">
        <x:v>reasoning_failures</x:v>
      </x:c>
      <x:c r="G37" s="13" t="str">
        <x:v>canonical</x:v>
      </x:c>
      <x:c r="H37" s="13" t="str">
        <x:v>structural</x:v>
      </x:c>
      <x:c r="I37" s="13" t="str">
        <x:v>claim</x:v>
      </x:c>
      <x:c r="J37" s="13" t="str">
        <x:v>core_named_candidate</x:v>
      </x:c>
      <x:c r="K37" s="13" t="str">
        <x:v>established_parent_needs_row_review</x:v>
      </x:c>
      <x:c r="L37" s="13" t="str">
        <x:v>P0</x:v>
      </x:c>
      <x:c r="M37" s="13" t="str">
        <x:v>yes</x:v>
      </x:c>
      <x:c r="N37" s="13" t="str">
        <x:v>Operational subtype under Non sequitur: the parent pattern appears in its standard recognizable form. Parent definition: Drawing a conclusion that does not follow from the stated reasons.</x:v>
      </x:c>
      <x:c r="O37" s="13" t="str">
        <x:v>Look for: explicit claim-level evidence; parent-family cues for Non sequitur; variant cue: the parent pattern appears in its standard recognizable form; avoid author-level inference.</x:v>
      </x:c>
      <x:c r="P37" s="13" t="str">
        <x:v>Exact evidence span in text plus claim-level reasoning link; for contextual/discourse entries, require surrounding context.</x:v>
      </x:c>
      <x:c r="Q37" s="13" t="str">
        <x:v>Do not label merely because topic is controversial, emotional, or wrong. Do not judge intent or personality. Require textual evidence and consider healthy-reasoning cues.</x:v>
      </x:c>
      <x:c r="R37" s="13" t="str">
        <x:v>Stub: A claim relies on the parent pattern appears in its standard recognizable form to support a conclusion without adequate qualification.</x:v>
      </x:c>
      <x:c r="S37" s="13" t="str">
        <x:v>Stub: A claim discusses non sequitur with caveats, balanced evidence, or no argumentative use of the pattern.</x:v>
      </x:c>
      <x:c r="T37" s="13" t="str">
        <x:v>Mild or ambiguous cue; do not classify without clear evidence span.</x:v>
      </x:c>
      <x:c r="U37" s="13" t="str">
        <x:v>Clear claim-level pattern with some argumentative impact.</x:v>
      </x:c>
      <x:c r="V37" s="13" t="str">
        <x:v>Strong pattern central to the conclusion and likely to materially distort reasoning.</x:v>
      </x:c>
      <x:c r="W37" s="13" t="str"/>
      <x:c r="X37" s="13" t="str">
        <x:v>sep_fallacies</x:v>
      </x:c>
      <x:c r="Y37" s="13" t="str">
        <x:v>https://plato.stanford.edu/entries/fallacies/</x:v>
      </x:c>
      <x:c r="Z37" s="13" t="str">
        <x:v>Review before enabling. This workbook is a living taxonomy scaffold, not a validated scientific benchmark.</x:v>
      </x:c>
      <x:c r="AA37" s="13" t="str">
        <x:v>0.1.0-draft</x:v>
      </x:c>
      <x:c r="AB37" s="12" t="str">
        <x:f>IF(ISNUMBER(SEARCH("healthy",F37)),"healthy_reasoning_patterns",IF(ISNUMBER(SEARCH("statistical",F37)),"statistical_reasoning",IF(ISNUMBER(SEARCH("causal",F37)),"causal_reasoning",IF(ISNUMBER(SEARCH("social",F37)),"social_influence",IF(ISNUMBER(SEARCH("rhetoric",F37)),"rhetoric_discourse",IF(ISNUMBER(SEARCH("behavior",F37)),"behavioural_economics",IF(ISNUMBER(SEARCH("cognitive",F37)),"cognitive_biases",IF(J37="protective_pattern","healthy_reasoning_patterns",IF(L37="P0","core_mvp","extended_fallacies")))))))))</x:f>
        <x:v>core_mvp</x:v>
      </x:c>
      <x:c r="AC37" s="12" t="str">
        <x:f>IF(ISNUMBER(SEARCH("operational",J37)),"operational",IF(ISNUMBER(SEARCH("deprecated",J37)),"deprecated",IF(L37="P0","canonical","recognized_subtype")))</x:f>
        <x:v>canonical</x:v>
      </x:c>
      <x:c r="AD37" s="12" t="str">
        <x:f>IF(AC37="canonical","high",IF(AC37="recognized_subtype","medium",IF(AC37="operational","operational_only","debated")))</x:f>
        <x:v>high</x:v>
      </x:c>
      <x:c r="AE37" s="12" t="str">
        <x:f>IF(AC37="deprecated","deprecated",IF(M37="yes","active",IF(M37="review","review_required","backlog")))</x:f>
        <x:v>active</x:v>
      </x:c>
      <x:c r="AF37" s="12" t="str">
        <x:f>IF(OR(AE37="active",AE37="review_required"),"yes","no")</x:f>
        <x:v>yes</x:v>
      </x:c>
      <x:c r="AG37" s="12" t="str">
        <x:f>IF(AND(AE37="active",M37="yes",NOT(ISNUMBER(SEARCH("healthy",AB37)))),"yes","no")</x:f>
        <x:v>yes</x:v>
      </x:c>
      <x:c r="AH37" s="12" t="str">
        <x:f>IF(OR(H37="contextual",H37="dialogue",H37="discourse",I37="claim+context",I37="discourse_segment"),"yes","no")</x:f>
        <x:v>no</x:v>
      </x:c>
      <x:c r="AI37" s="12" t="str">
        <x:f>IF(OR(AH37="yes",AD37="debated",AC37="operational"),"yes","no")</x:f>
        <x:v>no</x:v>
      </x:c>
      <x:c r="AJ37" s="12" t="str">
        <x:f>IF(OR(AH37="yes",AC37="operational",AD37="debated"),"high",IF(AND(AG37="yes",L37="P0"),"medium","low"))</x:f>
        <x:v>medium</x:v>
      </x:c>
      <x:c r="AK37" s="12" t="str">
        <x:f>IF(ISNUMBER(SEARCH("healthy",AB37)),"yes","no")</x:f>
        <x:v>no</x:v>
      </x:c>
      <x:c r="AL37" s="12" t="str">
        <x:f>IF(AG37="yes","yes","candidate_only")</x:f>
        <x:v>yes</x:v>
      </x:c>
      <x:c r="AM37" s="12" t="str">
        <x:f>IF(OR(AC37="canonical",AG37="yes"),"yes","recommended")</x:f>
        <x:v>yes</x:v>
      </x:c>
      <x:c r="AN37" s="12" t="str">
        <x:f>IF(AC37="deprecated","exclude",IF(AND(AG37="yes",AJ37="high"),"import_but_human_review_required",IF(AG37="yes","import_as_active","import_as_backlog")))</x:f>
        <x:v>import_as_active</x:v>
      </x:c>
      <x:c r="AO37" s="12" t="str">
        <x:f>IF(AND(AG37="yes",OR(P37="",Q37="",R37="",S37="")),"missing_required_mvp_fields",IF(AND(AC37="canonical",Y37=""),"missing_source_ref","ok"))</x:f>
        <x:v>ok</x:v>
      </x:c>
      <x:c r="AP37" s="12" t="str">
        <x:f>IF(AO37="ok","ready_for_codex_import","needs_review")</x:f>
        <x:v>ready_for_codex_import</x:v>
      </x:c>
      <x:c r="AQ37" s="12"/>
      <x:c r="AR37" s="12" t="str">
        <x:v>Added v2 operational fields. Review before classification activation.</x:v>
      </x:c>
    </x:row>
    <x:row r="38">
      <x:c r="A38" s="13" t="str">
        <x:v>affirming_consequent_canonical</x:v>
      </x:c>
      <x:c r="B38" s="13" t="str">
        <x:v>affirming_consequent</x:v>
      </x:c>
      <x:c r="C38" s="13" t="str">
        <x:v>Affirming the consequent</x:v>
      </x:c>
      <x:c r="D38" s="13" t="str">
        <x:v>اثبات تالی</x:v>
      </x:c>
      <x:c r="E38" s="13" t="str">
        <x:v>Canonical form</x:v>
      </x:c>
      <x:c r="F38" s="13" t="str">
        <x:v>reasoning_failures</x:v>
      </x:c>
      <x:c r="G38" s="13" t="str">
        <x:v>canonical</x:v>
      </x:c>
      <x:c r="H38" s="13" t="str">
        <x:v>formal</x:v>
      </x:c>
      <x:c r="I38" s="13" t="str">
        <x:v>claim</x:v>
      </x:c>
      <x:c r="J38" s="13" t="str">
        <x:v>core_named_candidate</x:v>
      </x:c>
      <x:c r="K38" s="13" t="str">
        <x:v>established_parent_needs_row_review</x:v>
      </x:c>
      <x:c r="L38" s="13" t="str">
        <x:v>P0</x:v>
      </x:c>
      <x:c r="M38" s="13" t="str">
        <x:v>yes</x:v>
      </x:c>
      <x:c r="N38" s="13" t="str">
        <x:v>Operational subtype under Affirming the consequent: the parent pattern appears in its standard recognizable form. Parent definition: Inferring a sufficient condition from the consequent in a conditional.</x:v>
      </x:c>
      <x:c r="O38" s="13" t="str">
        <x:v>Look for: explicit claim-level evidence; parent-family cues for Affirming the consequent; variant cue: the parent pattern appears in its standard recognizable form; avoid author-level inference.</x:v>
      </x:c>
      <x:c r="P38" s="13" t="str">
        <x:v>Exact evidence span in text plus claim-level reasoning link; for contextual/discourse entries, require surrounding context.</x:v>
      </x:c>
      <x:c r="Q38" s="13" t="str">
        <x:v>Do not label merely because topic is controversial, emotional, or wrong. Do not judge intent or personality. Require textual evidence and consider healthy-reasoning cues.</x:v>
      </x:c>
      <x:c r="R38" s="13" t="str">
        <x:v>Stub: A claim relies on the parent pattern appears in its standard recognizable form to support a conclusion without adequate qualification.</x:v>
      </x:c>
      <x:c r="S38" s="13" t="str">
        <x:v>Stub: A claim discusses affirming the consequent with caveats, balanced evidence, or no argumentative use of the pattern.</x:v>
      </x:c>
      <x:c r="T38" s="13" t="str">
        <x:v>Mild or ambiguous cue; do not classify without clear evidence span.</x:v>
      </x:c>
      <x:c r="U38" s="13" t="str">
        <x:v>Clear claim-level pattern with some argumentative impact.</x:v>
      </x:c>
      <x:c r="V38" s="13" t="str">
        <x:v>Strong pattern central to the conclusion and likely to materially distort reasoning.</x:v>
      </x:c>
      <x:c r="W38" s="13" t="str"/>
      <x:c r="X38" s="13" t="str">
        <x:v>sep_fallacies</x:v>
      </x:c>
      <x:c r="Y38" s="13" t="str">
        <x:v>https://plato.stanford.edu/entries/fallacies/</x:v>
      </x:c>
      <x:c r="Z38" s="13" t="str">
        <x:v>Review before enabling. This workbook is a living taxonomy scaffold, not a validated scientific benchmark.</x:v>
      </x:c>
      <x:c r="AA38" s="13" t="str">
        <x:v>0.1.0-draft</x:v>
      </x:c>
      <x:c r="AB38" s="12" t="str">
        <x:f>IF(ISNUMBER(SEARCH("healthy",F38)),"healthy_reasoning_patterns",IF(ISNUMBER(SEARCH("statistical",F38)),"statistical_reasoning",IF(ISNUMBER(SEARCH("causal",F38)),"causal_reasoning",IF(ISNUMBER(SEARCH("social",F38)),"social_influence",IF(ISNUMBER(SEARCH("rhetoric",F38)),"rhetoric_discourse",IF(ISNUMBER(SEARCH("behavior",F38)),"behavioural_economics",IF(ISNUMBER(SEARCH("cognitive",F38)),"cognitive_biases",IF(J38="protective_pattern","healthy_reasoning_patterns",IF(L38="P0","core_mvp","extended_fallacies")))))))))</x:f>
        <x:v>core_mvp</x:v>
      </x:c>
      <x:c r="AC38" s="12" t="str">
        <x:f>IF(ISNUMBER(SEARCH("operational",J38)),"operational",IF(ISNUMBER(SEARCH("deprecated",J38)),"deprecated",IF(L38="P0","canonical","recognized_subtype")))</x:f>
        <x:v>canonical</x:v>
      </x:c>
      <x:c r="AD38" s="12" t="str">
        <x:f>IF(AC38="canonical","high",IF(AC38="recognized_subtype","medium",IF(AC38="operational","operational_only","debated")))</x:f>
        <x:v>high</x:v>
      </x:c>
      <x:c r="AE38" s="12" t="str">
        <x:f>IF(AC38="deprecated","deprecated",IF(M38="yes","active",IF(M38="review","review_required","backlog")))</x:f>
        <x:v>active</x:v>
      </x:c>
      <x:c r="AF38" s="12" t="str">
        <x:f>IF(OR(AE38="active",AE38="review_required"),"yes","no")</x:f>
        <x:v>yes</x:v>
      </x:c>
      <x:c r="AG38" s="12" t="str">
        <x:f>IF(AND(AE38="active",M38="yes",NOT(ISNUMBER(SEARCH("healthy",AB38)))),"yes","no")</x:f>
        <x:v>yes</x:v>
      </x:c>
      <x:c r="AH38" s="12" t="str">
        <x:f>IF(OR(H38="contextual",H38="dialogue",H38="discourse",I38="claim+context",I38="discourse_segment"),"yes","no")</x:f>
        <x:v>no</x:v>
      </x:c>
      <x:c r="AI38" s="12" t="str">
        <x:f>IF(OR(AH38="yes",AD38="debated",AC38="operational"),"yes","no")</x:f>
        <x:v>no</x:v>
      </x:c>
      <x:c r="AJ38" s="12" t="str">
        <x:f>IF(OR(AH38="yes",AC38="operational",AD38="debated"),"high",IF(AND(AG38="yes",L38="P0"),"medium","low"))</x:f>
        <x:v>medium</x:v>
      </x:c>
      <x:c r="AK38" s="12" t="str">
        <x:f>IF(ISNUMBER(SEARCH("healthy",AB38)),"yes","no")</x:f>
        <x:v>no</x:v>
      </x:c>
      <x:c r="AL38" s="12" t="str">
        <x:f>IF(AG38="yes","yes","candidate_only")</x:f>
        <x:v>yes</x:v>
      </x:c>
      <x:c r="AM38" s="12" t="str">
        <x:f>IF(OR(AC38="canonical",AG38="yes"),"yes","recommended")</x:f>
        <x:v>yes</x:v>
      </x:c>
      <x:c r="AN38" s="12" t="str">
        <x:f>IF(AC38="deprecated","exclude",IF(AND(AG38="yes",AJ38="high"),"import_but_human_review_required",IF(AG38="yes","import_as_active","import_as_backlog")))</x:f>
        <x:v>import_as_active</x:v>
      </x:c>
      <x:c r="AO38" s="12" t="str">
        <x:f>IF(AND(AG38="yes",OR(P38="",Q38="",R38="",S38="")),"missing_required_mvp_fields",IF(AND(AC38="canonical",Y38=""),"missing_source_ref","ok"))</x:f>
        <x:v>ok</x:v>
      </x:c>
      <x:c r="AP38" s="12" t="str">
        <x:f>IF(AO38="ok","ready_for_codex_import","needs_review")</x:f>
        <x:v>ready_for_codex_import</x:v>
      </x:c>
      <x:c r="AQ38" s="12"/>
      <x:c r="AR38" s="12" t="str">
        <x:v>Added v2 operational fields. Review before classification activation.</x:v>
      </x:c>
    </x:row>
    <x:row r="39">
      <x:c r="A39" s="13" t="str">
        <x:v>denying_antecedent_canonical</x:v>
      </x:c>
      <x:c r="B39" s="13" t="str">
        <x:v>denying_antecedent</x:v>
      </x:c>
      <x:c r="C39" s="13" t="str">
        <x:v>Denying the antecedent</x:v>
      </x:c>
      <x:c r="D39" s="13" t="str">
        <x:v>انکار مقدم</x:v>
      </x:c>
      <x:c r="E39" s="13" t="str">
        <x:v>Canonical form</x:v>
      </x:c>
      <x:c r="F39" s="13" t="str">
        <x:v>reasoning_failures</x:v>
      </x:c>
      <x:c r="G39" s="13" t="str">
        <x:v>canonical</x:v>
      </x:c>
      <x:c r="H39" s="13" t="str">
        <x:v>formal</x:v>
      </x:c>
      <x:c r="I39" s="13" t="str">
        <x:v>claim</x:v>
      </x:c>
      <x:c r="J39" s="13" t="str">
        <x:v>core_named_candidate</x:v>
      </x:c>
      <x:c r="K39" s="13" t="str">
        <x:v>established_parent_needs_row_review</x:v>
      </x:c>
      <x:c r="L39" s="13" t="str">
        <x:v>P0</x:v>
      </x:c>
      <x:c r="M39" s="13" t="str">
        <x:v>yes</x:v>
      </x:c>
      <x:c r="N39" s="13" t="str">
        <x:v>Operational subtype under Denying the antecedent: the parent pattern appears in its standard recognizable form. Parent definition: Inferring the negation of the consequent from the negation of the antecedent.</x:v>
      </x:c>
      <x:c r="O39" s="13" t="str">
        <x:v>Look for: explicit claim-level evidence; parent-family cues for Denying the antecedent; variant cue: the parent pattern appears in its standard recognizable form; avoid author-level inference.</x:v>
      </x:c>
      <x:c r="P39" s="13" t="str">
        <x:v>Exact evidence span in text plus claim-level reasoning link; for contextual/discourse entries, require surrounding context.</x:v>
      </x:c>
      <x:c r="Q39" s="13" t="str">
        <x:v>Do not label merely because topic is controversial, emotional, or wrong. Do not judge intent or personality. Require textual evidence and consider healthy-reasoning cues.</x:v>
      </x:c>
      <x:c r="R39" s="13" t="str">
        <x:v>Stub: A claim relies on the parent pattern appears in its standard recognizable form to support a conclusion without adequate qualification.</x:v>
      </x:c>
      <x:c r="S39" s="13" t="str">
        <x:v>Stub: A claim discusses denying the antecedent with caveats, balanced evidence, or no argumentative use of the pattern.</x:v>
      </x:c>
      <x:c r="T39" s="13" t="str">
        <x:v>Mild or ambiguous cue; do not classify without clear evidence span.</x:v>
      </x:c>
      <x:c r="U39" s="13" t="str">
        <x:v>Clear claim-level pattern with some argumentative impact.</x:v>
      </x:c>
      <x:c r="V39" s="13" t="str">
        <x:v>Strong pattern central to the conclusion and likely to materially distort reasoning.</x:v>
      </x:c>
      <x:c r="W39" s="13" t="str"/>
      <x:c r="X39" s="13" t="str">
        <x:v>sep_fallacies</x:v>
      </x:c>
      <x:c r="Y39" s="13" t="str">
        <x:v>https://plato.stanford.edu/entries/fallacies/</x:v>
      </x:c>
      <x:c r="Z39" s="13" t="str">
        <x:v>Review before enabling. This workbook is a living taxonomy scaffold, not a validated scientific benchmark.</x:v>
      </x:c>
      <x:c r="AA39" s="13" t="str">
        <x:v>0.1.0-draft</x:v>
      </x:c>
      <x:c r="AB39" s="12" t="str">
        <x:f>IF(ISNUMBER(SEARCH("healthy",F39)),"healthy_reasoning_patterns",IF(ISNUMBER(SEARCH("statistical",F39)),"statistical_reasoning",IF(ISNUMBER(SEARCH("causal",F39)),"causal_reasoning",IF(ISNUMBER(SEARCH("social",F39)),"social_influence",IF(ISNUMBER(SEARCH("rhetoric",F39)),"rhetoric_discourse",IF(ISNUMBER(SEARCH("behavior",F39)),"behavioural_economics",IF(ISNUMBER(SEARCH("cognitive",F39)),"cognitive_biases",IF(J39="protective_pattern","healthy_reasoning_patterns",IF(L39="P0","core_mvp","extended_fallacies")))))))))</x:f>
        <x:v>core_mvp</x:v>
      </x:c>
      <x:c r="AC39" s="12" t="str">
        <x:f>IF(ISNUMBER(SEARCH("operational",J39)),"operational",IF(ISNUMBER(SEARCH("deprecated",J39)),"deprecated",IF(L39="P0","canonical","recognized_subtype")))</x:f>
        <x:v>canonical</x:v>
      </x:c>
      <x:c r="AD39" s="12" t="str">
        <x:f>IF(AC39="canonical","high",IF(AC39="recognized_subtype","medium",IF(AC39="operational","operational_only","debated")))</x:f>
        <x:v>high</x:v>
      </x:c>
      <x:c r="AE39" s="12" t="str">
        <x:f>IF(AC39="deprecated","deprecated",IF(M39="yes","active",IF(M39="review","review_required","backlog")))</x:f>
        <x:v>active</x:v>
      </x:c>
      <x:c r="AF39" s="12" t="str">
        <x:f>IF(OR(AE39="active",AE39="review_required"),"yes","no")</x:f>
        <x:v>yes</x:v>
      </x:c>
      <x:c r="AG39" s="12" t="str">
        <x:f>IF(AND(AE39="active",M39="yes",NOT(ISNUMBER(SEARCH("healthy",AB39)))),"yes","no")</x:f>
        <x:v>yes</x:v>
      </x:c>
      <x:c r="AH39" s="12" t="str">
        <x:f>IF(OR(H39="contextual",H39="dialogue",H39="discourse",I39="claim+context",I39="discourse_segment"),"yes","no")</x:f>
        <x:v>no</x:v>
      </x:c>
      <x:c r="AI39" s="12" t="str">
        <x:f>IF(OR(AH39="yes",AD39="debated",AC39="operational"),"yes","no")</x:f>
        <x:v>no</x:v>
      </x:c>
      <x:c r="AJ39" s="12" t="str">
        <x:f>IF(OR(AH39="yes",AC39="operational",AD39="debated"),"high",IF(AND(AG39="yes",L39="P0"),"medium","low"))</x:f>
        <x:v>medium</x:v>
      </x:c>
      <x:c r="AK39" s="12" t="str">
        <x:f>IF(ISNUMBER(SEARCH("healthy",AB39)),"yes","no")</x:f>
        <x:v>no</x:v>
      </x:c>
      <x:c r="AL39" s="12" t="str">
        <x:f>IF(AG39="yes","yes","candidate_only")</x:f>
        <x:v>yes</x:v>
      </x:c>
      <x:c r="AM39" s="12" t="str">
        <x:f>IF(OR(AC39="canonical",AG39="yes"),"yes","recommended")</x:f>
        <x:v>yes</x:v>
      </x:c>
      <x:c r="AN39" s="12" t="str">
        <x:f>IF(AC39="deprecated","exclude",IF(AND(AG39="yes",AJ39="high"),"import_but_human_review_required",IF(AG39="yes","import_as_active","import_as_backlog")))</x:f>
        <x:v>import_as_active</x:v>
      </x:c>
      <x:c r="AO39" s="12" t="str">
        <x:f>IF(AND(AG39="yes",OR(P39="",Q39="",R39="",S39="")),"missing_required_mvp_fields",IF(AND(AC39="canonical",Y39=""),"missing_source_ref","ok"))</x:f>
        <x:v>ok</x:v>
      </x:c>
      <x:c r="AP39" s="12" t="str">
        <x:f>IF(AO39="ok","ready_for_codex_import","needs_review")</x:f>
        <x:v>ready_for_codex_import</x:v>
      </x:c>
      <x:c r="AQ39" s="12"/>
      <x:c r="AR39" s="12" t="str">
        <x:v>Added v2 operational fields. Review before classification activation.</x:v>
      </x:c>
    </x:row>
    <x:row r="40">
      <x:c r="A40" s="13" t="str">
        <x:v>faulty_analogy_canonical</x:v>
      </x:c>
      <x:c r="B40" s="13" t="str">
        <x:v>faulty_analogy</x:v>
      </x:c>
      <x:c r="C40" s="13" t="str">
        <x:v>Faulty analogy</x:v>
      </x:c>
      <x:c r="D40" s="13" t="str">
        <x:v>قیاس مع‌الفارق</x:v>
      </x:c>
      <x:c r="E40" s="13" t="str">
        <x:v>Canonical form</x:v>
      </x:c>
      <x:c r="F40" s="13" t="str">
        <x:v>reasoning_failures</x:v>
      </x:c>
      <x:c r="G40" s="13" t="str">
        <x:v>canonical</x:v>
      </x:c>
      <x:c r="H40" s="13" t="str">
        <x:v>structural</x:v>
      </x:c>
      <x:c r="I40" s="13" t="str">
        <x:v>claim</x:v>
      </x:c>
      <x:c r="J40" s="13" t="str">
        <x:v>core_named_candidate</x:v>
      </x:c>
      <x:c r="K40" s="13" t="str">
        <x:v>established_parent_needs_row_review</x:v>
      </x:c>
      <x:c r="L40" s="13" t="str">
        <x:v>P0</x:v>
      </x:c>
      <x:c r="M40" s="13" t="str">
        <x:v>yes</x:v>
      </x:c>
      <x:c r="N40" s="13" t="str">
        <x:v>Operational subtype under Faulty analogy: the parent pattern appears in its standard recognizable form. Parent definition: Using an analogy while ignoring relevant disanalogies.</x:v>
      </x:c>
      <x:c r="O40" s="13" t="str">
        <x:v>Look for: explicit claim-level evidence; parent-family cues for Faulty analogy; variant cue: the parent pattern appears in its standard recognizable form; avoid author-level inference.</x:v>
      </x:c>
      <x:c r="P40" s="13" t="str">
        <x:v>Exact evidence span in text plus claim-level reasoning link; for contextual/discourse entries, require surrounding context.</x:v>
      </x:c>
      <x:c r="Q40" s="13" t="str">
        <x:v>Do not label merely because topic is controversial, emotional, or wrong. Do not judge intent or personality. Require textual evidence and consider healthy-reasoning cues.</x:v>
      </x:c>
      <x:c r="R40" s="13" t="str">
        <x:v>Stub: A claim relies on the parent pattern appears in its standard recognizable form to support a conclusion without adequate qualification.</x:v>
      </x:c>
      <x:c r="S40" s="13" t="str">
        <x:v>Stub: A claim discusses faulty analogy with caveats, balanced evidence, or no argumentative use of the pattern.</x:v>
      </x:c>
      <x:c r="T40" s="13" t="str">
        <x:v>Mild or ambiguous cue; do not classify without clear evidence span.</x:v>
      </x:c>
      <x:c r="U40" s="13" t="str">
        <x:v>Clear claim-level pattern with some argumentative impact.</x:v>
      </x:c>
      <x:c r="V40" s="13" t="str">
        <x:v>Strong pattern central to the conclusion and likely to materially distort reasoning.</x:v>
      </x:c>
      <x:c r="W40" s="13" t="str"/>
      <x:c r="X40" s="13" t="str">
        <x:v>walton_argumentation_schemes</x:v>
      </x:c>
      <x:c r="Y40" s="13" t="str">
        <x:v>https://www.cambridge.org/core/books/argumentation-schemes/1D013BFA2695C72B14134F2C38B17B85</x:v>
      </x:c>
      <x:c r="Z40" s="13" t="str">
        <x:v>Review before enabling. This workbook is a living taxonomy scaffold, not a validated scientific benchmark.</x:v>
      </x:c>
      <x:c r="AA40" s="13" t="str">
        <x:v>0.1.0-draft</x:v>
      </x:c>
      <x:c r="AB40" s="12" t="str">
        <x:f>IF(ISNUMBER(SEARCH("healthy",F40)),"healthy_reasoning_patterns",IF(ISNUMBER(SEARCH("statistical",F40)),"statistical_reasoning",IF(ISNUMBER(SEARCH("causal",F40)),"causal_reasoning",IF(ISNUMBER(SEARCH("social",F40)),"social_influence",IF(ISNUMBER(SEARCH("rhetoric",F40)),"rhetoric_discourse",IF(ISNUMBER(SEARCH("behavior",F40)),"behavioural_economics",IF(ISNUMBER(SEARCH("cognitive",F40)),"cognitive_biases",IF(J40="protective_pattern","healthy_reasoning_patterns",IF(L40="P0","core_mvp","extended_fallacies")))))))))</x:f>
        <x:v>core_mvp</x:v>
      </x:c>
      <x:c r="AC40" s="12" t="str">
        <x:f>IF(ISNUMBER(SEARCH("operational",J40)),"operational",IF(ISNUMBER(SEARCH("deprecated",J40)),"deprecated",IF(L40="P0","canonical","recognized_subtype")))</x:f>
        <x:v>canonical</x:v>
      </x:c>
      <x:c r="AD40" s="12" t="str">
        <x:f>IF(AC40="canonical","high",IF(AC40="recognized_subtype","medium",IF(AC40="operational","operational_only","debated")))</x:f>
        <x:v>high</x:v>
      </x:c>
      <x:c r="AE40" s="12" t="str">
        <x:f>IF(AC40="deprecated","deprecated",IF(M40="yes","active",IF(M40="review","review_required","backlog")))</x:f>
        <x:v>active</x:v>
      </x:c>
      <x:c r="AF40" s="12" t="str">
        <x:f>IF(OR(AE40="active",AE40="review_required"),"yes","no")</x:f>
        <x:v>yes</x:v>
      </x:c>
      <x:c r="AG40" s="12" t="str">
        <x:f>IF(AND(AE40="active",M40="yes",NOT(ISNUMBER(SEARCH("healthy",AB40)))),"yes","no")</x:f>
        <x:v>yes</x:v>
      </x:c>
      <x:c r="AH40" s="12" t="str">
        <x:f>IF(OR(H40="contextual",H40="dialogue",H40="discourse",I40="claim+context",I40="discourse_segment"),"yes","no")</x:f>
        <x:v>no</x:v>
      </x:c>
      <x:c r="AI40" s="12" t="str">
        <x:f>IF(OR(AH40="yes",AD40="debated",AC40="operational"),"yes","no")</x:f>
        <x:v>no</x:v>
      </x:c>
      <x:c r="AJ40" s="12" t="str">
        <x:f>IF(OR(AH40="yes",AC40="operational",AD40="debated"),"high",IF(AND(AG40="yes",L40="P0"),"medium","low"))</x:f>
        <x:v>medium</x:v>
      </x:c>
      <x:c r="AK40" s="12" t="str">
        <x:f>IF(ISNUMBER(SEARCH("healthy",AB40)),"yes","no")</x:f>
        <x:v>no</x:v>
      </x:c>
      <x:c r="AL40" s="12" t="str">
        <x:f>IF(AG40="yes","yes","candidate_only")</x:f>
        <x:v>yes</x:v>
      </x:c>
      <x:c r="AM40" s="12" t="str">
        <x:f>IF(OR(AC40="canonical",AG40="yes"),"yes","recommended")</x:f>
        <x:v>yes</x:v>
      </x:c>
      <x:c r="AN40" s="12" t="str">
        <x:f>IF(AC40="deprecated","exclude",IF(AND(AG40="yes",AJ40="high"),"import_but_human_review_required",IF(AG40="yes","import_as_active","import_as_backlog")))</x:f>
        <x:v>import_as_active</x:v>
      </x:c>
      <x:c r="AO40" s="12" t="str">
        <x:f>IF(AND(AG40="yes",OR(P40="",Q40="",R40="",S40="")),"missing_required_mvp_fields",IF(AND(AC40="canonical",Y40=""),"missing_source_ref","ok"))</x:f>
        <x:v>ok</x:v>
      </x:c>
      <x:c r="AP40" s="12" t="str">
        <x:f>IF(AO40="ok","ready_for_codex_import","needs_review")</x:f>
        <x:v>ready_for_codex_import</x:v>
      </x:c>
      <x:c r="AQ40" s="12"/>
      <x:c r="AR40" s="12" t="str">
        <x:v>Added v2 operational fields. Review before classification activation.</x:v>
      </x:c>
    </x:row>
    <x:row r="41">
      <x:c r="A41" s="13" t="str">
        <x:v>appeal_to_nature_canonical</x:v>
      </x:c>
      <x:c r="B41" s="13" t="str">
        <x:v>appeal_to_nature</x:v>
      </x:c>
      <x:c r="C41" s="13" t="str">
        <x:v>Appeal to nature</x:v>
      </x:c>
      <x:c r="D41" s="13" t="str">
        <x:v>استناد به طبیعی بودن</x:v>
      </x:c>
      <x:c r="E41" s="13" t="str">
        <x:v>Canonical form</x:v>
      </x:c>
      <x:c r="F41" s="13" t="str">
        <x:v>reasoning_failures</x:v>
      </x:c>
      <x:c r="G41" s="13" t="str">
        <x:v>canonical</x:v>
      </x:c>
      <x:c r="H41" s="13" t="str">
        <x:v>contextual</x:v>
      </x:c>
      <x:c r="I41" s="13" t="str">
        <x:v>claim+context</x:v>
      </x:c>
      <x:c r="J41" s="13" t="str">
        <x:v>core_named_candidate</x:v>
      </x:c>
      <x:c r="K41" s="13" t="str">
        <x:v>established_parent_needs_row_review</x:v>
      </x:c>
      <x:c r="L41" s="13" t="str">
        <x:v>P0</x:v>
      </x:c>
      <x:c r="M41" s="13" t="str">
        <x:v>yes</x:v>
      </x:c>
      <x:c r="N41" s="13" t="str">
        <x:v>Operational subtype under Appeal to nature: the parent pattern appears in its standard recognizable form. Parent definition: Treating naturalness as sufficient proof of goodness or correctness.</x:v>
      </x:c>
      <x:c r="O41" s="13" t="str">
        <x:v>Look for: explicit claim-level evidence; parent-family cues for Appeal to nature; variant cue: the parent pattern appears in its standard recognizable form; avoid author-level inference.</x:v>
      </x:c>
      <x:c r="P41" s="13" t="str">
        <x:v>Exact evidence span in text plus claim-level reasoning link; for contextual/discourse entries, require surrounding context.</x:v>
      </x:c>
      <x:c r="Q41" s="13" t="str">
        <x:v>Do not label merely because topic is controversial, emotional, or wrong. Do not judge intent or personality. Require textual evidence and consider healthy-reasoning cues.</x:v>
      </x:c>
      <x:c r="R41" s="13" t="str">
        <x:v>Stub: A claim relies on the parent pattern appears in its standard recognizable form to support a conclusion without adequate qualification.</x:v>
      </x:c>
      <x:c r="S41" s="13" t="str">
        <x:v>Stub: A claim discusses appeal to nature with caveats, balanced evidence, or no argumentative use of the pattern.</x:v>
      </x:c>
      <x:c r="T41" s="13" t="str">
        <x:v>Mild or ambiguous cue; do not classify without clear evidence span.</x:v>
      </x:c>
      <x:c r="U41" s="13" t="str">
        <x:v>Clear claim-level pattern with some argumentative impact.</x:v>
      </x:c>
      <x:c r="V41" s="13" t="str">
        <x:v>Strong pattern central to the conclusion and likely to materially distort reasoning.</x:v>
      </x:c>
      <x:c r="W41" s="13" t="str"/>
      <x:c r="X41" s="13" t="str">
        <x:v>sep_fallacies</x:v>
      </x:c>
      <x:c r="Y41" s="13" t="str">
        <x:v>https://plato.stanford.edu/entries/fallacies/</x:v>
      </x:c>
      <x:c r="Z41" s="13" t="str">
        <x:v>Review before enabling. This workbook is a living taxonomy scaffold, not a validated scientific benchmark.</x:v>
      </x:c>
      <x:c r="AA41" s="13" t="str">
        <x:v>0.1.0-draft</x:v>
      </x:c>
      <x:c r="AB41" s="12" t="str">
        <x:f>IF(ISNUMBER(SEARCH("healthy",F41)),"healthy_reasoning_patterns",IF(ISNUMBER(SEARCH("statistical",F41)),"statistical_reasoning",IF(ISNUMBER(SEARCH("causal",F41)),"causal_reasoning",IF(ISNUMBER(SEARCH("social",F41)),"social_influence",IF(ISNUMBER(SEARCH("rhetoric",F41)),"rhetoric_discourse",IF(ISNUMBER(SEARCH("behavior",F41)),"behavioural_economics",IF(ISNUMBER(SEARCH("cognitive",F41)),"cognitive_biases",IF(J41="protective_pattern","healthy_reasoning_patterns",IF(L41="P0","core_mvp","extended_fallacies")))))))))</x:f>
        <x:v>core_mvp</x:v>
      </x:c>
      <x:c r="AC41" s="12" t="str">
        <x:f>IF(ISNUMBER(SEARCH("operational",J41)),"operational",IF(ISNUMBER(SEARCH("deprecated",J41)),"deprecated",IF(L41="P0","canonical","recognized_subtype")))</x:f>
        <x:v>canonical</x:v>
      </x:c>
      <x:c r="AD41" s="12" t="str">
        <x:f>IF(AC41="canonical","high",IF(AC41="recognized_subtype","medium",IF(AC41="operational","operational_only","debated")))</x:f>
        <x:v>high</x:v>
      </x:c>
      <x:c r="AE41" s="12" t="str">
        <x:f>IF(AC41="deprecated","deprecated",IF(M41="yes","active",IF(M41="review","review_required","backlog")))</x:f>
        <x:v>active</x:v>
      </x:c>
      <x:c r="AF41" s="12" t="str">
        <x:f>IF(OR(AE41="active",AE41="review_required"),"yes","no")</x:f>
        <x:v>yes</x:v>
      </x:c>
      <x:c r="AG41" s="12" t="str">
        <x:f>IF(AND(AE41="active",M41="yes",NOT(ISNUMBER(SEARCH("healthy",AB41)))),"yes","no")</x:f>
        <x:v>yes</x:v>
      </x:c>
      <x:c r="AH41" s="12" t="str">
        <x:f>IF(OR(H41="contextual",H41="dialogue",H41="discourse",I41="claim+context",I41="discourse_segment"),"yes","no")</x:f>
        <x:v>yes</x:v>
      </x:c>
      <x:c r="AI41" s="12" t="str">
        <x:f>IF(OR(AH41="yes",AD41="debated",AC41="operational"),"yes","no")</x:f>
        <x:v>yes</x:v>
      </x:c>
      <x:c r="AJ41" s="12" t="str">
        <x:f>IF(OR(AH41="yes",AC41="operational",AD41="debated"),"high",IF(AND(AG41="yes",L41="P0"),"medium","low"))</x:f>
        <x:v>high</x:v>
      </x:c>
      <x:c r="AK41" s="12" t="str">
        <x:f>IF(ISNUMBER(SEARCH("healthy",AB41)),"yes","no")</x:f>
        <x:v>no</x:v>
      </x:c>
      <x:c r="AL41" s="12" t="str">
        <x:f>IF(AG41="yes","yes","candidate_only")</x:f>
        <x:v>yes</x:v>
      </x:c>
      <x:c r="AM41" s="12" t="str">
        <x:f>IF(OR(AC41="canonical",AG41="yes"),"yes","recommended")</x:f>
        <x:v>yes</x:v>
      </x:c>
      <x:c r="AN41" s="12" t="str">
        <x:f>IF(AC41="deprecated","exclude",IF(AND(AG41="yes",AJ41="high"),"import_but_human_review_required",IF(AG41="yes","import_as_active","import_as_backlog")))</x:f>
        <x:v>import_but_human_review_required</x:v>
      </x:c>
      <x:c r="AO41" s="12" t="str">
        <x:f>IF(AND(AG41="yes",OR(P41="",Q41="",R41="",S41="")),"missing_required_mvp_fields",IF(AND(AC41="canonical",Y41=""),"missing_source_ref","ok"))</x:f>
        <x:v>ok</x:v>
      </x:c>
      <x:c r="AP41" s="12" t="str">
        <x:f>IF(AO41="ok","ready_for_codex_import","needs_review")</x:f>
        <x:v>ready_for_codex_import</x:v>
      </x:c>
      <x:c r="AQ41" s="12"/>
      <x:c r="AR41" s="12" t="str">
        <x:v>Added v2 operational fields. Review before classification activation.</x:v>
      </x:c>
    </x:row>
    <x:row r="42">
      <x:c r="A42" s="13" t="str">
        <x:v>appeal_to_tradition_canonical</x:v>
      </x:c>
      <x:c r="B42" s="13" t="str">
        <x:v>appeal_to_tradition</x:v>
      </x:c>
      <x:c r="C42" s="13" t="str">
        <x:v>Appeal to tradition</x:v>
      </x:c>
      <x:c r="D42" s="13" t="str">
        <x:v>استناد به سنت</x:v>
      </x:c>
      <x:c r="E42" s="13" t="str">
        <x:v>Canonical form</x:v>
      </x:c>
      <x:c r="F42" s="13" t="str">
        <x:v>reasoning_failures</x:v>
      </x:c>
      <x:c r="G42" s="13" t="str">
        <x:v>canonical</x:v>
      </x:c>
      <x:c r="H42" s="13" t="str">
        <x:v>contextual</x:v>
      </x:c>
      <x:c r="I42" s="13" t="str">
        <x:v>claim+context</x:v>
      </x:c>
      <x:c r="J42" s="13" t="str">
        <x:v>core_named_candidate</x:v>
      </x:c>
      <x:c r="K42" s="13" t="str">
        <x:v>established_parent_needs_row_review</x:v>
      </x:c>
      <x:c r="L42" s="13" t="str">
        <x:v>P0</x:v>
      </x:c>
      <x:c r="M42" s="13" t="str">
        <x:v>yes</x:v>
      </x:c>
      <x:c r="N42" s="13" t="str">
        <x:v>Operational subtype under Appeal to tradition: the parent pattern appears in its standard recognizable form. Parent definition: Treating long-standing practice as sufficient proof of correctness.</x:v>
      </x:c>
      <x:c r="O42" s="13" t="str">
        <x:v>Look for: explicit claim-level evidence; parent-family cues for Appeal to tradition; variant cue: the parent pattern appears in its standard recognizable form; avoid author-level inference.</x:v>
      </x:c>
      <x:c r="P42" s="13" t="str">
        <x:v>Exact evidence span in text plus claim-level reasoning link; for contextual/discourse entries, require surrounding context.</x:v>
      </x:c>
      <x:c r="Q42" s="13" t="str">
        <x:v>Do not label merely because topic is controversial, emotional, or wrong. Do not judge intent or personality. Require textual evidence and consider healthy-reasoning cues.</x:v>
      </x:c>
      <x:c r="R42" s="13" t="str">
        <x:v>Stub: A claim relies on the parent pattern appears in its standard recognizable form to support a conclusion without adequate qualification.</x:v>
      </x:c>
      <x:c r="S42" s="13" t="str">
        <x:v>Stub: A claim discusses appeal to tradition with caveats, balanced evidence, or no argumentative use of the pattern.</x:v>
      </x:c>
      <x:c r="T42" s="13" t="str">
        <x:v>Mild or ambiguous cue; do not classify without clear evidence span.</x:v>
      </x:c>
      <x:c r="U42" s="13" t="str">
        <x:v>Clear claim-level pattern with some argumentative impact.</x:v>
      </x:c>
      <x:c r="V42" s="13" t="str">
        <x:v>Strong pattern central to the conclusion and likely to materially distort reasoning.</x:v>
      </x:c>
      <x:c r="W42" s="13" t="str"/>
      <x:c r="X42" s="13" t="str">
        <x:v>sep_fallacies</x:v>
      </x:c>
      <x:c r="Y42" s="13" t="str">
        <x:v>https://plato.stanford.edu/entries/fallacies/</x:v>
      </x:c>
      <x:c r="Z42" s="13" t="str">
        <x:v>Review before enabling. This workbook is a living taxonomy scaffold, not a validated scientific benchmark.</x:v>
      </x:c>
      <x:c r="AA42" s="13" t="str">
        <x:v>0.1.0-draft</x:v>
      </x:c>
      <x:c r="AB42" s="12" t="str">
        <x:f>IF(ISNUMBER(SEARCH("healthy",F42)),"healthy_reasoning_patterns",IF(ISNUMBER(SEARCH("statistical",F42)),"statistical_reasoning",IF(ISNUMBER(SEARCH("causal",F42)),"causal_reasoning",IF(ISNUMBER(SEARCH("social",F42)),"social_influence",IF(ISNUMBER(SEARCH("rhetoric",F42)),"rhetoric_discourse",IF(ISNUMBER(SEARCH("behavior",F42)),"behavioural_economics",IF(ISNUMBER(SEARCH("cognitive",F42)),"cognitive_biases",IF(J42="protective_pattern","healthy_reasoning_patterns",IF(L42="P0","core_mvp","extended_fallacies")))))))))</x:f>
        <x:v>core_mvp</x:v>
      </x:c>
      <x:c r="AC42" s="12" t="str">
        <x:f>IF(ISNUMBER(SEARCH("operational",J42)),"operational",IF(ISNUMBER(SEARCH("deprecated",J42)),"deprecated",IF(L42="P0","canonical","recognized_subtype")))</x:f>
        <x:v>canonical</x:v>
      </x:c>
      <x:c r="AD42" s="12" t="str">
        <x:f>IF(AC42="canonical","high",IF(AC42="recognized_subtype","medium",IF(AC42="operational","operational_only","debated")))</x:f>
        <x:v>high</x:v>
      </x:c>
      <x:c r="AE42" s="12" t="str">
        <x:f>IF(AC42="deprecated","deprecated",IF(M42="yes","active",IF(M42="review","review_required","backlog")))</x:f>
        <x:v>active</x:v>
      </x:c>
      <x:c r="AF42" s="12" t="str">
        <x:f>IF(OR(AE42="active",AE42="review_required"),"yes","no")</x:f>
        <x:v>yes</x:v>
      </x:c>
      <x:c r="AG42" s="12" t="str">
        <x:f>IF(AND(AE42="active",M42="yes",NOT(ISNUMBER(SEARCH("healthy",AB42)))),"yes","no")</x:f>
        <x:v>yes</x:v>
      </x:c>
      <x:c r="AH42" s="12" t="str">
        <x:f>IF(OR(H42="contextual",H42="dialogue",H42="discourse",I42="claim+context",I42="discourse_segment"),"yes","no")</x:f>
        <x:v>yes</x:v>
      </x:c>
      <x:c r="AI42" s="12" t="str">
        <x:f>IF(OR(AH42="yes",AD42="debated",AC42="operational"),"yes","no")</x:f>
        <x:v>yes</x:v>
      </x:c>
      <x:c r="AJ42" s="12" t="str">
        <x:f>IF(OR(AH42="yes",AC42="operational",AD42="debated"),"high",IF(AND(AG42="yes",L42="P0"),"medium","low"))</x:f>
        <x:v>high</x:v>
      </x:c>
      <x:c r="AK42" s="12" t="str">
        <x:f>IF(ISNUMBER(SEARCH("healthy",AB42)),"yes","no")</x:f>
        <x:v>no</x:v>
      </x:c>
      <x:c r="AL42" s="12" t="str">
        <x:f>IF(AG42="yes","yes","candidate_only")</x:f>
        <x:v>yes</x:v>
      </x:c>
      <x:c r="AM42" s="12" t="str">
        <x:f>IF(OR(AC42="canonical",AG42="yes"),"yes","recommended")</x:f>
        <x:v>yes</x:v>
      </x:c>
      <x:c r="AN42" s="12" t="str">
        <x:f>IF(AC42="deprecated","exclude",IF(AND(AG42="yes",AJ42="high"),"import_but_human_review_required",IF(AG42="yes","import_as_active","import_as_backlog")))</x:f>
        <x:v>import_but_human_review_required</x:v>
      </x:c>
      <x:c r="AO42" s="12" t="str">
        <x:f>IF(AND(AG42="yes",OR(P42="",Q42="",R42="",S42="")),"missing_required_mvp_fields",IF(AND(AC42="canonical",Y42=""),"missing_source_ref","ok"))</x:f>
        <x:v>ok</x:v>
      </x:c>
      <x:c r="AP42" s="12" t="str">
        <x:f>IF(AO42="ok","ready_for_codex_import","needs_review")</x:f>
        <x:v>ready_for_codex_import</x:v>
      </x:c>
      <x:c r="AQ42" s="12"/>
      <x:c r="AR42" s="12" t="str">
        <x:v>Added v2 operational fields. Review before classification activation.</x:v>
      </x:c>
    </x:row>
    <x:row r="43">
      <x:c r="A43" s="13" t="str">
        <x:v>appeal_to_novelty_canonical</x:v>
      </x:c>
      <x:c r="B43" s="13" t="str">
        <x:v>appeal_to_novelty</x:v>
      </x:c>
      <x:c r="C43" s="13" t="str">
        <x:v>Appeal to novelty</x:v>
      </x:c>
      <x:c r="D43" s="13" t="str">
        <x:v>استناد به نو بودن</x:v>
      </x:c>
      <x:c r="E43" s="13" t="str">
        <x:v>Canonical form</x:v>
      </x:c>
      <x:c r="F43" s="13" t="str">
        <x:v>reasoning_failures</x:v>
      </x:c>
      <x:c r="G43" s="13" t="str">
        <x:v>canonical</x:v>
      </x:c>
      <x:c r="H43" s="13" t="str">
        <x:v>contextual</x:v>
      </x:c>
      <x:c r="I43" s="13" t="str">
        <x:v>claim+context</x:v>
      </x:c>
      <x:c r="J43" s="13" t="str">
        <x:v>core_named_candidate</x:v>
      </x:c>
      <x:c r="K43" s="13" t="str">
        <x:v>established_parent_needs_row_review</x:v>
      </x:c>
      <x:c r="L43" s="13" t="str">
        <x:v>P0</x:v>
      </x:c>
      <x:c r="M43" s="13" t="str">
        <x:v>yes</x:v>
      </x:c>
      <x:c r="N43" s="13" t="str">
        <x:v>Operational subtype under Appeal to novelty: the parent pattern appears in its standard recognizable form. Parent definition: Treating newness as sufficient proof of superiority.</x:v>
      </x:c>
      <x:c r="O43" s="13" t="str">
        <x:v>Look for: explicit claim-level evidence; parent-family cues for Appeal to novelty; variant cue: the parent pattern appears in its standard recognizable form; avoid author-level inference.</x:v>
      </x:c>
      <x:c r="P43" s="13" t="str">
        <x:v>Exact evidence span in text plus claim-level reasoning link; for contextual/discourse entries, require surrounding context.</x:v>
      </x:c>
      <x:c r="Q43" s="13" t="str">
        <x:v>Do not label merely because topic is controversial, emotional, or wrong. Do not judge intent or personality. Require textual evidence and consider healthy-reasoning cues.</x:v>
      </x:c>
      <x:c r="R43" s="13" t="str">
        <x:v>Stub: A claim relies on the parent pattern appears in its standard recognizable form to support a conclusion without adequate qualification.</x:v>
      </x:c>
      <x:c r="S43" s="13" t="str">
        <x:v>Stub: A claim discusses appeal to novelty with caveats, balanced evidence, or no argumentative use of the pattern.</x:v>
      </x:c>
      <x:c r="T43" s="13" t="str">
        <x:v>Mild or ambiguous cue; do not classify without clear evidence span.</x:v>
      </x:c>
      <x:c r="U43" s="13" t="str">
        <x:v>Clear claim-level pattern with some argumentative impact.</x:v>
      </x:c>
      <x:c r="V43" s="13" t="str">
        <x:v>Strong pattern central to the conclusion and likely to materially distort reasoning.</x:v>
      </x:c>
      <x:c r="W43" s="13" t="str"/>
      <x:c r="X43" s="13" t="str">
        <x:v>sep_fallacies</x:v>
      </x:c>
      <x:c r="Y43" s="13" t="str">
        <x:v>https://plato.stanford.edu/entries/fallacies/</x:v>
      </x:c>
      <x:c r="Z43" s="13" t="str">
        <x:v>Review before enabling. This workbook is a living taxonomy scaffold, not a validated scientific benchmark.</x:v>
      </x:c>
      <x:c r="AA43" s="13" t="str">
        <x:v>0.1.0-draft</x:v>
      </x:c>
      <x:c r="AB43" s="12" t="str">
        <x:f>IF(ISNUMBER(SEARCH("healthy",F43)),"healthy_reasoning_patterns",IF(ISNUMBER(SEARCH("statistical",F43)),"statistical_reasoning",IF(ISNUMBER(SEARCH("causal",F43)),"causal_reasoning",IF(ISNUMBER(SEARCH("social",F43)),"social_influence",IF(ISNUMBER(SEARCH("rhetoric",F43)),"rhetoric_discourse",IF(ISNUMBER(SEARCH("behavior",F43)),"behavioural_economics",IF(ISNUMBER(SEARCH("cognitive",F43)),"cognitive_biases",IF(J43="protective_pattern","healthy_reasoning_patterns",IF(L43="P0","core_mvp","extended_fallacies")))))))))</x:f>
        <x:v>core_mvp</x:v>
      </x:c>
      <x:c r="AC43" s="12" t="str">
        <x:f>IF(ISNUMBER(SEARCH("operational",J43)),"operational",IF(ISNUMBER(SEARCH("deprecated",J43)),"deprecated",IF(L43="P0","canonical","recognized_subtype")))</x:f>
        <x:v>canonical</x:v>
      </x:c>
      <x:c r="AD43" s="12" t="str">
        <x:f>IF(AC43="canonical","high",IF(AC43="recognized_subtype","medium",IF(AC43="operational","operational_only","debated")))</x:f>
        <x:v>high</x:v>
      </x:c>
      <x:c r="AE43" s="12" t="str">
        <x:f>IF(AC43="deprecated","deprecated",IF(M43="yes","active",IF(M43="review","review_required","backlog")))</x:f>
        <x:v>active</x:v>
      </x:c>
      <x:c r="AF43" s="12" t="str">
        <x:f>IF(OR(AE43="active",AE43="review_required"),"yes","no")</x:f>
        <x:v>yes</x:v>
      </x:c>
      <x:c r="AG43" s="12" t="str">
        <x:f>IF(AND(AE43="active",M43="yes",NOT(ISNUMBER(SEARCH("healthy",AB43)))),"yes","no")</x:f>
        <x:v>yes</x:v>
      </x:c>
      <x:c r="AH43" s="12" t="str">
        <x:f>IF(OR(H43="contextual",H43="dialogue",H43="discourse",I43="claim+context",I43="discourse_segment"),"yes","no")</x:f>
        <x:v>yes</x:v>
      </x:c>
      <x:c r="AI43" s="12" t="str">
        <x:f>IF(OR(AH43="yes",AD43="debated",AC43="operational"),"yes","no")</x:f>
        <x:v>yes</x:v>
      </x:c>
      <x:c r="AJ43" s="12" t="str">
        <x:f>IF(OR(AH43="yes",AC43="operational",AD43="debated"),"high",IF(AND(AG43="yes",L43="P0"),"medium","low"))</x:f>
        <x:v>high</x:v>
      </x:c>
      <x:c r="AK43" s="12" t="str">
        <x:f>IF(ISNUMBER(SEARCH("healthy",AB43)),"yes","no")</x:f>
        <x:v>no</x:v>
      </x:c>
      <x:c r="AL43" s="12" t="str">
        <x:f>IF(AG43="yes","yes","candidate_only")</x:f>
        <x:v>yes</x:v>
      </x:c>
      <x:c r="AM43" s="12" t="str">
        <x:f>IF(OR(AC43="canonical",AG43="yes"),"yes","recommended")</x:f>
        <x:v>yes</x:v>
      </x:c>
      <x:c r="AN43" s="12" t="str">
        <x:f>IF(AC43="deprecated","exclude",IF(AND(AG43="yes",AJ43="high"),"import_but_human_review_required",IF(AG43="yes","import_as_active","import_as_backlog")))</x:f>
        <x:v>import_but_human_review_required</x:v>
      </x:c>
      <x:c r="AO43" s="12" t="str">
        <x:f>IF(AND(AG43="yes",OR(P43="",Q43="",R43="",S43="")),"missing_required_mvp_fields",IF(AND(AC43="canonical",Y43=""),"missing_source_ref","ok"))</x:f>
        <x:v>ok</x:v>
      </x:c>
      <x:c r="AP43" s="12" t="str">
        <x:f>IF(AO43="ok","ready_for_codex_import","needs_review")</x:f>
        <x:v>ready_for_codex_import</x:v>
      </x:c>
      <x:c r="AQ43" s="12"/>
      <x:c r="AR43" s="12" t="str">
        <x:v>Added v2 operational fields. Review before classification activation.</x:v>
      </x:c>
    </x:row>
    <x:row r="44">
      <x:c r="A44" s="13" t="str">
        <x:v>nirvana_fallacy_canonical</x:v>
      </x:c>
      <x:c r="B44" s="13" t="str">
        <x:v>nirvana_fallacy</x:v>
      </x:c>
      <x:c r="C44" s="13" t="str">
        <x:v>Nirvana fallacy</x:v>
      </x:c>
      <x:c r="D44" s="13" t="str">
        <x:v>مقایسه با راه‌حل ایده‌آل</x:v>
      </x:c>
      <x:c r="E44" s="13" t="str">
        <x:v>Canonical form</x:v>
      </x:c>
      <x:c r="F44" s="13" t="str">
        <x:v>reasoning_failures</x:v>
      </x:c>
      <x:c r="G44" s="13" t="str">
        <x:v>canonical</x:v>
      </x:c>
      <x:c r="H44" s="13" t="str">
        <x:v>contextual</x:v>
      </x:c>
      <x:c r="I44" s="13" t="str">
        <x:v>claim+context</x:v>
      </x:c>
      <x:c r="J44" s="13" t="str">
        <x:v>core_named_candidate</x:v>
      </x:c>
      <x:c r="K44" s="13" t="str">
        <x:v>established_parent_needs_row_review</x:v>
      </x:c>
      <x:c r="L44" s="13" t="str">
        <x:v>P0</x:v>
      </x:c>
      <x:c r="M44" s="13" t="str">
        <x:v>yes</x:v>
      </x:c>
      <x:c r="N44" s="13" t="str">
        <x:v>Operational subtype under Nirvana fallacy: the parent pattern appears in its standard recognizable form. Parent definition: Rejecting realistic options because they are not perfect.</x:v>
      </x:c>
      <x:c r="O44" s="13" t="str">
        <x:v>Look for: explicit claim-level evidence; parent-family cues for Nirvana fallacy; variant cue: the parent pattern appears in its standard recognizable form; avoid author-level inference.</x:v>
      </x:c>
      <x:c r="P44" s="13" t="str">
        <x:v>Exact evidence span in text plus claim-level reasoning link; for contextual/discourse entries, require surrounding context.</x:v>
      </x:c>
      <x:c r="Q44" s="13" t="str">
        <x:v>Do not label merely because topic is controversial, emotional, or wrong. Do not judge intent or personality. Require textual evidence and consider healthy-reasoning cues.</x:v>
      </x:c>
      <x:c r="R44" s="13" t="str">
        <x:v>Stub: A claim relies on the parent pattern appears in its standard recognizable form to support a conclusion without adequate qualification.</x:v>
      </x:c>
      <x:c r="S44" s="13" t="str">
        <x:v>Stub: A claim discusses nirvana fallacy with caveats, balanced evidence, or no argumentative use of the pattern.</x:v>
      </x:c>
      <x:c r="T44" s="13" t="str">
        <x:v>Mild or ambiguous cue; do not classify without clear evidence span.</x:v>
      </x:c>
      <x:c r="U44" s="13" t="str">
        <x:v>Clear claim-level pattern with some argumentative impact.</x:v>
      </x:c>
      <x:c r="V44" s="13" t="str">
        <x:v>Strong pattern central to the conclusion and likely to materially distort reasoning.</x:v>
      </x:c>
      <x:c r="W44" s="13" t="str"/>
      <x:c r="X44" s="13" t="str">
        <x:v>sep_fallacies</x:v>
      </x:c>
      <x:c r="Y44" s="13" t="str">
        <x:v>https://plato.stanford.edu/entries/fallacies/</x:v>
      </x:c>
      <x:c r="Z44" s="13" t="str">
        <x:v>Review before enabling. This workbook is a living taxonomy scaffold, not a validated scientific benchmark.</x:v>
      </x:c>
      <x:c r="AA44" s="13" t="str">
        <x:v>0.1.0-draft</x:v>
      </x:c>
      <x:c r="AB44" s="12" t="str">
        <x:f>IF(ISNUMBER(SEARCH("healthy",F44)),"healthy_reasoning_patterns",IF(ISNUMBER(SEARCH("statistical",F44)),"statistical_reasoning",IF(ISNUMBER(SEARCH("causal",F44)),"causal_reasoning",IF(ISNUMBER(SEARCH("social",F44)),"social_influence",IF(ISNUMBER(SEARCH("rhetoric",F44)),"rhetoric_discourse",IF(ISNUMBER(SEARCH("behavior",F44)),"behavioural_economics",IF(ISNUMBER(SEARCH("cognitive",F44)),"cognitive_biases",IF(J44="protective_pattern","healthy_reasoning_patterns",IF(L44="P0","core_mvp","extended_fallacies")))))))))</x:f>
        <x:v>core_mvp</x:v>
      </x:c>
      <x:c r="AC44" s="12" t="str">
        <x:f>IF(ISNUMBER(SEARCH("operational",J44)),"operational",IF(ISNUMBER(SEARCH("deprecated",J44)),"deprecated",IF(L44="P0","canonical","recognized_subtype")))</x:f>
        <x:v>canonical</x:v>
      </x:c>
      <x:c r="AD44" s="12" t="str">
        <x:f>IF(AC44="canonical","high",IF(AC44="recognized_subtype","medium",IF(AC44="operational","operational_only","debated")))</x:f>
        <x:v>high</x:v>
      </x:c>
      <x:c r="AE44" s="12" t="str">
        <x:f>IF(AC44="deprecated","deprecated",IF(M44="yes","active",IF(M44="review","review_required","backlog")))</x:f>
        <x:v>active</x:v>
      </x:c>
      <x:c r="AF44" s="12" t="str">
        <x:f>IF(OR(AE44="active",AE44="review_required"),"yes","no")</x:f>
        <x:v>yes</x:v>
      </x:c>
      <x:c r="AG44" s="12" t="str">
        <x:f>IF(AND(AE44="active",M44="yes",NOT(ISNUMBER(SEARCH("healthy",AB44)))),"yes","no")</x:f>
        <x:v>yes</x:v>
      </x:c>
      <x:c r="AH44" s="12" t="str">
        <x:f>IF(OR(H44="contextual",H44="dialogue",H44="discourse",I44="claim+context",I44="discourse_segment"),"yes","no")</x:f>
        <x:v>yes</x:v>
      </x:c>
      <x:c r="AI44" s="12" t="str">
        <x:f>IF(OR(AH44="yes",AD44="debated",AC44="operational"),"yes","no")</x:f>
        <x:v>yes</x:v>
      </x:c>
      <x:c r="AJ44" s="12" t="str">
        <x:f>IF(OR(AH44="yes",AC44="operational",AD44="debated"),"high",IF(AND(AG44="yes",L44="P0"),"medium","low"))</x:f>
        <x:v>high</x:v>
      </x:c>
      <x:c r="AK44" s="12" t="str">
        <x:f>IF(ISNUMBER(SEARCH("healthy",AB44)),"yes","no")</x:f>
        <x:v>no</x:v>
      </x:c>
      <x:c r="AL44" s="12" t="str">
        <x:f>IF(AG44="yes","yes","candidate_only")</x:f>
        <x:v>yes</x:v>
      </x:c>
      <x:c r="AM44" s="12" t="str">
        <x:f>IF(OR(AC44="canonical",AG44="yes"),"yes","recommended")</x:f>
        <x:v>yes</x:v>
      </x:c>
      <x:c r="AN44" s="12" t="str">
        <x:f>IF(AC44="deprecated","exclude",IF(AND(AG44="yes",AJ44="high"),"import_but_human_review_required",IF(AG44="yes","import_as_active","import_as_backlog")))</x:f>
        <x:v>import_but_human_review_required</x:v>
      </x:c>
      <x:c r="AO44" s="12" t="str">
        <x:f>IF(AND(AG44="yes",OR(P44="",Q44="",R44="",S44="")),"missing_required_mvp_fields",IF(AND(AC44="canonical",Y44=""),"missing_source_ref","ok"))</x:f>
        <x:v>ok</x:v>
      </x:c>
      <x:c r="AP44" s="12" t="str">
        <x:f>IF(AO44="ok","ready_for_codex_import","needs_review")</x:f>
        <x:v>ready_for_codex_import</x:v>
      </x:c>
      <x:c r="AQ44" s="12"/>
      <x:c r="AR44" s="12" t="str">
        <x:v>Added v2 operational fields. Review before classification activation.</x:v>
      </x:c>
    </x:row>
    <x:row r="45">
      <x:c r="A45" s="13" t="str">
        <x:v>middle_ground_fallacy_canonical</x:v>
      </x:c>
      <x:c r="B45" s="13" t="str">
        <x:v>middle_ground_fallacy</x:v>
      </x:c>
      <x:c r="C45" s="13" t="str">
        <x:v>Middle-ground fallacy</x:v>
      </x:c>
      <x:c r="D45" s="13" t="str">
        <x:v>میانه‌روی کاذب</x:v>
      </x:c>
      <x:c r="E45" s="13" t="str">
        <x:v>Canonical form</x:v>
      </x:c>
      <x:c r="F45" s="13" t="str">
        <x:v>reasoning_failures</x:v>
      </x:c>
      <x:c r="G45" s="13" t="str">
        <x:v>canonical</x:v>
      </x:c>
      <x:c r="H45" s="13" t="str">
        <x:v>contextual</x:v>
      </x:c>
      <x:c r="I45" s="13" t="str">
        <x:v>claim+context</x:v>
      </x:c>
      <x:c r="J45" s="13" t="str">
        <x:v>core_named_candidate</x:v>
      </x:c>
      <x:c r="K45" s="13" t="str">
        <x:v>established_parent_needs_row_review</x:v>
      </x:c>
      <x:c r="L45" s="13" t="str">
        <x:v>P0</x:v>
      </x:c>
      <x:c r="M45" s="13" t="str">
        <x:v>yes</x:v>
      </x:c>
      <x:c r="N45" s="13" t="str">
        <x:v>Operational subtype under Middle-ground fallacy: the parent pattern appears in its standard recognizable form. Parent definition: Assuming the middle position is correct merely because it is intermediate.</x:v>
      </x:c>
      <x:c r="O45" s="13" t="str">
        <x:v>Look for: explicit claim-level evidence; parent-family cues for Middle-ground fallacy; variant cue: the parent pattern appears in its standard recognizable form; avoid author-level inference.</x:v>
      </x:c>
      <x:c r="P45" s="13" t="str">
        <x:v>Exact evidence span in text plus claim-level reasoning link; for contextual/discourse entries, require surrounding context.</x:v>
      </x:c>
      <x:c r="Q45" s="13" t="str">
        <x:v>Do not label merely because topic is controversial, emotional, or wrong. Do not judge intent or personality. Require textual evidence and consider healthy-reasoning cues.</x:v>
      </x:c>
      <x:c r="R45" s="13" t="str">
        <x:v>Stub: A claim relies on the parent pattern appears in its standard recognizable form to support a conclusion without adequate qualification.</x:v>
      </x:c>
      <x:c r="S45" s="13" t="str">
        <x:v>Stub: A claim discusses middle-ground fallacy with caveats, balanced evidence, or no argumentative use of the pattern.</x:v>
      </x:c>
      <x:c r="T45" s="13" t="str">
        <x:v>Mild or ambiguous cue; do not classify without clear evidence span.</x:v>
      </x:c>
      <x:c r="U45" s="13" t="str">
        <x:v>Clear claim-level pattern with some argumentative impact.</x:v>
      </x:c>
      <x:c r="V45" s="13" t="str">
        <x:v>Strong pattern central to the conclusion and likely to materially distort reasoning.</x:v>
      </x:c>
      <x:c r="W45" s="13" t="str"/>
      <x:c r="X45" s="13" t="str">
        <x:v>sep_fallacies</x:v>
      </x:c>
      <x:c r="Y45" s="13" t="str">
        <x:v>https://plato.stanford.edu/entries/fallacies/</x:v>
      </x:c>
      <x:c r="Z45" s="13" t="str">
        <x:v>Review before enabling. This workbook is a living taxonomy scaffold, not a validated scientific benchmark.</x:v>
      </x:c>
      <x:c r="AA45" s="13" t="str">
        <x:v>0.1.0-draft</x:v>
      </x:c>
      <x:c r="AB45" s="12" t="str">
        <x:f>IF(ISNUMBER(SEARCH("healthy",F45)),"healthy_reasoning_patterns",IF(ISNUMBER(SEARCH("statistical",F45)),"statistical_reasoning",IF(ISNUMBER(SEARCH("causal",F45)),"causal_reasoning",IF(ISNUMBER(SEARCH("social",F45)),"social_influence",IF(ISNUMBER(SEARCH("rhetoric",F45)),"rhetoric_discourse",IF(ISNUMBER(SEARCH("behavior",F45)),"behavioural_economics",IF(ISNUMBER(SEARCH("cognitive",F45)),"cognitive_biases",IF(J45="protective_pattern","healthy_reasoning_patterns",IF(L45="P0","core_mvp","extended_fallacies")))))))))</x:f>
        <x:v>core_mvp</x:v>
      </x:c>
      <x:c r="AC45" s="12" t="str">
        <x:f>IF(ISNUMBER(SEARCH("operational",J45)),"operational",IF(ISNUMBER(SEARCH("deprecated",J45)),"deprecated",IF(L45="P0","canonical","recognized_subtype")))</x:f>
        <x:v>canonical</x:v>
      </x:c>
      <x:c r="AD45" s="12" t="str">
        <x:f>IF(AC45="canonical","high",IF(AC45="recognized_subtype","medium",IF(AC45="operational","operational_only","debated")))</x:f>
        <x:v>high</x:v>
      </x:c>
      <x:c r="AE45" s="12" t="str">
        <x:f>IF(AC45="deprecated","deprecated",IF(M45="yes","active",IF(M45="review","review_required","backlog")))</x:f>
        <x:v>active</x:v>
      </x:c>
      <x:c r="AF45" s="12" t="str">
        <x:f>IF(OR(AE45="active",AE45="review_required"),"yes","no")</x:f>
        <x:v>yes</x:v>
      </x:c>
      <x:c r="AG45" s="12" t="str">
        <x:f>IF(AND(AE45="active",M45="yes",NOT(ISNUMBER(SEARCH("healthy",AB45)))),"yes","no")</x:f>
        <x:v>yes</x:v>
      </x:c>
      <x:c r="AH45" s="12" t="str">
        <x:f>IF(OR(H45="contextual",H45="dialogue",H45="discourse",I45="claim+context",I45="discourse_segment"),"yes","no")</x:f>
        <x:v>yes</x:v>
      </x:c>
      <x:c r="AI45" s="12" t="str">
        <x:f>IF(OR(AH45="yes",AD45="debated",AC45="operational"),"yes","no")</x:f>
        <x:v>yes</x:v>
      </x:c>
      <x:c r="AJ45" s="12" t="str">
        <x:f>IF(OR(AH45="yes",AC45="operational",AD45="debated"),"high",IF(AND(AG45="yes",L45="P0"),"medium","low"))</x:f>
        <x:v>high</x:v>
      </x:c>
      <x:c r="AK45" s="12" t="str">
        <x:f>IF(ISNUMBER(SEARCH("healthy",AB45)),"yes","no")</x:f>
        <x:v>no</x:v>
      </x:c>
      <x:c r="AL45" s="12" t="str">
        <x:f>IF(AG45="yes","yes","candidate_only")</x:f>
        <x:v>yes</x:v>
      </x:c>
      <x:c r="AM45" s="12" t="str">
        <x:f>IF(OR(AC45="canonical",AG45="yes"),"yes","recommended")</x:f>
        <x:v>yes</x:v>
      </x:c>
      <x:c r="AN45" s="12" t="str">
        <x:f>IF(AC45="deprecated","exclude",IF(AND(AG45="yes",AJ45="high"),"import_but_human_review_required",IF(AG45="yes","import_as_active","import_as_backlog")))</x:f>
        <x:v>import_but_human_review_required</x:v>
      </x:c>
      <x:c r="AO45" s="12" t="str">
        <x:f>IF(AND(AG45="yes",OR(P45="",Q45="",R45="",S45="")),"missing_required_mvp_fields",IF(AND(AC45="canonical",Y45=""),"missing_source_ref","ok"))</x:f>
        <x:v>ok</x:v>
      </x:c>
      <x:c r="AP45" s="12" t="str">
        <x:f>IF(AO45="ok","ready_for_codex_import","needs_review")</x:f>
        <x:v>ready_for_codex_import</x:v>
      </x:c>
      <x:c r="AQ45" s="12"/>
      <x:c r="AR45" s="12" t="str">
        <x:v>Added v2 operational fields. Review before classification activation.</x:v>
      </x:c>
    </x:row>
    <x:row r="46">
      <x:c r="A46" s="13" t="str">
        <x:v>relative_privation_canonical</x:v>
      </x:c>
      <x:c r="B46" s="13" t="str">
        <x:v>relative_privation</x:v>
      </x:c>
      <x:c r="C46" s="13" t="str">
        <x:v>Relative privation</x:v>
      </x:c>
      <x:c r="D46" s="13" t="str">
        <x:v>کم‌اهمیت‌سازی با مقایسه</x:v>
      </x:c>
      <x:c r="E46" s="13" t="str">
        <x:v>Canonical form</x:v>
      </x:c>
      <x:c r="F46" s="13" t="str">
        <x:v>reasoning_failures</x:v>
      </x:c>
      <x:c r="G46" s="13" t="str">
        <x:v>canonical</x:v>
      </x:c>
      <x:c r="H46" s="13" t="str">
        <x:v>dialogue</x:v>
      </x:c>
      <x:c r="I46" s="13" t="str">
        <x:v>discourse_segment</x:v>
      </x:c>
      <x:c r="J46" s="13" t="str">
        <x:v>core_named_candidate</x:v>
      </x:c>
      <x:c r="K46" s="13" t="str">
        <x:v>established_parent_needs_row_review</x:v>
      </x:c>
      <x:c r="L46" s="13" t="str">
        <x:v>P0</x:v>
      </x:c>
      <x:c r="M46" s="13" t="str">
        <x:v>yes</x:v>
      </x:c>
      <x:c r="N46" s="13" t="str">
        <x:v>Operational subtype under Relative privation: the parent pattern appears in its standard recognizable form. Parent definition: Dismissing a problem because worse problems exist.</x:v>
      </x:c>
      <x:c r="O46" s="13" t="str">
        <x:v>Look for: explicit claim-level evidence; parent-family cues for Relative privation; variant cue: the parent pattern appears in its standard recognizable form; avoid author-level inference.</x:v>
      </x:c>
      <x:c r="P46" s="13" t="str">
        <x:v>Exact evidence span in text plus claim-level reasoning link; for contextual/discourse entries, require surrounding context.</x:v>
      </x:c>
      <x:c r="Q46" s="13" t="str">
        <x:v>Do not label merely because topic is controversial, emotional, or wrong. Do not judge intent or personality. Require textual evidence and consider healthy-reasoning cues.</x:v>
      </x:c>
      <x:c r="R46" s="13" t="str">
        <x:v>Stub: A claim relies on the parent pattern appears in its standard recognizable form to support a conclusion without adequate qualification.</x:v>
      </x:c>
      <x:c r="S46" s="13" t="str">
        <x:v>Stub: A claim discusses relative privation with caveats, balanced evidence, or no argumentative use of the pattern.</x:v>
      </x:c>
      <x:c r="T46" s="13" t="str">
        <x:v>Mild or ambiguous cue; do not classify without clear evidence span.</x:v>
      </x:c>
      <x:c r="U46" s="13" t="str">
        <x:v>Clear claim-level pattern with some argumentative impact.</x:v>
      </x:c>
      <x:c r="V46" s="13" t="str">
        <x:v>Strong pattern central to the conclusion and likely to materially distort reasoning.</x:v>
      </x:c>
      <x:c r="W46" s="13" t="str"/>
      <x:c r="X46" s="13" t="str">
        <x:v>sep_fallacies</x:v>
      </x:c>
      <x:c r="Y46" s="13" t="str">
        <x:v>https://plato.stanford.edu/entries/fallacies/</x:v>
      </x:c>
      <x:c r="Z46" s="13" t="str">
        <x:v>Review before enabling. This workbook is a living taxonomy scaffold, not a validated scientific benchmark.</x:v>
      </x:c>
      <x:c r="AA46" s="13" t="str">
        <x:v>0.1.0-draft</x:v>
      </x:c>
      <x:c r="AB46" s="12" t="str">
        <x:f>IF(ISNUMBER(SEARCH("healthy",F46)),"healthy_reasoning_patterns",IF(ISNUMBER(SEARCH("statistical",F46)),"statistical_reasoning",IF(ISNUMBER(SEARCH("causal",F46)),"causal_reasoning",IF(ISNUMBER(SEARCH("social",F46)),"social_influence",IF(ISNUMBER(SEARCH("rhetoric",F46)),"rhetoric_discourse",IF(ISNUMBER(SEARCH("behavior",F46)),"behavioural_economics",IF(ISNUMBER(SEARCH("cognitive",F46)),"cognitive_biases",IF(J46="protective_pattern","healthy_reasoning_patterns",IF(L46="P0","core_mvp","extended_fallacies")))))))))</x:f>
        <x:v>core_mvp</x:v>
      </x:c>
      <x:c r="AC46" s="12" t="str">
        <x:f>IF(ISNUMBER(SEARCH("operational",J46)),"operational",IF(ISNUMBER(SEARCH("deprecated",J46)),"deprecated",IF(L46="P0","canonical","recognized_subtype")))</x:f>
        <x:v>canonical</x:v>
      </x:c>
      <x:c r="AD46" s="12" t="str">
        <x:f>IF(AC46="canonical","high",IF(AC46="recognized_subtype","medium",IF(AC46="operational","operational_only","debated")))</x:f>
        <x:v>high</x:v>
      </x:c>
      <x:c r="AE46" s="12" t="str">
        <x:f>IF(AC46="deprecated","deprecated",IF(M46="yes","active",IF(M46="review","review_required","backlog")))</x:f>
        <x:v>active</x:v>
      </x:c>
      <x:c r="AF46" s="12" t="str">
        <x:f>IF(OR(AE46="active",AE46="review_required"),"yes","no")</x:f>
        <x:v>yes</x:v>
      </x:c>
      <x:c r="AG46" s="12" t="str">
        <x:f>IF(AND(AE46="active",M46="yes",NOT(ISNUMBER(SEARCH("healthy",AB46)))),"yes","no")</x:f>
        <x:v>yes</x:v>
      </x:c>
      <x:c r="AH46" s="12" t="str">
        <x:f>IF(OR(H46="contextual",H46="dialogue",H46="discourse",I46="claim+context",I46="discourse_segment"),"yes","no")</x:f>
        <x:v>yes</x:v>
      </x:c>
      <x:c r="AI46" s="12" t="str">
        <x:f>IF(OR(AH46="yes",AD46="debated",AC46="operational"),"yes","no")</x:f>
        <x:v>yes</x:v>
      </x:c>
      <x:c r="AJ46" s="12" t="str">
        <x:f>IF(OR(AH46="yes",AC46="operational",AD46="debated"),"high",IF(AND(AG46="yes",L46="P0"),"medium","low"))</x:f>
        <x:v>high</x:v>
      </x:c>
      <x:c r="AK46" s="12" t="str">
        <x:f>IF(ISNUMBER(SEARCH("healthy",AB46)),"yes","no")</x:f>
        <x:v>no</x:v>
      </x:c>
      <x:c r="AL46" s="12" t="str">
        <x:f>IF(AG46="yes","yes","candidate_only")</x:f>
        <x:v>yes</x:v>
      </x:c>
      <x:c r="AM46" s="12" t="str">
        <x:f>IF(OR(AC46="canonical",AG46="yes"),"yes","recommended")</x:f>
        <x:v>yes</x:v>
      </x:c>
      <x:c r="AN46" s="12" t="str">
        <x:f>IF(AC46="deprecated","exclude",IF(AND(AG46="yes",AJ46="high"),"import_but_human_review_required",IF(AG46="yes","import_as_active","import_as_backlog")))</x:f>
        <x:v>import_but_human_review_required</x:v>
      </x:c>
      <x:c r="AO46" s="12" t="str">
        <x:f>IF(AND(AG46="yes",OR(P46="",Q46="",R46="",S46="")),"missing_required_mvp_fields",IF(AND(AC46="canonical",Y46=""),"missing_source_ref","ok"))</x:f>
        <x:v>ok</x:v>
      </x:c>
      <x:c r="AP46" s="12" t="str">
        <x:f>IF(AO46="ok","ready_for_codex_import","needs_review")</x:f>
        <x:v>ready_for_codex_import</x:v>
      </x:c>
      <x:c r="AQ46" s="12"/>
      <x:c r="AR46" s="12" t="str">
        <x:v>Added v2 operational fields. Review before classification activation.</x:v>
      </x:c>
    </x:row>
    <x:row r="47">
      <x:c r="A47" s="13" t="str">
        <x:v>whataboutism_canonical</x:v>
      </x:c>
      <x:c r="B47" s="13" t="str">
        <x:v>whataboutism</x:v>
      </x:c>
      <x:c r="C47" s="13" t="str">
        <x:v>Whataboutism</x:v>
      </x:c>
      <x:c r="D47" s="13" t="str">
        <x:v>چه‌درباره‌گرایی</x:v>
      </x:c>
      <x:c r="E47" s="13" t="str">
        <x:v>Canonical form</x:v>
      </x:c>
      <x:c r="F47" s="13" t="str">
        <x:v>reasoning_failures</x:v>
      </x:c>
      <x:c r="G47" s="13" t="str">
        <x:v>canonical</x:v>
      </x:c>
      <x:c r="H47" s="13" t="str">
        <x:v>dialogue</x:v>
      </x:c>
      <x:c r="I47" s="13" t="str">
        <x:v>discourse_segment</x:v>
      </x:c>
      <x:c r="J47" s="13" t="str">
        <x:v>core_named_candidate</x:v>
      </x:c>
      <x:c r="K47" s="13" t="str">
        <x:v>established_parent_needs_row_review</x:v>
      </x:c>
      <x:c r="L47" s="13" t="str">
        <x:v>P0</x:v>
      </x:c>
      <x:c r="M47" s="13" t="str">
        <x:v>yes</x:v>
      </x:c>
      <x:c r="N47" s="13" t="str">
        <x:v>Operational subtype under Whataboutism: the parent pattern appears in its standard recognizable form. Parent definition: Deflecting criticism by pointing to another issue.</x:v>
      </x:c>
      <x:c r="O47" s="13" t="str">
        <x:v>Look for: explicit claim-level evidence; parent-family cues for Whataboutism; variant cue: the parent pattern appears in its standard recognizable form; avoid author-level inference.</x:v>
      </x:c>
      <x:c r="P47" s="13" t="str">
        <x:v>Exact evidence span in text plus claim-level reasoning link; for contextual/discourse entries, require surrounding context.</x:v>
      </x:c>
      <x:c r="Q47" s="13" t="str">
        <x:v>Do not label merely because topic is controversial, emotional, or wrong. Do not judge intent or personality. Require textual evidence and consider healthy-reasoning cues.</x:v>
      </x:c>
      <x:c r="R47" s="13" t="str">
        <x:v>Stub: A claim relies on the parent pattern appears in its standard recognizable form to support a conclusion without adequate qualification.</x:v>
      </x:c>
      <x:c r="S47" s="13" t="str">
        <x:v>Stub: A claim discusses whataboutism with caveats, balanced evidence, or no argumentative use of the pattern.</x:v>
      </x:c>
      <x:c r="T47" s="13" t="str">
        <x:v>Mild or ambiguous cue; do not classify without clear evidence span.</x:v>
      </x:c>
      <x:c r="U47" s="13" t="str">
        <x:v>Clear claim-level pattern with some argumentative impact.</x:v>
      </x:c>
      <x:c r="V47" s="13" t="str">
        <x:v>Strong pattern central to the conclusion and likely to materially distort reasoning.</x:v>
      </x:c>
      <x:c r="W47" s="13" t="str"/>
      <x:c r="X47" s="13" t="str">
        <x:v>pragmadialectics</x:v>
      </x:c>
      <x:c r="Y47" s="13" t="str">
        <x:v>https://doi.org/10.1017/CBO9780511616389</x:v>
      </x:c>
      <x:c r="Z47" s="13" t="str">
        <x:v>Review before enabling. This workbook is a living taxonomy scaffold, not a validated scientific benchmark.</x:v>
      </x:c>
      <x:c r="AA47" s="13" t="str">
        <x:v>0.1.0-draft</x:v>
      </x:c>
      <x:c r="AB47" s="12" t="str">
        <x:f>IF(ISNUMBER(SEARCH("healthy",F47)),"healthy_reasoning_patterns",IF(ISNUMBER(SEARCH("statistical",F47)),"statistical_reasoning",IF(ISNUMBER(SEARCH("causal",F47)),"causal_reasoning",IF(ISNUMBER(SEARCH("social",F47)),"social_influence",IF(ISNUMBER(SEARCH("rhetoric",F47)),"rhetoric_discourse",IF(ISNUMBER(SEARCH("behavior",F47)),"behavioural_economics",IF(ISNUMBER(SEARCH("cognitive",F47)),"cognitive_biases",IF(J47="protective_pattern","healthy_reasoning_patterns",IF(L47="P0","core_mvp","extended_fallacies")))))))))</x:f>
        <x:v>core_mvp</x:v>
      </x:c>
      <x:c r="AC47" s="12" t="str">
        <x:f>IF(ISNUMBER(SEARCH("operational",J47)),"operational",IF(ISNUMBER(SEARCH("deprecated",J47)),"deprecated",IF(L47="P0","canonical","recognized_subtype")))</x:f>
        <x:v>canonical</x:v>
      </x:c>
      <x:c r="AD47" s="12" t="str">
        <x:f>IF(AC47="canonical","high",IF(AC47="recognized_subtype","medium",IF(AC47="operational","operational_only","debated")))</x:f>
        <x:v>high</x:v>
      </x:c>
      <x:c r="AE47" s="12" t="str">
        <x:f>IF(AC47="deprecated","deprecated",IF(M47="yes","active",IF(M47="review","review_required","backlog")))</x:f>
        <x:v>active</x:v>
      </x:c>
      <x:c r="AF47" s="12" t="str">
        <x:f>IF(OR(AE47="active",AE47="review_required"),"yes","no")</x:f>
        <x:v>yes</x:v>
      </x:c>
      <x:c r="AG47" s="12" t="str">
        <x:f>IF(AND(AE47="active",M47="yes",NOT(ISNUMBER(SEARCH("healthy",AB47)))),"yes","no")</x:f>
        <x:v>yes</x:v>
      </x:c>
      <x:c r="AH47" s="12" t="str">
        <x:f>IF(OR(H47="contextual",H47="dialogue",H47="discourse",I47="claim+context",I47="discourse_segment"),"yes","no")</x:f>
        <x:v>yes</x:v>
      </x:c>
      <x:c r="AI47" s="12" t="str">
        <x:f>IF(OR(AH47="yes",AD47="debated",AC47="operational"),"yes","no")</x:f>
        <x:v>yes</x:v>
      </x:c>
      <x:c r="AJ47" s="12" t="str">
        <x:f>IF(OR(AH47="yes",AC47="operational",AD47="debated"),"high",IF(AND(AG47="yes",L47="P0"),"medium","low"))</x:f>
        <x:v>high</x:v>
      </x:c>
      <x:c r="AK47" s="12" t="str">
        <x:f>IF(ISNUMBER(SEARCH("healthy",AB47)),"yes","no")</x:f>
        <x:v>no</x:v>
      </x:c>
      <x:c r="AL47" s="12" t="str">
        <x:f>IF(AG47="yes","yes","candidate_only")</x:f>
        <x:v>yes</x:v>
      </x:c>
      <x:c r="AM47" s="12" t="str">
        <x:f>IF(OR(AC47="canonical",AG47="yes"),"yes","recommended")</x:f>
        <x:v>yes</x:v>
      </x:c>
      <x:c r="AN47" s="12" t="str">
        <x:f>IF(AC47="deprecated","exclude",IF(AND(AG47="yes",AJ47="high"),"import_but_human_review_required",IF(AG47="yes","import_as_active","import_as_backlog")))</x:f>
        <x:v>import_but_human_review_required</x:v>
      </x:c>
      <x:c r="AO47" s="12" t="str">
        <x:f>IF(AND(AG47="yes",OR(P47="",Q47="",R47="",S47="")),"missing_required_mvp_fields",IF(AND(AC47="canonical",Y47=""),"missing_source_ref","ok"))</x:f>
        <x:v>ok</x:v>
      </x:c>
      <x:c r="AP47" s="12" t="str">
        <x:f>IF(AO47="ok","ready_for_codex_import","needs_review")</x:f>
        <x:v>ready_for_codex_import</x:v>
      </x:c>
      <x:c r="AQ47" s="12"/>
      <x:c r="AR47" s="12" t="str">
        <x:v>Added v2 operational fields. Review before classification activation.</x:v>
      </x:c>
    </x:row>
    <x:row r="48">
      <x:c r="A48" s="13" t="str">
        <x:v>straw_man_explicit_marker</x:v>
      </x:c>
      <x:c r="B48" s="13" t="str">
        <x:v>straw_man</x:v>
      </x:c>
      <x:c r="C48" s="13" t="str">
        <x:v>Straw man</x:v>
      </x:c>
      <x:c r="D48" s="13" t="str">
        <x:v>تحریف موضع مقابل</x:v>
      </x:c>
      <x:c r="E48" s="13" t="str">
        <x:v>Explicit lexical marker</x:v>
      </x:c>
      <x:c r="F48" s="13" t="str">
        <x:v>reasoning_failures</x:v>
      </x:c>
      <x:c r="G48" s="13" t="str">
        <x:v>operational_variant</x:v>
      </x:c>
      <x:c r="H48" s="13" t="str">
        <x:v>structural</x:v>
      </x:c>
      <x:c r="I48" s="13" t="str">
        <x:v>claim</x:v>
      </x:c>
      <x:c r="J48" s="13" t="str">
        <x:v>derived_operational_subtype</x:v>
      </x:c>
      <x:c r="K48" s="13" t="str">
        <x:v>derived_from_established_parent_review_required</x:v>
      </x:c>
      <x:c r="L48" s="13" t="str">
        <x:v>P2</x:v>
      </x:c>
      <x:c r="M48" s="13" t="str">
        <x:v>no</x:v>
      </x:c>
      <x:c r="N48" s="13" t="str">
        <x:v>Operational subtype under Straw man: the pattern is cued by strong connective or evaluative language. Parent definition: Misrepresenting an opponent's position to make it easier to refute.</x:v>
      </x:c>
      <x:c r="O48" s="13" t="str">
        <x:v>Look for: explicit claim-level evidence; parent-family cues for Straw man; variant cue: the pattern is cued by strong connective or evaluative language; avoid author-level inference.</x:v>
      </x:c>
      <x:c r="P48" s="13" t="str">
        <x:v>Exact evidence span in text plus claim-level reasoning link; for contextual/discourse entries, require surrounding context.</x:v>
      </x:c>
      <x:c r="Q48" s="13" t="str">
        <x:v>Do not label merely because topic is controversial, emotional, or wrong. Do not judge intent or personality. Require textual evidence and consider healthy-reasoning cues.</x:v>
      </x:c>
      <x:c r="R48" s="13" t="str">
        <x:v>Stub: A claim relies on the pattern is cued by strong connective or evaluative language to support a conclusion without adequate qualification.</x:v>
      </x:c>
      <x:c r="S48" s="13" t="str">
        <x:v>Stub: A claim discusses straw man with caveats, balanced evidence, or no argumentative use of the pattern.</x:v>
      </x:c>
      <x:c r="T48" s="13" t="str">
        <x:v>Mild or ambiguous cue; do not classify without clear evidence span.</x:v>
      </x:c>
      <x:c r="U48" s="13" t="str">
        <x:v>Clear claim-level pattern with some argumentative impact.</x:v>
      </x:c>
      <x:c r="V48" s="13" t="str">
        <x:v>Strong pattern central to the conclusion and likely to materially distort reasoning.</x:v>
      </x:c>
      <x:c r="W48" s="13" t="str"/>
      <x:c r="X48" s="13" t="str">
        <x:v>sep_fallacies</x:v>
      </x:c>
      <x:c r="Y48" s="13" t="str">
        <x:v>https://plato.stanford.edu/entries/fallacies/</x:v>
      </x:c>
      <x:c r="Z48" s="13" t="str">
        <x:v>Review before enabling. This workbook is a living taxonomy scaffold, not a validated scientific benchmark.</x:v>
      </x:c>
      <x:c r="AA48" s="13" t="str">
        <x:v>0.1.0-draft</x:v>
      </x:c>
      <x:c r="AB48" s="12" t="str">
        <x:f>IF(ISNUMBER(SEARCH("healthy",F48)),"healthy_reasoning_patterns",IF(ISNUMBER(SEARCH("statistical",F48)),"statistical_reasoning",IF(ISNUMBER(SEARCH("causal",F48)),"causal_reasoning",IF(ISNUMBER(SEARCH("social",F48)),"social_influence",IF(ISNUMBER(SEARCH("rhetoric",F48)),"rhetoric_discourse",IF(ISNUMBER(SEARCH("behavior",F48)),"behavioural_economics",IF(ISNUMBER(SEARCH("cognitive",F48)),"cognitive_biases",IF(J48="protective_pattern","healthy_reasoning_patterns",IF(L48="P0","core_mvp","extended_fallacies")))))))))</x:f>
        <x:v>extended_fallacies</x:v>
      </x:c>
      <x:c r="AC48" s="12" t="str">
        <x:f>IF(ISNUMBER(SEARCH("operational",J48)),"operational",IF(ISNUMBER(SEARCH("deprecated",J48)),"deprecated",IF(L48="P0","canonical","recognized_subtype")))</x:f>
        <x:v>operational</x:v>
      </x:c>
      <x:c r="AD48" s="12" t="str">
        <x:f>IF(AC48="canonical","high",IF(AC48="recognized_subtype","medium",IF(AC48="operational","operational_only","debated")))</x:f>
        <x:v>operational_only</x:v>
      </x:c>
      <x:c r="AE48" s="12" t="str">
        <x:f>IF(AC48="deprecated","deprecated",IF(M48="yes","active",IF(M48="review","review_required","backlog")))</x:f>
        <x:v>backlog</x:v>
      </x:c>
      <x:c r="AF48" s="12" t="str">
        <x:f>IF(OR(AE48="active",AE48="review_required"),"yes","no")</x:f>
        <x:v>no</x:v>
      </x:c>
      <x:c r="AG48" s="12" t="str">
        <x:f>IF(AND(AE48="active",M48="yes",NOT(ISNUMBER(SEARCH("healthy",AB48)))),"yes","no")</x:f>
        <x:v>no</x:v>
      </x:c>
      <x:c r="AH48" s="12" t="str">
        <x:f>IF(OR(H48="contextual",H48="dialogue",H48="discourse",I48="claim+context",I48="discourse_segment"),"yes","no")</x:f>
        <x:v>no</x:v>
      </x:c>
      <x:c r="AI48" s="12" t="str">
        <x:f>IF(OR(AH48="yes",AD48="debated",AC48="operational"),"yes","no")</x:f>
        <x:v>yes</x:v>
      </x:c>
      <x:c r="AJ48" s="12" t="str">
        <x:f>IF(OR(AH48="yes",AC48="operational",AD48="debated"),"high",IF(AND(AG48="yes",L48="P0"),"medium","low"))</x:f>
        <x:v>high</x:v>
      </x:c>
      <x:c r="AK48" s="12" t="str">
        <x:f>IF(ISNUMBER(SEARCH("healthy",AB48)),"yes","no")</x:f>
        <x:v>no</x:v>
      </x:c>
      <x:c r="AL48" s="12" t="str">
        <x:f>IF(AG48="yes","yes","candidate_only")</x:f>
        <x:v>candidate_only</x:v>
      </x:c>
      <x:c r="AM48" s="12" t="str">
        <x:f>IF(OR(AC48="canonical",AG48="yes"),"yes","recommended")</x:f>
        <x:v>recommended</x:v>
      </x:c>
      <x:c r="AN48" s="12" t="str">
        <x:f>IF(AC48="deprecated","exclude",IF(AND(AG48="yes",AJ48="high"),"import_but_human_review_required",IF(AG48="yes","import_as_active","import_as_backlog")))</x:f>
        <x:v>import_as_backlog</x:v>
      </x:c>
      <x:c r="AO48" s="12" t="str">
        <x:f>IF(AND(AG48="yes",OR(P48="",Q48="",R48="",S48="")),"missing_required_mvp_fields",IF(AND(AC48="canonical",Y48=""),"missing_source_ref","ok"))</x:f>
        <x:v>ok</x:v>
      </x:c>
      <x:c r="AP48" s="12" t="str">
        <x:f>IF(AO48="ok","ready_for_codex_import","needs_review")</x:f>
        <x:v>ready_for_codex_import</x:v>
      </x:c>
      <x:c r="AQ48" s="12"/>
      <x:c r="AR48" s="12" t="str">
        <x:v>Added v2 operational fields. Review before classification activation.</x:v>
      </x:c>
    </x:row>
    <x:row r="49">
      <x:c r="A49" s="13" t="str">
        <x:v>weak_man_explicit_marker</x:v>
      </x:c>
      <x:c r="B49" s="13" t="str">
        <x:v>weak_man</x:v>
      </x:c>
      <x:c r="C49" s="13" t="str">
        <x:v>Weak man</x:v>
      </x:c>
      <x:c r="D49" s="13" t="str">
        <x:v>انتخاب نسخه ضعیف استدلال مقابل</x:v>
      </x:c>
      <x:c r="E49" s="13" t="str">
        <x:v>Explicit lexical marker</x:v>
      </x:c>
      <x:c r="F49" s="13" t="str">
        <x:v>reasoning_failures</x:v>
      </x:c>
      <x:c r="G49" s="13" t="str">
        <x:v>operational_variant</x:v>
      </x:c>
      <x:c r="H49" s="13" t="str">
        <x:v>structural</x:v>
      </x:c>
      <x:c r="I49" s="13" t="str">
        <x:v>claim</x:v>
      </x:c>
      <x:c r="J49" s="13" t="str">
        <x:v>derived_operational_subtype</x:v>
      </x:c>
      <x:c r="K49" s="13" t="str">
        <x:v>derived_from_established_parent_review_required</x:v>
      </x:c>
      <x:c r="L49" s="13" t="str">
        <x:v>P2</x:v>
      </x:c>
      <x:c r="M49" s="13" t="str">
        <x:v>no</x:v>
      </x:c>
      <x:c r="N49" s="13" t="str">
        <x:v>Operational subtype under Weak man: the pattern is cued by strong connective or evaluative language. Parent definition: Targeting a weak version of a broader position rather than the strongest relevant version.</x:v>
      </x:c>
      <x:c r="O49" s="13" t="str">
        <x:v>Look for: explicit claim-level evidence; parent-family cues for Weak man; variant cue: the pattern is cued by strong connective or evaluative language; avoid author-level inference.</x:v>
      </x:c>
      <x:c r="P49" s="13" t="str">
        <x:v>Exact evidence span in text plus claim-level reasoning link; for contextual/discourse entries, require surrounding context.</x:v>
      </x:c>
      <x:c r="Q49" s="13" t="str">
        <x:v>Do not label merely because topic is controversial, emotional, or wrong. Do not judge intent or personality. Require textual evidence and consider healthy-reasoning cues.</x:v>
      </x:c>
      <x:c r="R49" s="13" t="str">
        <x:v>Stub: A claim relies on the pattern is cued by strong connective or evaluative language to support a conclusion without adequate qualification.</x:v>
      </x:c>
      <x:c r="S49" s="13" t="str">
        <x:v>Stub: A claim discusses weak man with caveats, balanced evidence, or no argumentative use of the pattern.</x:v>
      </x:c>
      <x:c r="T49" s="13" t="str">
        <x:v>Mild or ambiguous cue; do not classify without clear evidence span.</x:v>
      </x:c>
      <x:c r="U49" s="13" t="str">
        <x:v>Clear claim-level pattern with some argumentative impact.</x:v>
      </x:c>
      <x:c r="V49" s="13" t="str">
        <x:v>Strong pattern central to the conclusion and likely to materially distort reasoning.</x:v>
      </x:c>
      <x:c r="W49" s="13" t="str"/>
      <x:c r="X49" s="13" t="str">
        <x:v>sep_fallacies</x:v>
      </x:c>
      <x:c r="Y49" s="13" t="str">
        <x:v>https://plato.stanford.edu/entries/fallacies/</x:v>
      </x:c>
      <x:c r="Z49" s="13" t="str">
        <x:v>Review before enabling. This workbook is a living taxonomy scaffold, not a validated scientific benchmark.</x:v>
      </x:c>
      <x:c r="AA49" s="13" t="str">
        <x:v>0.1.0-draft</x:v>
      </x:c>
      <x:c r="AB49" s="12" t="str">
        <x:f>IF(ISNUMBER(SEARCH("healthy",F49)),"healthy_reasoning_patterns",IF(ISNUMBER(SEARCH("statistical",F49)),"statistical_reasoning",IF(ISNUMBER(SEARCH("causal",F49)),"causal_reasoning",IF(ISNUMBER(SEARCH("social",F49)),"social_influence",IF(ISNUMBER(SEARCH("rhetoric",F49)),"rhetoric_discourse",IF(ISNUMBER(SEARCH("behavior",F49)),"behavioural_economics",IF(ISNUMBER(SEARCH("cognitive",F49)),"cognitive_biases",IF(J49="protective_pattern","healthy_reasoning_patterns",IF(L49="P0","core_mvp","extended_fallacies")))))))))</x:f>
        <x:v>extended_fallacies</x:v>
      </x:c>
      <x:c r="AC49" s="12" t="str">
        <x:f>IF(ISNUMBER(SEARCH("operational",J49)),"operational",IF(ISNUMBER(SEARCH("deprecated",J49)),"deprecated",IF(L49="P0","canonical","recognized_subtype")))</x:f>
        <x:v>operational</x:v>
      </x:c>
      <x:c r="AD49" s="12" t="str">
        <x:f>IF(AC49="canonical","high",IF(AC49="recognized_subtype","medium",IF(AC49="operational","operational_only","debated")))</x:f>
        <x:v>operational_only</x:v>
      </x:c>
      <x:c r="AE49" s="12" t="str">
        <x:f>IF(AC49="deprecated","deprecated",IF(M49="yes","active",IF(M49="review","review_required","backlog")))</x:f>
        <x:v>backlog</x:v>
      </x:c>
      <x:c r="AF49" s="12" t="str">
        <x:f>IF(OR(AE49="active",AE49="review_required"),"yes","no")</x:f>
        <x:v>no</x:v>
      </x:c>
      <x:c r="AG49" s="12" t="str">
        <x:f>IF(AND(AE49="active",M49="yes",NOT(ISNUMBER(SEARCH("healthy",AB49)))),"yes","no")</x:f>
        <x:v>no</x:v>
      </x:c>
      <x:c r="AH49" s="12" t="str">
        <x:f>IF(OR(H49="contextual",H49="dialogue",H49="discourse",I49="claim+context",I49="discourse_segment"),"yes","no")</x:f>
        <x:v>no</x:v>
      </x:c>
      <x:c r="AI49" s="12" t="str">
        <x:f>IF(OR(AH49="yes",AD49="debated",AC49="operational"),"yes","no")</x:f>
        <x:v>yes</x:v>
      </x:c>
      <x:c r="AJ49" s="12" t="str">
        <x:f>IF(OR(AH49="yes",AC49="operational",AD49="debated"),"high",IF(AND(AG49="yes",L49="P0"),"medium","low"))</x:f>
        <x:v>high</x:v>
      </x:c>
      <x:c r="AK49" s="12" t="str">
        <x:f>IF(ISNUMBER(SEARCH("healthy",AB49)),"yes","no")</x:f>
        <x:v>no</x:v>
      </x:c>
      <x:c r="AL49" s="12" t="str">
        <x:f>IF(AG49="yes","yes","candidate_only")</x:f>
        <x:v>candidate_only</x:v>
      </x:c>
      <x:c r="AM49" s="12" t="str">
        <x:f>IF(OR(AC49="canonical",AG49="yes"),"yes","recommended")</x:f>
        <x:v>recommended</x:v>
      </x:c>
      <x:c r="AN49" s="12" t="str">
        <x:f>IF(AC49="deprecated","exclude",IF(AND(AG49="yes",AJ49="high"),"import_but_human_review_required",IF(AG49="yes","import_as_active","import_as_backlog")))</x:f>
        <x:v>import_as_backlog</x:v>
      </x:c>
      <x:c r="AO49" s="12" t="str">
        <x:f>IF(AND(AG49="yes",OR(P49="",Q49="",R49="",S49="")),"missing_required_mvp_fields",IF(AND(AC49="canonical",Y49=""),"missing_source_ref","ok"))</x:f>
        <x:v>ok</x:v>
      </x:c>
      <x:c r="AP49" s="12" t="str">
        <x:f>IF(AO49="ok","ready_for_codex_import","needs_review")</x:f>
        <x:v>ready_for_codex_import</x:v>
      </x:c>
      <x:c r="AQ49" s="12"/>
      <x:c r="AR49" s="12" t="str">
        <x:v>Added v2 operational fields. Review before classification activation.</x:v>
      </x:c>
    </x:row>
    <x:row r="50">
      <x:c r="A50" s="13" t="str">
        <x:v>ad_hominem_abusive_explicit_marker</x:v>
      </x:c>
      <x:c r="B50" s="13" t="str">
        <x:v>ad_hominem_abusive</x:v>
      </x:c>
      <x:c r="C50" s="13" t="str">
        <x:v>Abusive ad hominem</x:v>
      </x:c>
      <x:c r="D50" s="13" t="str">
        <x:v>حمله شخصی مستقیم</x:v>
      </x:c>
      <x:c r="E50" s="13" t="str">
        <x:v>Explicit lexical marker</x:v>
      </x:c>
      <x:c r="F50" s="13" t="str">
        <x:v>reasoning_failures</x:v>
      </x:c>
      <x:c r="G50" s="13" t="str">
        <x:v>operational_variant</x:v>
      </x:c>
      <x:c r="H50" s="13" t="str">
        <x:v>structural</x:v>
      </x:c>
      <x:c r="I50" s="13" t="str">
        <x:v>claim</x:v>
      </x:c>
      <x:c r="J50" s="13" t="str">
        <x:v>derived_operational_subtype</x:v>
      </x:c>
      <x:c r="K50" s="13" t="str">
        <x:v>derived_from_established_parent_review_required</x:v>
      </x:c>
      <x:c r="L50" s="13" t="str">
        <x:v>P2</x:v>
      </x:c>
      <x:c r="M50" s="13" t="str">
        <x:v>no</x:v>
      </x:c>
      <x:c r="N50" s="13" t="str">
        <x:v>Operational subtype under Abusive ad hominem: the pattern is cued by strong connective or evaluative language. Parent definition: Rejecting a claim by attacking a person rather than the claim-level reasons.</x:v>
      </x:c>
      <x:c r="O50" s="13" t="str">
        <x:v>Look for: explicit claim-level evidence; parent-family cues for Abusive ad hominem; variant cue: the pattern is cued by strong connective or evaluative language; avoid author-level inference.</x:v>
      </x:c>
      <x:c r="P50" s="13" t="str">
        <x:v>Exact evidence span in text plus claim-level reasoning link; for contextual/discourse entries, require surrounding context.</x:v>
      </x:c>
      <x:c r="Q50" s="13" t="str">
        <x:v>Do not label merely because topic is controversial, emotional, or wrong. Do not judge intent or personality. Require textual evidence and consider healthy-reasoning cues.</x:v>
      </x:c>
      <x:c r="R50" s="13" t="str">
        <x:v>Stub: A claim relies on the pattern is cued by strong connective or evaluative language to support a conclusion without adequate qualification.</x:v>
      </x:c>
      <x:c r="S50" s="13" t="str">
        <x:v>Stub: A claim discusses abusive ad hominem with caveats, balanced evidence, or no argumentative use of the pattern.</x:v>
      </x:c>
      <x:c r="T50" s="13" t="str">
        <x:v>Mild or ambiguous cue; do not classify without clear evidence span.</x:v>
      </x:c>
      <x:c r="U50" s="13" t="str">
        <x:v>Clear claim-level pattern with some argumentative impact.</x:v>
      </x:c>
      <x:c r="V50" s="13" t="str">
        <x:v>Strong pattern central to the conclusion and likely to materially distort reasoning.</x:v>
      </x:c>
      <x:c r="W50" s="13" t="str"/>
      <x:c r="X50" s="13" t="str">
        <x:v>sep_fallacies</x:v>
      </x:c>
      <x:c r="Y50" s="13" t="str">
        <x:v>https://plato.stanford.edu/entries/fallacies/</x:v>
      </x:c>
      <x:c r="Z50" s="13" t="str">
        <x:v>Review before enabling. This workbook is a living taxonomy scaffold, not a validated scientific benchmark.</x:v>
      </x:c>
      <x:c r="AA50" s="13" t="str">
        <x:v>0.1.0-draft</x:v>
      </x:c>
      <x:c r="AB50" s="12" t="str">
        <x:f>IF(ISNUMBER(SEARCH("healthy",F50)),"healthy_reasoning_patterns",IF(ISNUMBER(SEARCH("statistical",F50)),"statistical_reasoning",IF(ISNUMBER(SEARCH("causal",F50)),"causal_reasoning",IF(ISNUMBER(SEARCH("social",F50)),"social_influence",IF(ISNUMBER(SEARCH("rhetoric",F50)),"rhetoric_discourse",IF(ISNUMBER(SEARCH("behavior",F50)),"behavioural_economics",IF(ISNUMBER(SEARCH("cognitive",F50)),"cognitive_biases",IF(J50="protective_pattern","healthy_reasoning_patterns",IF(L50="P0","core_mvp","extended_fallacies")))))))))</x:f>
        <x:v>extended_fallacies</x:v>
      </x:c>
      <x:c r="AC50" s="12" t="str">
        <x:f>IF(ISNUMBER(SEARCH("operational",J50)),"operational",IF(ISNUMBER(SEARCH("deprecated",J50)),"deprecated",IF(L50="P0","canonical","recognized_subtype")))</x:f>
        <x:v>operational</x:v>
      </x:c>
      <x:c r="AD50" s="12" t="str">
        <x:f>IF(AC50="canonical","high",IF(AC50="recognized_subtype","medium",IF(AC50="operational","operational_only","debated")))</x:f>
        <x:v>operational_only</x:v>
      </x:c>
      <x:c r="AE50" s="12" t="str">
        <x:f>IF(AC50="deprecated","deprecated",IF(M50="yes","active",IF(M50="review","review_required","backlog")))</x:f>
        <x:v>backlog</x:v>
      </x:c>
      <x:c r="AF50" s="12" t="str">
        <x:f>IF(OR(AE50="active",AE50="review_required"),"yes","no")</x:f>
        <x:v>no</x:v>
      </x:c>
      <x:c r="AG50" s="12" t="str">
        <x:f>IF(AND(AE50="active",M50="yes",NOT(ISNUMBER(SEARCH("healthy",AB50)))),"yes","no")</x:f>
        <x:v>no</x:v>
      </x:c>
      <x:c r="AH50" s="12" t="str">
        <x:f>IF(OR(H50="contextual",H50="dialogue",H50="discourse",I50="claim+context",I50="discourse_segment"),"yes","no")</x:f>
        <x:v>no</x:v>
      </x:c>
      <x:c r="AI50" s="12" t="str">
        <x:f>IF(OR(AH50="yes",AD50="debated",AC50="operational"),"yes","no")</x:f>
        <x:v>yes</x:v>
      </x:c>
      <x:c r="AJ50" s="12" t="str">
        <x:f>IF(OR(AH50="yes",AC50="operational",AD50="debated"),"high",IF(AND(AG50="yes",L50="P0"),"medium","low"))</x:f>
        <x:v>high</x:v>
      </x:c>
      <x:c r="AK50" s="12" t="str">
        <x:f>IF(ISNUMBER(SEARCH("healthy",AB50)),"yes","no")</x:f>
        <x:v>no</x:v>
      </x:c>
      <x:c r="AL50" s="12" t="str">
        <x:f>IF(AG50="yes","yes","candidate_only")</x:f>
        <x:v>candidate_only</x:v>
      </x:c>
      <x:c r="AM50" s="12" t="str">
        <x:f>IF(OR(AC50="canonical",AG50="yes"),"yes","recommended")</x:f>
        <x:v>recommended</x:v>
      </x:c>
      <x:c r="AN50" s="12" t="str">
        <x:f>IF(AC50="deprecated","exclude",IF(AND(AG50="yes",AJ50="high"),"import_but_human_review_required",IF(AG50="yes","import_as_active","import_as_backlog")))</x:f>
        <x:v>import_as_backlog</x:v>
      </x:c>
      <x:c r="AO50" s="12" t="str">
        <x:f>IF(AND(AG50="yes",OR(P50="",Q50="",R50="",S50="")),"missing_required_mvp_fields",IF(AND(AC50="canonical",Y50=""),"missing_source_ref","ok"))</x:f>
        <x:v>ok</x:v>
      </x:c>
      <x:c r="AP50" s="12" t="str">
        <x:f>IF(AO50="ok","ready_for_codex_import","needs_review")</x:f>
        <x:v>ready_for_codex_import</x:v>
      </x:c>
      <x:c r="AQ50" s="12"/>
      <x:c r="AR50" s="12" t="str">
        <x:v>Added v2 operational fields. Review before classification activation.</x:v>
      </x:c>
    </x:row>
    <x:row r="51">
      <x:c r="A51" s="13" t="str">
        <x:v>ad_hominem_circumstantial_explicit_marker</x:v>
      </x:c>
      <x:c r="B51" s="13" t="str">
        <x:v>ad_hominem_circumstantial</x:v>
      </x:c>
      <x:c r="C51" s="13" t="str">
        <x:v>Circumstantial ad hominem</x:v>
      </x:c>
      <x:c r="D51" s="13" t="str">
        <x:v>حمله به شرایط شخص</x:v>
      </x:c>
      <x:c r="E51" s="13" t="str">
        <x:v>Explicit lexical marker</x:v>
      </x:c>
      <x:c r="F51" s="13" t="str">
        <x:v>reasoning_failures</x:v>
      </x:c>
      <x:c r="G51" s="13" t="str">
        <x:v>operational_variant</x:v>
      </x:c>
      <x:c r="H51" s="13" t="str">
        <x:v>structural</x:v>
      </x:c>
      <x:c r="I51" s="13" t="str">
        <x:v>claim</x:v>
      </x:c>
      <x:c r="J51" s="13" t="str">
        <x:v>derived_operational_subtype</x:v>
      </x:c>
      <x:c r="K51" s="13" t="str">
        <x:v>derived_from_established_parent_review_required</x:v>
      </x:c>
      <x:c r="L51" s="13" t="str">
        <x:v>P2</x:v>
      </x:c>
      <x:c r="M51" s="13" t="str">
        <x:v>no</x:v>
      </x:c>
      <x:c r="N51" s="13" t="str">
        <x:v>Operational subtype under Circumstantial ad hominem: the pattern is cued by strong connective or evaluative language. Parent definition: Treating a speaker's circumstances as decisive against their claim without claim-level evidence.</x:v>
      </x:c>
      <x:c r="O51" s="13" t="str">
        <x:v>Look for: explicit claim-level evidence; parent-family cues for Circumstantial ad hominem; variant cue: the pattern is cued by strong connective or evaluative language; avoid author-level inference.</x:v>
      </x:c>
      <x:c r="P51" s="13" t="str">
        <x:v>Exact evidence span in text plus claim-level reasoning link; for contextual/discourse entries, require surrounding context.</x:v>
      </x:c>
      <x:c r="Q51" s="13" t="str">
        <x:v>Do not label merely because topic is controversial, emotional, or wrong. Do not judge intent or personality. Require textual evidence and consider healthy-reasoning cues.</x:v>
      </x:c>
      <x:c r="R51" s="13" t="str">
        <x:v>Stub: A claim relies on the pattern is cued by strong connective or evaluative language to support a conclusion without adequate qualification.</x:v>
      </x:c>
      <x:c r="S51" s="13" t="str">
        <x:v>Stub: A claim discusses circumstantial ad hominem with caveats, balanced evidence, or no argumentative use of the pattern.</x:v>
      </x:c>
      <x:c r="T51" s="13" t="str">
        <x:v>Mild or ambiguous cue; do not classify without clear evidence span.</x:v>
      </x:c>
      <x:c r="U51" s="13" t="str">
        <x:v>Clear claim-level pattern with some argumentative impact.</x:v>
      </x:c>
      <x:c r="V51" s="13" t="str">
        <x:v>Strong pattern central to the conclusion and likely to materially distort reasoning.</x:v>
      </x:c>
      <x:c r="W51" s="13" t="str">
        <x:v>cherry_picking; missing_counterevidence; evidence_grading</x:v>
      </x:c>
      <x:c r="X51" s="13" t="str">
        <x:v>sep_fallacies</x:v>
      </x:c>
      <x:c r="Y51" s="13" t="str">
        <x:v>https://plato.stanford.edu/entries/fallacies/</x:v>
      </x:c>
      <x:c r="Z51" s="13" t="str">
        <x:v>Review before enabling. This workbook is a living taxonomy scaffold, not a validated scientific benchmark.</x:v>
      </x:c>
      <x:c r="AA51" s="13" t="str">
        <x:v>0.1.0-draft</x:v>
      </x:c>
      <x:c r="AB51" s="12" t="str">
        <x:f>IF(ISNUMBER(SEARCH("healthy",F51)),"healthy_reasoning_patterns",IF(ISNUMBER(SEARCH("statistical",F51)),"statistical_reasoning",IF(ISNUMBER(SEARCH("causal",F51)),"causal_reasoning",IF(ISNUMBER(SEARCH("social",F51)),"social_influence",IF(ISNUMBER(SEARCH("rhetoric",F51)),"rhetoric_discourse",IF(ISNUMBER(SEARCH("behavior",F51)),"behavioural_economics",IF(ISNUMBER(SEARCH("cognitive",F51)),"cognitive_biases",IF(J51="protective_pattern","healthy_reasoning_patterns",IF(L51="P0","core_mvp","extended_fallacies")))))))))</x:f>
        <x:v>extended_fallacies</x:v>
      </x:c>
      <x:c r="AC51" s="12" t="str">
        <x:f>IF(ISNUMBER(SEARCH("operational",J51)),"operational",IF(ISNUMBER(SEARCH("deprecated",J51)),"deprecated",IF(L51="P0","canonical","recognized_subtype")))</x:f>
        <x:v>operational</x:v>
      </x:c>
      <x:c r="AD51" s="12" t="str">
        <x:f>IF(AC51="canonical","high",IF(AC51="recognized_subtype","medium",IF(AC51="operational","operational_only","debated")))</x:f>
        <x:v>operational_only</x:v>
      </x:c>
      <x:c r="AE51" s="12" t="str">
        <x:f>IF(AC51="deprecated","deprecated",IF(M51="yes","active",IF(M51="review","review_required","backlog")))</x:f>
        <x:v>backlog</x:v>
      </x:c>
      <x:c r="AF51" s="12" t="str">
        <x:f>IF(OR(AE51="active",AE51="review_required"),"yes","no")</x:f>
        <x:v>no</x:v>
      </x:c>
      <x:c r="AG51" s="12" t="str">
        <x:f>IF(AND(AE51="active",M51="yes",NOT(ISNUMBER(SEARCH("healthy",AB51)))),"yes","no")</x:f>
        <x:v>no</x:v>
      </x:c>
      <x:c r="AH51" s="12" t="str">
        <x:f>IF(OR(H51="contextual",H51="dialogue",H51="discourse",I51="claim+context",I51="discourse_segment"),"yes","no")</x:f>
        <x:v>no</x:v>
      </x:c>
      <x:c r="AI51" s="12" t="str">
        <x:f>IF(OR(AH51="yes",AD51="debated",AC51="operational"),"yes","no")</x:f>
        <x:v>yes</x:v>
      </x:c>
      <x:c r="AJ51" s="12" t="str">
        <x:f>IF(OR(AH51="yes",AC51="operational",AD51="debated"),"high",IF(AND(AG51="yes",L51="P0"),"medium","low"))</x:f>
        <x:v>high</x:v>
      </x:c>
      <x:c r="AK51" s="12" t="str">
        <x:f>IF(ISNUMBER(SEARCH("healthy",AB51)),"yes","no")</x:f>
        <x:v>no</x:v>
      </x:c>
      <x:c r="AL51" s="12" t="str">
        <x:f>IF(AG51="yes","yes","candidate_only")</x:f>
        <x:v>candidate_only</x:v>
      </x:c>
      <x:c r="AM51" s="12" t="str">
        <x:f>IF(OR(AC51="canonical",AG51="yes"),"yes","recommended")</x:f>
        <x:v>recommended</x:v>
      </x:c>
      <x:c r="AN51" s="12" t="str">
        <x:f>IF(AC51="deprecated","exclude",IF(AND(AG51="yes",AJ51="high"),"import_but_human_review_required",IF(AG51="yes","import_as_active","import_as_backlog")))</x:f>
        <x:v>import_as_backlog</x:v>
      </x:c>
      <x:c r="AO51" s="12" t="str">
        <x:f>IF(AND(AG51="yes",OR(P51="",Q51="",R51="",S51="")),"missing_required_mvp_fields",IF(AND(AC51="canonical",Y51=""),"missing_source_ref","ok"))</x:f>
        <x:v>ok</x:v>
      </x:c>
      <x:c r="AP51" s="12" t="str">
        <x:f>IF(AO51="ok","ready_for_codex_import","needs_review")</x:f>
        <x:v>ready_for_codex_import</x:v>
      </x:c>
      <x:c r="AQ51" s="12"/>
      <x:c r="AR51" s="12" t="str">
        <x:v>Added v2 operational fields. Review before classification activation.</x:v>
      </x:c>
    </x:row>
    <x:row r="52">
      <x:c r="A52" s="13" t="str">
        <x:v>tu_quoque_explicit_marker</x:v>
      </x:c>
      <x:c r="B52" s="13" t="str">
        <x:v>tu_quoque</x:v>
      </x:c>
      <x:c r="C52" s="13" t="str">
        <x:v>Tu quoque</x:v>
      </x:c>
      <x:c r="D52" s="13" t="str">
        <x:v>تو هم همین‌طور</x:v>
      </x:c>
      <x:c r="E52" s="13" t="str">
        <x:v>Explicit lexical marker</x:v>
      </x:c>
      <x:c r="F52" s="13" t="str">
        <x:v>reasoning_failures</x:v>
      </x:c>
      <x:c r="G52" s="13" t="str">
        <x:v>operational_variant</x:v>
      </x:c>
      <x:c r="H52" s="13" t="str">
        <x:v>dialogue</x:v>
      </x:c>
      <x:c r="I52" s="13" t="str">
        <x:v>discourse_segment</x:v>
      </x:c>
      <x:c r="J52" s="13" t="str">
        <x:v>derived_operational_subtype</x:v>
      </x:c>
      <x:c r="K52" s="13" t="str">
        <x:v>derived_from_established_parent_review_required</x:v>
      </x:c>
      <x:c r="L52" s="13" t="str">
        <x:v>P2</x:v>
      </x:c>
      <x:c r="M52" s="13" t="str">
        <x:v>no</x:v>
      </x:c>
      <x:c r="N52" s="13" t="str">
        <x:v>Operational subtype under Tu quoque: the pattern is cued by strong connective or evaluative language. Parent definition: Deflecting criticism by alleging inconsistency in the critic rather than addressing the argument.</x:v>
      </x:c>
      <x:c r="O52" s="13" t="str">
        <x:v>Look for: explicit claim-level evidence; parent-family cues for Tu quoque; variant cue: the pattern is cued by strong connective or evaluative language; avoid author-level inference.</x:v>
      </x:c>
      <x:c r="P52" s="13" t="str">
        <x:v>Exact evidence span in text plus claim-level reasoning link; for contextual/discourse entries, require surrounding context.</x:v>
      </x:c>
      <x:c r="Q52" s="13" t="str">
        <x:v>Do not label merely because topic is controversial, emotional, or wrong. Do not judge intent or personality. Require textual evidence and consider healthy-reasoning cues.</x:v>
      </x:c>
      <x:c r="R52" s="13" t="str">
        <x:v>Stub: A claim relies on the pattern is cued by strong connective or evaluative language to support a conclusion without adequate qualification.</x:v>
      </x:c>
      <x:c r="S52" s="13" t="str">
        <x:v>Stub: A claim discusses tu quoque with caveats, balanced evidence, or no argumentative use of the pattern.</x:v>
      </x:c>
      <x:c r="T52" s="13" t="str">
        <x:v>Mild or ambiguous cue; do not classify without clear evidence span.</x:v>
      </x:c>
      <x:c r="U52" s="13" t="str">
        <x:v>Clear claim-level pattern with some argumentative impact.</x:v>
      </x:c>
      <x:c r="V52" s="13" t="str">
        <x:v>Strong pattern central to the conclusion and likely to materially distort reasoning.</x:v>
      </x:c>
      <x:c r="W52" s="13" t="str"/>
      <x:c r="X52" s="13" t="str">
        <x:v>sep_fallacies</x:v>
      </x:c>
      <x:c r="Y52" s="13" t="str">
        <x:v>https://plato.stanford.edu/entries/fallacies/</x:v>
      </x:c>
      <x:c r="Z52" s="13" t="str">
        <x:v>Review before enabling. This workbook is a living taxonomy scaffold, not a validated scientific benchmark.</x:v>
      </x:c>
      <x:c r="AA52" s="13" t="str">
        <x:v>0.1.0-draft</x:v>
      </x:c>
      <x:c r="AB52" s="12" t="str">
        <x:f>IF(ISNUMBER(SEARCH("healthy",F52)),"healthy_reasoning_patterns",IF(ISNUMBER(SEARCH("statistical",F52)),"statistical_reasoning",IF(ISNUMBER(SEARCH("causal",F52)),"causal_reasoning",IF(ISNUMBER(SEARCH("social",F52)),"social_influence",IF(ISNUMBER(SEARCH("rhetoric",F52)),"rhetoric_discourse",IF(ISNUMBER(SEARCH("behavior",F52)),"behavioural_economics",IF(ISNUMBER(SEARCH("cognitive",F52)),"cognitive_biases",IF(J52="protective_pattern","healthy_reasoning_patterns",IF(L52="P0","core_mvp","extended_fallacies")))))))))</x:f>
        <x:v>extended_fallacies</x:v>
      </x:c>
      <x:c r="AC52" s="12" t="str">
        <x:f>IF(ISNUMBER(SEARCH("operational",J52)),"operational",IF(ISNUMBER(SEARCH("deprecated",J52)),"deprecated",IF(L52="P0","canonical","recognized_subtype")))</x:f>
        <x:v>operational</x:v>
      </x:c>
      <x:c r="AD52" s="12" t="str">
        <x:f>IF(AC52="canonical","high",IF(AC52="recognized_subtype","medium",IF(AC52="operational","operational_only","debated")))</x:f>
        <x:v>operational_only</x:v>
      </x:c>
      <x:c r="AE52" s="12" t="str">
        <x:f>IF(AC52="deprecated","deprecated",IF(M52="yes","active",IF(M52="review","review_required","backlog")))</x:f>
        <x:v>backlog</x:v>
      </x:c>
      <x:c r="AF52" s="12" t="str">
        <x:f>IF(OR(AE52="active",AE52="review_required"),"yes","no")</x:f>
        <x:v>no</x:v>
      </x:c>
      <x:c r="AG52" s="12" t="str">
        <x:f>IF(AND(AE52="active",M52="yes",NOT(ISNUMBER(SEARCH("healthy",AB52)))),"yes","no")</x:f>
        <x:v>no</x:v>
      </x:c>
      <x:c r="AH52" s="12" t="str">
        <x:f>IF(OR(H52="contextual",H52="dialogue",H52="discourse",I52="claim+context",I52="discourse_segment"),"yes","no")</x:f>
        <x:v>yes</x:v>
      </x:c>
      <x:c r="AI52" s="12" t="str">
        <x:f>IF(OR(AH52="yes",AD52="debated",AC52="operational"),"yes","no")</x:f>
        <x:v>yes</x:v>
      </x:c>
      <x:c r="AJ52" s="12" t="str">
        <x:f>IF(OR(AH52="yes",AC52="operational",AD52="debated"),"high",IF(AND(AG52="yes",L52="P0"),"medium","low"))</x:f>
        <x:v>high</x:v>
      </x:c>
      <x:c r="AK52" s="12" t="str">
        <x:f>IF(ISNUMBER(SEARCH("healthy",AB52)),"yes","no")</x:f>
        <x:v>no</x:v>
      </x:c>
      <x:c r="AL52" s="12" t="str">
        <x:f>IF(AG52="yes","yes","candidate_only")</x:f>
        <x:v>candidate_only</x:v>
      </x:c>
      <x:c r="AM52" s="12" t="str">
        <x:f>IF(OR(AC52="canonical",AG52="yes"),"yes","recommended")</x:f>
        <x:v>recommended</x:v>
      </x:c>
      <x:c r="AN52" s="12" t="str">
        <x:f>IF(AC52="deprecated","exclude",IF(AND(AG52="yes",AJ52="high"),"import_but_human_review_required",IF(AG52="yes","import_as_active","import_as_backlog")))</x:f>
        <x:v>import_as_backlog</x:v>
      </x:c>
      <x:c r="AO52" s="12" t="str">
        <x:f>IF(AND(AG52="yes",OR(P52="",Q52="",R52="",S52="")),"missing_required_mvp_fields",IF(AND(AC52="canonical",Y52=""),"missing_source_ref","ok"))</x:f>
        <x:v>ok</x:v>
      </x:c>
      <x:c r="AP52" s="12" t="str">
        <x:f>IF(AO52="ok","ready_for_codex_import","needs_review")</x:f>
        <x:v>ready_for_codex_import</x:v>
      </x:c>
      <x:c r="AQ52" s="12"/>
      <x:c r="AR52" s="12" t="str">
        <x:v>Added v2 operational fields. Review before classification activation.</x:v>
      </x:c>
    </x:row>
    <x:row r="53">
      <x:c r="A53" s="13" t="str">
        <x:v>guilt_by_association_explicit_marker</x:v>
      </x:c>
      <x:c r="B53" s="13" t="str">
        <x:v>guilt_by_association</x:v>
      </x:c>
      <x:c r="C53" s="13" t="str">
        <x:v>Guilt by association</x:v>
      </x:c>
      <x:c r="D53" s="13" t="str">
        <x:v>بی‌اعتبارسازی با نسبت دادن ارتباط</x:v>
      </x:c>
      <x:c r="E53" s="13" t="str">
        <x:v>Explicit lexical marker</x:v>
      </x:c>
      <x:c r="F53" s="13" t="str">
        <x:v>reasoning_failures</x:v>
      </x:c>
      <x:c r="G53" s="13" t="str">
        <x:v>operational_variant</x:v>
      </x:c>
      <x:c r="H53" s="13" t="str">
        <x:v>contextual</x:v>
      </x:c>
      <x:c r="I53" s="13" t="str">
        <x:v>claim+context</x:v>
      </x:c>
      <x:c r="J53" s="13" t="str">
        <x:v>derived_operational_subtype</x:v>
      </x:c>
      <x:c r="K53" s="13" t="str">
        <x:v>derived_from_established_parent_review_required</x:v>
      </x:c>
      <x:c r="L53" s="13" t="str">
        <x:v>P2</x:v>
      </x:c>
      <x:c r="M53" s="13" t="str">
        <x:v>no</x:v>
      </x:c>
      <x:c r="N53" s="13" t="str">
        <x:v>Operational subtype under Guilt by association: the pattern is cued by strong connective or evaluative language. Parent definition: Rejecting a claim because its speaker is associated with a disliked person or group.</x:v>
      </x:c>
      <x:c r="O53" s="13" t="str">
        <x:v>Look for: explicit claim-level evidence; parent-family cues for Guilt by association; variant cue: the pattern is cued by strong connective or evaluative language; avoid author-level inference.</x:v>
      </x:c>
      <x:c r="P53" s="13" t="str">
        <x:v>Exact evidence span in text plus claim-level reasoning link; for contextual/discourse entries, require surrounding context.</x:v>
      </x:c>
      <x:c r="Q53" s="13" t="str">
        <x:v>Do not label merely because topic is controversial, emotional, or wrong. Do not judge intent or personality. Require textual evidence and consider healthy-reasoning cues.</x:v>
      </x:c>
      <x:c r="R53" s="13" t="str">
        <x:v>Stub: A claim relies on the pattern is cued by strong connective or evaluative language to support a conclusion without adequate qualification.</x:v>
      </x:c>
      <x:c r="S53" s="13" t="str">
        <x:v>Stub: A claim discusses guilt by association with caveats, balanced evidence, or no argumentative use of the pattern.</x:v>
      </x:c>
      <x:c r="T53" s="13" t="str">
        <x:v>Mild or ambiguous cue; do not classify without clear evidence span.</x:v>
      </x:c>
      <x:c r="U53" s="13" t="str">
        <x:v>Clear claim-level pattern with some argumentative impact.</x:v>
      </x:c>
      <x:c r="V53" s="13" t="str">
        <x:v>Strong pattern central to the conclusion and likely to materially distort reasoning.</x:v>
      </x:c>
      <x:c r="W53" s="13" t="str"/>
      <x:c r="X53" s="13" t="str">
        <x:v>sep_fallacies</x:v>
      </x:c>
      <x:c r="Y53" s="13" t="str">
        <x:v>https://plato.stanford.edu/entries/fallacies/</x:v>
      </x:c>
      <x:c r="Z53" s="13" t="str">
        <x:v>Review before enabling. This workbook is a living taxonomy scaffold, not a validated scientific benchmark.</x:v>
      </x:c>
      <x:c r="AA53" s="13" t="str">
        <x:v>0.1.0-draft</x:v>
      </x:c>
      <x:c r="AB53" s="12" t="str">
        <x:f>IF(ISNUMBER(SEARCH("healthy",F53)),"healthy_reasoning_patterns",IF(ISNUMBER(SEARCH("statistical",F53)),"statistical_reasoning",IF(ISNUMBER(SEARCH("causal",F53)),"causal_reasoning",IF(ISNUMBER(SEARCH("social",F53)),"social_influence",IF(ISNUMBER(SEARCH("rhetoric",F53)),"rhetoric_discourse",IF(ISNUMBER(SEARCH("behavior",F53)),"behavioural_economics",IF(ISNUMBER(SEARCH("cognitive",F53)),"cognitive_biases",IF(J53="protective_pattern","healthy_reasoning_patterns",IF(L53="P0","core_mvp","extended_fallacies")))))))))</x:f>
        <x:v>extended_fallacies</x:v>
      </x:c>
      <x:c r="AC53" s="12" t="str">
        <x:f>IF(ISNUMBER(SEARCH("operational",J53)),"operational",IF(ISNUMBER(SEARCH("deprecated",J53)),"deprecated",IF(L53="P0","canonical","recognized_subtype")))</x:f>
        <x:v>operational</x:v>
      </x:c>
      <x:c r="AD53" s="12" t="str">
        <x:f>IF(AC53="canonical","high",IF(AC53="recognized_subtype","medium",IF(AC53="operational","operational_only","debated")))</x:f>
        <x:v>operational_only</x:v>
      </x:c>
      <x:c r="AE53" s="12" t="str">
        <x:f>IF(AC53="deprecated","deprecated",IF(M53="yes","active",IF(M53="review","review_required","backlog")))</x:f>
        <x:v>backlog</x:v>
      </x:c>
      <x:c r="AF53" s="12" t="str">
        <x:f>IF(OR(AE53="active",AE53="review_required"),"yes","no")</x:f>
        <x:v>no</x:v>
      </x:c>
      <x:c r="AG53" s="12" t="str">
        <x:f>IF(AND(AE53="active",M53="yes",NOT(ISNUMBER(SEARCH("healthy",AB53)))),"yes","no")</x:f>
        <x:v>no</x:v>
      </x:c>
      <x:c r="AH53" s="12" t="str">
        <x:f>IF(OR(H53="contextual",H53="dialogue",H53="discourse",I53="claim+context",I53="discourse_segment"),"yes","no")</x:f>
        <x:v>yes</x:v>
      </x:c>
      <x:c r="AI53" s="12" t="str">
        <x:f>IF(OR(AH53="yes",AD53="debated",AC53="operational"),"yes","no")</x:f>
        <x:v>yes</x:v>
      </x:c>
      <x:c r="AJ53" s="12" t="str">
        <x:f>IF(OR(AH53="yes",AC53="operational",AD53="debated"),"high",IF(AND(AG53="yes",L53="P0"),"medium","low"))</x:f>
        <x:v>high</x:v>
      </x:c>
      <x:c r="AK53" s="12" t="str">
        <x:f>IF(ISNUMBER(SEARCH("healthy",AB53)),"yes","no")</x:f>
        <x:v>no</x:v>
      </x:c>
      <x:c r="AL53" s="12" t="str">
        <x:f>IF(AG53="yes","yes","candidate_only")</x:f>
        <x:v>candidate_only</x:v>
      </x:c>
      <x:c r="AM53" s="12" t="str">
        <x:f>IF(OR(AC53="canonical",AG53="yes"),"yes","recommended")</x:f>
        <x:v>recommended</x:v>
      </x:c>
      <x:c r="AN53" s="12" t="str">
        <x:f>IF(AC53="deprecated","exclude",IF(AND(AG53="yes",AJ53="high"),"import_but_human_review_required",IF(AG53="yes","import_as_active","import_as_backlog")))</x:f>
        <x:v>import_as_backlog</x:v>
      </x:c>
      <x:c r="AO53" s="12" t="str">
        <x:f>IF(AND(AG53="yes",OR(P53="",Q53="",R53="",S53="")),"missing_required_mvp_fields",IF(AND(AC53="canonical",Y53=""),"missing_source_ref","ok"))</x:f>
        <x:v>ok</x:v>
      </x:c>
      <x:c r="AP53" s="12" t="str">
        <x:f>IF(AO53="ok","ready_for_codex_import","needs_review")</x:f>
        <x:v>ready_for_codex_import</x:v>
      </x:c>
      <x:c r="AQ53" s="12"/>
      <x:c r="AR53" s="12" t="str">
        <x:v>Added v2 operational fields. Review before classification activation.</x:v>
      </x:c>
    </x:row>
    <x:row r="54">
      <x:c r="A54" s="13" t="str">
        <x:v>genetic_fallacy_explicit_marker</x:v>
      </x:c>
      <x:c r="B54" s="13" t="str">
        <x:v>genetic_fallacy</x:v>
      </x:c>
      <x:c r="C54" s="13" t="str">
        <x:v>Genetic fallacy</x:v>
      </x:c>
      <x:c r="D54" s="13" t="str">
        <x:v>مغالطه منشأ</x:v>
      </x:c>
      <x:c r="E54" s="13" t="str">
        <x:v>Explicit lexical marker</x:v>
      </x:c>
      <x:c r="F54" s="13" t="str">
        <x:v>reasoning_failures</x:v>
      </x:c>
      <x:c r="G54" s="13" t="str">
        <x:v>operational_variant</x:v>
      </x:c>
      <x:c r="H54" s="13" t="str">
        <x:v>contextual</x:v>
      </x:c>
      <x:c r="I54" s="13" t="str">
        <x:v>claim+context</x:v>
      </x:c>
      <x:c r="J54" s="13" t="str">
        <x:v>derived_operational_subtype</x:v>
      </x:c>
      <x:c r="K54" s="13" t="str">
        <x:v>derived_from_established_parent_review_required</x:v>
      </x:c>
      <x:c r="L54" s="13" t="str">
        <x:v>P2</x:v>
      </x:c>
      <x:c r="M54" s="13" t="str">
        <x:v>no</x:v>
      </x:c>
      <x:c r="N54" s="13" t="str">
        <x:v>Operational subtype under Genetic fallacy: the pattern is cued by strong connective or evaluative language. Parent definition: Judging a claim solely by its origin rather than its current evidence or reasoning.</x:v>
      </x:c>
      <x:c r="O54" s="13" t="str">
        <x:v>Look for: explicit claim-level evidence; parent-family cues for Genetic fallacy; variant cue: the pattern is cued by strong connective or evaluative language; avoid author-level inference.</x:v>
      </x:c>
      <x:c r="P54" s="13" t="str">
        <x:v>Exact evidence span in text plus claim-level reasoning link; for contextual/discourse entries, require surrounding context.</x:v>
      </x:c>
      <x:c r="Q54" s="13" t="str">
        <x:v>Do not label merely because topic is controversial, emotional, or wrong. Do not judge intent or personality. Require textual evidence and consider healthy-reasoning cues.</x:v>
      </x:c>
      <x:c r="R54" s="13" t="str">
        <x:v>Stub: A claim relies on the pattern is cued by strong connective or evaluative language to support a conclusion without adequate qualification.</x:v>
      </x:c>
      <x:c r="S54" s="13" t="str">
        <x:v>Stub: A claim discusses genetic fallacy with caveats, balanced evidence, or no argumentative use of the pattern.</x:v>
      </x:c>
      <x:c r="T54" s="13" t="str">
        <x:v>Mild or ambiguous cue; do not classify without clear evidence span.</x:v>
      </x:c>
      <x:c r="U54" s="13" t="str">
        <x:v>Clear claim-level pattern with some argumentative impact.</x:v>
      </x:c>
      <x:c r="V54" s="13" t="str">
        <x:v>Strong pattern central to the conclusion and likely to materially distort reasoning.</x:v>
      </x:c>
      <x:c r="W54" s="13" t="str">
        <x:v>cherry_picking; missing_counterevidence; evidence_grading</x:v>
      </x:c>
      <x:c r="X54" s="13" t="str">
        <x:v>sep_fallacies</x:v>
      </x:c>
      <x:c r="Y54" s="13" t="str">
        <x:v>https://plato.stanford.edu/entries/fallacies/</x:v>
      </x:c>
      <x:c r="Z54" s="13" t="str">
        <x:v>Review before enabling. This workbook is a living taxonomy scaffold, not a validated scientific benchmark.</x:v>
      </x:c>
      <x:c r="AA54" s="13" t="str">
        <x:v>0.1.0-draft</x:v>
      </x:c>
      <x:c r="AB54" s="12" t="str">
        <x:f>IF(ISNUMBER(SEARCH("healthy",F54)),"healthy_reasoning_patterns",IF(ISNUMBER(SEARCH("statistical",F54)),"statistical_reasoning",IF(ISNUMBER(SEARCH("causal",F54)),"causal_reasoning",IF(ISNUMBER(SEARCH("social",F54)),"social_influence",IF(ISNUMBER(SEARCH("rhetoric",F54)),"rhetoric_discourse",IF(ISNUMBER(SEARCH("behavior",F54)),"behavioural_economics",IF(ISNUMBER(SEARCH("cognitive",F54)),"cognitive_biases",IF(J54="protective_pattern","healthy_reasoning_patterns",IF(L54="P0","core_mvp","extended_fallacies")))))))))</x:f>
        <x:v>extended_fallacies</x:v>
      </x:c>
      <x:c r="AC54" s="12" t="str">
        <x:f>IF(ISNUMBER(SEARCH("operational",J54)),"operational",IF(ISNUMBER(SEARCH("deprecated",J54)),"deprecated",IF(L54="P0","canonical","recognized_subtype")))</x:f>
        <x:v>operational</x:v>
      </x:c>
      <x:c r="AD54" s="12" t="str">
        <x:f>IF(AC54="canonical","high",IF(AC54="recognized_subtype","medium",IF(AC54="operational","operational_only","debated")))</x:f>
        <x:v>operational_only</x:v>
      </x:c>
      <x:c r="AE54" s="12" t="str">
        <x:f>IF(AC54="deprecated","deprecated",IF(M54="yes","active",IF(M54="review","review_required","backlog")))</x:f>
        <x:v>backlog</x:v>
      </x:c>
      <x:c r="AF54" s="12" t="str">
        <x:f>IF(OR(AE54="active",AE54="review_required"),"yes","no")</x:f>
        <x:v>no</x:v>
      </x:c>
      <x:c r="AG54" s="12" t="str">
        <x:f>IF(AND(AE54="active",M54="yes",NOT(ISNUMBER(SEARCH("healthy",AB54)))),"yes","no")</x:f>
        <x:v>no</x:v>
      </x:c>
      <x:c r="AH54" s="12" t="str">
        <x:f>IF(OR(H54="contextual",H54="dialogue",H54="discourse",I54="claim+context",I54="discourse_segment"),"yes","no")</x:f>
        <x:v>yes</x:v>
      </x:c>
      <x:c r="AI54" s="12" t="str">
        <x:f>IF(OR(AH54="yes",AD54="debated",AC54="operational"),"yes","no")</x:f>
        <x:v>yes</x:v>
      </x:c>
      <x:c r="AJ54" s="12" t="str">
        <x:f>IF(OR(AH54="yes",AC54="operational",AD54="debated"),"high",IF(AND(AG54="yes",L54="P0"),"medium","low"))</x:f>
        <x:v>high</x:v>
      </x:c>
      <x:c r="AK54" s="12" t="str">
        <x:f>IF(ISNUMBER(SEARCH("healthy",AB54)),"yes","no")</x:f>
        <x:v>no</x:v>
      </x:c>
      <x:c r="AL54" s="12" t="str">
        <x:f>IF(AG54="yes","yes","candidate_only")</x:f>
        <x:v>candidate_only</x:v>
      </x:c>
      <x:c r="AM54" s="12" t="str">
        <x:f>IF(OR(AC54="canonical",AG54="yes"),"yes","recommended")</x:f>
        <x:v>recommended</x:v>
      </x:c>
      <x:c r="AN54" s="12" t="str">
        <x:f>IF(AC54="deprecated","exclude",IF(AND(AG54="yes",AJ54="high"),"import_but_human_review_required",IF(AG54="yes","import_as_active","import_as_backlog")))</x:f>
        <x:v>import_as_backlog</x:v>
      </x:c>
      <x:c r="AO54" s="12" t="str">
        <x:f>IF(AND(AG54="yes",OR(P54="",Q54="",R54="",S54="")),"missing_required_mvp_fields",IF(AND(AC54="canonical",Y54=""),"missing_source_ref","ok"))</x:f>
        <x:v>ok</x:v>
      </x:c>
      <x:c r="AP54" s="12" t="str">
        <x:f>IF(AO54="ok","ready_for_codex_import","needs_review")</x:f>
        <x:v>ready_for_codex_import</x:v>
      </x:c>
      <x:c r="AQ54" s="12"/>
      <x:c r="AR54" s="12" t="str">
        <x:v>Added v2 operational fields. Review before classification activation.</x:v>
      </x:c>
    </x:row>
    <x:row r="55">
      <x:c r="A55" s="13" t="str">
        <x:v>appeal_to_authority_misuse_explicit_marker</x:v>
      </x:c>
      <x:c r="B55" s="13" t="str">
        <x:v>appeal_to_authority_misuse</x:v>
      </x:c>
      <x:c r="C55" s="13" t="str">
        <x:v>Misused appeal to authority</x:v>
      </x:c>
      <x:c r="D55" s="13" t="str">
        <x:v>استناد ناموجه به مرجع</x:v>
      </x:c>
      <x:c r="E55" s="13" t="str">
        <x:v>Explicit lexical marker</x:v>
      </x:c>
      <x:c r="F55" s="13" t="str">
        <x:v>reasoning_failures</x:v>
      </x:c>
      <x:c r="G55" s="13" t="str">
        <x:v>operational_variant</x:v>
      </x:c>
      <x:c r="H55" s="13" t="str">
        <x:v>contextual</x:v>
      </x:c>
      <x:c r="I55" s="13" t="str">
        <x:v>claim+context</x:v>
      </x:c>
      <x:c r="J55" s="13" t="str">
        <x:v>derived_operational_subtype</x:v>
      </x:c>
      <x:c r="K55" s="13" t="str">
        <x:v>derived_from_established_parent_review_required</x:v>
      </x:c>
      <x:c r="L55" s="13" t="str">
        <x:v>P2</x:v>
      </x:c>
      <x:c r="M55" s="13" t="str">
        <x:v>no</x:v>
      </x:c>
      <x:c r="N55" s="13" t="str">
        <x:v>Operational subtype under Misused appeal to authority: the pattern is cued by strong connective or evaluative language. Parent definition: Using authority as a substitute for relevant evidence, especially outside the authority's domain.</x:v>
      </x:c>
      <x:c r="O55" s="13" t="str">
        <x:v>Look for: explicit claim-level evidence; parent-family cues for Misused appeal to authority; variant cue: the pattern is cued by strong connective or evaluative language; avoid author-level inference.</x:v>
      </x:c>
      <x:c r="P55" s="13" t="str">
        <x:v>Exact evidence span in text plus claim-level reasoning link; for contextual/discourse entries, require surrounding context.</x:v>
      </x:c>
      <x:c r="Q55" s="13" t="str">
        <x:v>Do not label merely because topic is controversial, emotional, or wrong. Do not judge intent or personality. Require textual evidence and consider healthy-reasoning cues.</x:v>
      </x:c>
      <x:c r="R55" s="13" t="str">
        <x:v>Stub: A claim relies on the pattern is cued by strong connective or evaluative language to support a conclusion without adequate qualification.</x:v>
      </x:c>
      <x:c r="S55" s="13" t="str">
        <x:v>Stub: A claim discusses misused appeal to authority with caveats, balanced evidence, or no argumentative use of the pattern.</x:v>
      </x:c>
      <x:c r="T55" s="13" t="str">
        <x:v>Mild or ambiguous cue; do not classify without clear evidence span.</x:v>
      </x:c>
      <x:c r="U55" s="13" t="str">
        <x:v>Clear claim-level pattern with some argumentative impact.</x:v>
      </x:c>
      <x:c r="V55" s="13" t="str">
        <x:v>Strong pattern central to the conclusion and likely to materially distort reasoning.</x:v>
      </x:c>
      <x:c r="W55" s="13" t="str">
        <x:v>authority_bias; appeal_to_authority_misuse; source_triangulation</x:v>
      </x:c>
      <x:c r="X55" s="13" t="str">
        <x:v>walton_argumentation_schemes</x:v>
      </x:c>
      <x:c r="Y55" s="13" t="str">
        <x:v>https://www.cambridge.org/core/books/argumentation-schemes/1D013BFA2695C72B14134F2C38B17B85</x:v>
      </x:c>
      <x:c r="Z55" s="13" t="str">
        <x:v>Review before enabling. This workbook is a living taxonomy scaffold, not a validated scientific benchmark.</x:v>
      </x:c>
      <x:c r="AA55" s="13" t="str">
        <x:v>0.1.0-draft</x:v>
      </x:c>
      <x:c r="AB55" s="12" t="str">
        <x:f>IF(ISNUMBER(SEARCH("healthy",F55)),"healthy_reasoning_patterns",IF(ISNUMBER(SEARCH("statistical",F55)),"statistical_reasoning",IF(ISNUMBER(SEARCH("causal",F55)),"causal_reasoning",IF(ISNUMBER(SEARCH("social",F55)),"social_influence",IF(ISNUMBER(SEARCH("rhetoric",F55)),"rhetoric_discourse",IF(ISNUMBER(SEARCH("behavior",F55)),"behavioural_economics",IF(ISNUMBER(SEARCH("cognitive",F55)),"cognitive_biases",IF(J55="protective_pattern","healthy_reasoning_patterns",IF(L55="P0","core_mvp","extended_fallacies")))))))))</x:f>
        <x:v>extended_fallacies</x:v>
      </x:c>
      <x:c r="AC55" s="12" t="str">
        <x:f>IF(ISNUMBER(SEARCH("operational",J55)),"operational",IF(ISNUMBER(SEARCH("deprecated",J55)),"deprecated",IF(L55="P0","canonical","recognized_subtype")))</x:f>
        <x:v>operational</x:v>
      </x:c>
      <x:c r="AD55" s="12" t="str">
        <x:f>IF(AC55="canonical","high",IF(AC55="recognized_subtype","medium",IF(AC55="operational","operational_only","debated")))</x:f>
        <x:v>operational_only</x:v>
      </x:c>
      <x:c r="AE55" s="12" t="str">
        <x:f>IF(AC55="deprecated","deprecated",IF(M55="yes","active",IF(M55="review","review_required","backlog")))</x:f>
        <x:v>backlog</x:v>
      </x:c>
      <x:c r="AF55" s="12" t="str">
        <x:f>IF(OR(AE55="active",AE55="review_required"),"yes","no")</x:f>
        <x:v>no</x:v>
      </x:c>
      <x:c r="AG55" s="12" t="str">
        <x:f>IF(AND(AE55="active",M55="yes",NOT(ISNUMBER(SEARCH("healthy",AB55)))),"yes","no")</x:f>
        <x:v>no</x:v>
      </x:c>
      <x:c r="AH55" s="12" t="str">
        <x:f>IF(OR(H55="contextual",H55="dialogue",H55="discourse",I55="claim+context",I55="discourse_segment"),"yes","no")</x:f>
        <x:v>yes</x:v>
      </x:c>
      <x:c r="AI55" s="12" t="str">
        <x:f>IF(OR(AH55="yes",AD55="debated",AC55="operational"),"yes","no")</x:f>
        <x:v>yes</x:v>
      </x:c>
      <x:c r="AJ55" s="12" t="str">
        <x:f>IF(OR(AH55="yes",AC55="operational",AD55="debated"),"high",IF(AND(AG55="yes",L55="P0"),"medium","low"))</x:f>
        <x:v>high</x:v>
      </x:c>
      <x:c r="AK55" s="12" t="str">
        <x:f>IF(ISNUMBER(SEARCH("healthy",AB55)),"yes","no")</x:f>
        <x:v>no</x:v>
      </x:c>
      <x:c r="AL55" s="12" t="str">
        <x:f>IF(AG55="yes","yes","candidate_only")</x:f>
        <x:v>candidate_only</x:v>
      </x:c>
      <x:c r="AM55" s="12" t="str">
        <x:f>IF(OR(AC55="canonical",AG55="yes"),"yes","recommended")</x:f>
        <x:v>recommended</x:v>
      </x:c>
      <x:c r="AN55" s="12" t="str">
        <x:f>IF(AC55="deprecated","exclude",IF(AND(AG55="yes",AJ55="high"),"import_but_human_review_required",IF(AG55="yes","import_as_active","import_as_backlog")))</x:f>
        <x:v>import_as_backlog</x:v>
      </x:c>
      <x:c r="AO55" s="12" t="str">
        <x:f>IF(AND(AG55="yes",OR(P55="",Q55="",R55="",S55="")),"missing_required_mvp_fields",IF(AND(AC55="canonical",Y55=""),"missing_source_ref","ok"))</x:f>
        <x:v>ok</x:v>
      </x:c>
      <x:c r="AP55" s="12" t="str">
        <x:f>IF(AO55="ok","ready_for_codex_import","needs_review")</x:f>
        <x:v>ready_for_codex_import</x:v>
      </x:c>
      <x:c r="AQ55" s="12"/>
      <x:c r="AR55" s="12" t="str">
        <x:v>Added v2 operational fields. Review before classification activation.</x:v>
      </x:c>
    </x:row>
    <x:row r="56">
      <x:c r="A56" s="13" t="str">
        <x:v>appeal_to_emotion_explicit_marker</x:v>
      </x:c>
      <x:c r="B56" s="13" t="str">
        <x:v>appeal_to_emotion</x:v>
      </x:c>
      <x:c r="C56" s="13" t="str">
        <x:v>Appeal to emotion</x:v>
      </x:c>
      <x:c r="D56" s="13" t="str">
        <x:v>استناد به احساسات</x:v>
      </x:c>
      <x:c r="E56" s="13" t="str">
        <x:v>Explicit lexical marker</x:v>
      </x:c>
      <x:c r="F56" s="13" t="str">
        <x:v>reasoning_failures</x:v>
      </x:c>
      <x:c r="G56" s="13" t="str">
        <x:v>operational_variant</x:v>
      </x:c>
      <x:c r="H56" s="13" t="str">
        <x:v>discourse</x:v>
      </x:c>
      <x:c r="I56" s="13" t="str">
        <x:v>discourse_segment</x:v>
      </x:c>
      <x:c r="J56" s="13" t="str">
        <x:v>derived_operational_subtype</x:v>
      </x:c>
      <x:c r="K56" s="13" t="str">
        <x:v>derived_from_established_parent_review_required</x:v>
      </x:c>
      <x:c r="L56" s="13" t="str">
        <x:v>P2</x:v>
      </x:c>
      <x:c r="M56" s="13" t="str">
        <x:v>no</x:v>
      </x:c>
      <x:c r="N56" s="13" t="str">
        <x:v>Operational subtype under Appeal to emotion: the pattern is cued by strong connective or evaluative language. Parent definition: Using emotion as the main support for a conclusion without adequate reasons.</x:v>
      </x:c>
      <x:c r="O56" s="13" t="str">
        <x:v>Look for: explicit claim-level evidence; parent-family cues for Appeal to emotion; variant cue: the pattern is cued by strong connective or evaluative language; avoid author-level inference.</x:v>
      </x:c>
      <x:c r="P56" s="13" t="str">
        <x:v>Exact evidence span in text plus claim-level reasoning link; for contextual/discourse entries, require surrounding context.</x:v>
      </x:c>
      <x:c r="Q56" s="13" t="str">
        <x:v>Do not label merely because topic is controversial, emotional, or wrong. Do not judge intent or personality. Require textual evidence and consider healthy-reasoning cues.</x:v>
      </x:c>
      <x:c r="R56" s="13" t="str">
        <x:v>Stub: A claim relies on the pattern is cued by strong connective or evaluative language to support a conclusion without adequate qualification.</x:v>
      </x:c>
      <x:c r="S56" s="13" t="str">
        <x:v>Stub: A claim discusses appeal to emotion with caveats, balanced evidence, or no argumentative use of the pattern.</x:v>
      </x:c>
      <x:c r="T56" s="13" t="str">
        <x:v>Mild or ambiguous cue; do not classify without clear evidence span.</x:v>
      </x:c>
      <x:c r="U56" s="13" t="str">
        <x:v>Clear claim-level pattern with some argumentative impact.</x:v>
      </x:c>
      <x:c r="V56" s="13" t="str">
        <x:v>Strong pattern central to the conclusion and likely to materially distort reasoning.</x:v>
      </x:c>
      <x:c r="W56" s="13" t="str"/>
      <x:c r="X56" s="13" t="str">
        <x:v>sep_fallacies</x:v>
      </x:c>
      <x:c r="Y56" s="13" t="str">
        <x:v>https://plato.stanford.edu/entries/fallacies/</x:v>
      </x:c>
      <x:c r="Z56" s="13" t="str">
        <x:v>Review before enabling. This workbook is a living taxonomy scaffold, not a validated scientific benchmark.</x:v>
      </x:c>
      <x:c r="AA56" s="13" t="str">
        <x:v>0.1.0-draft</x:v>
      </x:c>
      <x:c r="AB56" s="12" t="str">
        <x:f>IF(ISNUMBER(SEARCH("healthy",F56)),"healthy_reasoning_patterns",IF(ISNUMBER(SEARCH("statistical",F56)),"statistical_reasoning",IF(ISNUMBER(SEARCH("causal",F56)),"causal_reasoning",IF(ISNUMBER(SEARCH("social",F56)),"social_influence",IF(ISNUMBER(SEARCH("rhetoric",F56)),"rhetoric_discourse",IF(ISNUMBER(SEARCH("behavior",F56)),"behavioural_economics",IF(ISNUMBER(SEARCH("cognitive",F56)),"cognitive_biases",IF(J56="protective_pattern","healthy_reasoning_patterns",IF(L56="P0","core_mvp","extended_fallacies")))))))))</x:f>
        <x:v>extended_fallacies</x:v>
      </x:c>
      <x:c r="AC56" s="12" t="str">
        <x:f>IF(ISNUMBER(SEARCH("operational",J56)),"operational",IF(ISNUMBER(SEARCH("deprecated",J56)),"deprecated",IF(L56="P0","canonical","recognized_subtype")))</x:f>
        <x:v>operational</x:v>
      </x:c>
      <x:c r="AD56" s="12" t="str">
        <x:f>IF(AC56="canonical","high",IF(AC56="recognized_subtype","medium",IF(AC56="operational","operational_only","debated")))</x:f>
        <x:v>operational_only</x:v>
      </x:c>
      <x:c r="AE56" s="12" t="str">
        <x:f>IF(AC56="deprecated","deprecated",IF(M56="yes","active",IF(M56="review","review_required","backlog")))</x:f>
        <x:v>backlog</x:v>
      </x:c>
      <x:c r="AF56" s="12" t="str">
        <x:f>IF(OR(AE56="active",AE56="review_required"),"yes","no")</x:f>
        <x:v>no</x:v>
      </x:c>
      <x:c r="AG56" s="12" t="str">
        <x:f>IF(AND(AE56="active",M56="yes",NOT(ISNUMBER(SEARCH("healthy",AB56)))),"yes","no")</x:f>
        <x:v>no</x:v>
      </x:c>
      <x:c r="AH56" s="12" t="str">
        <x:f>IF(OR(H56="contextual",H56="dialogue",H56="discourse",I56="claim+context",I56="discourse_segment"),"yes","no")</x:f>
        <x:v>yes</x:v>
      </x:c>
      <x:c r="AI56" s="12" t="str">
        <x:f>IF(OR(AH56="yes",AD56="debated",AC56="operational"),"yes","no")</x:f>
        <x:v>yes</x:v>
      </x:c>
      <x:c r="AJ56" s="12" t="str">
        <x:f>IF(OR(AH56="yes",AC56="operational",AD56="debated"),"high",IF(AND(AG56="yes",L56="P0"),"medium","low"))</x:f>
        <x:v>high</x:v>
      </x:c>
      <x:c r="AK56" s="12" t="str">
        <x:f>IF(ISNUMBER(SEARCH("healthy",AB56)),"yes","no")</x:f>
        <x:v>no</x:v>
      </x:c>
      <x:c r="AL56" s="12" t="str">
        <x:f>IF(AG56="yes","yes","candidate_only")</x:f>
        <x:v>candidate_only</x:v>
      </x:c>
      <x:c r="AM56" s="12" t="str">
        <x:f>IF(OR(AC56="canonical",AG56="yes"),"yes","recommended")</x:f>
        <x:v>recommended</x:v>
      </x:c>
      <x:c r="AN56" s="12" t="str">
        <x:f>IF(AC56="deprecated","exclude",IF(AND(AG56="yes",AJ56="high"),"import_but_human_review_required",IF(AG56="yes","import_as_active","import_as_backlog")))</x:f>
        <x:v>import_as_backlog</x:v>
      </x:c>
      <x:c r="AO56" s="12" t="str">
        <x:f>IF(AND(AG56="yes",OR(P56="",Q56="",R56="",S56="")),"missing_required_mvp_fields",IF(AND(AC56="canonical",Y56=""),"missing_source_ref","ok"))</x:f>
        <x:v>ok</x:v>
      </x:c>
      <x:c r="AP56" s="12" t="str">
        <x:f>IF(AO56="ok","ready_for_codex_import","needs_review")</x:f>
        <x:v>ready_for_codex_import</x:v>
      </x:c>
      <x:c r="AQ56" s="12"/>
      <x:c r="AR56" s="12" t="str">
        <x:v>Added v2 operational fields. Review before classification activation.</x:v>
      </x:c>
    </x:row>
    <x:row r="57">
      <x:c r="A57" s="13" t="str">
        <x:v>appeal_to_fear_explicit_marker</x:v>
      </x:c>
      <x:c r="B57" s="13" t="str">
        <x:v>appeal_to_fear</x:v>
      </x:c>
      <x:c r="C57" s="13" t="str">
        <x:v>Appeal to fear</x:v>
      </x:c>
      <x:c r="D57" s="13" t="str">
        <x:v>استناد به ترس</x:v>
      </x:c>
      <x:c r="E57" s="13" t="str">
        <x:v>Explicit lexical marker</x:v>
      </x:c>
      <x:c r="F57" s="13" t="str">
        <x:v>reasoning_failures</x:v>
      </x:c>
      <x:c r="G57" s="13" t="str">
        <x:v>operational_variant</x:v>
      </x:c>
      <x:c r="H57" s="13" t="str">
        <x:v>discourse</x:v>
      </x:c>
      <x:c r="I57" s="13" t="str">
        <x:v>discourse_segment</x:v>
      </x:c>
      <x:c r="J57" s="13" t="str">
        <x:v>derived_operational_subtype</x:v>
      </x:c>
      <x:c r="K57" s="13" t="str">
        <x:v>derived_from_established_parent_review_required</x:v>
      </x:c>
      <x:c r="L57" s="13" t="str">
        <x:v>P2</x:v>
      </x:c>
      <x:c r="M57" s="13" t="str">
        <x:v>no</x:v>
      </x:c>
      <x:c r="N57" s="13" t="str">
        <x:v>Operational subtype under Appeal to fear: the pattern is cued by strong connective or evaluative language. Parent definition: Using fear or threat as decisive support for a claim or choice.</x:v>
      </x:c>
      <x:c r="O57" s="13" t="str">
        <x:v>Look for: explicit claim-level evidence; parent-family cues for Appeal to fear; variant cue: the pattern is cued by strong connective or evaluative language; avoid author-level inference.</x:v>
      </x:c>
      <x:c r="P57" s="13" t="str">
        <x:v>Exact evidence span in text plus claim-level reasoning link; for contextual/discourse entries, require surrounding context.</x:v>
      </x:c>
      <x:c r="Q57" s="13" t="str">
        <x:v>Do not label merely because topic is controversial, emotional, or wrong. Do not judge intent or personality. Require textual evidence and consider healthy-reasoning cues.</x:v>
      </x:c>
      <x:c r="R57" s="13" t="str">
        <x:v>Stub: A claim relies on the pattern is cued by strong connective or evaluative language to support a conclusion without adequate qualification.</x:v>
      </x:c>
      <x:c r="S57" s="13" t="str">
        <x:v>Stub: A claim discusses appeal to fear with caveats, balanced evidence, or no argumentative use of the pattern.</x:v>
      </x:c>
      <x:c r="T57" s="13" t="str">
        <x:v>Mild or ambiguous cue; do not classify without clear evidence span.</x:v>
      </x:c>
      <x:c r="U57" s="13" t="str">
        <x:v>Clear claim-level pattern with some argumentative impact.</x:v>
      </x:c>
      <x:c r="V57" s="13" t="str">
        <x:v>Strong pattern central to the conclusion and likely to materially distort reasoning.</x:v>
      </x:c>
      <x:c r="W57" s="13" t="str"/>
      <x:c r="X57" s="13" t="str">
        <x:v>sep_fallacies</x:v>
      </x:c>
      <x:c r="Y57" s="13" t="str">
        <x:v>https://plato.stanford.edu/entries/fallacies/</x:v>
      </x:c>
      <x:c r="Z57" s="13" t="str">
        <x:v>Review before enabling. This workbook is a living taxonomy scaffold, not a validated scientific benchmark.</x:v>
      </x:c>
      <x:c r="AA57" s="13" t="str">
        <x:v>0.1.0-draft</x:v>
      </x:c>
      <x:c r="AB57" s="12" t="str">
        <x:f>IF(ISNUMBER(SEARCH("healthy",F57)),"healthy_reasoning_patterns",IF(ISNUMBER(SEARCH("statistical",F57)),"statistical_reasoning",IF(ISNUMBER(SEARCH("causal",F57)),"causal_reasoning",IF(ISNUMBER(SEARCH("social",F57)),"social_influence",IF(ISNUMBER(SEARCH("rhetoric",F57)),"rhetoric_discourse",IF(ISNUMBER(SEARCH("behavior",F57)),"behavioural_economics",IF(ISNUMBER(SEARCH("cognitive",F57)),"cognitive_biases",IF(J57="protective_pattern","healthy_reasoning_patterns",IF(L57="P0","core_mvp","extended_fallacies")))))))))</x:f>
        <x:v>extended_fallacies</x:v>
      </x:c>
      <x:c r="AC57" s="12" t="str">
        <x:f>IF(ISNUMBER(SEARCH("operational",J57)),"operational",IF(ISNUMBER(SEARCH("deprecated",J57)),"deprecated",IF(L57="P0","canonical","recognized_subtype")))</x:f>
        <x:v>operational</x:v>
      </x:c>
      <x:c r="AD57" s="12" t="str">
        <x:f>IF(AC57="canonical","high",IF(AC57="recognized_subtype","medium",IF(AC57="operational","operational_only","debated")))</x:f>
        <x:v>operational_only</x:v>
      </x:c>
      <x:c r="AE57" s="12" t="str">
        <x:f>IF(AC57="deprecated","deprecated",IF(M57="yes","active",IF(M57="review","review_required","backlog")))</x:f>
        <x:v>backlog</x:v>
      </x:c>
      <x:c r="AF57" s="12" t="str">
        <x:f>IF(OR(AE57="active",AE57="review_required"),"yes","no")</x:f>
        <x:v>no</x:v>
      </x:c>
      <x:c r="AG57" s="12" t="str">
        <x:f>IF(AND(AE57="active",M57="yes",NOT(ISNUMBER(SEARCH("healthy",AB57)))),"yes","no")</x:f>
        <x:v>no</x:v>
      </x:c>
      <x:c r="AH57" s="12" t="str">
        <x:f>IF(OR(H57="contextual",H57="dialogue",H57="discourse",I57="claim+context",I57="discourse_segment"),"yes","no")</x:f>
        <x:v>yes</x:v>
      </x:c>
      <x:c r="AI57" s="12" t="str">
        <x:f>IF(OR(AH57="yes",AD57="debated",AC57="operational"),"yes","no")</x:f>
        <x:v>yes</x:v>
      </x:c>
      <x:c r="AJ57" s="12" t="str">
        <x:f>IF(OR(AH57="yes",AC57="operational",AD57="debated"),"high",IF(AND(AG57="yes",L57="P0"),"medium","low"))</x:f>
        <x:v>high</x:v>
      </x:c>
      <x:c r="AK57" s="12" t="str">
        <x:f>IF(ISNUMBER(SEARCH("healthy",AB57)),"yes","no")</x:f>
        <x:v>no</x:v>
      </x:c>
      <x:c r="AL57" s="12" t="str">
        <x:f>IF(AG57="yes","yes","candidate_only")</x:f>
        <x:v>candidate_only</x:v>
      </x:c>
      <x:c r="AM57" s="12" t="str">
        <x:f>IF(OR(AC57="canonical",AG57="yes"),"yes","recommended")</x:f>
        <x:v>recommended</x:v>
      </x:c>
      <x:c r="AN57" s="12" t="str">
        <x:f>IF(AC57="deprecated","exclude",IF(AND(AG57="yes",AJ57="high"),"import_but_human_review_required",IF(AG57="yes","import_as_active","import_as_backlog")))</x:f>
        <x:v>import_as_backlog</x:v>
      </x:c>
      <x:c r="AO57" s="12" t="str">
        <x:f>IF(AND(AG57="yes",OR(P57="",Q57="",R57="",S57="")),"missing_required_mvp_fields",IF(AND(AC57="canonical",Y57=""),"missing_source_ref","ok"))</x:f>
        <x:v>ok</x:v>
      </x:c>
      <x:c r="AP57" s="12" t="str">
        <x:f>IF(AO57="ok","ready_for_codex_import","needs_review")</x:f>
        <x:v>ready_for_codex_import</x:v>
      </x:c>
      <x:c r="AQ57" s="12"/>
      <x:c r="AR57" s="12" t="str">
        <x:v>Added v2 operational fields. Review before classification activation.</x:v>
      </x:c>
    </x:row>
    <x:row r="58">
      <x:c r="A58" s="13" t="str">
        <x:v>appeal_to_pity_explicit_marker</x:v>
      </x:c>
      <x:c r="B58" s="13" t="str">
        <x:v>appeal_to_pity</x:v>
      </x:c>
      <x:c r="C58" s="13" t="str">
        <x:v>Appeal to pity</x:v>
      </x:c>
      <x:c r="D58" s="13" t="str">
        <x:v>استناد به ترحم</x:v>
      </x:c>
      <x:c r="E58" s="13" t="str">
        <x:v>Explicit lexical marker</x:v>
      </x:c>
      <x:c r="F58" s="13" t="str">
        <x:v>reasoning_failures</x:v>
      </x:c>
      <x:c r="G58" s="13" t="str">
        <x:v>operational_variant</x:v>
      </x:c>
      <x:c r="H58" s="13" t="str">
        <x:v>discourse</x:v>
      </x:c>
      <x:c r="I58" s="13" t="str">
        <x:v>discourse_segment</x:v>
      </x:c>
      <x:c r="J58" s="13" t="str">
        <x:v>derived_operational_subtype</x:v>
      </x:c>
      <x:c r="K58" s="13" t="str">
        <x:v>derived_from_established_parent_review_required</x:v>
      </x:c>
      <x:c r="L58" s="13" t="str">
        <x:v>P2</x:v>
      </x:c>
      <x:c r="M58" s="13" t="str">
        <x:v>no</x:v>
      </x:c>
      <x:c r="N58" s="13" t="str">
        <x:v>Operational subtype under Appeal to pity: the pattern is cued by strong connective or evaluative language. Parent definition: Substituting pity or sympathy for relevant evidence.</x:v>
      </x:c>
      <x:c r="O58" s="13" t="str">
        <x:v>Look for: explicit claim-level evidence; parent-family cues for Appeal to pity; variant cue: the pattern is cued by strong connective or evaluative language; avoid author-level inference.</x:v>
      </x:c>
      <x:c r="P58" s="13" t="str">
        <x:v>Exact evidence span in text plus claim-level reasoning link; for contextual/discourse entries, require surrounding context.</x:v>
      </x:c>
      <x:c r="Q58" s="13" t="str">
        <x:v>Do not label merely because topic is controversial, emotional, or wrong. Do not judge intent or personality. Require textual evidence and consider healthy-reasoning cues.</x:v>
      </x:c>
      <x:c r="R58" s="13" t="str">
        <x:v>Stub: A claim relies on the pattern is cued by strong connective or evaluative language to support a conclusion without adequate qualification.</x:v>
      </x:c>
      <x:c r="S58" s="13" t="str">
        <x:v>Stub: A claim discusses appeal to pity with caveats, balanced evidence, or no argumentative use of the pattern.</x:v>
      </x:c>
      <x:c r="T58" s="13" t="str">
        <x:v>Mild or ambiguous cue; do not classify without clear evidence span.</x:v>
      </x:c>
      <x:c r="U58" s="13" t="str">
        <x:v>Clear claim-level pattern with some argumentative impact.</x:v>
      </x:c>
      <x:c r="V58" s="13" t="str">
        <x:v>Strong pattern central to the conclusion and likely to materially distort reasoning.</x:v>
      </x:c>
      <x:c r="W58" s="13" t="str">
        <x:v>cherry_picking; missing_counterevidence; evidence_grading</x:v>
      </x:c>
      <x:c r="X58" s="13" t="str">
        <x:v>sep_fallacies</x:v>
      </x:c>
      <x:c r="Y58" s="13" t="str">
        <x:v>https://plato.stanford.edu/entries/fallacies/</x:v>
      </x:c>
      <x:c r="Z58" s="13" t="str">
        <x:v>Review before enabling. This workbook is a living taxonomy scaffold, not a validated scientific benchmark.</x:v>
      </x:c>
      <x:c r="AA58" s="13" t="str">
        <x:v>0.1.0-draft</x:v>
      </x:c>
      <x:c r="AB58" s="12" t="str">
        <x:f>IF(ISNUMBER(SEARCH("healthy",F58)),"healthy_reasoning_patterns",IF(ISNUMBER(SEARCH("statistical",F58)),"statistical_reasoning",IF(ISNUMBER(SEARCH("causal",F58)),"causal_reasoning",IF(ISNUMBER(SEARCH("social",F58)),"social_influence",IF(ISNUMBER(SEARCH("rhetoric",F58)),"rhetoric_discourse",IF(ISNUMBER(SEARCH("behavior",F58)),"behavioural_economics",IF(ISNUMBER(SEARCH("cognitive",F58)),"cognitive_biases",IF(J58="protective_pattern","healthy_reasoning_patterns",IF(L58="P0","core_mvp","extended_fallacies")))))))))</x:f>
        <x:v>extended_fallacies</x:v>
      </x:c>
      <x:c r="AC58" s="12" t="str">
        <x:f>IF(ISNUMBER(SEARCH("operational",J58)),"operational",IF(ISNUMBER(SEARCH("deprecated",J58)),"deprecated",IF(L58="P0","canonical","recognized_subtype")))</x:f>
        <x:v>operational</x:v>
      </x:c>
      <x:c r="AD58" s="12" t="str">
        <x:f>IF(AC58="canonical","high",IF(AC58="recognized_subtype","medium",IF(AC58="operational","operational_only","debated")))</x:f>
        <x:v>operational_only</x:v>
      </x:c>
      <x:c r="AE58" s="12" t="str">
        <x:f>IF(AC58="deprecated","deprecated",IF(M58="yes","active",IF(M58="review","review_required","backlog")))</x:f>
        <x:v>backlog</x:v>
      </x:c>
      <x:c r="AF58" s="12" t="str">
        <x:f>IF(OR(AE58="active",AE58="review_required"),"yes","no")</x:f>
        <x:v>no</x:v>
      </x:c>
      <x:c r="AG58" s="12" t="str">
        <x:f>IF(AND(AE58="active",M58="yes",NOT(ISNUMBER(SEARCH("healthy",AB58)))),"yes","no")</x:f>
        <x:v>no</x:v>
      </x:c>
      <x:c r="AH58" s="12" t="str">
        <x:f>IF(OR(H58="contextual",H58="dialogue",H58="discourse",I58="claim+context",I58="discourse_segment"),"yes","no")</x:f>
        <x:v>yes</x:v>
      </x:c>
      <x:c r="AI58" s="12" t="str">
        <x:f>IF(OR(AH58="yes",AD58="debated",AC58="operational"),"yes","no")</x:f>
        <x:v>yes</x:v>
      </x:c>
      <x:c r="AJ58" s="12" t="str">
        <x:f>IF(OR(AH58="yes",AC58="operational",AD58="debated"),"high",IF(AND(AG58="yes",L58="P0"),"medium","low"))</x:f>
        <x:v>high</x:v>
      </x:c>
      <x:c r="AK58" s="12" t="str">
        <x:f>IF(ISNUMBER(SEARCH("healthy",AB58)),"yes","no")</x:f>
        <x:v>no</x:v>
      </x:c>
      <x:c r="AL58" s="12" t="str">
        <x:f>IF(AG58="yes","yes","candidate_only")</x:f>
        <x:v>candidate_only</x:v>
      </x:c>
      <x:c r="AM58" s="12" t="str">
        <x:f>IF(OR(AC58="canonical",AG58="yes"),"yes","recommended")</x:f>
        <x:v>recommended</x:v>
      </x:c>
      <x:c r="AN58" s="12" t="str">
        <x:f>IF(AC58="deprecated","exclude",IF(AND(AG58="yes",AJ58="high"),"import_but_human_review_required",IF(AG58="yes","import_as_active","import_as_backlog")))</x:f>
        <x:v>import_as_backlog</x:v>
      </x:c>
      <x:c r="AO58" s="12" t="str">
        <x:f>IF(AND(AG58="yes",OR(P58="",Q58="",R58="",S58="")),"missing_required_mvp_fields",IF(AND(AC58="canonical",Y58=""),"missing_source_ref","ok"))</x:f>
        <x:v>ok</x:v>
      </x:c>
      <x:c r="AP58" s="12" t="str">
        <x:f>IF(AO58="ok","ready_for_codex_import","needs_review")</x:f>
        <x:v>ready_for_codex_import</x:v>
      </x:c>
      <x:c r="AQ58" s="12"/>
      <x:c r="AR58" s="12" t="str">
        <x:v>Added v2 operational fields. Review before classification activation.</x:v>
      </x:c>
    </x:row>
    <x:row r="59">
      <x:c r="A59" s="13" t="str">
        <x:v>appeal_to_force_explicit_marker</x:v>
      </x:c>
      <x:c r="B59" s="13" t="str">
        <x:v>appeal_to_force</x:v>
      </x:c>
      <x:c r="C59" s="13" t="str">
        <x:v>Appeal to force</x:v>
      </x:c>
      <x:c r="D59" s="13" t="str">
        <x:v>استناد به اجبار</x:v>
      </x:c>
      <x:c r="E59" s="13" t="str">
        <x:v>Explicit lexical marker</x:v>
      </x:c>
      <x:c r="F59" s="13" t="str">
        <x:v>reasoning_failures</x:v>
      </x:c>
      <x:c r="G59" s="13" t="str">
        <x:v>operational_variant</x:v>
      </x:c>
      <x:c r="H59" s="13" t="str">
        <x:v>dialogue</x:v>
      </x:c>
      <x:c r="I59" s="13" t="str">
        <x:v>discourse_segment</x:v>
      </x:c>
      <x:c r="J59" s="13" t="str">
        <x:v>derived_operational_subtype</x:v>
      </x:c>
      <x:c r="K59" s="13" t="str">
        <x:v>derived_from_established_parent_review_required</x:v>
      </x:c>
      <x:c r="L59" s="13" t="str">
        <x:v>P2</x:v>
      </x:c>
      <x:c r="M59" s="13" t="str">
        <x:v>no</x:v>
      </x:c>
      <x:c r="N59" s="13" t="str">
        <x:v>Operational subtype under Appeal to force: the pattern is cued by strong connective or evaluative language. Parent definition: Relying on threat or coercion rather than reasons.</x:v>
      </x:c>
      <x:c r="O59" s="13" t="str">
        <x:v>Look for: explicit claim-level evidence; parent-family cues for Appeal to force; variant cue: the pattern is cued by strong connective or evaluative language; avoid author-level inference.</x:v>
      </x:c>
      <x:c r="P59" s="13" t="str">
        <x:v>Exact evidence span in text plus claim-level reasoning link; for contextual/discourse entries, require surrounding context.</x:v>
      </x:c>
      <x:c r="Q59" s="13" t="str">
        <x:v>Do not label merely because topic is controversial, emotional, or wrong. Do not judge intent or personality. Require textual evidence and consider healthy-reasoning cues.</x:v>
      </x:c>
      <x:c r="R59" s="13" t="str">
        <x:v>Stub: A claim relies on the pattern is cued by strong connective or evaluative language to support a conclusion without adequate qualification.</x:v>
      </x:c>
      <x:c r="S59" s="13" t="str">
        <x:v>Stub: A claim discusses appeal to force with caveats, balanced evidence, or no argumentative use of the pattern.</x:v>
      </x:c>
      <x:c r="T59" s="13" t="str">
        <x:v>Mild or ambiguous cue; do not classify without clear evidence span.</x:v>
      </x:c>
      <x:c r="U59" s="13" t="str">
        <x:v>Clear claim-level pattern with some argumentative impact.</x:v>
      </x:c>
      <x:c r="V59" s="13" t="str">
        <x:v>Strong pattern central to the conclusion and likely to materially distort reasoning.</x:v>
      </x:c>
      <x:c r="W59" s="13" t="str"/>
      <x:c r="X59" s="13" t="str">
        <x:v>sep_fallacies</x:v>
      </x:c>
      <x:c r="Y59" s="13" t="str">
        <x:v>https://plato.stanford.edu/entries/fallacies/</x:v>
      </x:c>
      <x:c r="Z59" s="13" t="str">
        <x:v>Review before enabling. This workbook is a living taxonomy scaffold, not a validated scientific benchmark.</x:v>
      </x:c>
      <x:c r="AA59" s="13" t="str">
        <x:v>0.1.0-draft</x:v>
      </x:c>
      <x:c r="AB59" s="12" t="str">
        <x:f>IF(ISNUMBER(SEARCH("healthy",F59)),"healthy_reasoning_patterns",IF(ISNUMBER(SEARCH("statistical",F59)),"statistical_reasoning",IF(ISNUMBER(SEARCH("causal",F59)),"causal_reasoning",IF(ISNUMBER(SEARCH("social",F59)),"social_influence",IF(ISNUMBER(SEARCH("rhetoric",F59)),"rhetoric_discourse",IF(ISNUMBER(SEARCH("behavior",F59)),"behavioural_economics",IF(ISNUMBER(SEARCH("cognitive",F59)),"cognitive_biases",IF(J59="protective_pattern","healthy_reasoning_patterns",IF(L59="P0","core_mvp","extended_fallacies")))))))))</x:f>
        <x:v>extended_fallacies</x:v>
      </x:c>
      <x:c r="AC59" s="12" t="str">
        <x:f>IF(ISNUMBER(SEARCH("operational",J59)),"operational",IF(ISNUMBER(SEARCH("deprecated",J59)),"deprecated",IF(L59="P0","canonical","recognized_subtype")))</x:f>
        <x:v>operational</x:v>
      </x:c>
      <x:c r="AD59" s="12" t="str">
        <x:f>IF(AC59="canonical","high",IF(AC59="recognized_subtype","medium",IF(AC59="operational","operational_only","debated")))</x:f>
        <x:v>operational_only</x:v>
      </x:c>
      <x:c r="AE59" s="12" t="str">
        <x:f>IF(AC59="deprecated","deprecated",IF(M59="yes","active",IF(M59="review","review_required","backlog")))</x:f>
        <x:v>backlog</x:v>
      </x:c>
      <x:c r="AF59" s="12" t="str">
        <x:f>IF(OR(AE59="active",AE59="review_required"),"yes","no")</x:f>
        <x:v>no</x:v>
      </x:c>
      <x:c r="AG59" s="12" t="str">
        <x:f>IF(AND(AE59="active",M59="yes",NOT(ISNUMBER(SEARCH("healthy",AB59)))),"yes","no")</x:f>
        <x:v>no</x:v>
      </x:c>
      <x:c r="AH59" s="12" t="str">
        <x:f>IF(OR(H59="contextual",H59="dialogue",H59="discourse",I59="claim+context",I59="discourse_segment"),"yes","no")</x:f>
        <x:v>yes</x:v>
      </x:c>
      <x:c r="AI59" s="12" t="str">
        <x:f>IF(OR(AH59="yes",AD59="debated",AC59="operational"),"yes","no")</x:f>
        <x:v>yes</x:v>
      </x:c>
      <x:c r="AJ59" s="12" t="str">
        <x:f>IF(OR(AH59="yes",AC59="operational",AD59="debated"),"high",IF(AND(AG59="yes",L59="P0"),"medium","low"))</x:f>
        <x:v>high</x:v>
      </x:c>
      <x:c r="AK59" s="12" t="str">
        <x:f>IF(ISNUMBER(SEARCH("healthy",AB59)),"yes","no")</x:f>
        <x:v>no</x:v>
      </x:c>
      <x:c r="AL59" s="12" t="str">
        <x:f>IF(AG59="yes","yes","candidate_only")</x:f>
        <x:v>candidate_only</x:v>
      </x:c>
      <x:c r="AM59" s="12" t="str">
        <x:f>IF(OR(AC59="canonical",AG59="yes"),"yes","recommended")</x:f>
        <x:v>recommended</x:v>
      </x:c>
      <x:c r="AN59" s="12" t="str">
        <x:f>IF(AC59="deprecated","exclude",IF(AND(AG59="yes",AJ59="high"),"import_but_human_review_required",IF(AG59="yes","import_as_active","import_as_backlog")))</x:f>
        <x:v>import_as_backlog</x:v>
      </x:c>
      <x:c r="AO59" s="12" t="str">
        <x:f>IF(AND(AG59="yes",OR(P59="",Q59="",R59="",S59="")),"missing_required_mvp_fields",IF(AND(AC59="canonical",Y59=""),"missing_source_ref","ok"))</x:f>
        <x:v>ok</x:v>
      </x:c>
      <x:c r="AP59" s="12" t="str">
        <x:f>IF(AO59="ok","ready_for_codex_import","needs_review")</x:f>
        <x:v>ready_for_codex_import</x:v>
      </x:c>
      <x:c r="AQ59" s="12"/>
      <x:c r="AR59" s="12" t="str">
        <x:v>Added v2 operational fields. Review before classification activation.</x:v>
      </x:c>
    </x:row>
    <x:row r="60">
      <x:c r="A60" s="13" t="str">
        <x:v>appeal_to_popularity_explicit_marker</x:v>
      </x:c>
      <x:c r="B60" s="13" t="str">
        <x:v>appeal_to_popularity</x:v>
      </x:c>
      <x:c r="C60" s="13" t="str">
        <x:v>Ad populum</x:v>
      </x:c>
      <x:c r="D60" s="13" t="str">
        <x:v>استناد به محبوبیت</x:v>
      </x:c>
      <x:c r="E60" s="13" t="str">
        <x:v>Explicit lexical marker</x:v>
      </x:c>
      <x:c r="F60" s="13" t="str">
        <x:v>reasoning_failures</x:v>
      </x:c>
      <x:c r="G60" s="13" t="str">
        <x:v>operational_variant</x:v>
      </x:c>
      <x:c r="H60" s="13" t="str">
        <x:v>contextual</x:v>
      </x:c>
      <x:c r="I60" s="13" t="str">
        <x:v>claim+context</x:v>
      </x:c>
      <x:c r="J60" s="13" t="str">
        <x:v>derived_operational_subtype</x:v>
      </x:c>
      <x:c r="K60" s="13" t="str">
        <x:v>derived_from_established_parent_review_required</x:v>
      </x:c>
      <x:c r="L60" s="13" t="str">
        <x:v>P2</x:v>
      </x:c>
      <x:c r="M60" s="13" t="str">
        <x:v>no</x:v>
      </x:c>
      <x:c r="N60" s="13" t="str">
        <x:v>Operational subtype under Ad populum: the pattern is cued by strong connective or evaluative language. Parent definition: Treating popularity as sufficient proof of truth or correctness.</x:v>
      </x:c>
      <x:c r="O60" s="13" t="str">
        <x:v>Look for: explicit claim-level evidence; parent-family cues for Ad populum; variant cue: the pattern is cued by strong connective or evaluative language; avoid author-level inference.</x:v>
      </x:c>
      <x:c r="P60" s="13" t="str">
        <x:v>Exact evidence span in text plus claim-level reasoning link; for contextual/discourse entries, require surrounding context.</x:v>
      </x:c>
      <x:c r="Q60" s="13" t="str">
        <x:v>Do not label merely because topic is controversial, emotional, or wrong. Do not judge intent or personality. Require textual evidence and consider healthy-reasoning cues.</x:v>
      </x:c>
      <x:c r="R60" s="13" t="str">
        <x:v>Stub: A claim relies on the pattern is cued by strong connective or evaluative language to support a conclusion without adequate qualification.</x:v>
      </x:c>
      <x:c r="S60" s="13" t="str">
        <x:v>Stub: A claim discusses ad populum with caveats, balanced evidence, or no argumentative use of the pattern.</x:v>
      </x:c>
      <x:c r="T60" s="13" t="str">
        <x:v>Mild or ambiguous cue; do not classify without clear evidence span.</x:v>
      </x:c>
      <x:c r="U60" s="13" t="str">
        <x:v>Clear claim-level pattern with some argumentative impact.</x:v>
      </x:c>
      <x:c r="V60" s="13" t="str">
        <x:v>Strong pattern central to the conclusion and likely to materially distort reasoning.</x:v>
      </x:c>
      <x:c r="W60" s="13" t="str"/>
      <x:c r="X60" s="13" t="str">
        <x:v>sep_fallacies</x:v>
      </x:c>
      <x:c r="Y60" s="13" t="str">
        <x:v>https://plato.stanford.edu/entries/fallacies/</x:v>
      </x:c>
      <x:c r="Z60" s="13" t="str">
        <x:v>Review before enabling. This workbook is a living taxonomy scaffold, not a validated scientific benchmark.</x:v>
      </x:c>
      <x:c r="AA60" s="13" t="str">
        <x:v>0.1.0-draft</x:v>
      </x:c>
      <x:c r="AB60" s="12" t="str">
        <x:f>IF(ISNUMBER(SEARCH("healthy",F60)),"healthy_reasoning_patterns",IF(ISNUMBER(SEARCH("statistical",F60)),"statistical_reasoning",IF(ISNUMBER(SEARCH("causal",F60)),"causal_reasoning",IF(ISNUMBER(SEARCH("social",F60)),"social_influence",IF(ISNUMBER(SEARCH("rhetoric",F60)),"rhetoric_discourse",IF(ISNUMBER(SEARCH("behavior",F60)),"behavioural_economics",IF(ISNUMBER(SEARCH("cognitive",F60)),"cognitive_biases",IF(J60="protective_pattern","healthy_reasoning_patterns",IF(L60="P0","core_mvp","extended_fallacies")))))))))</x:f>
        <x:v>extended_fallacies</x:v>
      </x:c>
      <x:c r="AC60" s="12" t="str">
        <x:f>IF(ISNUMBER(SEARCH("operational",J60)),"operational",IF(ISNUMBER(SEARCH("deprecated",J60)),"deprecated",IF(L60="P0","canonical","recognized_subtype")))</x:f>
        <x:v>operational</x:v>
      </x:c>
      <x:c r="AD60" s="12" t="str">
        <x:f>IF(AC60="canonical","high",IF(AC60="recognized_subtype","medium",IF(AC60="operational","operational_only","debated")))</x:f>
        <x:v>operational_only</x:v>
      </x:c>
      <x:c r="AE60" s="12" t="str">
        <x:f>IF(AC60="deprecated","deprecated",IF(M60="yes","active",IF(M60="review","review_required","backlog")))</x:f>
        <x:v>backlog</x:v>
      </x:c>
      <x:c r="AF60" s="12" t="str">
        <x:f>IF(OR(AE60="active",AE60="review_required"),"yes","no")</x:f>
        <x:v>no</x:v>
      </x:c>
      <x:c r="AG60" s="12" t="str">
        <x:f>IF(AND(AE60="active",M60="yes",NOT(ISNUMBER(SEARCH("healthy",AB60)))),"yes","no")</x:f>
        <x:v>no</x:v>
      </x:c>
      <x:c r="AH60" s="12" t="str">
        <x:f>IF(OR(H60="contextual",H60="dialogue",H60="discourse",I60="claim+context",I60="discourse_segment"),"yes","no")</x:f>
        <x:v>yes</x:v>
      </x:c>
      <x:c r="AI60" s="12" t="str">
        <x:f>IF(OR(AH60="yes",AD60="debated",AC60="operational"),"yes","no")</x:f>
        <x:v>yes</x:v>
      </x:c>
      <x:c r="AJ60" s="12" t="str">
        <x:f>IF(OR(AH60="yes",AC60="operational",AD60="debated"),"high",IF(AND(AG60="yes",L60="P0"),"medium","low"))</x:f>
        <x:v>high</x:v>
      </x:c>
      <x:c r="AK60" s="12" t="str">
        <x:f>IF(ISNUMBER(SEARCH("healthy",AB60)),"yes","no")</x:f>
        <x:v>no</x:v>
      </x:c>
      <x:c r="AL60" s="12" t="str">
        <x:f>IF(AG60="yes","yes","candidate_only")</x:f>
        <x:v>candidate_only</x:v>
      </x:c>
      <x:c r="AM60" s="12" t="str">
        <x:f>IF(OR(AC60="canonical",AG60="yes"),"yes","recommended")</x:f>
        <x:v>recommended</x:v>
      </x:c>
      <x:c r="AN60" s="12" t="str">
        <x:f>IF(AC60="deprecated","exclude",IF(AND(AG60="yes",AJ60="high"),"import_but_human_review_required",IF(AG60="yes","import_as_active","import_as_backlog")))</x:f>
        <x:v>import_as_backlog</x:v>
      </x:c>
      <x:c r="AO60" s="12" t="str">
        <x:f>IF(AND(AG60="yes",OR(P60="",Q60="",R60="",S60="")),"missing_required_mvp_fields",IF(AND(AC60="canonical",Y60=""),"missing_source_ref","ok"))</x:f>
        <x:v>ok</x:v>
      </x:c>
      <x:c r="AP60" s="12" t="str">
        <x:f>IF(AO60="ok","ready_for_codex_import","needs_review")</x:f>
        <x:v>ready_for_codex_import</x:v>
      </x:c>
      <x:c r="AQ60" s="12"/>
      <x:c r="AR60" s="12" t="str">
        <x:v>Added v2 operational fields. Review before classification activation.</x:v>
      </x:c>
    </x:row>
    <x:row r="61">
      <x:c r="A61" s="13" t="str">
        <x:v>false_dilemma_explicit_marker</x:v>
      </x:c>
      <x:c r="B61" s="13" t="str">
        <x:v>false_dilemma</x:v>
      </x:c>
      <x:c r="C61" s="13" t="str">
        <x:v>False dilemma</x:v>
      </x:c>
      <x:c r="D61" s="13" t="str">
        <x:v>دوگانه کاذب</x:v>
      </x:c>
      <x:c r="E61" s="13" t="str">
        <x:v>Explicit lexical marker</x:v>
      </x:c>
      <x:c r="F61" s="13" t="str">
        <x:v>reasoning_failures</x:v>
      </x:c>
      <x:c r="G61" s="13" t="str">
        <x:v>operational_variant</x:v>
      </x:c>
      <x:c r="H61" s="13" t="str">
        <x:v>structural</x:v>
      </x:c>
      <x:c r="I61" s="13" t="str">
        <x:v>claim</x:v>
      </x:c>
      <x:c r="J61" s="13" t="str">
        <x:v>derived_operational_subtype</x:v>
      </x:c>
      <x:c r="K61" s="13" t="str">
        <x:v>derived_from_established_parent_review_required</x:v>
      </x:c>
      <x:c r="L61" s="13" t="str">
        <x:v>P2</x:v>
      </x:c>
      <x:c r="M61" s="13" t="str">
        <x:v>no</x:v>
      </x:c>
      <x:c r="N61" s="13" t="str">
        <x:v>Operational subtype under False dilemma: the pattern is cued by strong connective or evaluative language. Parent definition: Presenting limited options as exhaustive when relevant alternatives exist.</x:v>
      </x:c>
      <x:c r="O61" s="13" t="str">
        <x:v>Look for: explicit claim-level evidence; parent-family cues for False dilemma; variant cue: the pattern is cued by strong connective or evaluative language; avoid author-level inference.</x:v>
      </x:c>
      <x:c r="P61" s="13" t="str">
        <x:v>Exact evidence span in text plus claim-level reasoning link; for contextual/discourse entries, require surrounding context.</x:v>
      </x:c>
      <x:c r="Q61" s="13" t="str">
        <x:v>Do not label merely because topic is controversial, emotional, or wrong. Do not judge intent or personality. Require textual evidence and consider healthy-reasoning cues.</x:v>
      </x:c>
      <x:c r="R61" s="13" t="str">
        <x:v>Stub: A claim relies on the pattern is cued by strong connective or evaluative language to support a conclusion without adequate qualification.</x:v>
      </x:c>
      <x:c r="S61" s="13" t="str">
        <x:v>Stub: A claim discusses false dilemma with caveats, balanced evidence, or no argumentative use of the pattern.</x:v>
      </x:c>
      <x:c r="T61" s="13" t="str">
        <x:v>Mild or ambiguous cue; do not classify without clear evidence span.</x:v>
      </x:c>
      <x:c r="U61" s="13" t="str">
        <x:v>Clear claim-level pattern with some argumentative impact.</x:v>
      </x:c>
      <x:c r="V61" s="13" t="str">
        <x:v>Strong pattern central to the conclusion and likely to materially distort reasoning.</x:v>
      </x:c>
      <x:c r="W61" s="13" t="str"/>
      <x:c r="X61" s="13" t="str">
        <x:v>sep_fallacies</x:v>
      </x:c>
      <x:c r="Y61" s="13" t="str">
        <x:v>https://plato.stanford.edu/entries/fallacies/</x:v>
      </x:c>
      <x:c r="Z61" s="13" t="str">
        <x:v>Review before enabling. This workbook is a living taxonomy scaffold, not a validated scientific benchmark.</x:v>
      </x:c>
      <x:c r="AA61" s="13" t="str">
        <x:v>0.1.0-draft</x:v>
      </x:c>
      <x:c r="AB61" s="12" t="str">
        <x:f>IF(ISNUMBER(SEARCH("healthy",F61)),"healthy_reasoning_patterns",IF(ISNUMBER(SEARCH("statistical",F61)),"statistical_reasoning",IF(ISNUMBER(SEARCH("causal",F61)),"causal_reasoning",IF(ISNUMBER(SEARCH("social",F61)),"social_influence",IF(ISNUMBER(SEARCH("rhetoric",F61)),"rhetoric_discourse",IF(ISNUMBER(SEARCH("behavior",F61)),"behavioural_economics",IF(ISNUMBER(SEARCH("cognitive",F61)),"cognitive_biases",IF(J61="protective_pattern","healthy_reasoning_patterns",IF(L61="P0","core_mvp","extended_fallacies")))))))))</x:f>
        <x:v>extended_fallacies</x:v>
      </x:c>
      <x:c r="AC61" s="12" t="str">
        <x:f>IF(ISNUMBER(SEARCH("operational",J61)),"operational",IF(ISNUMBER(SEARCH("deprecated",J61)),"deprecated",IF(L61="P0","canonical","recognized_subtype")))</x:f>
        <x:v>operational</x:v>
      </x:c>
      <x:c r="AD61" s="12" t="str">
        <x:f>IF(AC61="canonical","high",IF(AC61="recognized_subtype","medium",IF(AC61="operational","operational_only","debated")))</x:f>
        <x:v>operational_only</x:v>
      </x:c>
      <x:c r="AE61" s="12" t="str">
        <x:f>IF(AC61="deprecated","deprecated",IF(M61="yes","active",IF(M61="review","review_required","backlog")))</x:f>
        <x:v>backlog</x:v>
      </x:c>
      <x:c r="AF61" s="12" t="str">
        <x:f>IF(OR(AE61="active",AE61="review_required"),"yes","no")</x:f>
        <x:v>no</x:v>
      </x:c>
      <x:c r="AG61" s="12" t="str">
        <x:f>IF(AND(AE61="active",M61="yes",NOT(ISNUMBER(SEARCH("healthy",AB61)))),"yes","no")</x:f>
        <x:v>no</x:v>
      </x:c>
      <x:c r="AH61" s="12" t="str">
        <x:f>IF(OR(H61="contextual",H61="dialogue",H61="discourse",I61="claim+context",I61="discourse_segment"),"yes","no")</x:f>
        <x:v>no</x:v>
      </x:c>
      <x:c r="AI61" s="12" t="str">
        <x:f>IF(OR(AH61="yes",AD61="debated",AC61="operational"),"yes","no")</x:f>
        <x:v>yes</x:v>
      </x:c>
      <x:c r="AJ61" s="12" t="str">
        <x:f>IF(OR(AH61="yes",AC61="operational",AD61="debated"),"high",IF(AND(AG61="yes",L61="P0"),"medium","low"))</x:f>
        <x:v>high</x:v>
      </x:c>
      <x:c r="AK61" s="12" t="str">
        <x:f>IF(ISNUMBER(SEARCH("healthy",AB61)),"yes","no")</x:f>
        <x:v>no</x:v>
      </x:c>
      <x:c r="AL61" s="12" t="str">
        <x:f>IF(AG61="yes","yes","candidate_only")</x:f>
        <x:v>candidate_only</x:v>
      </x:c>
      <x:c r="AM61" s="12" t="str">
        <x:f>IF(OR(AC61="canonical",AG61="yes"),"yes","recommended")</x:f>
        <x:v>recommended</x:v>
      </x:c>
      <x:c r="AN61" s="12" t="str">
        <x:f>IF(AC61="deprecated","exclude",IF(AND(AG61="yes",AJ61="high"),"import_but_human_review_required",IF(AG61="yes","import_as_active","import_as_backlog")))</x:f>
        <x:v>import_as_backlog</x:v>
      </x:c>
      <x:c r="AO61" s="12" t="str">
        <x:f>IF(AND(AG61="yes",OR(P61="",Q61="",R61="",S61="")),"missing_required_mvp_fields",IF(AND(AC61="canonical",Y61=""),"missing_source_ref","ok"))</x:f>
        <x:v>ok</x:v>
      </x:c>
      <x:c r="AP61" s="12" t="str">
        <x:f>IF(AO61="ok","ready_for_codex_import","needs_review")</x:f>
        <x:v>ready_for_codex_import</x:v>
      </x:c>
      <x:c r="AQ61" s="12"/>
      <x:c r="AR61" s="12" t="str">
        <x:v>Added v2 operational fields. Review before classification activation.</x:v>
      </x:c>
    </x:row>
    <x:row r="62">
      <x:c r="A62" s="13" t="str">
        <x:v>false_equivalence_explicit_marker</x:v>
      </x:c>
      <x:c r="B62" s="13" t="str">
        <x:v>false_equivalence</x:v>
      </x:c>
      <x:c r="C62" s="13" t="str">
        <x:v>False equivalence</x:v>
      </x:c>
      <x:c r="D62" s="13" t="str">
        <x:v>معادل‌سازی کاذب</x:v>
      </x:c>
      <x:c r="E62" s="13" t="str">
        <x:v>Explicit lexical marker</x:v>
      </x:c>
      <x:c r="F62" s="13" t="str">
        <x:v>reasoning_failures</x:v>
      </x:c>
      <x:c r="G62" s="13" t="str">
        <x:v>operational_variant</x:v>
      </x:c>
      <x:c r="H62" s="13" t="str">
        <x:v>structural</x:v>
      </x:c>
      <x:c r="I62" s="13" t="str">
        <x:v>claim</x:v>
      </x:c>
      <x:c r="J62" s="13" t="str">
        <x:v>derived_operational_subtype</x:v>
      </x:c>
      <x:c r="K62" s="13" t="str">
        <x:v>derived_from_established_parent_review_required</x:v>
      </x:c>
      <x:c r="L62" s="13" t="str">
        <x:v>P2</x:v>
      </x:c>
      <x:c r="M62" s="13" t="str">
        <x:v>no</x:v>
      </x:c>
      <x:c r="N62" s="13" t="str">
        <x:v>Operational subtype under False equivalence: the pattern is cued by strong connective or evaluative language. Parent definition: Treating two cases as equivalent while ignoring relevant differences.</x:v>
      </x:c>
      <x:c r="O62" s="13" t="str">
        <x:v>Look for: explicit claim-level evidence; parent-family cues for False equivalence; variant cue: the pattern is cued by strong connective or evaluative language; avoid author-level inference.</x:v>
      </x:c>
      <x:c r="P62" s="13" t="str">
        <x:v>Exact evidence span in text plus claim-level reasoning link; for contextual/discourse entries, require surrounding context.</x:v>
      </x:c>
      <x:c r="Q62" s="13" t="str">
        <x:v>Do not label merely because topic is controversial, emotional, or wrong. Do not judge intent or personality. Require textual evidence and consider healthy-reasoning cues.</x:v>
      </x:c>
      <x:c r="R62" s="13" t="str">
        <x:v>Stub: A claim relies on the pattern is cued by strong connective or evaluative language to support a conclusion without adequate qualification.</x:v>
      </x:c>
      <x:c r="S62" s="13" t="str">
        <x:v>Stub: A claim discusses false equivalence with caveats, balanced evidence, or no argumentative use of the pattern.</x:v>
      </x:c>
      <x:c r="T62" s="13" t="str">
        <x:v>Mild or ambiguous cue; do not classify without clear evidence span.</x:v>
      </x:c>
      <x:c r="U62" s="13" t="str">
        <x:v>Clear claim-level pattern with some argumentative impact.</x:v>
      </x:c>
      <x:c r="V62" s="13" t="str">
        <x:v>Strong pattern central to the conclusion and likely to materially distort reasoning.</x:v>
      </x:c>
      <x:c r="W62" s="13" t="str"/>
      <x:c r="X62" s="13" t="str">
        <x:v>sep_fallacies</x:v>
      </x:c>
      <x:c r="Y62" s="13" t="str">
        <x:v>https://plato.stanford.edu/entries/fallacies/</x:v>
      </x:c>
      <x:c r="Z62" s="13" t="str">
        <x:v>Review before enabling. This workbook is a living taxonomy scaffold, not a validated scientific benchmark.</x:v>
      </x:c>
      <x:c r="AA62" s="13" t="str">
        <x:v>0.1.0-draft</x:v>
      </x:c>
      <x:c r="AB62" s="12" t="str">
        <x:f>IF(ISNUMBER(SEARCH("healthy",F62)),"healthy_reasoning_patterns",IF(ISNUMBER(SEARCH("statistical",F62)),"statistical_reasoning",IF(ISNUMBER(SEARCH("causal",F62)),"causal_reasoning",IF(ISNUMBER(SEARCH("social",F62)),"social_influence",IF(ISNUMBER(SEARCH("rhetoric",F62)),"rhetoric_discourse",IF(ISNUMBER(SEARCH("behavior",F62)),"behavioural_economics",IF(ISNUMBER(SEARCH("cognitive",F62)),"cognitive_biases",IF(J62="protective_pattern","healthy_reasoning_patterns",IF(L62="P0","core_mvp","extended_fallacies")))))))))</x:f>
        <x:v>extended_fallacies</x:v>
      </x:c>
      <x:c r="AC62" s="12" t="str">
        <x:f>IF(ISNUMBER(SEARCH("operational",J62)),"operational",IF(ISNUMBER(SEARCH("deprecated",J62)),"deprecated",IF(L62="P0","canonical","recognized_subtype")))</x:f>
        <x:v>operational</x:v>
      </x:c>
      <x:c r="AD62" s="12" t="str">
        <x:f>IF(AC62="canonical","high",IF(AC62="recognized_subtype","medium",IF(AC62="operational","operational_only","debated")))</x:f>
        <x:v>operational_only</x:v>
      </x:c>
      <x:c r="AE62" s="12" t="str">
        <x:f>IF(AC62="deprecated","deprecated",IF(M62="yes","active",IF(M62="review","review_required","backlog")))</x:f>
        <x:v>backlog</x:v>
      </x:c>
      <x:c r="AF62" s="12" t="str">
        <x:f>IF(OR(AE62="active",AE62="review_required"),"yes","no")</x:f>
        <x:v>no</x:v>
      </x:c>
      <x:c r="AG62" s="12" t="str">
        <x:f>IF(AND(AE62="active",M62="yes",NOT(ISNUMBER(SEARCH("healthy",AB62)))),"yes","no")</x:f>
        <x:v>no</x:v>
      </x:c>
      <x:c r="AH62" s="12" t="str">
        <x:f>IF(OR(H62="contextual",H62="dialogue",H62="discourse",I62="claim+context",I62="discourse_segment"),"yes","no")</x:f>
        <x:v>no</x:v>
      </x:c>
      <x:c r="AI62" s="12" t="str">
        <x:f>IF(OR(AH62="yes",AD62="debated",AC62="operational"),"yes","no")</x:f>
        <x:v>yes</x:v>
      </x:c>
      <x:c r="AJ62" s="12" t="str">
        <x:f>IF(OR(AH62="yes",AC62="operational",AD62="debated"),"high",IF(AND(AG62="yes",L62="P0"),"medium","low"))</x:f>
        <x:v>high</x:v>
      </x:c>
      <x:c r="AK62" s="12" t="str">
        <x:f>IF(ISNUMBER(SEARCH("healthy",AB62)),"yes","no")</x:f>
        <x:v>no</x:v>
      </x:c>
      <x:c r="AL62" s="12" t="str">
        <x:f>IF(AG62="yes","yes","candidate_only")</x:f>
        <x:v>candidate_only</x:v>
      </x:c>
      <x:c r="AM62" s="12" t="str">
        <x:f>IF(OR(AC62="canonical",AG62="yes"),"yes","recommended")</x:f>
        <x:v>recommended</x:v>
      </x:c>
      <x:c r="AN62" s="12" t="str">
        <x:f>IF(AC62="deprecated","exclude",IF(AND(AG62="yes",AJ62="high"),"import_but_human_review_required",IF(AG62="yes","import_as_active","import_as_backlog")))</x:f>
        <x:v>import_as_backlog</x:v>
      </x:c>
      <x:c r="AO62" s="12" t="str">
        <x:f>IF(AND(AG62="yes",OR(P62="",Q62="",R62="",S62="")),"missing_required_mvp_fields",IF(AND(AC62="canonical",Y62=""),"missing_source_ref","ok"))</x:f>
        <x:v>ok</x:v>
      </x:c>
      <x:c r="AP62" s="12" t="str">
        <x:f>IF(AO62="ok","ready_for_codex_import","needs_review")</x:f>
        <x:v>ready_for_codex_import</x:v>
      </x:c>
      <x:c r="AQ62" s="12"/>
      <x:c r="AR62" s="12" t="str">
        <x:v>Added v2 operational fields. Review before classification activation.</x:v>
      </x:c>
    </x:row>
    <x:row r="63">
      <x:c r="A63" s="13" t="str">
        <x:v>slippery_slope_explicit_marker</x:v>
      </x:c>
      <x:c r="B63" s="13" t="str">
        <x:v>slippery_slope</x:v>
      </x:c>
      <x:c r="C63" s="13" t="str">
        <x:v>Slippery slope</x:v>
      </x:c>
      <x:c r="D63" s="13" t="str">
        <x:v>شیب لغزنده</x:v>
      </x:c>
      <x:c r="E63" s="13" t="str">
        <x:v>Explicit lexical marker</x:v>
      </x:c>
      <x:c r="F63" s="13" t="str">
        <x:v>reasoning_failures</x:v>
      </x:c>
      <x:c r="G63" s="13" t="str">
        <x:v>operational_variant</x:v>
      </x:c>
      <x:c r="H63" s="13" t="str">
        <x:v>structural</x:v>
      </x:c>
      <x:c r="I63" s="13" t="str">
        <x:v>claim</x:v>
      </x:c>
      <x:c r="J63" s="13" t="str">
        <x:v>derived_operational_subtype</x:v>
      </x:c>
      <x:c r="K63" s="13" t="str">
        <x:v>derived_from_established_parent_review_required</x:v>
      </x:c>
      <x:c r="L63" s="13" t="str">
        <x:v>P2</x:v>
      </x:c>
      <x:c r="M63" s="13" t="str">
        <x:v>no</x:v>
      </x:c>
      <x:c r="N63" s="13" t="str">
        <x:v>Operational subtype under Slippery slope: the pattern is cued by strong connective or evaluative language. Parent definition: Asserting a chain of consequences without adequate causal support.</x:v>
      </x:c>
      <x:c r="O63" s="13" t="str">
        <x:v>Look for: explicit claim-level evidence; parent-family cues for Slippery slope; variant cue: the pattern is cued by strong connective or evaluative language; avoid author-level inference.</x:v>
      </x:c>
      <x:c r="P63" s="13" t="str">
        <x:v>Exact evidence span in text plus claim-level reasoning link; for contextual/discourse entries, require surrounding context.</x:v>
      </x:c>
      <x:c r="Q63" s="13" t="str">
        <x:v>Do not label merely because topic is controversial, emotional, or wrong. Do not judge intent or personality. Require textual evidence and consider healthy-reasoning cues.</x:v>
      </x:c>
      <x:c r="R63" s="13" t="str">
        <x:v>Stub: A claim relies on the pattern is cued by strong connective or evaluative language to support a conclusion without adequate qualification.</x:v>
      </x:c>
      <x:c r="S63" s="13" t="str">
        <x:v>Stub: A claim discusses slippery slope with caveats, balanced evidence, or no argumentative use of the pattern.</x:v>
      </x:c>
      <x:c r="T63" s="13" t="str">
        <x:v>Mild or ambiguous cue; do not classify without clear evidence span.</x:v>
      </x:c>
      <x:c r="U63" s="13" t="str">
        <x:v>Clear claim-level pattern with some argumentative impact.</x:v>
      </x:c>
      <x:c r="V63" s="13" t="str">
        <x:v>Strong pattern central to the conclusion and likely to materially distort reasoning.</x:v>
      </x:c>
      <x:c r="W63" s="13" t="str">
        <x:v>post_hoc; cum_hoc; alternative_explanation_neglect</x:v>
      </x:c>
      <x:c r="X63" s="13" t="str">
        <x:v>sep_fallacies</x:v>
      </x:c>
      <x:c r="Y63" s="13" t="str">
        <x:v>https://plato.stanford.edu/entries/fallacies/</x:v>
      </x:c>
      <x:c r="Z63" s="13" t="str">
        <x:v>Review before enabling. This workbook is a living taxonomy scaffold, not a validated scientific benchmark.</x:v>
      </x:c>
      <x:c r="AA63" s="13" t="str">
        <x:v>0.1.0-draft</x:v>
      </x:c>
      <x:c r="AB63" s="12" t="str">
        <x:f>IF(ISNUMBER(SEARCH("healthy",F63)),"healthy_reasoning_patterns",IF(ISNUMBER(SEARCH("statistical",F63)),"statistical_reasoning",IF(ISNUMBER(SEARCH("causal",F63)),"causal_reasoning",IF(ISNUMBER(SEARCH("social",F63)),"social_influence",IF(ISNUMBER(SEARCH("rhetoric",F63)),"rhetoric_discourse",IF(ISNUMBER(SEARCH("behavior",F63)),"behavioural_economics",IF(ISNUMBER(SEARCH("cognitive",F63)),"cognitive_biases",IF(J63="protective_pattern","healthy_reasoning_patterns",IF(L63="P0","core_mvp","extended_fallacies")))))))))</x:f>
        <x:v>extended_fallacies</x:v>
      </x:c>
      <x:c r="AC63" s="12" t="str">
        <x:f>IF(ISNUMBER(SEARCH("operational",J63)),"operational",IF(ISNUMBER(SEARCH("deprecated",J63)),"deprecated",IF(L63="P0","canonical","recognized_subtype")))</x:f>
        <x:v>operational</x:v>
      </x:c>
      <x:c r="AD63" s="12" t="str">
        <x:f>IF(AC63="canonical","high",IF(AC63="recognized_subtype","medium",IF(AC63="operational","operational_only","debated")))</x:f>
        <x:v>operational_only</x:v>
      </x:c>
      <x:c r="AE63" s="12" t="str">
        <x:f>IF(AC63="deprecated","deprecated",IF(M63="yes","active",IF(M63="review","review_required","backlog")))</x:f>
        <x:v>backlog</x:v>
      </x:c>
      <x:c r="AF63" s="12" t="str">
        <x:f>IF(OR(AE63="active",AE63="review_required"),"yes","no")</x:f>
        <x:v>no</x:v>
      </x:c>
      <x:c r="AG63" s="12" t="str">
        <x:f>IF(AND(AE63="active",M63="yes",NOT(ISNUMBER(SEARCH("healthy",AB63)))),"yes","no")</x:f>
        <x:v>no</x:v>
      </x:c>
      <x:c r="AH63" s="12" t="str">
        <x:f>IF(OR(H63="contextual",H63="dialogue",H63="discourse",I63="claim+context",I63="discourse_segment"),"yes","no")</x:f>
        <x:v>no</x:v>
      </x:c>
      <x:c r="AI63" s="12" t="str">
        <x:f>IF(OR(AH63="yes",AD63="debated",AC63="operational"),"yes","no")</x:f>
        <x:v>yes</x:v>
      </x:c>
      <x:c r="AJ63" s="12" t="str">
        <x:f>IF(OR(AH63="yes",AC63="operational",AD63="debated"),"high",IF(AND(AG63="yes",L63="P0"),"medium","low"))</x:f>
        <x:v>high</x:v>
      </x:c>
      <x:c r="AK63" s="12" t="str">
        <x:f>IF(ISNUMBER(SEARCH("healthy",AB63)),"yes","no")</x:f>
        <x:v>no</x:v>
      </x:c>
      <x:c r="AL63" s="12" t="str">
        <x:f>IF(AG63="yes","yes","candidate_only")</x:f>
        <x:v>candidate_only</x:v>
      </x:c>
      <x:c r="AM63" s="12" t="str">
        <x:f>IF(OR(AC63="canonical",AG63="yes"),"yes","recommended")</x:f>
        <x:v>recommended</x:v>
      </x:c>
      <x:c r="AN63" s="12" t="str">
        <x:f>IF(AC63="deprecated","exclude",IF(AND(AG63="yes",AJ63="high"),"import_but_human_review_required",IF(AG63="yes","import_as_active","import_as_backlog")))</x:f>
        <x:v>import_as_backlog</x:v>
      </x:c>
      <x:c r="AO63" s="12" t="str">
        <x:f>IF(AND(AG63="yes",OR(P63="",Q63="",R63="",S63="")),"missing_required_mvp_fields",IF(AND(AC63="canonical",Y63=""),"missing_source_ref","ok"))</x:f>
        <x:v>ok</x:v>
      </x:c>
      <x:c r="AP63" s="12" t="str">
        <x:f>IF(AO63="ok","ready_for_codex_import","needs_review")</x:f>
        <x:v>ready_for_codex_import</x:v>
      </x:c>
      <x:c r="AQ63" s="12"/>
      <x:c r="AR63" s="12" t="str">
        <x:v>Added v2 operational fields. Review before classification activation.</x:v>
      </x:c>
    </x:row>
    <x:row r="64">
      <x:c r="A64" s="13" t="str">
        <x:v>hasty_generalization_explicit_marker</x:v>
      </x:c>
      <x:c r="B64" s="13" t="str">
        <x:v>hasty_generalization</x:v>
      </x:c>
      <x:c r="C64" s="13" t="str">
        <x:v>Hasty generalization</x:v>
      </x:c>
      <x:c r="D64" s="13" t="str">
        <x:v>تعمیم شتاب‌زده</x:v>
      </x:c>
      <x:c r="E64" s="13" t="str">
        <x:v>Explicit lexical marker</x:v>
      </x:c>
      <x:c r="F64" s="13" t="str">
        <x:v>reasoning_failures</x:v>
      </x:c>
      <x:c r="G64" s="13" t="str">
        <x:v>operational_variant</x:v>
      </x:c>
      <x:c r="H64" s="13" t="str">
        <x:v>structural</x:v>
      </x:c>
      <x:c r="I64" s="13" t="str">
        <x:v>claim</x:v>
      </x:c>
      <x:c r="J64" s="13" t="str">
        <x:v>derived_operational_subtype</x:v>
      </x:c>
      <x:c r="K64" s="13" t="str">
        <x:v>derived_from_established_parent_review_required</x:v>
      </x:c>
      <x:c r="L64" s="13" t="str">
        <x:v>P2</x:v>
      </x:c>
      <x:c r="M64" s="13" t="str">
        <x:v>no</x:v>
      </x:c>
      <x:c r="N64" s="13" t="str">
        <x:v>Operational subtype under Hasty generalization: the pattern is cued by strong connective or evaluative language. Parent definition: Drawing a broad conclusion from insufficient or unrepresentative cases.</x:v>
      </x:c>
      <x:c r="O64" s="13" t="str">
        <x:v>Look for: explicit claim-level evidence; parent-family cues for Hasty generalization; variant cue: the pattern is cued by strong connective or evaluative language; avoid author-level inference.</x:v>
      </x:c>
      <x:c r="P64" s="13" t="str">
        <x:v>Exact evidence span in text plus claim-level reasoning link; for contextual/discourse entries, require surrounding context.</x:v>
      </x:c>
      <x:c r="Q64" s="13" t="str">
        <x:v>Do not label merely because topic is controversial, emotional, or wrong. Do not judge intent or personality. Require textual evidence and consider healthy-reasoning cues.</x:v>
      </x:c>
      <x:c r="R64" s="13" t="str">
        <x:v>Stub: A claim relies on the pattern is cued by strong connective or evaluative language to support a conclusion without adequate qualification.</x:v>
      </x:c>
      <x:c r="S64" s="13" t="str">
        <x:v>Stub: A claim discusses hasty generalization with caveats, balanced evidence, or no argumentative use of the pattern.</x:v>
      </x:c>
      <x:c r="T64" s="13" t="str">
        <x:v>Mild or ambiguous cue; do not classify without clear evidence span.</x:v>
      </x:c>
      <x:c r="U64" s="13" t="str">
        <x:v>Clear claim-level pattern with some argumentative impact.</x:v>
      </x:c>
      <x:c r="V64" s="13" t="str">
        <x:v>Strong pattern central to the conclusion and likely to materially distort reasoning.</x:v>
      </x:c>
      <x:c r="W64" s="13" t="str"/>
      <x:c r="X64" s="13" t="str">
        <x:v>sep_fallacies</x:v>
      </x:c>
      <x:c r="Y64" s="13" t="str">
        <x:v>https://plato.stanford.edu/entries/fallacies/</x:v>
      </x:c>
      <x:c r="Z64" s="13" t="str">
        <x:v>Review before enabling. This workbook is a living taxonomy scaffold, not a validated scientific benchmark.</x:v>
      </x:c>
      <x:c r="AA64" s="13" t="str">
        <x:v>0.1.0-draft</x:v>
      </x:c>
      <x:c r="AB64" s="12" t="str">
        <x:f>IF(ISNUMBER(SEARCH("healthy",F64)),"healthy_reasoning_patterns",IF(ISNUMBER(SEARCH("statistical",F64)),"statistical_reasoning",IF(ISNUMBER(SEARCH("causal",F64)),"causal_reasoning",IF(ISNUMBER(SEARCH("social",F64)),"social_influence",IF(ISNUMBER(SEARCH("rhetoric",F64)),"rhetoric_discourse",IF(ISNUMBER(SEARCH("behavior",F64)),"behavioural_economics",IF(ISNUMBER(SEARCH("cognitive",F64)),"cognitive_biases",IF(J64="protective_pattern","healthy_reasoning_patterns",IF(L64="P0","core_mvp","extended_fallacies")))))))))</x:f>
        <x:v>extended_fallacies</x:v>
      </x:c>
      <x:c r="AC64" s="12" t="str">
        <x:f>IF(ISNUMBER(SEARCH("operational",J64)),"operational",IF(ISNUMBER(SEARCH("deprecated",J64)),"deprecated",IF(L64="P0","canonical","recognized_subtype")))</x:f>
        <x:v>operational</x:v>
      </x:c>
      <x:c r="AD64" s="12" t="str">
        <x:f>IF(AC64="canonical","high",IF(AC64="recognized_subtype","medium",IF(AC64="operational","operational_only","debated")))</x:f>
        <x:v>operational_only</x:v>
      </x:c>
      <x:c r="AE64" s="12" t="str">
        <x:f>IF(AC64="deprecated","deprecated",IF(M64="yes","active",IF(M64="review","review_required","backlog")))</x:f>
        <x:v>backlog</x:v>
      </x:c>
      <x:c r="AF64" s="12" t="str">
        <x:f>IF(OR(AE64="active",AE64="review_required"),"yes","no")</x:f>
        <x:v>no</x:v>
      </x:c>
      <x:c r="AG64" s="12" t="str">
        <x:f>IF(AND(AE64="active",M64="yes",NOT(ISNUMBER(SEARCH("healthy",AB64)))),"yes","no")</x:f>
        <x:v>no</x:v>
      </x:c>
      <x:c r="AH64" s="12" t="str">
        <x:f>IF(OR(H64="contextual",H64="dialogue",H64="discourse",I64="claim+context",I64="discourse_segment"),"yes","no")</x:f>
        <x:v>no</x:v>
      </x:c>
      <x:c r="AI64" s="12" t="str">
        <x:f>IF(OR(AH64="yes",AD64="debated",AC64="operational"),"yes","no")</x:f>
        <x:v>yes</x:v>
      </x:c>
      <x:c r="AJ64" s="12" t="str">
        <x:f>IF(OR(AH64="yes",AC64="operational",AD64="debated"),"high",IF(AND(AG64="yes",L64="P0"),"medium","low"))</x:f>
        <x:v>high</x:v>
      </x:c>
      <x:c r="AK64" s="12" t="str">
        <x:f>IF(ISNUMBER(SEARCH("healthy",AB64)),"yes","no")</x:f>
        <x:v>no</x:v>
      </x:c>
      <x:c r="AL64" s="12" t="str">
        <x:f>IF(AG64="yes","yes","candidate_only")</x:f>
        <x:v>candidate_only</x:v>
      </x:c>
      <x:c r="AM64" s="12" t="str">
        <x:f>IF(OR(AC64="canonical",AG64="yes"),"yes","recommended")</x:f>
        <x:v>recommended</x:v>
      </x:c>
      <x:c r="AN64" s="12" t="str">
        <x:f>IF(AC64="deprecated","exclude",IF(AND(AG64="yes",AJ64="high"),"import_but_human_review_required",IF(AG64="yes","import_as_active","import_as_backlog")))</x:f>
        <x:v>import_as_backlog</x:v>
      </x:c>
      <x:c r="AO64" s="12" t="str">
        <x:f>IF(AND(AG64="yes",OR(P64="",Q64="",R64="",S64="")),"missing_required_mvp_fields",IF(AND(AC64="canonical",Y64=""),"missing_source_ref","ok"))</x:f>
        <x:v>ok</x:v>
      </x:c>
      <x:c r="AP64" s="12" t="str">
        <x:f>IF(AO64="ok","ready_for_codex_import","needs_review")</x:f>
        <x:v>ready_for_codex_import</x:v>
      </x:c>
      <x:c r="AQ64" s="12"/>
      <x:c r="AR64" s="12" t="str">
        <x:v>Added v2 operational fields. Review before classification activation.</x:v>
      </x:c>
    </x:row>
    <x:row r="65">
      <x:c r="A65" s="13" t="str">
        <x:v>accident_fallacy_explicit_marker</x:v>
      </x:c>
      <x:c r="B65" s="13" t="str">
        <x:v>accident_fallacy</x:v>
      </x:c>
      <x:c r="C65" s="13" t="str">
        <x:v>Accident</x:v>
      </x:c>
      <x:c r="D65" s="13" t="str">
        <x:v>کاربرد نادرست قاعده کلی</x:v>
      </x:c>
      <x:c r="E65" s="13" t="str">
        <x:v>Explicit lexical marker</x:v>
      </x:c>
      <x:c r="F65" s="13" t="str">
        <x:v>reasoning_failures</x:v>
      </x:c>
      <x:c r="G65" s="13" t="str">
        <x:v>operational_variant</x:v>
      </x:c>
      <x:c r="H65" s="13" t="str">
        <x:v>structural</x:v>
      </x:c>
      <x:c r="I65" s="13" t="str">
        <x:v>claim</x:v>
      </x:c>
      <x:c r="J65" s="13" t="str">
        <x:v>derived_operational_subtype</x:v>
      </x:c>
      <x:c r="K65" s="13" t="str">
        <x:v>derived_from_established_parent_review_required</x:v>
      </x:c>
      <x:c r="L65" s="13" t="str">
        <x:v>P2</x:v>
      </x:c>
      <x:c r="M65" s="13" t="str">
        <x:v>no</x:v>
      </x:c>
      <x:c r="N65" s="13" t="str">
        <x:v>Operational subtype under Accident: the pattern is cued by strong connective or evaluative language. Parent definition: Applying a general rule to an exceptional case without qualification.</x:v>
      </x:c>
      <x:c r="O65" s="13" t="str">
        <x:v>Look for: explicit claim-level evidence; parent-family cues for Accident; variant cue: the pattern is cued by strong connective or evaluative language; avoid author-level inference.</x:v>
      </x:c>
      <x:c r="P65" s="13" t="str">
        <x:v>Exact evidence span in text plus claim-level reasoning link; for contextual/discourse entries, require surrounding context.</x:v>
      </x:c>
      <x:c r="Q65" s="13" t="str">
        <x:v>Do not label merely because topic is controversial, emotional, or wrong. Do not judge intent or personality. Require textual evidence and consider healthy-reasoning cues.</x:v>
      </x:c>
      <x:c r="R65" s="13" t="str">
        <x:v>Stub: A claim relies on the pattern is cued by strong connective or evaluative language to support a conclusion without adequate qualification.</x:v>
      </x:c>
      <x:c r="S65" s="13" t="str">
        <x:v>Stub: A claim discusses accident with caveats, balanced evidence, or no argumentative use of the pattern.</x:v>
      </x:c>
      <x:c r="T65" s="13" t="str">
        <x:v>Mild or ambiguous cue; do not classify without clear evidence span.</x:v>
      </x:c>
      <x:c r="U65" s="13" t="str">
        <x:v>Clear claim-level pattern with some argumentative impact.</x:v>
      </x:c>
      <x:c r="V65" s="13" t="str">
        <x:v>Strong pattern central to the conclusion and likely to materially distort reasoning.</x:v>
      </x:c>
      <x:c r="W65" s="13" t="str"/>
      <x:c r="X65" s="13" t="str">
        <x:v>sep_fallacies</x:v>
      </x:c>
      <x:c r="Y65" s="13" t="str">
        <x:v>https://plato.stanford.edu/entries/fallacies/</x:v>
      </x:c>
      <x:c r="Z65" s="13" t="str">
        <x:v>Review before enabling. This workbook is a living taxonomy scaffold, not a validated scientific benchmark.</x:v>
      </x:c>
      <x:c r="AA65" s="13" t="str">
        <x:v>0.1.0-draft</x:v>
      </x:c>
      <x:c r="AB65" s="12" t="str">
        <x:f>IF(ISNUMBER(SEARCH("healthy",F65)),"healthy_reasoning_patterns",IF(ISNUMBER(SEARCH("statistical",F65)),"statistical_reasoning",IF(ISNUMBER(SEARCH("causal",F65)),"causal_reasoning",IF(ISNUMBER(SEARCH("social",F65)),"social_influence",IF(ISNUMBER(SEARCH("rhetoric",F65)),"rhetoric_discourse",IF(ISNUMBER(SEARCH("behavior",F65)),"behavioural_economics",IF(ISNUMBER(SEARCH("cognitive",F65)),"cognitive_biases",IF(J65="protective_pattern","healthy_reasoning_patterns",IF(L65="P0","core_mvp","extended_fallacies")))))))))</x:f>
        <x:v>extended_fallacies</x:v>
      </x:c>
      <x:c r="AC65" s="12" t="str">
        <x:f>IF(ISNUMBER(SEARCH("operational",J65)),"operational",IF(ISNUMBER(SEARCH("deprecated",J65)),"deprecated",IF(L65="P0","canonical","recognized_subtype")))</x:f>
        <x:v>operational</x:v>
      </x:c>
      <x:c r="AD65" s="12" t="str">
        <x:f>IF(AC65="canonical","high",IF(AC65="recognized_subtype","medium",IF(AC65="operational","operational_only","debated")))</x:f>
        <x:v>operational_only</x:v>
      </x:c>
      <x:c r="AE65" s="12" t="str">
        <x:f>IF(AC65="deprecated","deprecated",IF(M65="yes","active",IF(M65="review","review_required","backlog")))</x:f>
        <x:v>backlog</x:v>
      </x:c>
      <x:c r="AF65" s="12" t="str">
        <x:f>IF(OR(AE65="active",AE65="review_required"),"yes","no")</x:f>
        <x:v>no</x:v>
      </x:c>
      <x:c r="AG65" s="12" t="str">
        <x:f>IF(AND(AE65="active",M65="yes",NOT(ISNUMBER(SEARCH("healthy",AB65)))),"yes","no")</x:f>
        <x:v>no</x:v>
      </x:c>
      <x:c r="AH65" s="12" t="str">
        <x:f>IF(OR(H65="contextual",H65="dialogue",H65="discourse",I65="claim+context",I65="discourse_segment"),"yes","no")</x:f>
        <x:v>no</x:v>
      </x:c>
      <x:c r="AI65" s="12" t="str">
        <x:f>IF(OR(AH65="yes",AD65="debated",AC65="operational"),"yes","no")</x:f>
        <x:v>yes</x:v>
      </x:c>
      <x:c r="AJ65" s="12" t="str">
        <x:f>IF(OR(AH65="yes",AC65="operational",AD65="debated"),"high",IF(AND(AG65="yes",L65="P0"),"medium","low"))</x:f>
        <x:v>high</x:v>
      </x:c>
      <x:c r="AK65" s="12" t="str">
        <x:f>IF(ISNUMBER(SEARCH("healthy",AB65)),"yes","no")</x:f>
        <x:v>no</x:v>
      </x:c>
      <x:c r="AL65" s="12" t="str">
        <x:f>IF(AG65="yes","yes","candidate_only")</x:f>
        <x:v>candidate_only</x:v>
      </x:c>
      <x:c r="AM65" s="12" t="str">
        <x:f>IF(OR(AC65="canonical",AG65="yes"),"yes","recommended")</x:f>
        <x:v>recommended</x:v>
      </x:c>
      <x:c r="AN65" s="12" t="str">
        <x:f>IF(AC65="deprecated","exclude",IF(AND(AG65="yes",AJ65="high"),"import_but_human_review_required",IF(AG65="yes","import_as_active","import_as_backlog")))</x:f>
        <x:v>import_as_backlog</x:v>
      </x:c>
      <x:c r="AO65" s="12" t="str">
        <x:f>IF(AND(AG65="yes",OR(P65="",Q65="",R65="",S65="")),"missing_required_mvp_fields",IF(AND(AC65="canonical",Y65=""),"missing_source_ref","ok"))</x:f>
        <x:v>ok</x:v>
      </x:c>
      <x:c r="AP65" s="12" t="str">
        <x:f>IF(AO65="ok","ready_for_codex_import","needs_review")</x:f>
        <x:v>ready_for_codex_import</x:v>
      </x:c>
      <x:c r="AQ65" s="12"/>
      <x:c r="AR65" s="12" t="str">
        <x:v>Added v2 operational fields. Review before classification activation.</x:v>
      </x:c>
    </x:row>
    <x:row r="66">
      <x:c r="A66" s="13" t="str">
        <x:v>converse_accident_explicit_marker</x:v>
      </x:c>
      <x:c r="B66" s="13" t="str">
        <x:v>converse_accident</x:v>
      </x:c>
      <x:c r="C66" s="13" t="str">
        <x:v>Converse accident</x:v>
      </x:c>
      <x:c r="D66" s="13" t="str">
        <x:v>تعمیم استثنا</x:v>
      </x:c>
      <x:c r="E66" s="13" t="str">
        <x:v>Explicit lexical marker</x:v>
      </x:c>
      <x:c r="F66" s="13" t="str">
        <x:v>reasoning_failures</x:v>
      </x:c>
      <x:c r="G66" s="13" t="str">
        <x:v>operational_variant</x:v>
      </x:c>
      <x:c r="H66" s="13" t="str">
        <x:v>structural</x:v>
      </x:c>
      <x:c r="I66" s="13" t="str">
        <x:v>claim</x:v>
      </x:c>
      <x:c r="J66" s="13" t="str">
        <x:v>derived_operational_subtype</x:v>
      </x:c>
      <x:c r="K66" s="13" t="str">
        <x:v>derived_from_established_parent_review_required</x:v>
      </x:c>
      <x:c r="L66" s="13" t="str">
        <x:v>P2</x:v>
      </x:c>
      <x:c r="M66" s="13" t="str">
        <x:v>no</x:v>
      </x:c>
      <x:c r="N66" s="13" t="str">
        <x:v>Operational subtype under Converse accident: the pattern is cued by strong connective or evaluative language. Parent definition: Generalizing from an exceptional case to a broad rule.</x:v>
      </x:c>
      <x:c r="O66" s="13" t="str">
        <x:v>Look for: explicit claim-level evidence; parent-family cues for Converse accident; variant cue: the pattern is cued by strong connective or evaluative language; avoid author-level inference.</x:v>
      </x:c>
      <x:c r="P66" s="13" t="str">
        <x:v>Exact evidence span in text plus claim-level reasoning link; for contextual/discourse entries, require surrounding context.</x:v>
      </x:c>
      <x:c r="Q66" s="13" t="str">
        <x:v>Do not label merely because topic is controversial, emotional, or wrong. Do not judge intent or personality. Require textual evidence and consider healthy-reasoning cues.</x:v>
      </x:c>
      <x:c r="R66" s="13" t="str">
        <x:v>Stub: A claim relies on the pattern is cued by strong connective or evaluative language to support a conclusion without adequate qualification.</x:v>
      </x:c>
      <x:c r="S66" s="13" t="str">
        <x:v>Stub: A claim discusses converse accident with caveats, balanced evidence, or no argumentative use of the pattern.</x:v>
      </x:c>
      <x:c r="T66" s="13" t="str">
        <x:v>Mild or ambiguous cue; do not classify without clear evidence span.</x:v>
      </x:c>
      <x:c r="U66" s="13" t="str">
        <x:v>Clear claim-level pattern with some argumentative impact.</x:v>
      </x:c>
      <x:c r="V66" s="13" t="str">
        <x:v>Strong pattern central to the conclusion and likely to materially distort reasoning.</x:v>
      </x:c>
      <x:c r="W66" s="13" t="str"/>
      <x:c r="X66" s="13" t="str">
        <x:v>sep_fallacies</x:v>
      </x:c>
      <x:c r="Y66" s="13" t="str">
        <x:v>https://plato.stanford.edu/entries/fallacies/</x:v>
      </x:c>
      <x:c r="Z66" s="13" t="str">
        <x:v>Review before enabling. This workbook is a living taxonomy scaffold, not a validated scientific benchmark.</x:v>
      </x:c>
      <x:c r="AA66" s="13" t="str">
        <x:v>0.1.0-draft</x:v>
      </x:c>
      <x:c r="AB66" s="12" t="str">
        <x:f>IF(ISNUMBER(SEARCH("healthy",F66)),"healthy_reasoning_patterns",IF(ISNUMBER(SEARCH("statistical",F66)),"statistical_reasoning",IF(ISNUMBER(SEARCH("causal",F66)),"causal_reasoning",IF(ISNUMBER(SEARCH("social",F66)),"social_influence",IF(ISNUMBER(SEARCH("rhetoric",F66)),"rhetoric_discourse",IF(ISNUMBER(SEARCH("behavior",F66)),"behavioural_economics",IF(ISNUMBER(SEARCH("cognitive",F66)),"cognitive_biases",IF(J66="protective_pattern","healthy_reasoning_patterns",IF(L66="P0","core_mvp","extended_fallacies")))))))))</x:f>
        <x:v>extended_fallacies</x:v>
      </x:c>
      <x:c r="AC66" s="12" t="str">
        <x:f>IF(ISNUMBER(SEARCH("operational",J66)),"operational",IF(ISNUMBER(SEARCH("deprecated",J66)),"deprecated",IF(L66="P0","canonical","recognized_subtype")))</x:f>
        <x:v>operational</x:v>
      </x:c>
      <x:c r="AD66" s="12" t="str">
        <x:f>IF(AC66="canonical","high",IF(AC66="recognized_subtype","medium",IF(AC66="operational","operational_only","debated")))</x:f>
        <x:v>operational_only</x:v>
      </x:c>
      <x:c r="AE66" s="12" t="str">
        <x:f>IF(AC66="deprecated","deprecated",IF(M66="yes","active",IF(M66="review","review_required","backlog")))</x:f>
        <x:v>backlog</x:v>
      </x:c>
      <x:c r="AF66" s="12" t="str">
        <x:f>IF(OR(AE66="active",AE66="review_required"),"yes","no")</x:f>
        <x:v>no</x:v>
      </x:c>
      <x:c r="AG66" s="12" t="str">
        <x:f>IF(AND(AE66="active",M66="yes",NOT(ISNUMBER(SEARCH("healthy",AB66)))),"yes","no")</x:f>
        <x:v>no</x:v>
      </x:c>
      <x:c r="AH66" s="12" t="str">
        <x:f>IF(OR(H66="contextual",H66="dialogue",H66="discourse",I66="claim+context",I66="discourse_segment"),"yes","no")</x:f>
        <x:v>no</x:v>
      </x:c>
      <x:c r="AI66" s="12" t="str">
        <x:f>IF(OR(AH66="yes",AD66="debated",AC66="operational"),"yes","no")</x:f>
        <x:v>yes</x:v>
      </x:c>
      <x:c r="AJ66" s="12" t="str">
        <x:f>IF(OR(AH66="yes",AC66="operational",AD66="debated"),"high",IF(AND(AG66="yes",L66="P0"),"medium","low"))</x:f>
        <x:v>high</x:v>
      </x:c>
      <x:c r="AK66" s="12" t="str">
        <x:f>IF(ISNUMBER(SEARCH("healthy",AB66)),"yes","no")</x:f>
        <x:v>no</x:v>
      </x:c>
      <x:c r="AL66" s="12" t="str">
        <x:f>IF(AG66="yes","yes","candidate_only")</x:f>
        <x:v>candidate_only</x:v>
      </x:c>
      <x:c r="AM66" s="12" t="str">
        <x:f>IF(OR(AC66="canonical",AG66="yes"),"yes","recommended")</x:f>
        <x:v>recommended</x:v>
      </x:c>
      <x:c r="AN66" s="12" t="str">
        <x:f>IF(AC66="deprecated","exclude",IF(AND(AG66="yes",AJ66="high"),"import_but_human_review_required",IF(AG66="yes","import_as_active","import_as_backlog")))</x:f>
        <x:v>import_as_backlog</x:v>
      </x:c>
      <x:c r="AO66" s="12" t="str">
        <x:f>IF(AND(AG66="yes",OR(P66="",Q66="",R66="",S66="")),"missing_required_mvp_fields",IF(AND(AC66="canonical",Y66=""),"missing_source_ref","ok"))</x:f>
        <x:v>ok</x:v>
      </x:c>
      <x:c r="AP66" s="12" t="str">
        <x:f>IF(AO66="ok","ready_for_codex_import","needs_review")</x:f>
        <x:v>ready_for_codex_import</x:v>
      </x:c>
      <x:c r="AQ66" s="12"/>
      <x:c r="AR66" s="12" t="str">
        <x:v>Added v2 operational fields. Review before classification activation.</x:v>
      </x:c>
    </x:row>
    <x:row r="67">
      <x:c r="A67" s="13" t="str">
        <x:v>composition_fallacy_explicit_marker</x:v>
      </x:c>
      <x:c r="B67" s="13" t="str">
        <x:v>composition_fallacy</x:v>
      </x:c>
      <x:c r="C67" s="13" t="str">
        <x:v>Composition</x:v>
      </x:c>
      <x:c r="D67" s="13" t="str">
        <x:v>مغالطه ترکیب</x:v>
      </x:c>
      <x:c r="E67" s="13" t="str">
        <x:v>Explicit lexical marker</x:v>
      </x:c>
      <x:c r="F67" s="13" t="str">
        <x:v>reasoning_failures</x:v>
      </x:c>
      <x:c r="G67" s="13" t="str">
        <x:v>operational_variant</x:v>
      </x:c>
      <x:c r="H67" s="13" t="str">
        <x:v>structural</x:v>
      </x:c>
      <x:c r="I67" s="13" t="str">
        <x:v>claim</x:v>
      </x:c>
      <x:c r="J67" s="13" t="str">
        <x:v>derived_operational_subtype</x:v>
      </x:c>
      <x:c r="K67" s="13" t="str">
        <x:v>derived_from_established_parent_review_required</x:v>
      </x:c>
      <x:c r="L67" s="13" t="str">
        <x:v>P2</x:v>
      </x:c>
      <x:c r="M67" s="13" t="str">
        <x:v>no</x:v>
      </x:c>
      <x:c r="N67" s="13" t="str">
        <x:v>Operational subtype under Composition: the pattern is cued by strong connective or evaluative language. Parent definition: Inferring that a whole has a property because its parts have it.</x:v>
      </x:c>
      <x:c r="O67" s="13" t="str">
        <x:v>Look for: explicit claim-level evidence; parent-family cues for Composition; variant cue: the pattern is cued by strong connective or evaluative language; avoid author-level inference.</x:v>
      </x:c>
      <x:c r="P67" s="13" t="str">
        <x:v>Exact evidence span in text plus claim-level reasoning link; for contextual/discourse entries, require surrounding context.</x:v>
      </x:c>
      <x:c r="Q67" s="13" t="str">
        <x:v>Do not label merely because topic is controversial, emotional, or wrong. Do not judge intent or personality. Require textual evidence and consider healthy-reasoning cues.</x:v>
      </x:c>
      <x:c r="R67" s="13" t="str">
        <x:v>Stub: A claim relies on the pattern is cued by strong connective or evaluative language to support a conclusion without adequate qualification.</x:v>
      </x:c>
      <x:c r="S67" s="13" t="str">
        <x:v>Stub: A claim discusses composition with caveats, balanced evidence, or no argumentative use of the pattern.</x:v>
      </x:c>
      <x:c r="T67" s="13" t="str">
        <x:v>Mild or ambiguous cue; do not classify without clear evidence span.</x:v>
      </x:c>
      <x:c r="U67" s="13" t="str">
        <x:v>Clear claim-level pattern with some argumentative impact.</x:v>
      </x:c>
      <x:c r="V67" s="13" t="str">
        <x:v>Strong pattern central to the conclusion and likely to materially distort reasoning.</x:v>
      </x:c>
      <x:c r="W67" s="13" t="str"/>
      <x:c r="X67" s="13" t="str">
        <x:v>sep_fallacies</x:v>
      </x:c>
      <x:c r="Y67" s="13" t="str">
        <x:v>https://plato.stanford.edu/entries/fallacies/</x:v>
      </x:c>
      <x:c r="Z67" s="13" t="str">
        <x:v>Review before enabling. This workbook is a living taxonomy scaffold, not a validated scientific benchmark.</x:v>
      </x:c>
      <x:c r="AA67" s="13" t="str">
        <x:v>0.1.0-draft</x:v>
      </x:c>
      <x:c r="AB67" s="12" t="str">
        <x:f>IF(ISNUMBER(SEARCH("healthy",F67)),"healthy_reasoning_patterns",IF(ISNUMBER(SEARCH("statistical",F67)),"statistical_reasoning",IF(ISNUMBER(SEARCH("causal",F67)),"causal_reasoning",IF(ISNUMBER(SEARCH("social",F67)),"social_influence",IF(ISNUMBER(SEARCH("rhetoric",F67)),"rhetoric_discourse",IF(ISNUMBER(SEARCH("behavior",F67)),"behavioural_economics",IF(ISNUMBER(SEARCH("cognitive",F67)),"cognitive_biases",IF(J67="protective_pattern","healthy_reasoning_patterns",IF(L67="P0","core_mvp","extended_fallacies")))))))))</x:f>
        <x:v>extended_fallacies</x:v>
      </x:c>
      <x:c r="AC67" s="12" t="str">
        <x:f>IF(ISNUMBER(SEARCH("operational",J67)),"operational",IF(ISNUMBER(SEARCH("deprecated",J67)),"deprecated",IF(L67="P0","canonical","recognized_subtype")))</x:f>
        <x:v>operational</x:v>
      </x:c>
      <x:c r="AD67" s="12" t="str">
        <x:f>IF(AC67="canonical","high",IF(AC67="recognized_subtype","medium",IF(AC67="operational","operational_only","debated")))</x:f>
        <x:v>operational_only</x:v>
      </x:c>
      <x:c r="AE67" s="12" t="str">
        <x:f>IF(AC67="deprecated","deprecated",IF(M67="yes","active",IF(M67="review","review_required","backlog")))</x:f>
        <x:v>backlog</x:v>
      </x:c>
      <x:c r="AF67" s="12" t="str">
        <x:f>IF(OR(AE67="active",AE67="review_required"),"yes","no")</x:f>
        <x:v>no</x:v>
      </x:c>
      <x:c r="AG67" s="12" t="str">
        <x:f>IF(AND(AE67="active",M67="yes",NOT(ISNUMBER(SEARCH("healthy",AB67)))),"yes","no")</x:f>
        <x:v>no</x:v>
      </x:c>
      <x:c r="AH67" s="12" t="str">
        <x:f>IF(OR(H67="contextual",H67="dialogue",H67="discourse",I67="claim+context",I67="discourse_segment"),"yes","no")</x:f>
        <x:v>no</x:v>
      </x:c>
      <x:c r="AI67" s="12" t="str">
        <x:f>IF(OR(AH67="yes",AD67="debated",AC67="operational"),"yes","no")</x:f>
        <x:v>yes</x:v>
      </x:c>
      <x:c r="AJ67" s="12" t="str">
        <x:f>IF(OR(AH67="yes",AC67="operational",AD67="debated"),"high",IF(AND(AG67="yes",L67="P0"),"medium","low"))</x:f>
        <x:v>high</x:v>
      </x:c>
      <x:c r="AK67" s="12" t="str">
        <x:f>IF(ISNUMBER(SEARCH("healthy",AB67)),"yes","no")</x:f>
        <x:v>no</x:v>
      </x:c>
      <x:c r="AL67" s="12" t="str">
        <x:f>IF(AG67="yes","yes","candidate_only")</x:f>
        <x:v>candidate_only</x:v>
      </x:c>
      <x:c r="AM67" s="12" t="str">
        <x:f>IF(OR(AC67="canonical",AG67="yes"),"yes","recommended")</x:f>
        <x:v>recommended</x:v>
      </x:c>
      <x:c r="AN67" s="12" t="str">
        <x:f>IF(AC67="deprecated","exclude",IF(AND(AG67="yes",AJ67="high"),"import_but_human_review_required",IF(AG67="yes","import_as_active","import_as_backlog")))</x:f>
        <x:v>import_as_backlog</x:v>
      </x:c>
      <x:c r="AO67" s="12" t="str">
        <x:f>IF(AND(AG67="yes",OR(P67="",Q67="",R67="",S67="")),"missing_required_mvp_fields",IF(AND(AC67="canonical",Y67=""),"missing_source_ref","ok"))</x:f>
        <x:v>ok</x:v>
      </x:c>
      <x:c r="AP67" s="12" t="str">
        <x:f>IF(AO67="ok","ready_for_codex_import","needs_review")</x:f>
        <x:v>ready_for_codex_import</x:v>
      </x:c>
      <x:c r="AQ67" s="12"/>
      <x:c r="AR67" s="12" t="str">
        <x:v>Added v2 operational fields. Review before classification activation.</x:v>
      </x:c>
    </x:row>
    <x:row r="68">
      <x:c r="A68" s="13" t="str">
        <x:v>division_fallacy_explicit_marker</x:v>
      </x:c>
      <x:c r="B68" s="13" t="str">
        <x:v>division_fallacy</x:v>
      </x:c>
      <x:c r="C68" s="13" t="str">
        <x:v>Division</x:v>
      </x:c>
      <x:c r="D68" s="13" t="str">
        <x:v>مغالطه تقسیم</x:v>
      </x:c>
      <x:c r="E68" s="13" t="str">
        <x:v>Explicit lexical marker</x:v>
      </x:c>
      <x:c r="F68" s="13" t="str">
        <x:v>reasoning_failures</x:v>
      </x:c>
      <x:c r="G68" s="13" t="str">
        <x:v>operational_variant</x:v>
      </x:c>
      <x:c r="H68" s="13" t="str">
        <x:v>structural</x:v>
      </x:c>
      <x:c r="I68" s="13" t="str">
        <x:v>claim</x:v>
      </x:c>
      <x:c r="J68" s="13" t="str">
        <x:v>derived_operational_subtype</x:v>
      </x:c>
      <x:c r="K68" s="13" t="str">
        <x:v>derived_from_established_parent_review_required</x:v>
      </x:c>
      <x:c r="L68" s="13" t="str">
        <x:v>P2</x:v>
      </x:c>
      <x:c r="M68" s="13" t="str">
        <x:v>no</x:v>
      </x:c>
      <x:c r="N68" s="13" t="str">
        <x:v>Operational subtype under Division: the pattern is cued by strong connective or evaluative language. Parent definition: Inferring that parts have a property because the whole has it.</x:v>
      </x:c>
      <x:c r="O68" s="13" t="str">
        <x:v>Look for: explicit claim-level evidence; parent-family cues for Division; variant cue: the pattern is cued by strong connective or evaluative language; avoid author-level inference.</x:v>
      </x:c>
      <x:c r="P68" s="13" t="str">
        <x:v>Exact evidence span in text plus claim-level reasoning link; for contextual/discourse entries, require surrounding context.</x:v>
      </x:c>
      <x:c r="Q68" s="13" t="str">
        <x:v>Do not label merely because topic is controversial, emotional, or wrong. Do not judge intent or personality. Require textual evidence and consider healthy-reasoning cues.</x:v>
      </x:c>
      <x:c r="R68" s="13" t="str">
        <x:v>Stub: A claim relies on the pattern is cued by strong connective or evaluative language to support a conclusion without adequate qualification.</x:v>
      </x:c>
      <x:c r="S68" s="13" t="str">
        <x:v>Stub: A claim discusses division with caveats, balanced evidence, or no argumentative use of the pattern.</x:v>
      </x:c>
      <x:c r="T68" s="13" t="str">
        <x:v>Mild or ambiguous cue; do not classify without clear evidence span.</x:v>
      </x:c>
      <x:c r="U68" s="13" t="str">
        <x:v>Clear claim-level pattern with some argumentative impact.</x:v>
      </x:c>
      <x:c r="V68" s="13" t="str">
        <x:v>Strong pattern central to the conclusion and likely to materially distort reasoning.</x:v>
      </x:c>
      <x:c r="W68" s="13" t="str"/>
      <x:c r="X68" s="13" t="str">
        <x:v>sep_fallacies</x:v>
      </x:c>
      <x:c r="Y68" s="13" t="str">
        <x:v>https://plato.stanford.edu/entries/fallacies/</x:v>
      </x:c>
      <x:c r="Z68" s="13" t="str">
        <x:v>Review before enabling. This workbook is a living taxonomy scaffold, not a validated scientific benchmark.</x:v>
      </x:c>
      <x:c r="AA68" s="13" t="str">
        <x:v>0.1.0-draft</x:v>
      </x:c>
      <x:c r="AB68" s="12" t="str">
        <x:f>IF(ISNUMBER(SEARCH("healthy",F68)),"healthy_reasoning_patterns",IF(ISNUMBER(SEARCH("statistical",F68)),"statistical_reasoning",IF(ISNUMBER(SEARCH("causal",F68)),"causal_reasoning",IF(ISNUMBER(SEARCH("social",F68)),"social_influence",IF(ISNUMBER(SEARCH("rhetoric",F68)),"rhetoric_discourse",IF(ISNUMBER(SEARCH("behavior",F68)),"behavioural_economics",IF(ISNUMBER(SEARCH("cognitive",F68)),"cognitive_biases",IF(J68="protective_pattern","healthy_reasoning_patterns",IF(L68="P0","core_mvp","extended_fallacies")))))))))</x:f>
        <x:v>extended_fallacies</x:v>
      </x:c>
      <x:c r="AC68" s="12" t="str">
        <x:f>IF(ISNUMBER(SEARCH("operational",J68)),"operational",IF(ISNUMBER(SEARCH("deprecated",J68)),"deprecated",IF(L68="P0","canonical","recognized_subtype")))</x:f>
        <x:v>operational</x:v>
      </x:c>
      <x:c r="AD68" s="12" t="str">
        <x:f>IF(AC68="canonical","high",IF(AC68="recognized_subtype","medium",IF(AC68="operational","operational_only","debated")))</x:f>
        <x:v>operational_only</x:v>
      </x:c>
      <x:c r="AE68" s="12" t="str">
        <x:f>IF(AC68="deprecated","deprecated",IF(M68="yes","active",IF(M68="review","review_required","backlog")))</x:f>
        <x:v>backlog</x:v>
      </x:c>
      <x:c r="AF68" s="12" t="str">
        <x:f>IF(OR(AE68="active",AE68="review_required"),"yes","no")</x:f>
        <x:v>no</x:v>
      </x:c>
      <x:c r="AG68" s="12" t="str">
        <x:f>IF(AND(AE68="active",M68="yes",NOT(ISNUMBER(SEARCH("healthy",AB68)))),"yes","no")</x:f>
        <x:v>no</x:v>
      </x:c>
      <x:c r="AH68" s="12" t="str">
        <x:f>IF(OR(H68="contextual",H68="dialogue",H68="discourse",I68="claim+context",I68="discourse_segment"),"yes","no")</x:f>
        <x:v>no</x:v>
      </x:c>
      <x:c r="AI68" s="12" t="str">
        <x:f>IF(OR(AH68="yes",AD68="debated",AC68="operational"),"yes","no")</x:f>
        <x:v>yes</x:v>
      </x:c>
      <x:c r="AJ68" s="12" t="str">
        <x:f>IF(OR(AH68="yes",AC68="operational",AD68="debated"),"high",IF(AND(AG68="yes",L68="P0"),"medium","low"))</x:f>
        <x:v>high</x:v>
      </x:c>
      <x:c r="AK68" s="12" t="str">
        <x:f>IF(ISNUMBER(SEARCH("healthy",AB68)),"yes","no")</x:f>
        <x:v>no</x:v>
      </x:c>
      <x:c r="AL68" s="12" t="str">
        <x:f>IF(AG68="yes","yes","candidate_only")</x:f>
        <x:v>candidate_only</x:v>
      </x:c>
      <x:c r="AM68" s="12" t="str">
        <x:f>IF(OR(AC68="canonical",AG68="yes"),"yes","recommended")</x:f>
        <x:v>recommended</x:v>
      </x:c>
      <x:c r="AN68" s="12" t="str">
        <x:f>IF(AC68="deprecated","exclude",IF(AND(AG68="yes",AJ68="high"),"import_but_human_review_required",IF(AG68="yes","import_as_active","import_as_backlog")))</x:f>
        <x:v>import_as_backlog</x:v>
      </x:c>
      <x:c r="AO68" s="12" t="str">
        <x:f>IF(AND(AG68="yes",OR(P68="",Q68="",R68="",S68="")),"missing_required_mvp_fields",IF(AND(AC68="canonical",Y68=""),"missing_source_ref","ok"))</x:f>
        <x:v>ok</x:v>
      </x:c>
      <x:c r="AP68" s="12" t="str">
        <x:f>IF(AO68="ok","ready_for_codex_import","needs_review")</x:f>
        <x:v>ready_for_codex_import</x:v>
      </x:c>
      <x:c r="AQ68" s="12"/>
      <x:c r="AR68" s="12" t="str">
        <x:v>Added v2 operational fields. Review before classification activation.</x:v>
      </x:c>
    </x:row>
    <x:row r="69">
      <x:c r="A69" s="13" t="str">
        <x:v>equivocation_explicit_marker</x:v>
      </x:c>
      <x:c r="B69" s="13" t="str">
        <x:v>equivocation</x:v>
      </x:c>
      <x:c r="C69" s="13" t="str">
        <x:v>Equivocation</x:v>
      </x:c>
      <x:c r="D69" s="13" t="str">
        <x:v>اشتراک لفظی</x:v>
      </x:c>
      <x:c r="E69" s="13" t="str">
        <x:v>Explicit lexical marker</x:v>
      </x:c>
      <x:c r="F69" s="13" t="str">
        <x:v>reasoning_failures</x:v>
      </x:c>
      <x:c r="G69" s="13" t="str">
        <x:v>operational_variant</x:v>
      </x:c>
      <x:c r="H69" s="13" t="str">
        <x:v>lexical</x:v>
      </x:c>
      <x:c r="I69" s="13" t="str">
        <x:v>claim</x:v>
      </x:c>
      <x:c r="J69" s="13" t="str">
        <x:v>derived_operational_subtype</x:v>
      </x:c>
      <x:c r="K69" s="13" t="str">
        <x:v>derived_from_established_parent_review_required</x:v>
      </x:c>
      <x:c r="L69" s="13" t="str">
        <x:v>P2</x:v>
      </x:c>
      <x:c r="M69" s="13" t="str">
        <x:v>no</x:v>
      </x:c>
      <x:c r="N69" s="13" t="str">
        <x:v>Operational subtype under Equivocation: the pattern is cued by strong connective or evaluative language. Parent definition: Using a key term in different senses within the same argument.</x:v>
      </x:c>
      <x:c r="O69" s="13" t="str">
        <x:v>Look for: explicit claim-level evidence; parent-family cues for Equivocation; variant cue: the pattern is cued by strong connective or evaluative language; avoid author-level inference.</x:v>
      </x:c>
      <x:c r="P69" s="13" t="str">
        <x:v>Exact evidence span in text plus claim-level reasoning link; for contextual/discourse entries, require surrounding context.</x:v>
      </x:c>
      <x:c r="Q69" s="13" t="str">
        <x:v>Do not label merely because topic is controversial, emotional, or wrong. Do not judge intent or personality. Require textual evidence and consider healthy-reasoning cues.</x:v>
      </x:c>
      <x:c r="R69" s="13" t="str">
        <x:v>Stub: A claim relies on the pattern is cued by strong connective or evaluative language to support a conclusion without adequate qualification.</x:v>
      </x:c>
      <x:c r="S69" s="13" t="str">
        <x:v>Stub: A claim discusses equivocation with caveats, balanced evidence, or no argumentative use of the pattern.</x:v>
      </x:c>
      <x:c r="T69" s="13" t="str">
        <x:v>Mild or ambiguous cue; do not classify without clear evidence span.</x:v>
      </x:c>
      <x:c r="U69" s="13" t="str">
        <x:v>Clear claim-level pattern with some argumentative impact.</x:v>
      </x:c>
      <x:c r="V69" s="13" t="str">
        <x:v>Strong pattern central to the conclusion and likely to materially distort reasoning.</x:v>
      </x:c>
      <x:c r="W69" s="13" t="str"/>
      <x:c r="X69" s="13" t="str">
        <x:v>sep_fallacies</x:v>
      </x:c>
      <x:c r="Y69" s="13" t="str">
        <x:v>https://plato.stanford.edu/entries/fallacies/</x:v>
      </x:c>
      <x:c r="Z69" s="13" t="str">
        <x:v>Review before enabling. This workbook is a living taxonomy scaffold, not a validated scientific benchmark.</x:v>
      </x:c>
      <x:c r="AA69" s="13" t="str">
        <x:v>0.1.0-draft</x:v>
      </x:c>
      <x:c r="AB69" s="12" t="str">
        <x:f>IF(ISNUMBER(SEARCH("healthy",F69)),"healthy_reasoning_patterns",IF(ISNUMBER(SEARCH("statistical",F69)),"statistical_reasoning",IF(ISNUMBER(SEARCH("causal",F69)),"causal_reasoning",IF(ISNUMBER(SEARCH("social",F69)),"social_influence",IF(ISNUMBER(SEARCH("rhetoric",F69)),"rhetoric_discourse",IF(ISNUMBER(SEARCH("behavior",F69)),"behavioural_economics",IF(ISNUMBER(SEARCH("cognitive",F69)),"cognitive_biases",IF(J69="protective_pattern","healthy_reasoning_patterns",IF(L69="P0","core_mvp","extended_fallacies")))))))))</x:f>
        <x:v>extended_fallacies</x:v>
      </x:c>
      <x:c r="AC69" s="12" t="str">
        <x:f>IF(ISNUMBER(SEARCH("operational",J69)),"operational",IF(ISNUMBER(SEARCH("deprecated",J69)),"deprecated",IF(L69="P0","canonical","recognized_subtype")))</x:f>
        <x:v>operational</x:v>
      </x:c>
      <x:c r="AD69" s="12" t="str">
        <x:f>IF(AC69="canonical","high",IF(AC69="recognized_subtype","medium",IF(AC69="operational","operational_only","debated")))</x:f>
        <x:v>operational_only</x:v>
      </x:c>
      <x:c r="AE69" s="12" t="str">
        <x:f>IF(AC69="deprecated","deprecated",IF(M69="yes","active",IF(M69="review","review_required","backlog")))</x:f>
        <x:v>backlog</x:v>
      </x:c>
      <x:c r="AF69" s="12" t="str">
        <x:f>IF(OR(AE69="active",AE69="review_required"),"yes","no")</x:f>
        <x:v>no</x:v>
      </x:c>
      <x:c r="AG69" s="12" t="str">
        <x:f>IF(AND(AE69="active",M69="yes",NOT(ISNUMBER(SEARCH("healthy",AB69)))),"yes","no")</x:f>
        <x:v>no</x:v>
      </x:c>
      <x:c r="AH69" s="12" t="str">
        <x:f>IF(OR(H69="contextual",H69="dialogue",H69="discourse",I69="claim+context",I69="discourse_segment"),"yes","no")</x:f>
        <x:v>no</x:v>
      </x:c>
      <x:c r="AI69" s="12" t="str">
        <x:f>IF(OR(AH69="yes",AD69="debated",AC69="operational"),"yes","no")</x:f>
        <x:v>yes</x:v>
      </x:c>
      <x:c r="AJ69" s="12" t="str">
        <x:f>IF(OR(AH69="yes",AC69="operational",AD69="debated"),"high",IF(AND(AG69="yes",L69="P0"),"medium","low"))</x:f>
        <x:v>high</x:v>
      </x:c>
      <x:c r="AK69" s="12" t="str">
        <x:f>IF(ISNUMBER(SEARCH("healthy",AB69)),"yes","no")</x:f>
        <x:v>no</x:v>
      </x:c>
      <x:c r="AL69" s="12" t="str">
        <x:f>IF(AG69="yes","yes","candidate_only")</x:f>
        <x:v>candidate_only</x:v>
      </x:c>
      <x:c r="AM69" s="12" t="str">
        <x:f>IF(OR(AC69="canonical",AG69="yes"),"yes","recommended")</x:f>
        <x:v>recommended</x:v>
      </x:c>
      <x:c r="AN69" s="12" t="str">
        <x:f>IF(AC69="deprecated","exclude",IF(AND(AG69="yes",AJ69="high"),"import_but_human_review_required",IF(AG69="yes","import_as_active","import_as_backlog")))</x:f>
        <x:v>import_as_backlog</x:v>
      </x:c>
      <x:c r="AO69" s="12" t="str">
        <x:f>IF(AND(AG69="yes",OR(P69="",Q69="",R69="",S69="")),"missing_required_mvp_fields",IF(AND(AC69="canonical",Y69=""),"missing_source_ref","ok"))</x:f>
        <x:v>ok</x:v>
      </x:c>
      <x:c r="AP69" s="12" t="str">
        <x:f>IF(AO69="ok","ready_for_codex_import","needs_review")</x:f>
        <x:v>ready_for_codex_import</x:v>
      </x:c>
      <x:c r="AQ69" s="12"/>
      <x:c r="AR69" s="12" t="str">
        <x:v>Added v2 operational fields. Review before classification activation.</x:v>
      </x:c>
    </x:row>
    <x:row r="70">
      <x:c r="A70" s="13" t="str">
        <x:v>amphiboly_explicit_marker</x:v>
      </x:c>
      <x:c r="B70" s="13" t="str">
        <x:v>amphiboly</x:v>
      </x:c>
      <x:c r="C70" s="13" t="str">
        <x:v>Amphiboly</x:v>
      </x:c>
      <x:c r="D70" s="13" t="str">
        <x:v>ابهام نحوی</x:v>
      </x:c>
      <x:c r="E70" s="13" t="str">
        <x:v>Explicit lexical marker</x:v>
      </x:c>
      <x:c r="F70" s="13" t="str">
        <x:v>reasoning_failures</x:v>
      </x:c>
      <x:c r="G70" s="13" t="str">
        <x:v>operational_variant</x:v>
      </x:c>
      <x:c r="H70" s="13" t="str">
        <x:v>lexical</x:v>
      </x:c>
      <x:c r="I70" s="13" t="str">
        <x:v>claim</x:v>
      </x:c>
      <x:c r="J70" s="13" t="str">
        <x:v>derived_operational_subtype</x:v>
      </x:c>
      <x:c r="K70" s="13" t="str">
        <x:v>derived_from_established_parent_review_required</x:v>
      </x:c>
      <x:c r="L70" s="13" t="str">
        <x:v>P2</x:v>
      </x:c>
      <x:c r="M70" s="13" t="str">
        <x:v>no</x:v>
      </x:c>
      <x:c r="N70" s="13" t="str">
        <x:v>Operational subtype under Amphiboly: the pattern is cued by strong connective or evaluative language. Parent definition: Relying on syntactic ambiguity to support a conclusion.</x:v>
      </x:c>
      <x:c r="O70" s="13" t="str">
        <x:v>Look for: explicit claim-level evidence; parent-family cues for Amphiboly; variant cue: the pattern is cued by strong connective or evaluative language; avoid author-level inference.</x:v>
      </x:c>
      <x:c r="P70" s="13" t="str">
        <x:v>Exact evidence span in text plus claim-level reasoning link; for contextual/discourse entries, require surrounding context.</x:v>
      </x:c>
      <x:c r="Q70" s="13" t="str">
        <x:v>Do not label merely because topic is controversial, emotional, or wrong. Do not judge intent or personality. Require textual evidence and consider healthy-reasoning cues.</x:v>
      </x:c>
      <x:c r="R70" s="13" t="str">
        <x:v>Stub: A claim relies on the pattern is cued by strong connective or evaluative language to support a conclusion without adequate qualification.</x:v>
      </x:c>
      <x:c r="S70" s="13" t="str">
        <x:v>Stub: A claim discusses amphiboly with caveats, balanced evidence, or no argumentative use of the pattern.</x:v>
      </x:c>
      <x:c r="T70" s="13" t="str">
        <x:v>Mild or ambiguous cue; do not classify without clear evidence span.</x:v>
      </x:c>
      <x:c r="U70" s="13" t="str">
        <x:v>Clear claim-level pattern with some argumentative impact.</x:v>
      </x:c>
      <x:c r="V70" s="13" t="str">
        <x:v>Strong pattern central to the conclusion and likely to materially distort reasoning.</x:v>
      </x:c>
      <x:c r="W70" s="13" t="str"/>
      <x:c r="X70" s="13" t="str">
        <x:v>sep_fallacies</x:v>
      </x:c>
      <x:c r="Y70" s="13" t="str">
        <x:v>https://plato.stanford.edu/entries/fallacies/</x:v>
      </x:c>
      <x:c r="Z70" s="13" t="str">
        <x:v>Review before enabling. This workbook is a living taxonomy scaffold, not a validated scientific benchmark.</x:v>
      </x:c>
      <x:c r="AA70" s="13" t="str">
        <x:v>0.1.0-draft</x:v>
      </x:c>
      <x:c r="AB70" s="12" t="str">
        <x:f>IF(ISNUMBER(SEARCH("healthy",F70)),"healthy_reasoning_patterns",IF(ISNUMBER(SEARCH("statistical",F70)),"statistical_reasoning",IF(ISNUMBER(SEARCH("causal",F70)),"causal_reasoning",IF(ISNUMBER(SEARCH("social",F70)),"social_influence",IF(ISNUMBER(SEARCH("rhetoric",F70)),"rhetoric_discourse",IF(ISNUMBER(SEARCH("behavior",F70)),"behavioural_economics",IF(ISNUMBER(SEARCH("cognitive",F70)),"cognitive_biases",IF(J70="protective_pattern","healthy_reasoning_patterns",IF(L70="P0","core_mvp","extended_fallacies")))))))))</x:f>
        <x:v>extended_fallacies</x:v>
      </x:c>
      <x:c r="AC70" s="12" t="str">
        <x:f>IF(ISNUMBER(SEARCH("operational",J70)),"operational",IF(ISNUMBER(SEARCH("deprecated",J70)),"deprecated",IF(L70="P0","canonical","recognized_subtype")))</x:f>
        <x:v>operational</x:v>
      </x:c>
      <x:c r="AD70" s="12" t="str">
        <x:f>IF(AC70="canonical","high",IF(AC70="recognized_subtype","medium",IF(AC70="operational","operational_only","debated")))</x:f>
        <x:v>operational_only</x:v>
      </x:c>
      <x:c r="AE70" s="12" t="str">
        <x:f>IF(AC70="deprecated","deprecated",IF(M70="yes","active",IF(M70="review","review_required","backlog")))</x:f>
        <x:v>backlog</x:v>
      </x:c>
      <x:c r="AF70" s="12" t="str">
        <x:f>IF(OR(AE70="active",AE70="review_required"),"yes","no")</x:f>
        <x:v>no</x:v>
      </x:c>
      <x:c r="AG70" s="12" t="str">
        <x:f>IF(AND(AE70="active",M70="yes",NOT(ISNUMBER(SEARCH("healthy",AB70)))),"yes","no")</x:f>
        <x:v>no</x:v>
      </x:c>
      <x:c r="AH70" s="12" t="str">
        <x:f>IF(OR(H70="contextual",H70="dialogue",H70="discourse",I70="claim+context",I70="discourse_segment"),"yes","no")</x:f>
        <x:v>no</x:v>
      </x:c>
      <x:c r="AI70" s="12" t="str">
        <x:f>IF(OR(AH70="yes",AD70="debated",AC70="operational"),"yes","no")</x:f>
        <x:v>yes</x:v>
      </x:c>
      <x:c r="AJ70" s="12" t="str">
        <x:f>IF(OR(AH70="yes",AC70="operational",AD70="debated"),"high",IF(AND(AG70="yes",L70="P0"),"medium","low"))</x:f>
        <x:v>high</x:v>
      </x:c>
      <x:c r="AK70" s="12" t="str">
        <x:f>IF(ISNUMBER(SEARCH("healthy",AB70)),"yes","no")</x:f>
        <x:v>no</x:v>
      </x:c>
      <x:c r="AL70" s="12" t="str">
        <x:f>IF(AG70="yes","yes","candidate_only")</x:f>
        <x:v>candidate_only</x:v>
      </x:c>
      <x:c r="AM70" s="12" t="str">
        <x:f>IF(OR(AC70="canonical",AG70="yes"),"yes","recommended")</x:f>
        <x:v>recommended</x:v>
      </x:c>
      <x:c r="AN70" s="12" t="str">
        <x:f>IF(AC70="deprecated","exclude",IF(AND(AG70="yes",AJ70="high"),"import_but_human_review_required",IF(AG70="yes","import_as_active","import_as_backlog")))</x:f>
        <x:v>import_as_backlog</x:v>
      </x:c>
      <x:c r="AO70" s="12" t="str">
        <x:f>IF(AND(AG70="yes",OR(P70="",Q70="",R70="",S70="")),"missing_required_mvp_fields",IF(AND(AC70="canonical",Y70=""),"missing_source_ref","ok"))</x:f>
        <x:v>ok</x:v>
      </x:c>
      <x:c r="AP70" s="12" t="str">
        <x:f>IF(AO70="ok","ready_for_codex_import","needs_review")</x:f>
        <x:v>ready_for_codex_import</x:v>
      </x:c>
      <x:c r="AQ70" s="12"/>
      <x:c r="AR70" s="12" t="str">
        <x:v>Added v2 operational fields. Review before classification activation.</x:v>
      </x:c>
    </x:row>
    <x:row r="71">
      <x:c r="A71" s="13" t="str">
        <x:v>begging_the_question_explicit_marker</x:v>
      </x:c>
      <x:c r="B71" s="13" t="str">
        <x:v>begging_the_question</x:v>
      </x:c>
      <x:c r="C71" s="13" t="str">
        <x:v>Begging the question</x:v>
      </x:c>
      <x:c r="D71" s="13" t="str">
        <x:v>مصادره به مطلوب</x:v>
      </x:c>
      <x:c r="E71" s="13" t="str">
        <x:v>Explicit lexical marker</x:v>
      </x:c>
      <x:c r="F71" s="13" t="str">
        <x:v>reasoning_failures</x:v>
      </x:c>
      <x:c r="G71" s="13" t="str">
        <x:v>operational_variant</x:v>
      </x:c>
      <x:c r="H71" s="13" t="str">
        <x:v>structural</x:v>
      </x:c>
      <x:c r="I71" s="13" t="str">
        <x:v>claim</x:v>
      </x:c>
      <x:c r="J71" s="13" t="str">
        <x:v>derived_operational_subtype</x:v>
      </x:c>
      <x:c r="K71" s="13" t="str">
        <x:v>derived_from_established_parent_review_required</x:v>
      </x:c>
      <x:c r="L71" s="13" t="str">
        <x:v>P2</x:v>
      </x:c>
      <x:c r="M71" s="13" t="str">
        <x:v>no</x:v>
      </x:c>
      <x:c r="N71" s="13" t="str">
        <x:v>Operational subtype under Begging the question: the pattern is cued by strong connective or evaluative language. Parent definition: Assuming what the argument is meant to prove.</x:v>
      </x:c>
      <x:c r="O71" s="13" t="str">
        <x:v>Look for: explicit claim-level evidence; parent-family cues for Begging the question; variant cue: the pattern is cued by strong connective or evaluative language; avoid author-level inference.</x:v>
      </x:c>
      <x:c r="P71" s="13" t="str">
        <x:v>Exact evidence span in text plus claim-level reasoning link; for contextual/discourse entries, require surrounding context.</x:v>
      </x:c>
      <x:c r="Q71" s="13" t="str">
        <x:v>Do not label merely because topic is controversial, emotional, or wrong. Do not judge intent or personality. Require textual evidence and consider healthy-reasoning cues.</x:v>
      </x:c>
      <x:c r="R71" s="13" t="str">
        <x:v>Stub: A claim relies on the pattern is cued by strong connective or evaluative language to support a conclusion without adequate qualification.</x:v>
      </x:c>
      <x:c r="S71" s="13" t="str">
        <x:v>Stub: A claim discusses begging the question with caveats, balanced evidence, or no argumentative use of the pattern.</x:v>
      </x:c>
      <x:c r="T71" s="13" t="str">
        <x:v>Mild or ambiguous cue; do not classify without clear evidence span.</x:v>
      </x:c>
      <x:c r="U71" s="13" t="str">
        <x:v>Clear claim-level pattern with some argumentative impact.</x:v>
      </x:c>
      <x:c r="V71" s="13" t="str">
        <x:v>Strong pattern central to the conclusion and likely to materially distort reasoning.</x:v>
      </x:c>
      <x:c r="W71" s="13" t="str"/>
      <x:c r="X71" s="13" t="str">
        <x:v>sep_fallacies</x:v>
      </x:c>
      <x:c r="Y71" s="13" t="str">
        <x:v>https://plato.stanford.edu/entries/fallacies/</x:v>
      </x:c>
      <x:c r="Z71" s="13" t="str">
        <x:v>Review before enabling. This workbook is a living taxonomy scaffold, not a validated scientific benchmark.</x:v>
      </x:c>
      <x:c r="AA71" s="13" t="str">
        <x:v>0.1.0-draft</x:v>
      </x:c>
      <x:c r="AB71" s="12" t="str">
        <x:f>IF(ISNUMBER(SEARCH("healthy",F71)),"healthy_reasoning_patterns",IF(ISNUMBER(SEARCH("statistical",F71)),"statistical_reasoning",IF(ISNUMBER(SEARCH("causal",F71)),"causal_reasoning",IF(ISNUMBER(SEARCH("social",F71)),"social_influence",IF(ISNUMBER(SEARCH("rhetoric",F71)),"rhetoric_discourse",IF(ISNUMBER(SEARCH("behavior",F71)),"behavioural_economics",IF(ISNUMBER(SEARCH("cognitive",F71)),"cognitive_biases",IF(J71="protective_pattern","healthy_reasoning_patterns",IF(L71="P0","core_mvp","extended_fallacies")))))))))</x:f>
        <x:v>extended_fallacies</x:v>
      </x:c>
      <x:c r="AC71" s="12" t="str">
        <x:f>IF(ISNUMBER(SEARCH("operational",J71)),"operational",IF(ISNUMBER(SEARCH("deprecated",J71)),"deprecated",IF(L71="P0","canonical","recognized_subtype")))</x:f>
        <x:v>operational</x:v>
      </x:c>
      <x:c r="AD71" s="12" t="str">
        <x:f>IF(AC71="canonical","high",IF(AC71="recognized_subtype","medium",IF(AC71="operational","operational_only","debated")))</x:f>
        <x:v>operational_only</x:v>
      </x:c>
      <x:c r="AE71" s="12" t="str">
        <x:f>IF(AC71="deprecated","deprecated",IF(M71="yes","active",IF(M71="review","review_required","backlog")))</x:f>
        <x:v>backlog</x:v>
      </x:c>
      <x:c r="AF71" s="12" t="str">
        <x:f>IF(OR(AE71="active",AE71="review_required"),"yes","no")</x:f>
        <x:v>no</x:v>
      </x:c>
      <x:c r="AG71" s="12" t="str">
        <x:f>IF(AND(AE71="active",M71="yes",NOT(ISNUMBER(SEARCH("healthy",AB71)))),"yes","no")</x:f>
        <x:v>no</x:v>
      </x:c>
      <x:c r="AH71" s="12" t="str">
        <x:f>IF(OR(H71="contextual",H71="dialogue",H71="discourse",I71="claim+context",I71="discourse_segment"),"yes","no")</x:f>
        <x:v>no</x:v>
      </x:c>
      <x:c r="AI71" s="12" t="str">
        <x:f>IF(OR(AH71="yes",AD71="debated",AC71="operational"),"yes","no")</x:f>
        <x:v>yes</x:v>
      </x:c>
      <x:c r="AJ71" s="12" t="str">
        <x:f>IF(OR(AH71="yes",AC71="operational",AD71="debated"),"high",IF(AND(AG71="yes",L71="P0"),"medium","low"))</x:f>
        <x:v>high</x:v>
      </x:c>
      <x:c r="AK71" s="12" t="str">
        <x:f>IF(ISNUMBER(SEARCH("healthy",AB71)),"yes","no")</x:f>
        <x:v>no</x:v>
      </x:c>
      <x:c r="AL71" s="12" t="str">
        <x:f>IF(AG71="yes","yes","candidate_only")</x:f>
        <x:v>candidate_only</x:v>
      </x:c>
      <x:c r="AM71" s="12" t="str">
        <x:f>IF(OR(AC71="canonical",AG71="yes"),"yes","recommended")</x:f>
        <x:v>recommended</x:v>
      </x:c>
      <x:c r="AN71" s="12" t="str">
        <x:f>IF(AC71="deprecated","exclude",IF(AND(AG71="yes",AJ71="high"),"import_but_human_review_required",IF(AG71="yes","import_as_active","import_as_backlog")))</x:f>
        <x:v>import_as_backlog</x:v>
      </x:c>
      <x:c r="AO71" s="12" t="str">
        <x:f>IF(AND(AG71="yes",OR(P71="",Q71="",R71="",S71="")),"missing_required_mvp_fields",IF(AND(AC71="canonical",Y71=""),"missing_source_ref","ok"))</x:f>
        <x:v>ok</x:v>
      </x:c>
      <x:c r="AP71" s="12" t="str">
        <x:f>IF(AO71="ok","ready_for_codex_import","needs_review")</x:f>
        <x:v>ready_for_codex_import</x:v>
      </x:c>
      <x:c r="AQ71" s="12"/>
      <x:c r="AR71" s="12" t="str">
        <x:v>Added v2 operational fields. Review before classification activation.</x:v>
      </x:c>
    </x:row>
    <x:row r="72">
      <x:c r="A72" s="13" t="str">
        <x:v>circular_reasoning_explicit_marker</x:v>
      </x:c>
      <x:c r="B72" s="13" t="str">
        <x:v>circular_reasoning</x:v>
      </x:c>
      <x:c r="C72" s="13" t="str">
        <x:v>Circular reasoning</x:v>
      </x:c>
      <x:c r="D72" s="13" t="str">
        <x:v>استدلال دوری</x:v>
      </x:c>
      <x:c r="E72" s="13" t="str">
        <x:v>Explicit lexical marker</x:v>
      </x:c>
      <x:c r="F72" s="13" t="str">
        <x:v>reasoning_failures</x:v>
      </x:c>
      <x:c r="G72" s="13" t="str">
        <x:v>operational_variant</x:v>
      </x:c>
      <x:c r="H72" s="13" t="str">
        <x:v>structural</x:v>
      </x:c>
      <x:c r="I72" s="13" t="str">
        <x:v>claim</x:v>
      </x:c>
      <x:c r="J72" s="13" t="str">
        <x:v>derived_operational_subtype</x:v>
      </x:c>
      <x:c r="K72" s="13" t="str">
        <x:v>derived_from_established_parent_review_required</x:v>
      </x:c>
      <x:c r="L72" s="13" t="str">
        <x:v>P2</x:v>
      </x:c>
      <x:c r="M72" s="13" t="str">
        <x:v>no</x:v>
      </x:c>
      <x:c r="N72" s="13" t="str">
        <x:v>Operational subtype under Circular reasoning: the pattern is cued by strong connective or evaluative language. Parent definition: Using the conclusion, directly or indirectly, as support for itself.</x:v>
      </x:c>
      <x:c r="O72" s="13" t="str">
        <x:v>Look for: explicit claim-level evidence; parent-family cues for Circular reasoning; variant cue: the pattern is cued by strong connective or evaluative language; avoid author-level inference.</x:v>
      </x:c>
      <x:c r="P72" s="13" t="str">
        <x:v>Exact evidence span in text plus claim-level reasoning link; for contextual/discourse entries, require surrounding context.</x:v>
      </x:c>
      <x:c r="Q72" s="13" t="str">
        <x:v>Do not label merely because topic is controversial, emotional, or wrong. Do not judge intent or personality. Require textual evidence and consider healthy-reasoning cues.</x:v>
      </x:c>
      <x:c r="R72" s="13" t="str">
        <x:v>Stub: A claim relies on the pattern is cued by strong connective or evaluative language to support a conclusion without adequate qualification.</x:v>
      </x:c>
      <x:c r="S72" s="13" t="str">
        <x:v>Stub: A claim discusses circular reasoning with caveats, balanced evidence, or no argumentative use of the pattern.</x:v>
      </x:c>
      <x:c r="T72" s="13" t="str">
        <x:v>Mild or ambiguous cue; do not classify without clear evidence span.</x:v>
      </x:c>
      <x:c r="U72" s="13" t="str">
        <x:v>Clear claim-level pattern with some argumentative impact.</x:v>
      </x:c>
      <x:c r="V72" s="13" t="str">
        <x:v>Strong pattern central to the conclusion and likely to materially distort reasoning.</x:v>
      </x:c>
      <x:c r="W72" s="13" t="str"/>
      <x:c r="X72" s="13" t="str">
        <x:v>sep_fallacies</x:v>
      </x:c>
      <x:c r="Y72" s="13" t="str">
        <x:v>https://plato.stanford.edu/entries/fallacies/</x:v>
      </x:c>
      <x:c r="Z72" s="13" t="str">
        <x:v>Review before enabling. This workbook is a living taxonomy scaffold, not a validated scientific benchmark.</x:v>
      </x:c>
      <x:c r="AA72" s="13" t="str">
        <x:v>0.1.0-draft</x:v>
      </x:c>
      <x:c r="AB72" s="12" t="str">
        <x:f>IF(ISNUMBER(SEARCH("healthy",F72)),"healthy_reasoning_patterns",IF(ISNUMBER(SEARCH("statistical",F72)),"statistical_reasoning",IF(ISNUMBER(SEARCH("causal",F72)),"causal_reasoning",IF(ISNUMBER(SEARCH("social",F72)),"social_influence",IF(ISNUMBER(SEARCH("rhetoric",F72)),"rhetoric_discourse",IF(ISNUMBER(SEARCH("behavior",F72)),"behavioural_economics",IF(ISNUMBER(SEARCH("cognitive",F72)),"cognitive_biases",IF(J72="protective_pattern","healthy_reasoning_patterns",IF(L72="P0","core_mvp","extended_fallacies")))))))))</x:f>
        <x:v>extended_fallacies</x:v>
      </x:c>
      <x:c r="AC72" s="12" t="str">
        <x:f>IF(ISNUMBER(SEARCH("operational",J72)),"operational",IF(ISNUMBER(SEARCH("deprecated",J72)),"deprecated",IF(L72="P0","canonical","recognized_subtype")))</x:f>
        <x:v>operational</x:v>
      </x:c>
      <x:c r="AD72" s="12" t="str">
        <x:f>IF(AC72="canonical","high",IF(AC72="recognized_subtype","medium",IF(AC72="operational","operational_only","debated")))</x:f>
        <x:v>operational_only</x:v>
      </x:c>
      <x:c r="AE72" s="12" t="str">
        <x:f>IF(AC72="deprecated","deprecated",IF(M72="yes","active",IF(M72="review","review_required","backlog")))</x:f>
        <x:v>backlog</x:v>
      </x:c>
      <x:c r="AF72" s="12" t="str">
        <x:f>IF(OR(AE72="active",AE72="review_required"),"yes","no")</x:f>
        <x:v>no</x:v>
      </x:c>
      <x:c r="AG72" s="12" t="str">
        <x:f>IF(AND(AE72="active",M72="yes",NOT(ISNUMBER(SEARCH("healthy",AB72)))),"yes","no")</x:f>
        <x:v>no</x:v>
      </x:c>
      <x:c r="AH72" s="12" t="str">
        <x:f>IF(OR(H72="contextual",H72="dialogue",H72="discourse",I72="claim+context",I72="discourse_segment"),"yes","no")</x:f>
        <x:v>no</x:v>
      </x:c>
      <x:c r="AI72" s="12" t="str">
        <x:f>IF(OR(AH72="yes",AD72="debated",AC72="operational"),"yes","no")</x:f>
        <x:v>yes</x:v>
      </x:c>
      <x:c r="AJ72" s="12" t="str">
        <x:f>IF(OR(AH72="yes",AC72="operational",AD72="debated"),"high",IF(AND(AG72="yes",L72="P0"),"medium","low"))</x:f>
        <x:v>high</x:v>
      </x:c>
      <x:c r="AK72" s="12" t="str">
        <x:f>IF(ISNUMBER(SEARCH("healthy",AB72)),"yes","no")</x:f>
        <x:v>no</x:v>
      </x:c>
      <x:c r="AL72" s="12" t="str">
        <x:f>IF(AG72="yes","yes","candidate_only")</x:f>
        <x:v>candidate_only</x:v>
      </x:c>
      <x:c r="AM72" s="12" t="str">
        <x:f>IF(OR(AC72="canonical",AG72="yes"),"yes","recommended")</x:f>
        <x:v>recommended</x:v>
      </x:c>
      <x:c r="AN72" s="12" t="str">
        <x:f>IF(AC72="deprecated","exclude",IF(AND(AG72="yes",AJ72="high"),"import_but_human_review_required",IF(AG72="yes","import_as_active","import_as_backlog")))</x:f>
        <x:v>import_as_backlog</x:v>
      </x:c>
      <x:c r="AO72" s="12" t="str">
        <x:f>IF(AND(AG72="yes",OR(P72="",Q72="",R72="",S72="")),"missing_required_mvp_fields",IF(AND(AC72="canonical",Y72=""),"missing_source_ref","ok"))</x:f>
        <x:v>ok</x:v>
      </x:c>
      <x:c r="AP72" s="12" t="str">
        <x:f>IF(AO72="ok","ready_for_codex_import","needs_review")</x:f>
        <x:v>ready_for_codex_import</x:v>
      </x:c>
      <x:c r="AQ72" s="12"/>
      <x:c r="AR72" s="12" t="str">
        <x:v>Added v2 operational fields. Review before classification activation.</x:v>
      </x:c>
    </x:row>
    <x:row r="73">
      <x:c r="A73" s="13" t="str">
        <x:v>loaded_question_explicit_marker</x:v>
      </x:c>
      <x:c r="B73" s="13" t="str">
        <x:v>loaded_question</x:v>
      </x:c>
      <x:c r="C73" s="13" t="str">
        <x:v>Loaded question</x:v>
      </x:c>
      <x:c r="D73" s="13" t="str">
        <x:v>پرسش بارگذاری‌شده</x:v>
      </x:c>
      <x:c r="E73" s="13" t="str">
        <x:v>Explicit lexical marker</x:v>
      </x:c>
      <x:c r="F73" s="13" t="str">
        <x:v>reasoning_failures</x:v>
      </x:c>
      <x:c r="G73" s="13" t="str">
        <x:v>operational_variant</x:v>
      </x:c>
      <x:c r="H73" s="13" t="str">
        <x:v>structural</x:v>
      </x:c>
      <x:c r="I73" s="13" t="str">
        <x:v>claim</x:v>
      </x:c>
      <x:c r="J73" s="13" t="str">
        <x:v>derived_operational_subtype</x:v>
      </x:c>
      <x:c r="K73" s="13" t="str">
        <x:v>derived_from_established_parent_review_required</x:v>
      </x:c>
      <x:c r="L73" s="13" t="str">
        <x:v>P2</x:v>
      </x:c>
      <x:c r="M73" s="13" t="str">
        <x:v>no</x:v>
      </x:c>
      <x:c r="N73" s="13" t="str">
        <x:v>Operational subtype under Loaded question: the pattern is cued by strong connective or evaluative language. Parent definition: Asking a question that embeds a disputed presupposition.</x:v>
      </x:c>
      <x:c r="O73" s="13" t="str">
        <x:v>Look for: explicit claim-level evidence; parent-family cues for Loaded question; variant cue: the pattern is cued by strong connective or evaluative language; avoid author-level inference.</x:v>
      </x:c>
      <x:c r="P73" s="13" t="str">
        <x:v>Exact evidence span in text plus claim-level reasoning link; for contextual/discourse entries, require surrounding context.</x:v>
      </x:c>
      <x:c r="Q73" s="13" t="str">
        <x:v>Do not label merely because topic is controversial, emotional, or wrong. Do not judge intent or personality. Require textual evidence and consider healthy-reasoning cues.</x:v>
      </x:c>
      <x:c r="R73" s="13" t="str">
        <x:v>Stub: A claim relies on the pattern is cued by strong connective or evaluative language to support a conclusion without adequate qualification.</x:v>
      </x:c>
      <x:c r="S73" s="13" t="str">
        <x:v>Stub: A claim discusses loaded question with caveats, balanced evidence, or no argumentative use of the pattern.</x:v>
      </x:c>
      <x:c r="T73" s="13" t="str">
        <x:v>Mild or ambiguous cue; do not classify without clear evidence span.</x:v>
      </x:c>
      <x:c r="U73" s="13" t="str">
        <x:v>Clear claim-level pattern with some argumentative impact.</x:v>
      </x:c>
      <x:c r="V73" s="13" t="str">
        <x:v>Strong pattern central to the conclusion and likely to materially distort reasoning.</x:v>
      </x:c>
      <x:c r="W73" s="13" t="str"/>
      <x:c r="X73" s="13" t="str">
        <x:v>sep_fallacies</x:v>
      </x:c>
      <x:c r="Y73" s="13" t="str">
        <x:v>https://plato.stanford.edu/entries/fallacies/</x:v>
      </x:c>
      <x:c r="Z73" s="13" t="str">
        <x:v>Review before enabling. This workbook is a living taxonomy scaffold, not a validated scientific benchmark.</x:v>
      </x:c>
      <x:c r="AA73" s="13" t="str">
        <x:v>0.1.0-draft</x:v>
      </x:c>
      <x:c r="AB73" s="12" t="str">
        <x:f>IF(ISNUMBER(SEARCH("healthy",F73)),"healthy_reasoning_patterns",IF(ISNUMBER(SEARCH("statistical",F73)),"statistical_reasoning",IF(ISNUMBER(SEARCH("causal",F73)),"causal_reasoning",IF(ISNUMBER(SEARCH("social",F73)),"social_influence",IF(ISNUMBER(SEARCH("rhetoric",F73)),"rhetoric_discourse",IF(ISNUMBER(SEARCH("behavior",F73)),"behavioural_economics",IF(ISNUMBER(SEARCH("cognitive",F73)),"cognitive_biases",IF(J73="protective_pattern","healthy_reasoning_patterns",IF(L73="P0","core_mvp","extended_fallacies")))))))))</x:f>
        <x:v>extended_fallacies</x:v>
      </x:c>
      <x:c r="AC73" s="12" t="str">
        <x:f>IF(ISNUMBER(SEARCH("operational",J73)),"operational",IF(ISNUMBER(SEARCH("deprecated",J73)),"deprecated",IF(L73="P0","canonical","recognized_subtype")))</x:f>
        <x:v>operational</x:v>
      </x:c>
      <x:c r="AD73" s="12" t="str">
        <x:f>IF(AC73="canonical","high",IF(AC73="recognized_subtype","medium",IF(AC73="operational","operational_only","debated")))</x:f>
        <x:v>operational_only</x:v>
      </x:c>
      <x:c r="AE73" s="12" t="str">
        <x:f>IF(AC73="deprecated","deprecated",IF(M73="yes","active",IF(M73="review","review_required","backlog")))</x:f>
        <x:v>backlog</x:v>
      </x:c>
      <x:c r="AF73" s="12" t="str">
        <x:f>IF(OR(AE73="active",AE73="review_required"),"yes","no")</x:f>
        <x:v>no</x:v>
      </x:c>
      <x:c r="AG73" s="12" t="str">
        <x:f>IF(AND(AE73="active",M73="yes",NOT(ISNUMBER(SEARCH("healthy",AB73)))),"yes","no")</x:f>
        <x:v>no</x:v>
      </x:c>
      <x:c r="AH73" s="12" t="str">
        <x:f>IF(OR(H73="contextual",H73="dialogue",H73="discourse",I73="claim+context",I73="discourse_segment"),"yes","no")</x:f>
        <x:v>no</x:v>
      </x:c>
      <x:c r="AI73" s="12" t="str">
        <x:f>IF(OR(AH73="yes",AD73="debated",AC73="operational"),"yes","no")</x:f>
        <x:v>yes</x:v>
      </x:c>
      <x:c r="AJ73" s="12" t="str">
        <x:f>IF(OR(AH73="yes",AC73="operational",AD73="debated"),"high",IF(AND(AG73="yes",L73="P0"),"medium","low"))</x:f>
        <x:v>high</x:v>
      </x:c>
      <x:c r="AK73" s="12" t="str">
        <x:f>IF(ISNUMBER(SEARCH("healthy",AB73)),"yes","no")</x:f>
        <x:v>no</x:v>
      </x:c>
      <x:c r="AL73" s="12" t="str">
        <x:f>IF(AG73="yes","yes","candidate_only")</x:f>
        <x:v>candidate_only</x:v>
      </x:c>
      <x:c r="AM73" s="12" t="str">
        <x:f>IF(OR(AC73="canonical",AG73="yes"),"yes","recommended")</x:f>
        <x:v>recommended</x:v>
      </x:c>
      <x:c r="AN73" s="12" t="str">
        <x:f>IF(AC73="deprecated","exclude",IF(AND(AG73="yes",AJ73="high"),"import_but_human_review_required",IF(AG73="yes","import_as_active","import_as_backlog")))</x:f>
        <x:v>import_as_backlog</x:v>
      </x:c>
      <x:c r="AO73" s="12" t="str">
        <x:f>IF(AND(AG73="yes",OR(P73="",Q73="",R73="",S73="")),"missing_required_mvp_fields",IF(AND(AC73="canonical",Y73=""),"missing_source_ref","ok"))</x:f>
        <x:v>ok</x:v>
      </x:c>
      <x:c r="AP73" s="12" t="str">
        <x:f>IF(AO73="ok","ready_for_codex_import","needs_review")</x:f>
        <x:v>ready_for_codex_import</x:v>
      </x:c>
      <x:c r="AQ73" s="12"/>
      <x:c r="AR73" s="12" t="str">
        <x:v>Added v2 operational fields. Review before classification activation.</x:v>
      </x:c>
    </x:row>
    <x:row r="74">
      <x:c r="A74" s="13" t="str">
        <x:v>red_herring_explicit_marker</x:v>
      </x:c>
      <x:c r="B74" s="13" t="str">
        <x:v>red_herring</x:v>
      </x:c>
      <x:c r="C74" s="13" t="str">
        <x:v>Red herring</x:v>
      </x:c>
      <x:c r="D74" s="13" t="str">
        <x:v>انحراف بحث</x:v>
      </x:c>
      <x:c r="E74" s="13" t="str">
        <x:v>Explicit lexical marker</x:v>
      </x:c>
      <x:c r="F74" s="13" t="str">
        <x:v>reasoning_failures</x:v>
      </x:c>
      <x:c r="G74" s="13" t="str">
        <x:v>operational_variant</x:v>
      </x:c>
      <x:c r="H74" s="13" t="str">
        <x:v>dialogue</x:v>
      </x:c>
      <x:c r="I74" s="13" t="str">
        <x:v>discourse_segment</x:v>
      </x:c>
      <x:c r="J74" s="13" t="str">
        <x:v>derived_operational_subtype</x:v>
      </x:c>
      <x:c r="K74" s="13" t="str">
        <x:v>derived_from_established_parent_review_required</x:v>
      </x:c>
      <x:c r="L74" s="13" t="str">
        <x:v>P2</x:v>
      </x:c>
      <x:c r="M74" s="13" t="str">
        <x:v>no</x:v>
      </x:c>
      <x:c r="N74" s="13" t="str">
        <x:v>Operational subtype under Red herring: the pattern is cued by strong connective or evaluative language. Parent definition: Introducing irrelevant material that distracts from the issue.</x:v>
      </x:c>
      <x:c r="O74" s="13" t="str">
        <x:v>Look for: explicit claim-level evidence; parent-family cues for Red herring; variant cue: the pattern is cued by strong connective or evaluative language; avoid author-level inference.</x:v>
      </x:c>
      <x:c r="P74" s="13" t="str">
        <x:v>Exact evidence span in text plus claim-level reasoning link; for contextual/discourse entries, require surrounding context.</x:v>
      </x:c>
      <x:c r="Q74" s="13" t="str">
        <x:v>Do not label merely because topic is controversial, emotional, or wrong. Do not judge intent or personality. Require textual evidence and consider healthy-reasoning cues.</x:v>
      </x:c>
      <x:c r="R74" s="13" t="str">
        <x:v>Stub: A claim relies on the pattern is cued by strong connective or evaluative language to support a conclusion without adequate qualification.</x:v>
      </x:c>
      <x:c r="S74" s="13" t="str">
        <x:v>Stub: A claim discusses red herring with caveats, balanced evidence, or no argumentative use of the pattern.</x:v>
      </x:c>
      <x:c r="T74" s="13" t="str">
        <x:v>Mild or ambiguous cue; do not classify without clear evidence span.</x:v>
      </x:c>
      <x:c r="U74" s="13" t="str">
        <x:v>Clear claim-level pattern with some argumentative impact.</x:v>
      </x:c>
      <x:c r="V74" s="13" t="str">
        <x:v>Strong pattern central to the conclusion and likely to materially distort reasoning.</x:v>
      </x:c>
      <x:c r="W74" s="13" t="str"/>
      <x:c r="X74" s="13" t="str">
        <x:v>sep_fallacies</x:v>
      </x:c>
      <x:c r="Y74" s="13" t="str">
        <x:v>https://plato.stanford.edu/entries/fallacies/</x:v>
      </x:c>
      <x:c r="Z74" s="13" t="str">
        <x:v>Review before enabling. This workbook is a living taxonomy scaffold, not a validated scientific benchmark.</x:v>
      </x:c>
      <x:c r="AA74" s="13" t="str">
        <x:v>0.1.0-draft</x:v>
      </x:c>
      <x:c r="AB74" s="12" t="str">
        <x:f>IF(ISNUMBER(SEARCH("healthy",F74)),"healthy_reasoning_patterns",IF(ISNUMBER(SEARCH("statistical",F74)),"statistical_reasoning",IF(ISNUMBER(SEARCH("causal",F74)),"causal_reasoning",IF(ISNUMBER(SEARCH("social",F74)),"social_influence",IF(ISNUMBER(SEARCH("rhetoric",F74)),"rhetoric_discourse",IF(ISNUMBER(SEARCH("behavior",F74)),"behavioural_economics",IF(ISNUMBER(SEARCH("cognitive",F74)),"cognitive_biases",IF(J74="protective_pattern","healthy_reasoning_patterns",IF(L74="P0","core_mvp","extended_fallacies")))))))))</x:f>
        <x:v>extended_fallacies</x:v>
      </x:c>
      <x:c r="AC74" s="12" t="str">
        <x:f>IF(ISNUMBER(SEARCH("operational",J74)),"operational",IF(ISNUMBER(SEARCH("deprecated",J74)),"deprecated",IF(L74="P0","canonical","recognized_subtype")))</x:f>
        <x:v>operational</x:v>
      </x:c>
      <x:c r="AD74" s="12" t="str">
        <x:f>IF(AC74="canonical","high",IF(AC74="recognized_subtype","medium",IF(AC74="operational","operational_only","debated")))</x:f>
        <x:v>operational_only</x:v>
      </x:c>
      <x:c r="AE74" s="12" t="str">
        <x:f>IF(AC74="deprecated","deprecated",IF(M74="yes","active",IF(M74="review","review_required","backlog")))</x:f>
        <x:v>backlog</x:v>
      </x:c>
      <x:c r="AF74" s="12" t="str">
        <x:f>IF(OR(AE74="active",AE74="review_required"),"yes","no")</x:f>
        <x:v>no</x:v>
      </x:c>
      <x:c r="AG74" s="12" t="str">
        <x:f>IF(AND(AE74="active",M74="yes",NOT(ISNUMBER(SEARCH("healthy",AB74)))),"yes","no")</x:f>
        <x:v>no</x:v>
      </x:c>
      <x:c r="AH74" s="12" t="str">
        <x:f>IF(OR(H74="contextual",H74="dialogue",H74="discourse",I74="claim+context",I74="discourse_segment"),"yes","no")</x:f>
        <x:v>yes</x:v>
      </x:c>
      <x:c r="AI74" s="12" t="str">
        <x:f>IF(OR(AH74="yes",AD74="debated",AC74="operational"),"yes","no")</x:f>
        <x:v>yes</x:v>
      </x:c>
      <x:c r="AJ74" s="12" t="str">
        <x:f>IF(OR(AH74="yes",AC74="operational",AD74="debated"),"high",IF(AND(AG74="yes",L74="P0"),"medium","low"))</x:f>
        <x:v>high</x:v>
      </x:c>
      <x:c r="AK74" s="12" t="str">
        <x:f>IF(ISNUMBER(SEARCH("healthy",AB74)),"yes","no")</x:f>
        <x:v>no</x:v>
      </x:c>
      <x:c r="AL74" s="12" t="str">
        <x:f>IF(AG74="yes","yes","candidate_only")</x:f>
        <x:v>candidate_only</x:v>
      </x:c>
      <x:c r="AM74" s="12" t="str">
        <x:f>IF(OR(AC74="canonical",AG74="yes"),"yes","recommended")</x:f>
        <x:v>recommended</x:v>
      </x:c>
      <x:c r="AN74" s="12" t="str">
        <x:f>IF(AC74="deprecated","exclude",IF(AND(AG74="yes",AJ74="high"),"import_but_human_review_required",IF(AG74="yes","import_as_active","import_as_backlog")))</x:f>
        <x:v>import_as_backlog</x:v>
      </x:c>
      <x:c r="AO74" s="12" t="str">
        <x:f>IF(AND(AG74="yes",OR(P74="",Q74="",R74="",S74="")),"missing_required_mvp_fields",IF(AND(AC74="canonical",Y74=""),"missing_source_ref","ok"))</x:f>
        <x:v>ok</x:v>
      </x:c>
      <x:c r="AP74" s="12" t="str">
        <x:f>IF(AO74="ok","ready_for_codex_import","needs_review")</x:f>
        <x:v>ready_for_codex_import</x:v>
      </x:c>
      <x:c r="AQ74" s="12"/>
      <x:c r="AR74" s="12" t="str">
        <x:v>Added v2 operational fields. Review before classification activation.</x:v>
      </x:c>
    </x:row>
    <x:row r="75">
      <x:c r="A75" s="13" t="str">
        <x:v>ignoratio_elenchi_explicit_marker</x:v>
      </x:c>
      <x:c r="B75" s="13" t="str">
        <x:v>ignoratio_elenchi</x:v>
      </x:c>
      <x:c r="C75" s="13" t="str">
        <x:v>Irrelevant conclusion</x:v>
      </x:c>
      <x:c r="D75" s="13" t="str">
        <x:v>نتیجه نامربوط</x:v>
      </x:c>
      <x:c r="E75" s="13" t="str">
        <x:v>Explicit lexical marker</x:v>
      </x:c>
      <x:c r="F75" s="13" t="str">
        <x:v>reasoning_failures</x:v>
      </x:c>
      <x:c r="G75" s="13" t="str">
        <x:v>operational_variant</x:v>
      </x:c>
      <x:c r="H75" s="13" t="str">
        <x:v>structural</x:v>
      </x:c>
      <x:c r="I75" s="13" t="str">
        <x:v>claim</x:v>
      </x:c>
      <x:c r="J75" s="13" t="str">
        <x:v>derived_operational_subtype</x:v>
      </x:c>
      <x:c r="K75" s="13" t="str">
        <x:v>derived_from_established_parent_review_required</x:v>
      </x:c>
      <x:c r="L75" s="13" t="str">
        <x:v>P2</x:v>
      </x:c>
      <x:c r="M75" s="13" t="str">
        <x:v>no</x:v>
      </x:c>
      <x:c r="N75" s="13" t="str">
        <x:v>Operational subtype under Irrelevant conclusion: the pattern is cued by strong connective or evaluative language. Parent definition: Offering support for a conclusion different from the one at issue.</x:v>
      </x:c>
      <x:c r="O75" s="13" t="str">
        <x:v>Look for: explicit claim-level evidence; parent-family cues for Irrelevant conclusion; variant cue: the pattern is cued by strong connective or evaluative language; avoid author-level inference.</x:v>
      </x:c>
      <x:c r="P75" s="13" t="str">
        <x:v>Exact evidence span in text plus claim-level reasoning link; for contextual/discourse entries, require surrounding context.</x:v>
      </x:c>
      <x:c r="Q75" s="13" t="str">
        <x:v>Do not label merely because topic is controversial, emotional, or wrong. Do not judge intent or personality. Require textual evidence and consider healthy-reasoning cues.</x:v>
      </x:c>
      <x:c r="R75" s="13" t="str">
        <x:v>Stub: A claim relies on the pattern is cued by strong connective or evaluative language to support a conclusion without adequate qualification.</x:v>
      </x:c>
      <x:c r="S75" s="13" t="str">
        <x:v>Stub: A claim discusses irrelevant conclusion with caveats, balanced evidence, or no argumentative use of the pattern.</x:v>
      </x:c>
      <x:c r="T75" s="13" t="str">
        <x:v>Mild or ambiguous cue; do not classify without clear evidence span.</x:v>
      </x:c>
      <x:c r="U75" s="13" t="str">
        <x:v>Clear claim-level pattern with some argumentative impact.</x:v>
      </x:c>
      <x:c r="V75" s="13" t="str">
        <x:v>Strong pattern central to the conclusion and likely to materially distort reasoning.</x:v>
      </x:c>
      <x:c r="W75" s="13" t="str"/>
      <x:c r="X75" s="13" t="str">
        <x:v>sep_fallacies</x:v>
      </x:c>
      <x:c r="Y75" s="13" t="str">
        <x:v>https://plato.stanford.edu/entries/fallacies/</x:v>
      </x:c>
      <x:c r="Z75" s="13" t="str">
        <x:v>Review before enabling. This workbook is a living taxonomy scaffold, not a validated scientific benchmark.</x:v>
      </x:c>
      <x:c r="AA75" s="13" t="str">
        <x:v>0.1.0-draft</x:v>
      </x:c>
      <x:c r="AB75" s="12" t="str">
        <x:f>IF(ISNUMBER(SEARCH("healthy",F75)),"healthy_reasoning_patterns",IF(ISNUMBER(SEARCH("statistical",F75)),"statistical_reasoning",IF(ISNUMBER(SEARCH("causal",F75)),"causal_reasoning",IF(ISNUMBER(SEARCH("social",F75)),"social_influence",IF(ISNUMBER(SEARCH("rhetoric",F75)),"rhetoric_discourse",IF(ISNUMBER(SEARCH("behavior",F75)),"behavioural_economics",IF(ISNUMBER(SEARCH("cognitive",F75)),"cognitive_biases",IF(J75="protective_pattern","healthy_reasoning_patterns",IF(L75="P0","core_mvp","extended_fallacies")))))))))</x:f>
        <x:v>extended_fallacies</x:v>
      </x:c>
      <x:c r="AC75" s="12" t="str">
        <x:f>IF(ISNUMBER(SEARCH("operational",J75)),"operational",IF(ISNUMBER(SEARCH("deprecated",J75)),"deprecated",IF(L75="P0","canonical","recognized_subtype")))</x:f>
        <x:v>operational</x:v>
      </x:c>
      <x:c r="AD75" s="12" t="str">
        <x:f>IF(AC75="canonical","high",IF(AC75="recognized_subtype","medium",IF(AC75="operational","operational_only","debated")))</x:f>
        <x:v>operational_only</x:v>
      </x:c>
      <x:c r="AE75" s="12" t="str">
        <x:f>IF(AC75="deprecated","deprecated",IF(M75="yes","active",IF(M75="review","review_required","backlog")))</x:f>
        <x:v>backlog</x:v>
      </x:c>
      <x:c r="AF75" s="12" t="str">
        <x:f>IF(OR(AE75="active",AE75="review_required"),"yes","no")</x:f>
        <x:v>no</x:v>
      </x:c>
      <x:c r="AG75" s="12" t="str">
        <x:f>IF(AND(AE75="active",M75="yes",NOT(ISNUMBER(SEARCH("healthy",AB75)))),"yes","no")</x:f>
        <x:v>no</x:v>
      </x:c>
      <x:c r="AH75" s="12" t="str">
        <x:f>IF(OR(H75="contextual",H75="dialogue",H75="discourse",I75="claim+context",I75="discourse_segment"),"yes","no")</x:f>
        <x:v>no</x:v>
      </x:c>
      <x:c r="AI75" s="12" t="str">
        <x:f>IF(OR(AH75="yes",AD75="debated",AC75="operational"),"yes","no")</x:f>
        <x:v>yes</x:v>
      </x:c>
      <x:c r="AJ75" s="12" t="str">
        <x:f>IF(OR(AH75="yes",AC75="operational",AD75="debated"),"high",IF(AND(AG75="yes",L75="P0"),"medium","low"))</x:f>
        <x:v>high</x:v>
      </x:c>
      <x:c r="AK75" s="12" t="str">
        <x:f>IF(ISNUMBER(SEARCH("healthy",AB75)),"yes","no")</x:f>
        <x:v>no</x:v>
      </x:c>
      <x:c r="AL75" s="12" t="str">
        <x:f>IF(AG75="yes","yes","candidate_only")</x:f>
        <x:v>candidate_only</x:v>
      </x:c>
      <x:c r="AM75" s="12" t="str">
        <x:f>IF(OR(AC75="canonical",AG75="yes"),"yes","recommended")</x:f>
        <x:v>recommended</x:v>
      </x:c>
      <x:c r="AN75" s="12" t="str">
        <x:f>IF(AC75="deprecated","exclude",IF(AND(AG75="yes",AJ75="high"),"import_but_human_review_required",IF(AG75="yes","import_as_active","import_as_backlog")))</x:f>
        <x:v>import_as_backlog</x:v>
      </x:c>
      <x:c r="AO75" s="12" t="str">
        <x:f>IF(AND(AG75="yes",OR(P75="",Q75="",R75="",S75="")),"missing_required_mvp_fields",IF(AND(AC75="canonical",Y75=""),"missing_source_ref","ok"))</x:f>
        <x:v>ok</x:v>
      </x:c>
      <x:c r="AP75" s="12" t="str">
        <x:f>IF(AO75="ok","ready_for_codex_import","needs_review")</x:f>
        <x:v>ready_for_codex_import</x:v>
      </x:c>
      <x:c r="AQ75" s="12"/>
      <x:c r="AR75" s="12" t="str">
        <x:v>Added v2 operational fields. Review before classification activation.</x:v>
      </x:c>
    </x:row>
    <x:row r="76">
      <x:c r="A76" s="13" t="str">
        <x:v>moving_goalposts_explicit_marker</x:v>
      </x:c>
      <x:c r="B76" s="13" t="str">
        <x:v>moving_goalposts</x:v>
      </x:c>
      <x:c r="C76" s="13" t="str">
        <x:v>Moving the goalposts</x:v>
      </x:c>
      <x:c r="D76" s="13" t="str">
        <x:v>تغییر معیار پس از پاسخ</x:v>
      </x:c>
      <x:c r="E76" s="13" t="str">
        <x:v>Explicit lexical marker</x:v>
      </x:c>
      <x:c r="F76" s="13" t="str">
        <x:v>reasoning_failures</x:v>
      </x:c>
      <x:c r="G76" s="13" t="str">
        <x:v>operational_variant</x:v>
      </x:c>
      <x:c r="H76" s="13" t="str">
        <x:v>dialogue</x:v>
      </x:c>
      <x:c r="I76" s="13" t="str">
        <x:v>discourse_segment</x:v>
      </x:c>
      <x:c r="J76" s="13" t="str">
        <x:v>derived_operational_subtype</x:v>
      </x:c>
      <x:c r="K76" s="13" t="str">
        <x:v>derived_from_established_parent_review_required</x:v>
      </x:c>
      <x:c r="L76" s="13" t="str">
        <x:v>P2</x:v>
      </x:c>
      <x:c r="M76" s="13" t="str">
        <x:v>no</x:v>
      </x:c>
      <x:c r="N76" s="13" t="str">
        <x:v>Operational subtype under Moving the goalposts: the pattern is cued by strong connective or evaluative language. Parent definition: Changing acceptance criteria after evidence has been provided.</x:v>
      </x:c>
      <x:c r="O76" s="13" t="str">
        <x:v>Look for: explicit claim-level evidence; parent-family cues for Moving the goalposts; variant cue: the pattern is cued by strong connective or evaluative language; avoid author-level inference.</x:v>
      </x:c>
      <x:c r="P76" s="13" t="str">
        <x:v>Exact evidence span in text plus claim-level reasoning link; for contextual/discourse entries, require surrounding context.</x:v>
      </x:c>
      <x:c r="Q76" s="13" t="str">
        <x:v>Do not label merely because topic is controversial, emotional, or wrong. Do not judge intent or personality. Require textual evidence and consider healthy-reasoning cues.</x:v>
      </x:c>
      <x:c r="R76" s="13" t="str">
        <x:v>Stub: A claim relies on the pattern is cued by strong connective or evaluative language to support a conclusion without adequate qualification.</x:v>
      </x:c>
      <x:c r="S76" s="13" t="str">
        <x:v>Stub: A claim discusses moving the goalposts with caveats, balanced evidence, or no argumentative use of the pattern.</x:v>
      </x:c>
      <x:c r="T76" s="13" t="str">
        <x:v>Mild or ambiguous cue; do not classify without clear evidence span.</x:v>
      </x:c>
      <x:c r="U76" s="13" t="str">
        <x:v>Clear claim-level pattern with some argumentative impact.</x:v>
      </x:c>
      <x:c r="V76" s="13" t="str">
        <x:v>Strong pattern central to the conclusion and likely to materially distort reasoning.</x:v>
      </x:c>
      <x:c r="W76" s="13" t="str">
        <x:v>cherry_picking; missing_counterevidence; evidence_grading</x:v>
      </x:c>
      <x:c r="X76" s="13" t="str">
        <x:v>pragmadialectics</x:v>
      </x:c>
      <x:c r="Y76" s="13" t="str">
        <x:v>https://doi.org/10.1017/CBO9780511616389</x:v>
      </x:c>
      <x:c r="Z76" s="13" t="str">
        <x:v>Review before enabling. This workbook is a living taxonomy scaffold, not a validated scientific benchmark.</x:v>
      </x:c>
      <x:c r="AA76" s="13" t="str">
        <x:v>0.1.0-draft</x:v>
      </x:c>
      <x:c r="AB76" s="12" t="str">
        <x:f>IF(ISNUMBER(SEARCH("healthy",F76)),"healthy_reasoning_patterns",IF(ISNUMBER(SEARCH("statistical",F76)),"statistical_reasoning",IF(ISNUMBER(SEARCH("causal",F76)),"causal_reasoning",IF(ISNUMBER(SEARCH("social",F76)),"social_influence",IF(ISNUMBER(SEARCH("rhetoric",F76)),"rhetoric_discourse",IF(ISNUMBER(SEARCH("behavior",F76)),"behavioural_economics",IF(ISNUMBER(SEARCH("cognitive",F76)),"cognitive_biases",IF(J76="protective_pattern","healthy_reasoning_patterns",IF(L76="P0","core_mvp","extended_fallacies")))))))))</x:f>
        <x:v>extended_fallacies</x:v>
      </x:c>
      <x:c r="AC76" s="12" t="str">
        <x:f>IF(ISNUMBER(SEARCH("operational",J76)),"operational",IF(ISNUMBER(SEARCH("deprecated",J76)),"deprecated",IF(L76="P0","canonical","recognized_subtype")))</x:f>
        <x:v>operational</x:v>
      </x:c>
      <x:c r="AD76" s="12" t="str">
        <x:f>IF(AC76="canonical","high",IF(AC76="recognized_subtype","medium",IF(AC76="operational","operational_only","debated")))</x:f>
        <x:v>operational_only</x:v>
      </x:c>
      <x:c r="AE76" s="12" t="str">
        <x:f>IF(AC76="deprecated","deprecated",IF(M76="yes","active",IF(M76="review","review_required","backlog")))</x:f>
        <x:v>backlog</x:v>
      </x:c>
      <x:c r="AF76" s="12" t="str">
        <x:f>IF(OR(AE76="active",AE76="review_required"),"yes","no")</x:f>
        <x:v>no</x:v>
      </x:c>
      <x:c r="AG76" s="12" t="str">
        <x:f>IF(AND(AE76="active",M76="yes",NOT(ISNUMBER(SEARCH("healthy",AB76)))),"yes","no")</x:f>
        <x:v>no</x:v>
      </x:c>
      <x:c r="AH76" s="12" t="str">
        <x:f>IF(OR(H76="contextual",H76="dialogue",H76="discourse",I76="claim+context",I76="discourse_segment"),"yes","no")</x:f>
        <x:v>yes</x:v>
      </x:c>
      <x:c r="AI76" s="12" t="str">
        <x:f>IF(OR(AH76="yes",AD76="debated",AC76="operational"),"yes","no")</x:f>
        <x:v>yes</x:v>
      </x:c>
      <x:c r="AJ76" s="12" t="str">
        <x:f>IF(OR(AH76="yes",AC76="operational",AD76="debated"),"high",IF(AND(AG76="yes",L76="P0"),"medium","low"))</x:f>
        <x:v>high</x:v>
      </x:c>
      <x:c r="AK76" s="12" t="str">
        <x:f>IF(ISNUMBER(SEARCH("healthy",AB76)),"yes","no")</x:f>
        <x:v>no</x:v>
      </x:c>
      <x:c r="AL76" s="12" t="str">
        <x:f>IF(AG76="yes","yes","candidate_only")</x:f>
        <x:v>candidate_only</x:v>
      </x:c>
      <x:c r="AM76" s="12" t="str">
        <x:f>IF(OR(AC76="canonical",AG76="yes"),"yes","recommended")</x:f>
        <x:v>recommended</x:v>
      </x:c>
      <x:c r="AN76" s="12" t="str">
        <x:f>IF(AC76="deprecated","exclude",IF(AND(AG76="yes",AJ76="high"),"import_but_human_review_required",IF(AG76="yes","import_as_active","import_as_backlog")))</x:f>
        <x:v>import_as_backlog</x:v>
      </x:c>
      <x:c r="AO76" s="12" t="str">
        <x:f>IF(AND(AG76="yes",OR(P76="",Q76="",R76="",S76="")),"missing_required_mvp_fields",IF(AND(AC76="canonical",Y76=""),"missing_source_ref","ok"))</x:f>
        <x:v>ok</x:v>
      </x:c>
      <x:c r="AP76" s="12" t="str">
        <x:f>IF(AO76="ok","ready_for_codex_import","needs_review")</x:f>
        <x:v>ready_for_codex_import</x:v>
      </x:c>
      <x:c r="AQ76" s="12"/>
      <x:c r="AR76" s="12" t="str">
        <x:v>Added v2 operational fields. Review before classification activation.</x:v>
      </x:c>
    </x:row>
    <x:row r="77">
      <x:c r="A77" s="13" t="str">
        <x:v>no_true_scotsman_explicit_marker</x:v>
      </x:c>
      <x:c r="B77" s="13" t="str">
        <x:v>no_true_scotsman</x:v>
      </x:c>
      <x:c r="C77" s="13" t="str">
        <x:v>No true Scotsman</x:v>
      </x:c>
      <x:c r="D77" s="13" t="str">
        <x:v>اسکاتلندی واقعی نیست</x:v>
      </x:c>
      <x:c r="E77" s="13" t="str">
        <x:v>Explicit lexical marker</x:v>
      </x:c>
      <x:c r="F77" s="13" t="str">
        <x:v>reasoning_failures</x:v>
      </x:c>
      <x:c r="G77" s="13" t="str">
        <x:v>operational_variant</x:v>
      </x:c>
      <x:c r="H77" s="13" t="str">
        <x:v>dialogue</x:v>
      </x:c>
      <x:c r="I77" s="13" t="str">
        <x:v>discourse_segment</x:v>
      </x:c>
      <x:c r="J77" s="13" t="str">
        <x:v>derived_operational_subtype</x:v>
      </x:c>
      <x:c r="K77" s="13" t="str">
        <x:v>derived_from_established_parent_review_required</x:v>
      </x:c>
      <x:c r="L77" s="13" t="str">
        <x:v>P2</x:v>
      </x:c>
      <x:c r="M77" s="13" t="str">
        <x:v>no</x:v>
      </x:c>
      <x:c r="N77" s="13" t="str">
        <x:v>Operational subtype under No true Scotsman: the pattern is cued by strong connective or evaluative language. Parent definition: Protecting a generalization by redefining membership ad hoc.</x:v>
      </x:c>
      <x:c r="O77" s="13" t="str">
        <x:v>Look for: explicit claim-level evidence; parent-family cues for No true Scotsman; variant cue: the pattern is cued by strong connective or evaluative language; avoid author-level inference.</x:v>
      </x:c>
      <x:c r="P77" s="13" t="str">
        <x:v>Exact evidence span in text plus claim-level reasoning link; for contextual/discourse entries, require surrounding context.</x:v>
      </x:c>
      <x:c r="Q77" s="13" t="str">
        <x:v>Do not label merely because topic is controversial, emotional, or wrong. Do not judge intent or personality. Require textual evidence and consider healthy-reasoning cues.</x:v>
      </x:c>
      <x:c r="R77" s="13" t="str">
        <x:v>Stub: A claim relies on the pattern is cued by strong connective or evaluative language to support a conclusion without adequate qualification.</x:v>
      </x:c>
      <x:c r="S77" s="13" t="str">
        <x:v>Stub: A claim discusses no true scotsman with caveats, balanced evidence, or no argumentative use of the pattern.</x:v>
      </x:c>
      <x:c r="T77" s="13" t="str">
        <x:v>Mild or ambiguous cue; do not classify without clear evidence span.</x:v>
      </x:c>
      <x:c r="U77" s="13" t="str">
        <x:v>Clear claim-level pattern with some argumentative impact.</x:v>
      </x:c>
      <x:c r="V77" s="13" t="str">
        <x:v>Strong pattern central to the conclusion and likely to materially distort reasoning.</x:v>
      </x:c>
      <x:c r="W77" s="13" t="str"/>
      <x:c r="X77" s="13" t="str">
        <x:v>sep_fallacies</x:v>
      </x:c>
      <x:c r="Y77" s="13" t="str">
        <x:v>https://plato.stanford.edu/entries/fallacies/</x:v>
      </x:c>
      <x:c r="Z77" s="13" t="str">
        <x:v>Review before enabling. This workbook is a living taxonomy scaffold, not a validated scientific benchmark.</x:v>
      </x:c>
      <x:c r="AA77" s="13" t="str">
        <x:v>0.1.0-draft</x:v>
      </x:c>
      <x:c r="AB77" s="12" t="str">
        <x:f>IF(ISNUMBER(SEARCH("healthy",F77)),"healthy_reasoning_patterns",IF(ISNUMBER(SEARCH("statistical",F77)),"statistical_reasoning",IF(ISNUMBER(SEARCH("causal",F77)),"causal_reasoning",IF(ISNUMBER(SEARCH("social",F77)),"social_influence",IF(ISNUMBER(SEARCH("rhetoric",F77)),"rhetoric_discourse",IF(ISNUMBER(SEARCH("behavior",F77)),"behavioural_economics",IF(ISNUMBER(SEARCH("cognitive",F77)),"cognitive_biases",IF(J77="protective_pattern","healthy_reasoning_patterns",IF(L77="P0","core_mvp","extended_fallacies")))))))))</x:f>
        <x:v>extended_fallacies</x:v>
      </x:c>
      <x:c r="AC77" s="12" t="str">
        <x:f>IF(ISNUMBER(SEARCH("operational",J77)),"operational",IF(ISNUMBER(SEARCH("deprecated",J77)),"deprecated",IF(L77="P0","canonical","recognized_subtype")))</x:f>
        <x:v>operational</x:v>
      </x:c>
      <x:c r="AD77" s="12" t="str">
        <x:f>IF(AC77="canonical","high",IF(AC77="recognized_subtype","medium",IF(AC77="operational","operational_only","debated")))</x:f>
        <x:v>operational_only</x:v>
      </x:c>
      <x:c r="AE77" s="12" t="str">
        <x:f>IF(AC77="deprecated","deprecated",IF(M77="yes","active",IF(M77="review","review_required","backlog")))</x:f>
        <x:v>backlog</x:v>
      </x:c>
      <x:c r="AF77" s="12" t="str">
        <x:f>IF(OR(AE77="active",AE77="review_required"),"yes","no")</x:f>
        <x:v>no</x:v>
      </x:c>
      <x:c r="AG77" s="12" t="str">
        <x:f>IF(AND(AE77="active",M77="yes",NOT(ISNUMBER(SEARCH("healthy",AB77)))),"yes","no")</x:f>
        <x:v>no</x:v>
      </x:c>
      <x:c r="AH77" s="12" t="str">
        <x:f>IF(OR(H77="contextual",H77="dialogue",H77="discourse",I77="claim+context",I77="discourse_segment"),"yes","no")</x:f>
        <x:v>yes</x:v>
      </x:c>
      <x:c r="AI77" s="12" t="str">
        <x:f>IF(OR(AH77="yes",AD77="debated",AC77="operational"),"yes","no")</x:f>
        <x:v>yes</x:v>
      </x:c>
      <x:c r="AJ77" s="12" t="str">
        <x:f>IF(OR(AH77="yes",AC77="operational",AD77="debated"),"high",IF(AND(AG77="yes",L77="P0"),"medium","low"))</x:f>
        <x:v>high</x:v>
      </x:c>
      <x:c r="AK77" s="12" t="str">
        <x:f>IF(ISNUMBER(SEARCH("healthy",AB77)),"yes","no")</x:f>
        <x:v>no</x:v>
      </x:c>
      <x:c r="AL77" s="12" t="str">
        <x:f>IF(AG77="yes","yes","candidate_only")</x:f>
        <x:v>candidate_only</x:v>
      </x:c>
      <x:c r="AM77" s="12" t="str">
        <x:f>IF(OR(AC77="canonical",AG77="yes"),"yes","recommended")</x:f>
        <x:v>recommended</x:v>
      </x:c>
      <x:c r="AN77" s="12" t="str">
        <x:f>IF(AC77="deprecated","exclude",IF(AND(AG77="yes",AJ77="high"),"import_but_human_review_required",IF(AG77="yes","import_as_active","import_as_backlog")))</x:f>
        <x:v>import_as_backlog</x:v>
      </x:c>
      <x:c r="AO77" s="12" t="str">
        <x:f>IF(AND(AG77="yes",OR(P77="",Q77="",R77="",S77="")),"missing_required_mvp_fields",IF(AND(AC77="canonical",Y77=""),"missing_source_ref","ok"))</x:f>
        <x:v>ok</x:v>
      </x:c>
      <x:c r="AP77" s="12" t="str">
        <x:f>IF(AO77="ok","ready_for_codex_import","needs_review")</x:f>
        <x:v>ready_for_codex_import</x:v>
      </x:c>
      <x:c r="AQ77" s="12"/>
      <x:c r="AR77" s="12" t="str">
        <x:v>Added v2 operational fields. Review before classification activation.</x:v>
      </x:c>
    </x:row>
    <x:row r="78">
      <x:c r="A78" s="13" t="str">
        <x:v>special_pleading_explicit_marker</x:v>
      </x:c>
      <x:c r="B78" s="13" t="str">
        <x:v>special_pleading</x:v>
      </x:c>
      <x:c r="C78" s="13" t="str">
        <x:v>Special pleading</x:v>
      </x:c>
      <x:c r="D78" s="13" t="str">
        <x:v>استثناسازی ناموجه</x:v>
      </x:c>
      <x:c r="E78" s="13" t="str">
        <x:v>Explicit lexical marker</x:v>
      </x:c>
      <x:c r="F78" s="13" t="str">
        <x:v>reasoning_failures</x:v>
      </x:c>
      <x:c r="G78" s="13" t="str">
        <x:v>operational_variant</x:v>
      </x:c>
      <x:c r="H78" s="13" t="str">
        <x:v>dialogue</x:v>
      </x:c>
      <x:c r="I78" s="13" t="str">
        <x:v>discourse_segment</x:v>
      </x:c>
      <x:c r="J78" s="13" t="str">
        <x:v>derived_operational_subtype</x:v>
      </x:c>
      <x:c r="K78" s="13" t="str">
        <x:v>derived_from_established_parent_review_required</x:v>
      </x:c>
      <x:c r="L78" s="13" t="str">
        <x:v>P2</x:v>
      </x:c>
      <x:c r="M78" s="13" t="str">
        <x:v>no</x:v>
      </x:c>
      <x:c r="N78" s="13" t="str">
        <x:v>Operational subtype under Special pleading: the pattern is cued by strong connective or evaluative language. Parent definition: Applying standards inconsistently without relevant justification.</x:v>
      </x:c>
      <x:c r="O78" s="13" t="str">
        <x:v>Look for: explicit claim-level evidence; parent-family cues for Special pleading; variant cue: the pattern is cued by strong connective or evaluative language; avoid author-level inference.</x:v>
      </x:c>
      <x:c r="P78" s="13" t="str">
        <x:v>Exact evidence span in text plus claim-level reasoning link; for contextual/discourse entries, require surrounding context.</x:v>
      </x:c>
      <x:c r="Q78" s="13" t="str">
        <x:v>Do not label merely because topic is controversial, emotional, or wrong. Do not judge intent or personality. Require textual evidence and consider healthy-reasoning cues.</x:v>
      </x:c>
      <x:c r="R78" s="13" t="str">
        <x:v>Stub: A claim relies on the pattern is cued by strong connective or evaluative language to support a conclusion without adequate qualification.</x:v>
      </x:c>
      <x:c r="S78" s="13" t="str">
        <x:v>Stub: A claim discusses special pleading with caveats, balanced evidence, or no argumentative use of the pattern.</x:v>
      </x:c>
      <x:c r="T78" s="13" t="str">
        <x:v>Mild or ambiguous cue; do not classify without clear evidence span.</x:v>
      </x:c>
      <x:c r="U78" s="13" t="str">
        <x:v>Clear claim-level pattern with some argumentative impact.</x:v>
      </x:c>
      <x:c r="V78" s="13" t="str">
        <x:v>Strong pattern central to the conclusion and likely to materially distort reasoning.</x:v>
      </x:c>
      <x:c r="W78" s="13" t="str"/>
      <x:c r="X78" s="13" t="str">
        <x:v>sep_fallacies</x:v>
      </x:c>
      <x:c r="Y78" s="13" t="str">
        <x:v>https://plato.stanford.edu/entries/fallacies/</x:v>
      </x:c>
      <x:c r="Z78" s="13" t="str">
        <x:v>Review before enabling. This workbook is a living taxonomy scaffold, not a validated scientific benchmark.</x:v>
      </x:c>
      <x:c r="AA78" s="13" t="str">
        <x:v>0.1.0-draft</x:v>
      </x:c>
      <x:c r="AB78" s="12" t="str">
        <x:f>IF(ISNUMBER(SEARCH("healthy",F78)),"healthy_reasoning_patterns",IF(ISNUMBER(SEARCH("statistical",F78)),"statistical_reasoning",IF(ISNUMBER(SEARCH("causal",F78)),"causal_reasoning",IF(ISNUMBER(SEARCH("social",F78)),"social_influence",IF(ISNUMBER(SEARCH("rhetoric",F78)),"rhetoric_discourse",IF(ISNUMBER(SEARCH("behavior",F78)),"behavioural_economics",IF(ISNUMBER(SEARCH("cognitive",F78)),"cognitive_biases",IF(J78="protective_pattern","healthy_reasoning_patterns",IF(L78="P0","core_mvp","extended_fallacies")))))))))</x:f>
        <x:v>extended_fallacies</x:v>
      </x:c>
      <x:c r="AC78" s="12" t="str">
        <x:f>IF(ISNUMBER(SEARCH("operational",J78)),"operational",IF(ISNUMBER(SEARCH("deprecated",J78)),"deprecated",IF(L78="P0","canonical","recognized_subtype")))</x:f>
        <x:v>operational</x:v>
      </x:c>
      <x:c r="AD78" s="12" t="str">
        <x:f>IF(AC78="canonical","high",IF(AC78="recognized_subtype","medium",IF(AC78="operational","operational_only","debated")))</x:f>
        <x:v>operational_only</x:v>
      </x:c>
      <x:c r="AE78" s="12" t="str">
        <x:f>IF(AC78="deprecated","deprecated",IF(M78="yes","active",IF(M78="review","review_required","backlog")))</x:f>
        <x:v>backlog</x:v>
      </x:c>
      <x:c r="AF78" s="12" t="str">
        <x:f>IF(OR(AE78="active",AE78="review_required"),"yes","no")</x:f>
        <x:v>no</x:v>
      </x:c>
      <x:c r="AG78" s="12" t="str">
        <x:f>IF(AND(AE78="active",M78="yes",NOT(ISNUMBER(SEARCH("healthy",AB78)))),"yes","no")</x:f>
        <x:v>no</x:v>
      </x:c>
      <x:c r="AH78" s="12" t="str">
        <x:f>IF(OR(H78="contextual",H78="dialogue",H78="discourse",I78="claim+context",I78="discourse_segment"),"yes","no")</x:f>
        <x:v>yes</x:v>
      </x:c>
      <x:c r="AI78" s="12" t="str">
        <x:f>IF(OR(AH78="yes",AD78="debated",AC78="operational"),"yes","no")</x:f>
        <x:v>yes</x:v>
      </x:c>
      <x:c r="AJ78" s="12" t="str">
        <x:f>IF(OR(AH78="yes",AC78="operational",AD78="debated"),"high",IF(AND(AG78="yes",L78="P0"),"medium","low"))</x:f>
        <x:v>high</x:v>
      </x:c>
      <x:c r="AK78" s="12" t="str">
        <x:f>IF(ISNUMBER(SEARCH("healthy",AB78)),"yes","no")</x:f>
        <x:v>no</x:v>
      </x:c>
      <x:c r="AL78" s="12" t="str">
        <x:f>IF(AG78="yes","yes","candidate_only")</x:f>
        <x:v>candidate_only</x:v>
      </x:c>
      <x:c r="AM78" s="12" t="str">
        <x:f>IF(OR(AC78="canonical",AG78="yes"),"yes","recommended")</x:f>
        <x:v>recommended</x:v>
      </x:c>
      <x:c r="AN78" s="12" t="str">
        <x:f>IF(AC78="deprecated","exclude",IF(AND(AG78="yes",AJ78="high"),"import_but_human_review_required",IF(AG78="yes","import_as_active","import_as_backlog")))</x:f>
        <x:v>import_as_backlog</x:v>
      </x:c>
      <x:c r="AO78" s="12" t="str">
        <x:f>IF(AND(AG78="yes",OR(P78="",Q78="",R78="",S78="")),"missing_required_mvp_fields",IF(AND(AC78="canonical",Y78=""),"missing_source_ref","ok"))</x:f>
        <x:v>ok</x:v>
      </x:c>
      <x:c r="AP78" s="12" t="str">
        <x:f>IF(AO78="ok","ready_for_codex_import","needs_review")</x:f>
        <x:v>ready_for_codex_import</x:v>
      </x:c>
      <x:c r="AQ78" s="12"/>
      <x:c r="AR78" s="12" t="str">
        <x:v>Added v2 operational fields. Review before classification activation.</x:v>
      </x:c>
    </x:row>
    <x:row r="79">
      <x:c r="A79" s="13" t="str">
        <x:v>burden_of_proof_shift_explicit_marker</x:v>
      </x:c>
      <x:c r="B79" s="13" t="str">
        <x:v>burden_of_proof_shift</x:v>
      </x:c>
      <x:c r="C79" s="13" t="str">
        <x:v>Burden-of-proof shift</x:v>
      </x:c>
      <x:c r="D79" s="13" t="str">
        <x:v>جابجایی بار اثبات</x:v>
      </x:c>
      <x:c r="E79" s="13" t="str">
        <x:v>Explicit lexical marker</x:v>
      </x:c>
      <x:c r="F79" s="13" t="str">
        <x:v>reasoning_failures</x:v>
      </x:c>
      <x:c r="G79" s="13" t="str">
        <x:v>operational_variant</x:v>
      </x:c>
      <x:c r="H79" s="13" t="str">
        <x:v>dialogue</x:v>
      </x:c>
      <x:c r="I79" s="13" t="str">
        <x:v>discourse_segment</x:v>
      </x:c>
      <x:c r="J79" s="13" t="str">
        <x:v>derived_operational_subtype</x:v>
      </x:c>
      <x:c r="K79" s="13" t="str">
        <x:v>derived_from_established_parent_review_required</x:v>
      </x:c>
      <x:c r="L79" s="13" t="str">
        <x:v>P2</x:v>
      </x:c>
      <x:c r="M79" s="13" t="str">
        <x:v>no</x:v>
      </x:c>
      <x:c r="N79" s="13" t="str">
        <x:v>Operational subtype under Burden-of-proof shift: the pattern is cued by strong connective or evaluative language. Parent definition: Demanding disproof instead of supporting one's own claim.</x:v>
      </x:c>
      <x:c r="O79" s="13" t="str">
        <x:v>Look for: explicit claim-level evidence; parent-family cues for Burden-of-proof shift; variant cue: the pattern is cued by strong connective or evaluative language; avoid author-level inference.</x:v>
      </x:c>
      <x:c r="P79" s="13" t="str">
        <x:v>Exact evidence span in text plus claim-level reasoning link; for contextual/discourse entries, require surrounding context.</x:v>
      </x:c>
      <x:c r="Q79" s="13" t="str">
        <x:v>Do not label merely because topic is controversial, emotional, or wrong. Do not judge intent or personality. Require textual evidence and consider healthy-reasoning cues.</x:v>
      </x:c>
      <x:c r="R79" s="13" t="str">
        <x:v>Stub: A claim relies on the pattern is cued by strong connective or evaluative language to support a conclusion without adequate qualification.</x:v>
      </x:c>
      <x:c r="S79" s="13" t="str">
        <x:v>Stub: A claim discusses burden-of-proof shift with caveats, balanced evidence, or no argumentative use of the pattern.</x:v>
      </x:c>
      <x:c r="T79" s="13" t="str">
        <x:v>Mild or ambiguous cue; do not classify without clear evidence span.</x:v>
      </x:c>
      <x:c r="U79" s="13" t="str">
        <x:v>Clear claim-level pattern with some argumentative impact.</x:v>
      </x:c>
      <x:c r="V79" s="13" t="str">
        <x:v>Strong pattern central to the conclusion and likely to materially distort reasoning.</x:v>
      </x:c>
      <x:c r="W79" s="13" t="str"/>
      <x:c r="X79" s="13" t="str">
        <x:v>pragmadialectics</x:v>
      </x:c>
      <x:c r="Y79" s="13" t="str">
        <x:v>https://doi.org/10.1017/CBO9780511616389</x:v>
      </x:c>
      <x:c r="Z79" s="13" t="str">
        <x:v>Review before enabling. This workbook is a living taxonomy scaffold, not a validated scientific benchmark.</x:v>
      </x:c>
      <x:c r="AA79" s="13" t="str">
        <x:v>0.1.0-draft</x:v>
      </x:c>
      <x:c r="AB79" s="12" t="str">
        <x:f>IF(ISNUMBER(SEARCH("healthy",F79)),"healthy_reasoning_patterns",IF(ISNUMBER(SEARCH("statistical",F79)),"statistical_reasoning",IF(ISNUMBER(SEARCH("causal",F79)),"causal_reasoning",IF(ISNUMBER(SEARCH("social",F79)),"social_influence",IF(ISNUMBER(SEARCH("rhetoric",F79)),"rhetoric_discourse",IF(ISNUMBER(SEARCH("behavior",F79)),"behavioural_economics",IF(ISNUMBER(SEARCH("cognitive",F79)),"cognitive_biases",IF(J79="protective_pattern","healthy_reasoning_patterns",IF(L79="P0","core_mvp","extended_fallacies")))))))))</x:f>
        <x:v>extended_fallacies</x:v>
      </x:c>
      <x:c r="AC79" s="12" t="str">
        <x:f>IF(ISNUMBER(SEARCH("operational",J79)),"operational",IF(ISNUMBER(SEARCH("deprecated",J79)),"deprecated",IF(L79="P0","canonical","recognized_subtype")))</x:f>
        <x:v>operational</x:v>
      </x:c>
      <x:c r="AD79" s="12" t="str">
        <x:f>IF(AC79="canonical","high",IF(AC79="recognized_subtype","medium",IF(AC79="operational","operational_only","debated")))</x:f>
        <x:v>operational_only</x:v>
      </x:c>
      <x:c r="AE79" s="12" t="str">
        <x:f>IF(AC79="deprecated","deprecated",IF(M79="yes","active",IF(M79="review","review_required","backlog")))</x:f>
        <x:v>backlog</x:v>
      </x:c>
      <x:c r="AF79" s="12" t="str">
        <x:f>IF(OR(AE79="active",AE79="review_required"),"yes","no")</x:f>
        <x:v>no</x:v>
      </x:c>
      <x:c r="AG79" s="12" t="str">
        <x:f>IF(AND(AE79="active",M79="yes",NOT(ISNUMBER(SEARCH("healthy",AB79)))),"yes","no")</x:f>
        <x:v>no</x:v>
      </x:c>
      <x:c r="AH79" s="12" t="str">
        <x:f>IF(OR(H79="contextual",H79="dialogue",H79="discourse",I79="claim+context",I79="discourse_segment"),"yes","no")</x:f>
        <x:v>yes</x:v>
      </x:c>
      <x:c r="AI79" s="12" t="str">
        <x:f>IF(OR(AH79="yes",AD79="debated",AC79="operational"),"yes","no")</x:f>
        <x:v>yes</x:v>
      </x:c>
      <x:c r="AJ79" s="12" t="str">
        <x:f>IF(OR(AH79="yes",AC79="operational",AD79="debated"),"high",IF(AND(AG79="yes",L79="P0"),"medium","low"))</x:f>
        <x:v>high</x:v>
      </x:c>
      <x:c r="AK79" s="12" t="str">
        <x:f>IF(ISNUMBER(SEARCH("healthy",AB79)),"yes","no")</x:f>
        <x:v>no</x:v>
      </x:c>
      <x:c r="AL79" s="12" t="str">
        <x:f>IF(AG79="yes","yes","candidate_only")</x:f>
        <x:v>candidate_only</x:v>
      </x:c>
      <x:c r="AM79" s="12" t="str">
        <x:f>IF(OR(AC79="canonical",AG79="yes"),"yes","recommended")</x:f>
        <x:v>recommended</x:v>
      </x:c>
      <x:c r="AN79" s="12" t="str">
        <x:f>IF(AC79="deprecated","exclude",IF(AND(AG79="yes",AJ79="high"),"import_but_human_review_required",IF(AG79="yes","import_as_active","import_as_backlog")))</x:f>
        <x:v>import_as_backlog</x:v>
      </x:c>
      <x:c r="AO79" s="12" t="str">
        <x:f>IF(AND(AG79="yes",OR(P79="",Q79="",R79="",S79="")),"missing_required_mvp_fields",IF(AND(AC79="canonical",Y79=""),"missing_source_ref","ok"))</x:f>
        <x:v>ok</x:v>
      </x:c>
      <x:c r="AP79" s="12" t="str">
        <x:f>IF(AO79="ok","ready_for_codex_import","needs_review")</x:f>
        <x:v>ready_for_codex_import</x:v>
      </x:c>
      <x:c r="AQ79" s="12"/>
      <x:c r="AR79" s="12" t="str">
        <x:v>Added v2 operational fields. Review before classification activation.</x:v>
      </x:c>
    </x:row>
    <x:row r="80">
      <x:c r="A80" s="13" t="str">
        <x:v>appeal_to_ignorance_explicit_marker</x:v>
      </x:c>
      <x:c r="B80" s="13" t="str">
        <x:v>appeal_to_ignorance</x:v>
      </x:c>
      <x:c r="C80" s="13" t="str">
        <x:v>Appeal to ignorance</x:v>
      </x:c>
      <x:c r="D80" s="13" t="str">
        <x:v>استناد به نادانی</x:v>
      </x:c>
      <x:c r="E80" s="13" t="str">
        <x:v>Explicit lexical marker</x:v>
      </x:c>
      <x:c r="F80" s="13" t="str">
        <x:v>reasoning_failures</x:v>
      </x:c>
      <x:c r="G80" s="13" t="str">
        <x:v>operational_variant</x:v>
      </x:c>
      <x:c r="H80" s="13" t="str">
        <x:v>structural</x:v>
      </x:c>
      <x:c r="I80" s="13" t="str">
        <x:v>claim</x:v>
      </x:c>
      <x:c r="J80" s="13" t="str">
        <x:v>derived_operational_subtype</x:v>
      </x:c>
      <x:c r="K80" s="13" t="str">
        <x:v>derived_from_established_parent_review_required</x:v>
      </x:c>
      <x:c r="L80" s="13" t="str">
        <x:v>P2</x:v>
      </x:c>
      <x:c r="M80" s="13" t="str">
        <x:v>no</x:v>
      </x:c>
      <x:c r="N80" s="13" t="str">
        <x:v>Operational subtype under Appeal to ignorance: the pattern is cued by strong connective or evaluative language. Parent definition: Treating lack of disproof as proof or lack of proof as disproof.</x:v>
      </x:c>
      <x:c r="O80" s="13" t="str">
        <x:v>Look for: explicit claim-level evidence; parent-family cues for Appeal to ignorance; variant cue: the pattern is cued by strong connective or evaluative language; avoid author-level inference.</x:v>
      </x:c>
      <x:c r="P80" s="13" t="str">
        <x:v>Exact evidence span in text plus claim-level reasoning link; for contextual/discourse entries, require surrounding context.</x:v>
      </x:c>
      <x:c r="Q80" s="13" t="str">
        <x:v>Do not label merely because topic is controversial, emotional, or wrong. Do not judge intent or personality. Require textual evidence and consider healthy-reasoning cues.</x:v>
      </x:c>
      <x:c r="R80" s="13" t="str">
        <x:v>Stub: A claim relies on the pattern is cued by strong connective or evaluative language to support a conclusion without adequate qualification.</x:v>
      </x:c>
      <x:c r="S80" s="13" t="str">
        <x:v>Stub: A claim discusses appeal to ignorance with caveats, balanced evidence, or no argumentative use of the pattern.</x:v>
      </x:c>
      <x:c r="T80" s="13" t="str">
        <x:v>Mild or ambiguous cue; do not classify without clear evidence span.</x:v>
      </x:c>
      <x:c r="U80" s="13" t="str">
        <x:v>Clear claim-level pattern with some argumentative impact.</x:v>
      </x:c>
      <x:c r="V80" s="13" t="str">
        <x:v>Strong pattern central to the conclusion and likely to materially distort reasoning.</x:v>
      </x:c>
      <x:c r="W80" s="13" t="str"/>
      <x:c r="X80" s="13" t="str">
        <x:v>sep_fallacies</x:v>
      </x:c>
      <x:c r="Y80" s="13" t="str">
        <x:v>https://plato.stanford.edu/entries/fallacies/</x:v>
      </x:c>
      <x:c r="Z80" s="13" t="str">
        <x:v>Review before enabling. This workbook is a living taxonomy scaffold, not a validated scientific benchmark.</x:v>
      </x:c>
      <x:c r="AA80" s="13" t="str">
        <x:v>0.1.0-draft</x:v>
      </x:c>
      <x:c r="AB80" s="12" t="str">
        <x:f>IF(ISNUMBER(SEARCH("healthy",F80)),"healthy_reasoning_patterns",IF(ISNUMBER(SEARCH("statistical",F80)),"statistical_reasoning",IF(ISNUMBER(SEARCH("causal",F80)),"causal_reasoning",IF(ISNUMBER(SEARCH("social",F80)),"social_influence",IF(ISNUMBER(SEARCH("rhetoric",F80)),"rhetoric_discourse",IF(ISNUMBER(SEARCH("behavior",F80)),"behavioural_economics",IF(ISNUMBER(SEARCH("cognitive",F80)),"cognitive_biases",IF(J80="protective_pattern","healthy_reasoning_patterns",IF(L80="P0","core_mvp","extended_fallacies")))))))))</x:f>
        <x:v>extended_fallacies</x:v>
      </x:c>
      <x:c r="AC80" s="12" t="str">
        <x:f>IF(ISNUMBER(SEARCH("operational",J80)),"operational",IF(ISNUMBER(SEARCH("deprecated",J80)),"deprecated",IF(L80="P0","canonical","recognized_subtype")))</x:f>
        <x:v>operational</x:v>
      </x:c>
      <x:c r="AD80" s="12" t="str">
        <x:f>IF(AC80="canonical","high",IF(AC80="recognized_subtype","medium",IF(AC80="operational","operational_only","debated")))</x:f>
        <x:v>operational_only</x:v>
      </x:c>
      <x:c r="AE80" s="12" t="str">
        <x:f>IF(AC80="deprecated","deprecated",IF(M80="yes","active",IF(M80="review","review_required","backlog")))</x:f>
        <x:v>backlog</x:v>
      </x:c>
      <x:c r="AF80" s="12" t="str">
        <x:f>IF(OR(AE80="active",AE80="review_required"),"yes","no")</x:f>
        <x:v>no</x:v>
      </x:c>
      <x:c r="AG80" s="12" t="str">
        <x:f>IF(AND(AE80="active",M80="yes",NOT(ISNUMBER(SEARCH("healthy",AB80)))),"yes","no")</x:f>
        <x:v>no</x:v>
      </x:c>
      <x:c r="AH80" s="12" t="str">
        <x:f>IF(OR(H80="contextual",H80="dialogue",H80="discourse",I80="claim+context",I80="discourse_segment"),"yes","no")</x:f>
        <x:v>no</x:v>
      </x:c>
      <x:c r="AI80" s="12" t="str">
        <x:f>IF(OR(AH80="yes",AD80="debated",AC80="operational"),"yes","no")</x:f>
        <x:v>yes</x:v>
      </x:c>
      <x:c r="AJ80" s="12" t="str">
        <x:f>IF(OR(AH80="yes",AC80="operational",AD80="debated"),"high",IF(AND(AG80="yes",L80="P0"),"medium","low"))</x:f>
        <x:v>high</x:v>
      </x:c>
      <x:c r="AK80" s="12" t="str">
        <x:f>IF(ISNUMBER(SEARCH("healthy",AB80)),"yes","no")</x:f>
        <x:v>no</x:v>
      </x:c>
      <x:c r="AL80" s="12" t="str">
        <x:f>IF(AG80="yes","yes","candidate_only")</x:f>
        <x:v>candidate_only</x:v>
      </x:c>
      <x:c r="AM80" s="12" t="str">
        <x:f>IF(OR(AC80="canonical",AG80="yes"),"yes","recommended")</x:f>
        <x:v>recommended</x:v>
      </x:c>
      <x:c r="AN80" s="12" t="str">
        <x:f>IF(AC80="deprecated","exclude",IF(AND(AG80="yes",AJ80="high"),"import_but_human_review_required",IF(AG80="yes","import_as_active","import_as_backlog")))</x:f>
        <x:v>import_as_backlog</x:v>
      </x:c>
      <x:c r="AO80" s="12" t="str">
        <x:f>IF(AND(AG80="yes",OR(P80="",Q80="",R80="",S80="")),"missing_required_mvp_fields",IF(AND(AC80="canonical",Y80=""),"missing_source_ref","ok"))</x:f>
        <x:v>ok</x:v>
      </x:c>
      <x:c r="AP80" s="12" t="str">
        <x:f>IF(AO80="ok","ready_for_codex_import","needs_review")</x:f>
        <x:v>ready_for_codex_import</x:v>
      </x:c>
      <x:c r="AQ80" s="12"/>
      <x:c r="AR80" s="12" t="str">
        <x:v>Added v2 operational fields. Review before classification activation.</x:v>
      </x:c>
    </x:row>
    <x:row r="81">
      <x:c r="A81" s="13" t="str">
        <x:v>post_hoc_explicit_marker</x:v>
      </x:c>
      <x:c r="B81" s="13" t="str">
        <x:v>post_hoc</x:v>
      </x:c>
      <x:c r="C81" s="13" t="str">
        <x:v>Post hoc ergo propter hoc</x:v>
      </x:c>
      <x:c r="D81" s="13" t="str">
        <x:v>پس از آن، پس به علت آن</x:v>
      </x:c>
      <x:c r="E81" s="13" t="str">
        <x:v>Explicit lexical marker</x:v>
      </x:c>
      <x:c r="F81" s="13" t="str">
        <x:v>reasoning_failures</x:v>
      </x:c>
      <x:c r="G81" s="13" t="str">
        <x:v>operational_variant</x:v>
      </x:c>
      <x:c r="H81" s="13" t="str">
        <x:v>contextual</x:v>
      </x:c>
      <x:c r="I81" s="13" t="str">
        <x:v>claim+context</x:v>
      </x:c>
      <x:c r="J81" s="13" t="str">
        <x:v>derived_operational_subtype</x:v>
      </x:c>
      <x:c r="K81" s="13" t="str">
        <x:v>derived_from_established_parent_review_required</x:v>
      </x:c>
      <x:c r="L81" s="13" t="str">
        <x:v>P2</x:v>
      </x:c>
      <x:c r="M81" s="13" t="str">
        <x:v>no</x:v>
      </x:c>
      <x:c r="N81" s="13" t="str">
        <x:v>Operational subtype under Post hoc ergo propter hoc: the pattern is cued by strong connective or evaluative language. Parent definition: Inferring causation from temporal sequence alone.</x:v>
      </x:c>
      <x:c r="O81" s="13" t="str">
        <x:v>Look for: explicit claim-level evidence; parent-family cues for Post hoc ergo propter hoc; variant cue: the pattern is cued by strong connective or evaluative language; avoid author-level inference.</x:v>
      </x:c>
      <x:c r="P81" s="13" t="str">
        <x:v>Exact evidence span in text plus claim-level reasoning link; for contextual/discourse entries, require surrounding context.</x:v>
      </x:c>
      <x:c r="Q81" s="13" t="str">
        <x:v>Do not label merely because topic is controversial, emotional, or wrong. Do not judge intent or personality. Require textual evidence and consider healthy-reasoning cues.</x:v>
      </x:c>
      <x:c r="R81" s="13" t="str">
        <x:v>Stub: A claim relies on the pattern is cued by strong connective or evaluative language to support a conclusion without adequate qualification.</x:v>
      </x:c>
      <x:c r="S81" s="13" t="str">
        <x:v>Stub: A claim discusses post hoc ergo propter hoc with caveats, balanced evidence, or no argumentative use of the pattern.</x:v>
      </x:c>
      <x:c r="T81" s="13" t="str">
        <x:v>Mild or ambiguous cue; do not classify without clear evidence span.</x:v>
      </x:c>
      <x:c r="U81" s="13" t="str">
        <x:v>Clear claim-level pattern with some argumentative impact.</x:v>
      </x:c>
      <x:c r="V81" s="13" t="str">
        <x:v>Strong pattern central to the conclusion and likely to materially distort reasoning.</x:v>
      </x:c>
      <x:c r="W81" s="13" t="str"/>
      <x:c r="X81" s="13" t="str">
        <x:v>sep_fallacies</x:v>
      </x:c>
      <x:c r="Y81" s="13" t="str">
        <x:v>https://plato.stanford.edu/entries/fallacies/</x:v>
      </x:c>
      <x:c r="Z81" s="13" t="str">
        <x:v>Review before enabling. This workbook is a living taxonomy scaffold, not a validated scientific benchmark.</x:v>
      </x:c>
      <x:c r="AA81" s="13" t="str">
        <x:v>0.1.0-draft</x:v>
      </x:c>
      <x:c r="AB81" s="12" t="str">
        <x:f>IF(ISNUMBER(SEARCH("healthy",F81)),"healthy_reasoning_patterns",IF(ISNUMBER(SEARCH("statistical",F81)),"statistical_reasoning",IF(ISNUMBER(SEARCH("causal",F81)),"causal_reasoning",IF(ISNUMBER(SEARCH("social",F81)),"social_influence",IF(ISNUMBER(SEARCH("rhetoric",F81)),"rhetoric_discourse",IF(ISNUMBER(SEARCH("behavior",F81)),"behavioural_economics",IF(ISNUMBER(SEARCH("cognitive",F81)),"cognitive_biases",IF(J81="protective_pattern","healthy_reasoning_patterns",IF(L81="P0","core_mvp","extended_fallacies")))))))))</x:f>
        <x:v>extended_fallacies</x:v>
      </x:c>
      <x:c r="AC81" s="12" t="str">
        <x:f>IF(ISNUMBER(SEARCH("operational",J81)),"operational",IF(ISNUMBER(SEARCH("deprecated",J81)),"deprecated",IF(L81="P0","canonical","recognized_subtype")))</x:f>
        <x:v>operational</x:v>
      </x:c>
      <x:c r="AD81" s="12" t="str">
        <x:f>IF(AC81="canonical","high",IF(AC81="recognized_subtype","medium",IF(AC81="operational","operational_only","debated")))</x:f>
        <x:v>operational_only</x:v>
      </x:c>
      <x:c r="AE81" s="12" t="str">
        <x:f>IF(AC81="deprecated","deprecated",IF(M81="yes","active",IF(M81="review","review_required","backlog")))</x:f>
        <x:v>backlog</x:v>
      </x:c>
      <x:c r="AF81" s="12" t="str">
        <x:f>IF(OR(AE81="active",AE81="review_required"),"yes","no")</x:f>
        <x:v>no</x:v>
      </x:c>
      <x:c r="AG81" s="12" t="str">
        <x:f>IF(AND(AE81="active",M81="yes",NOT(ISNUMBER(SEARCH("healthy",AB81)))),"yes","no")</x:f>
        <x:v>no</x:v>
      </x:c>
      <x:c r="AH81" s="12" t="str">
        <x:f>IF(OR(H81="contextual",H81="dialogue",H81="discourse",I81="claim+context",I81="discourse_segment"),"yes","no")</x:f>
        <x:v>yes</x:v>
      </x:c>
      <x:c r="AI81" s="12" t="str">
        <x:f>IF(OR(AH81="yes",AD81="debated",AC81="operational"),"yes","no")</x:f>
        <x:v>yes</x:v>
      </x:c>
      <x:c r="AJ81" s="12" t="str">
        <x:f>IF(OR(AH81="yes",AC81="operational",AD81="debated"),"high",IF(AND(AG81="yes",L81="P0"),"medium","low"))</x:f>
        <x:v>high</x:v>
      </x:c>
      <x:c r="AK81" s="12" t="str">
        <x:f>IF(ISNUMBER(SEARCH("healthy",AB81)),"yes","no")</x:f>
        <x:v>no</x:v>
      </x:c>
      <x:c r="AL81" s="12" t="str">
        <x:f>IF(AG81="yes","yes","candidate_only")</x:f>
        <x:v>candidate_only</x:v>
      </x:c>
      <x:c r="AM81" s="12" t="str">
        <x:f>IF(OR(AC81="canonical",AG81="yes"),"yes","recommended")</x:f>
        <x:v>recommended</x:v>
      </x:c>
      <x:c r="AN81" s="12" t="str">
        <x:f>IF(AC81="deprecated","exclude",IF(AND(AG81="yes",AJ81="high"),"import_but_human_review_required",IF(AG81="yes","import_as_active","import_as_backlog")))</x:f>
        <x:v>import_as_backlog</x:v>
      </x:c>
      <x:c r="AO81" s="12" t="str">
        <x:f>IF(AND(AG81="yes",OR(P81="",Q81="",R81="",S81="")),"missing_required_mvp_fields",IF(AND(AC81="canonical",Y81=""),"missing_source_ref","ok"))</x:f>
        <x:v>ok</x:v>
      </x:c>
      <x:c r="AP81" s="12" t="str">
        <x:f>IF(AO81="ok","ready_for_codex_import","needs_review")</x:f>
        <x:v>ready_for_codex_import</x:v>
      </x:c>
      <x:c r="AQ81" s="12"/>
      <x:c r="AR81" s="12" t="str">
        <x:v>Added v2 operational fields. Review before classification activation.</x:v>
      </x:c>
    </x:row>
    <x:row r="82">
      <x:c r="A82" s="13" t="str">
        <x:v>cum_hoc_explicit_marker</x:v>
      </x:c>
      <x:c r="B82" s="13" t="str">
        <x:v>cum_hoc</x:v>
      </x:c>
      <x:c r="C82" s="13" t="str">
        <x:v>Cum hoc ergo propter hoc</x:v>
      </x:c>
      <x:c r="D82" s="13" t="str">
        <x:v>همزمانی به جای علیت</x:v>
      </x:c>
      <x:c r="E82" s="13" t="str">
        <x:v>Explicit lexical marker</x:v>
      </x:c>
      <x:c r="F82" s="13" t="str">
        <x:v>reasoning_failures</x:v>
      </x:c>
      <x:c r="G82" s="13" t="str">
        <x:v>operational_variant</x:v>
      </x:c>
      <x:c r="H82" s="13" t="str">
        <x:v>contextual</x:v>
      </x:c>
      <x:c r="I82" s="13" t="str">
        <x:v>claim+context</x:v>
      </x:c>
      <x:c r="J82" s="13" t="str">
        <x:v>derived_operational_subtype</x:v>
      </x:c>
      <x:c r="K82" s="13" t="str">
        <x:v>derived_from_established_parent_review_required</x:v>
      </x:c>
      <x:c r="L82" s="13" t="str">
        <x:v>P2</x:v>
      </x:c>
      <x:c r="M82" s="13" t="str">
        <x:v>no</x:v>
      </x:c>
      <x:c r="N82" s="13" t="str">
        <x:v>Operational subtype under Cum hoc ergo propter hoc: the pattern is cued by strong connective or evaluative language. Parent definition: Inferring causation from co-occurrence alone.</x:v>
      </x:c>
      <x:c r="O82" s="13" t="str">
        <x:v>Look for: explicit claim-level evidence; parent-family cues for Cum hoc ergo propter hoc; variant cue: the pattern is cued by strong connective or evaluative language; avoid author-level inference.</x:v>
      </x:c>
      <x:c r="P82" s="13" t="str">
        <x:v>Exact evidence span in text plus claim-level reasoning link; for contextual/discourse entries, require surrounding context.</x:v>
      </x:c>
      <x:c r="Q82" s="13" t="str">
        <x:v>Do not label merely because topic is controversial, emotional, or wrong. Do not judge intent or personality. Require textual evidence and consider healthy-reasoning cues.</x:v>
      </x:c>
      <x:c r="R82" s="13" t="str">
        <x:v>Stub: A claim relies on the pattern is cued by strong connective or evaluative language to support a conclusion without adequate qualification.</x:v>
      </x:c>
      <x:c r="S82" s="13" t="str">
        <x:v>Stub: A claim discusses cum hoc ergo propter hoc with caveats, balanced evidence, or no argumentative use of the pattern.</x:v>
      </x:c>
      <x:c r="T82" s="13" t="str">
        <x:v>Mild or ambiguous cue; do not classify without clear evidence span.</x:v>
      </x:c>
      <x:c r="U82" s="13" t="str">
        <x:v>Clear claim-level pattern with some argumentative impact.</x:v>
      </x:c>
      <x:c r="V82" s="13" t="str">
        <x:v>Strong pattern central to the conclusion and likely to materially distort reasoning.</x:v>
      </x:c>
      <x:c r="W82" s="13" t="str"/>
      <x:c r="X82" s="13" t="str">
        <x:v>sep_fallacies</x:v>
      </x:c>
      <x:c r="Y82" s="13" t="str">
        <x:v>https://plato.stanford.edu/entries/fallacies/</x:v>
      </x:c>
      <x:c r="Z82" s="13" t="str">
        <x:v>Review before enabling. This workbook is a living taxonomy scaffold, not a validated scientific benchmark.</x:v>
      </x:c>
      <x:c r="AA82" s="13" t="str">
        <x:v>0.1.0-draft</x:v>
      </x:c>
      <x:c r="AB82" s="12" t="str">
        <x:f>IF(ISNUMBER(SEARCH("healthy",F82)),"healthy_reasoning_patterns",IF(ISNUMBER(SEARCH("statistical",F82)),"statistical_reasoning",IF(ISNUMBER(SEARCH("causal",F82)),"causal_reasoning",IF(ISNUMBER(SEARCH("social",F82)),"social_influence",IF(ISNUMBER(SEARCH("rhetoric",F82)),"rhetoric_discourse",IF(ISNUMBER(SEARCH("behavior",F82)),"behavioural_economics",IF(ISNUMBER(SEARCH("cognitive",F82)),"cognitive_biases",IF(J82="protective_pattern","healthy_reasoning_patterns",IF(L82="P0","core_mvp","extended_fallacies")))))))))</x:f>
        <x:v>extended_fallacies</x:v>
      </x:c>
      <x:c r="AC82" s="12" t="str">
        <x:f>IF(ISNUMBER(SEARCH("operational",J82)),"operational",IF(ISNUMBER(SEARCH("deprecated",J82)),"deprecated",IF(L82="P0","canonical","recognized_subtype")))</x:f>
        <x:v>operational</x:v>
      </x:c>
      <x:c r="AD82" s="12" t="str">
        <x:f>IF(AC82="canonical","high",IF(AC82="recognized_subtype","medium",IF(AC82="operational","operational_only","debated")))</x:f>
        <x:v>operational_only</x:v>
      </x:c>
      <x:c r="AE82" s="12" t="str">
        <x:f>IF(AC82="deprecated","deprecated",IF(M82="yes","active",IF(M82="review","review_required","backlog")))</x:f>
        <x:v>backlog</x:v>
      </x:c>
      <x:c r="AF82" s="12" t="str">
        <x:f>IF(OR(AE82="active",AE82="review_required"),"yes","no")</x:f>
        <x:v>no</x:v>
      </x:c>
      <x:c r="AG82" s="12" t="str">
        <x:f>IF(AND(AE82="active",M82="yes",NOT(ISNUMBER(SEARCH("healthy",AB82)))),"yes","no")</x:f>
        <x:v>no</x:v>
      </x:c>
      <x:c r="AH82" s="12" t="str">
        <x:f>IF(OR(H82="contextual",H82="dialogue",H82="discourse",I82="claim+context",I82="discourse_segment"),"yes","no")</x:f>
        <x:v>yes</x:v>
      </x:c>
      <x:c r="AI82" s="12" t="str">
        <x:f>IF(OR(AH82="yes",AD82="debated",AC82="operational"),"yes","no")</x:f>
        <x:v>yes</x:v>
      </x:c>
      <x:c r="AJ82" s="12" t="str">
        <x:f>IF(OR(AH82="yes",AC82="operational",AD82="debated"),"high",IF(AND(AG82="yes",L82="P0"),"medium","low"))</x:f>
        <x:v>high</x:v>
      </x:c>
      <x:c r="AK82" s="12" t="str">
        <x:f>IF(ISNUMBER(SEARCH("healthy",AB82)),"yes","no")</x:f>
        <x:v>no</x:v>
      </x:c>
      <x:c r="AL82" s="12" t="str">
        <x:f>IF(AG82="yes","yes","candidate_only")</x:f>
        <x:v>candidate_only</x:v>
      </x:c>
      <x:c r="AM82" s="12" t="str">
        <x:f>IF(OR(AC82="canonical",AG82="yes"),"yes","recommended")</x:f>
        <x:v>recommended</x:v>
      </x:c>
      <x:c r="AN82" s="12" t="str">
        <x:f>IF(AC82="deprecated","exclude",IF(AND(AG82="yes",AJ82="high"),"import_but_human_review_required",IF(AG82="yes","import_as_active","import_as_backlog")))</x:f>
        <x:v>import_as_backlog</x:v>
      </x:c>
      <x:c r="AO82" s="12" t="str">
        <x:f>IF(AND(AG82="yes",OR(P82="",Q82="",R82="",S82="")),"missing_required_mvp_fields",IF(AND(AC82="canonical",Y82=""),"missing_source_ref","ok"))</x:f>
        <x:v>ok</x:v>
      </x:c>
      <x:c r="AP82" s="12" t="str">
        <x:f>IF(AO82="ok","ready_for_codex_import","needs_review")</x:f>
        <x:v>ready_for_codex_import</x:v>
      </x:c>
      <x:c r="AQ82" s="12"/>
      <x:c r="AR82" s="12" t="str">
        <x:v>Added v2 operational fields. Review before classification activation.</x:v>
      </x:c>
    </x:row>
    <x:row r="83">
      <x:c r="A83" s="13" t="str">
        <x:v>non_sequitur_explicit_marker</x:v>
      </x:c>
      <x:c r="B83" s="13" t="str">
        <x:v>non_sequitur</x:v>
      </x:c>
      <x:c r="C83" s="13" t="str">
        <x:v>Non sequitur</x:v>
      </x:c>
      <x:c r="D83" s="13" t="str">
        <x:v>نتیجه نامنبع</x:v>
      </x:c>
      <x:c r="E83" s="13" t="str">
        <x:v>Explicit lexical marker</x:v>
      </x:c>
      <x:c r="F83" s="13" t="str">
        <x:v>reasoning_failures</x:v>
      </x:c>
      <x:c r="G83" s="13" t="str">
        <x:v>operational_variant</x:v>
      </x:c>
      <x:c r="H83" s="13" t="str">
        <x:v>structural</x:v>
      </x:c>
      <x:c r="I83" s="13" t="str">
        <x:v>claim</x:v>
      </x:c>
      <x:c r="J83" s="13" t="str">
        <x:v>derived_operational_subtype</x:v>
      </x:c>
      <x:c r="K83" s="13" t="str">
        <x:v>derived_from_established_parent_review_required</x:v>
      </x:c>
      <x:c r="L83" s="13" t="str">
        <x:v>P2</x:v>
      </x:c>
      <x:c r="M83" s="13" t="str">
        <x:v>no</x:v>
      </x:c>
      <x:c r="N83" s="13" t="str">
        <x:v>Operational subtype under Non sequitur: the pattern is cued by strong connective or evaluative language. Parent definition: Drawing a conclusion that does not follow from the stated reasons.</x:v>
      </x:c>
      <x:c r="O83" s="13" t="str">
        <x:v>Look for: explicit claim-level evidence; parent-family cues for Non sequitur; variant cue: the pattern is cued by strong connective or evaluative language; avoid author-level inference.</x:v>
      </x:c>
      <x:c r="P83" s="13" t="str">
        <x:v>Exact evidence span in text plus claim-level reasoning link; for contextual/discourse entries, require surrounding context.</x:v>
      </x:c>
      <x:c r="Q83" s="13" t="str">
        <x:v>Do not label merely because topic is controversial, emotional, or wrong. Do not judge intent or personality. Require textual evidence and consider healthy-reasoning cues.</x:v>
      </x:c>
      <x:c r="R83" s="13" t="str">
        <x:v>Stub: A claim relies on the pattern is cued by strong connective or evaluative language to support a conclusion without adequate qualification.</x:v>
      </x:c>
      <x:c r="S83" s="13" t="str">
        <x:v>Stub: A claim discusses non sequitur with caveats, balanced evidence, or no argumentative use of the pattern.</x:v>
      </x:c>
      <x:c r="T83" s="13" t="str">
        <x:v>Mild or ambiguous cue; do not classify without clear evidence span.</x:v>
      </x:c>
      <x:c r="U83" s="13" t="str">
        <x:v>Clear claim-level pattern with some argumentative impact.</x:v>
      </x:c>
      <x:c r="V83" s="13" t="str">
        <x:v>Strong pattern central to the conclusion and likely to materially distort reasoning.</x:v>
      </x:c>
      <x:c r="W83" s="13" t="str"/>
      <x:c r="X83" s="13" t="str">
        <x:v>sep_fallacies</x:v>
      </x:c>
      <x:c r="Y83" s="13" t="str">
        <x:v>https://plato.stanford.edu/entries/fallacies/</x:v>
      </x:c>
      <x:c r="Z83" s="13" t="str">
        <x:v>Review before enabling. This workbook is a living taxonomy scaffold, not a validated scientific benchmark.</x:v>
      </x:c>
      <x:c r="AA83" s="13" t="str">
        <x:v>0.1.0-draft</x:v>
      </x:c>
      <x:c r="AB83" s="12" t="str">
        <x:f>IF(ISNUMBER(SEARCH("healthy",F83)),"healthy_reasoning_patterns",IF(ISNUMBER(SEARCH("statistical",F83)),"statistical_reasoning",IF(ISNUMBER(SEARCH("causal",F83)),"causal_reasoning",IF(ISNUMBER(SEARCH("social",F83)),"social_influence",IF(ISNUMBER(SEARCH("rhetoric",F83)),"rhetoric_discourse",IF(ISNUMBER(SEARCH("behavior",F83)),"behavioural_economics",IF(ISNUMBER(SEARCH("cognitive",F83)),"cognitive_biases",IF(J83="protective_pattern","healthy_reasoning_patterns",IF(L83="P0","core_mvp","extended_fallacies")))))))))</x:f>
        <x:v>extended_fallacies</x:v>
      </x:c>
      <x:c r="AC83" s="12" t="str">
        <x:f>IF(ISNUMBER(SEARCH("operational",J83)),"operational",IF(ISNUMBER(SEARCH("deprecated",J83)),"deprecated",IF(L83="P0","canonical","recognized_subtype")))</x:f>
        <x:v>operational</x:v>
      </x:c>
      <x:c r="AD83" s="12" t="str">
        <x:f>IF(AC83="canonical","high",IF(AC83="recognized_subtype","medium",IF(AC83="operational","operational_only","debated")))</x:f>
        <x:v>operational_only</x:v>
      </x:c>
      <x:c r="AE83" s="12" t="str">
        <x:f>IF(AC83="deprecated","deprecated",IF(M83="yes","active",IF(M83="review","review_required","backlog")))</x:f>
        <x:v>backlog</x:v>
      </x:c>
      <x:c r="AF83" s="12" t="str">
        <x:f>IF(OR(AE83="active",AE83="review_required"),"yes","no")</x:f>
        <x:v>no</x:v>
      </x:c>
      <x:c r="AG83" s="12" t="str">
        <x:f>IF(AND(AE83="active",M83="yes",NOT(ISNUMBER(SEARCH("healthy",AB83)))),"yes","no")</x:f>
        <x:v>no</x:v>
      </x:c>
      <x:c r="AH83" s="12" t="str">
        <x:f>IF(OR(H83="contextual",H83="dialogue",H83="discourse",I83="claim+context",I83="discourse_segment"),"yes","no")</x:f>
        <x:v>no</x:v>
      </x:c>
      <x:c r="AI83" s="12" t="str">
        <x:f>IF(OR(AH83="yes",AD83="debated",AC83="operational"),"yes","no")</x:f>
        <x:v>yes</x:v>
      </x:c>
      <x:c r="AJ83" s="12" t="str">
        <x:f>IF(OR(AH83="yes",AC83="operational",AD83="debated"),"high",IF(AND(AG83="yes",L83="P0"),"medium","low"))</x:f>
        <x:v>high</x:v>
      </x:c>
      <x:c r="AK83" s="12" t="str">
        <x:f>IF(ISNUMBER(SEARCH("healthy",AB83)),"yes","no")</x:f>
        <x:v>no</x:v>
      </x:c>
      <x:c r="AL83" s="12" t="str">
        <x:f>IF(AG83="yes","yes","candidate_only")</x:f>
        <x:v>candidate_only</x:v>
      </x:c>
      <x:c r="AM83" s="12" t="str">
        <x:f>IF(OR(AC83="canonical",AG83="yes"),"yes","recommended")</x:f>
        <x:v>recommended</x:v>
      </x:c>
      <x:c r="AN83" s="12" t="str">
        <x:f>IF(AC83="deprecated","exclude",IF(AND(AG83="yes",AJ83="high"),"import_but_human_review_required",IF(AG83="yes","import_as_active","import_as_backlog")))</x:f>
        <x:v>import_as_backlog</x:v>
      </x:c>
      <x:c r="AO83" s="12" t="str">
        <x:f>IF(AND(AG83="yes",OR(P83="",Q83="",R83="",S83="")),"missing_required_mvp_fields",IF(AND(AC83="canonical",Y83=""),"missing_source_ref","ok"))</x:f>
        <x:v>ok</x:v>
      </x:c>
      <x:c r="AP83" s="12" t="str">
        <x:f>IF(AO83="ok","ready_for_codex_import","needs_review")</x:f>
        <x:v>ready_for_codex_import</x:v>
      </x:c>
      <x:c r="AQ83" s="12"/>
      <x:c r="AR83" s="12" t="str">
        <x:v>Added v2 operational fields. Review before classification activation.</x:v>
      </x:c>
    </x:row>
    <x:row r="84">
      <x:c r="A84" s="13" t="str">
        <x:v>affirming_consequent_explicit_marker</x:v>
      </x:c>
      <x:c r="B84" s="13" t="str">
        <x:v>affirming_consequent</x:v>
      </x:c>
      <x:c r="C84" s="13" t="str">
        <x:v>Affirming the consequent</x:v>
      </x:c>
      <x:c r="D84" s="13" t="str">
        <x:v>اثبات تالی</x:v>
      </x:c>
      <x:c r="E84" s="13" t="str">
        <x:v>Explicit lexical marker</x:v>
      </x:c>
      <x:c r="F84" s="13" t="str">
        <x:v>reasoning_failures</x:v>
      </x:c>
      <x:c r="G84" s="13" t="str">
        <x:v>operational_variant</x:v>
      </x:c>
      <x:c r="H84" s="13" t="str">
        <x:v>formal</x:v>
      </x:c>
      <x:c r="I84" s="13" t="str">
        <x:v>claim</x:v>
      </x:c>
      <x:c r="J84" s="13" t="str">
        <x:v>derived_operational_subtype</x:v>
      </x:c>
      <x:c r="K84" s="13" t="str">
        <x:v>derived_from_established_parent_review_required</x:v>
      </x:c>
      <x:c r="L84" s="13" t="str">
        <x:v>P2</x:v>
      </x:c>
      <x:c r="M84" s="13" t="str">
        <x:v>no</x:v>
      </x:c>
      <x:c r="N84" s="13" t="str">
        <x:v>Operational subtype under Affirming the consequent: the pattern is cued by strong connective or evaluative language. Parent definition: Inferring a sufficient condition from the consequent in a conditional.</x:v>
      </x:c>
      <x:c r="O84" s="13" t="str">
        <x:v>Look for: explicit claim-level evidence; parent-family cues for Affirming the consequent; variant cue: the pattern is cued by strong connective or evaluative language; avoid author-level inference.</x:v>
      </x:c>
      <x:c r="P84" s="13" t="str">
        <x:v>Exact evidence span in text plus claim-level reasoning link; for contextual/discourse entries, require surrounding context.</x:v>
      </x:c>
      <x:c r="Q84" s="13" t="str">
        <x:v>Do not label merely because topic is controversial, emotional, or wrong. Do not judge intent or personality. Require textual evidence and consider healthy-reasoning cues.</x:v>
      </x:c>
      <x:c r="R84" s="13" t="str">
        <x:v>Stub: A claim relies on the pattern is cued by strong connective or evaluative language to support a conclusion without adequate qualification.</x:v>
      </x:c>
      <x:c r="S84" s="13" t="str">
        <x:v>Stub: A claim discusses affirming the consequent with caveats, balanced evidence, or no argumentative use of the pattern.</x:v>
      </x:c>
      <x:c r="T84" s="13" t="str">
        <x:v>Mild or ambiguous cue; do not classify without clear evidence span.</x:v>
      </x:c>
      <x:c r="U84" s="13" t="str">
        <x:v>Clear claim-level pattern with some argumentative impact.</x:v>
      </x:c>
      <x:c r="V84" s="13" t="str">
        <x:v>Strong pattern central to the conclusion and likely to materially distort reasoning.</x:v>
      </x:c>
      <x:c r="W84" s="13" t="str"/>
      <x:c r="X84" s="13" t="str">
        <x:v>sep_fallacies</x:v>
      </x:c>
      <x:c r="Y84" s="13" t="str">
        <x:v>https://plato.stanford.edu/entries/fallacies/</x:v>
      </x:c>
      <x:c r="Z84" s="13" t="str">
        <x:v>Review before enabling. This workbook is a living taxonomy scaffold, not a validated scientific benchmark.</x:v>
      </x:c>
      <x:c r="AA84" s="13" t="str">
        <x:v>0.1.0-draft</x:v>
      </x:c>
      <x:c r="AB84" s="12" t="str">
        <x:f>IF(ISNUMBER(SEARCH("healthy",F84)),"healthy_reasoning_patterns",IF(ISNUMBER(SEARCH("statistical",F84)),"statistical_reasoning",IF(ISNUMBER(SEARCH("causal",F84)),"causal_reasoning",IF(ISNUMBER(SEARCH("social",F84)),"social_influence",IF(ISNUMBER(SEARCH("rhetoric",F84)),"rhetoric_discourse",IF(ISNUMBER(SEARCH("behavior",F84)),"behavioural_economics",IF(ISNUMBER(SEARCH("cognitive",F84)),"cognitive_biases",IF(J84="protective_pattern","healthy_reasoning_patterns",IF(L84="P0","core_mvp","extended_fallacies")))))))))</x:f>
        <x:v>extended_fallacies</x:v>
      </x:c>
      <x:c r="AC84" s="12" t="str">
        <x:f>IF(ISNUMBER(SEARCH("operational",J84)),"operational",IF(ISNUMBER(SEARCH("deprecated",J84)),"deprecated",IF(L84="P0","canonical","recognized_subtype")))</x:f>
        <x:v>operational</x:v>
      </x:c>
      <x:c r="AD84" s="12" t="str">
        <x:f>IF(AC84="canonical","high",IF(AC84="recognized_subtype","medium",IF(AC84="operational","operational_only","debated")))</x:f>
        <x:v>operational_only</x:v>
      </x:c>
      <x:c r="AE84" s="12" t="str">
        <x:f>IF(AC84="deprecated","deprecated",IF(M84="yes","active",IF(M84="review","review_required","backlog")))</x:f>
        <x:v>backlog</x:v>
      </x:c>
      <x:c r="AF84" s="12" t="str">
        <x:f>IF(OR(AE84="active",AE84="review_required"),"yes","no")</x:f>
        <x:v>no</x:v>
      </x:c>
      <x:c r="AG84" s="12" t="str">
        <x:f>IF(AND(AE84="active",M84="yes",NOT(ISNUMBER(SEARCH("healthy",AB84)))),"yes","no")</x:f>
        <x:v>no</x:v>
      </x:c>
      <x:c r="AH84" s="12" t="str">
        <x:f>IF(OR(H84="contextual",H84="dialogue",H84="discourse",I84="claim+context",I84="discourse_segment"),"yes","no")</x:f>
        <x:v>no</x:v>
      </x:c>
      <x:c r="AI84" s="12" t="str">
        <x:f>IF(OR(AH84="yes",AD84="debated",AC84="operational"),"yes","no")</x:f>
        <x:v>yes</x:v>
      </x:c>
      <x:c r="AJ84" s="12" t="str">
        <x:f>IF(OR(AH84="yes",AC84="operational",AD84="debated"),"high",IF(AND(AG84="yes",L84="P0"),"medium","low"))</x:f>
        <x:v>high</x:v>
      </x:c>
      <x:c r="AK84" s="12" t="str">
        <x:f>IF(ISNUMBER(SEARCH("healthy",AB84)),"yes","no")</x:f>
        <x:v>no</x:v>
      </x:c>
      <x:c r="AL84" s="12" t="str">
        <x:f>IF(AG84="yes","yes","candidate_only")</x:f>
        <x:v>candidate_only</x:v>
      </x:c>
      <x:c r="AM84" s="12" t="str">
        <x:f>IF(OR(AC84="canonical",AG84="yes"),"yes","recommended")</x:f>
        <x:v>recommended</x:v>
      </x:c>
      <x:c r="AN84" s="12" t="str">
        <x:f>IF(AC84="deprecated","exclude",IF(AND(AG84="yes",AJ84="high"),"import_but_human_review_required",IF(AG84="yes","import_as_active","import_as_backlog")))</x:f>
        <x:v>import_as_backlog</x:v>
      </x:c>
      <x:c r="AO84" s="12" t="str">
        <x:f>IF(AND(AG84="yes",OR(P84="",Q84="",R84="",S84="")),"missing_required_mvp_fields",IF(AND(AC84="canonical",Y84=""),"missing_source_ref","ok"))</x:f>
        <x:v>ok</x:v>
      </x:c>
      <x:c r="AP84" s="12" t="str">
        <x:f>IF(AO84="ok","ready_for_codex_import","needs_review")</x:f>
        <x:v>ready_for_codex_import</x:v>
      </x:c>
      <x:c r="AQ84" s="12"/>
      <x:c r="AR84" s="12" t="str">
        <x:v>Added v2 operational fields. Review before classification activation.</x:v>
      </x:c>
    </x:row>
    <x:row r="85">
      <x:c r="A85" s="13" t="str">
        <x:v>denying_antecedent_explicit_marker</x:v>
      </x:c>
      <x:c r="B85" s="13" t="str">
        <x:v>denying_antecedent</x:v>
      </x:c>
      <x:c r="C85" s="13" t="str">
        <x:v>Denying the antecedent</x:v>
      </x:c>
      <x:c r="D85" s="13" t="str">
        <x:v>انکار مقدم</x:v>
      </x:c>
      <x:c r="E85" s="13" t="str">
        <x:v>Explicit lexical marker</x:v>
      </x:c>
      <x:c r="F85" s="13" t="str">
        <x:v>reasoning_failures</x:v>
      </x:c>
      <x:c r="G85" s="13" t="str">
        <x:v>operational_variant</x:v>
      </x:c>
      <x:c r="H85" s="13" t="str">
        <x:v>formal</x:v>
      </x:c>
      <x:c r="I85" s="13" t="str">
        <x:v>claim</x:v>
      </x:c>
      <x:c r="J85" s="13" t="str">
        <x:v>derived_operational_subtype</x:v>
      </x:c>
      <x:c r="K85" s="13" t="str">
        <x:v>derived_from_established_parent_review_required</x:v>
      </x:c>
      <x:c r="L85" s="13" t="str">
        <x:v>P2</x:v>
      </x:c>
      <x:c r="M85" s="13" t="str">
        <x:v>no</x:v>
      </x:c>
      <x:c r="N85" s="13" t="str">
        <x:v>Operational subtype under Denying the antecedent: the pattern is cued by strong connective or evaluative language. Parent definition: Inferring the negation of the consequent from the negation of the antecedent.</x:v>
      </x:c>
      <x:c r="O85" s="13" t="str">
        <x:v>Look for: explicit claim-level evidence; parent-family cues for Denying the antecedent; variant cue: the pattern is cued by strong connective or evaluative language; avoid author-level inference.</x:v>
      </x:c>
      <x:c r="P85" s="13" t="str">
        <x:v>Exact evidence span in text plus claim-level reasoning link; for contextual/discourse entries, require surrounding context.</x:v>
      </x:c>
      <x:c r="Q85" s="13" t="str">
        <x:v>Do not label merely because topic is controversial, emotional, or wrong. Do not judge intent or personality. Require textual evidence and consider healthy-reasoning cues.</x:v>
      </x:c>
      <x:c r="R85" s="13" t="str">
        <x:v>Stub: A claim relies on the pattern is cued by strong connective or evaluative language to support a conclusion without adequate qualification.</x:v>
      </x:c>
      <x:c r="S85" s="13" t="str">
        <x:v>Stub: A claim discusses denying the antecedent with caveats, balanced evidence, or no argumentative use of the pattern.</x:v>
      </x:c>
      <x:c r="T85" s="13" t="str">
        <x:v>Mild or ambiguous cue; do not classify without clear evidence span.</x:v>
      </x:c>
      <x:c r="U85" s="13" t="str">
        <x:v>Clear claim-level pattern with some argumentative impact.</x:v>
      </x:c>
      <x:c r="V85" s="13" t="str">
        <x:v>Strong pattern central to the conclusion and likely to materially distort reasoning.</x:v>
      </x:c>
      <x:c r="W85" s="13" t="str"/>
      <x:c r="X85" s="13" t="str">
        <x:v>sep_fallacies</x:v>
      </x:c>
      <x:c r="Y85" s="13" t="str">
        <x:v>https://plato.stanford.edu/entries/fallacies/</x:v>
      </x:c>
      <x:c r="Z85" s="13" t="str">
        <x:v>Review before enabling. This workbook is a living taxonomy scaffold, not a validated scientific benchmark.</x:v>
      </x:c>
      <x:c r="AA85" s="13" t="str">
        <x:v>0.1.0-draft</x:v>
      </x:c>
      <x:c r="AB85" s="12" t="str">
        <x:f>IF(ISNUMBER(SEARCH("healthy",F85)),"healthy_reasoning_patterns",IF(ISNUMBER(SEARCH("statistical",F85)),"statistical_reasoning",IF(ISNUMBER(SEARCH("causal",F85)),"causal_reasoning",IF(ISNUMBER(SEARCH("social",F85)),"social_influence",IF(ISNUMBER(SEARCH("rhetoric",F85)),"rhetoric_discourse",IF(ISNUMBER(SEARCH("behavior",F85)),"behavioural_economics",IF(ISNUMBER(SEARCH("cognitive",F85)),"cognitive_biases",IF(J85="protective_pattern","healthy_reasoning_patterns",IF(L85="P0","core_mvp","extended_fallacies")))))))))</x:f>
        <x:v>extended_fallacies</x:v>
      </x:c>
      <x:c r="AC85" s="12" t="str">
        <x:f>IF(ISNUMBER(SEARCH("operational",J85)),"operational",IF(ISNUMBER(SEARCH("deprecated",J85)),"deprecated",IF(L85="P0","canonical","recognized_subtype")))</x:f>
        <x:v>operational</x:v>
      </x:c>
      <x:c r="AD85" s="12" t="str">
        <x:f>IF(AC85="canonical","high",IF(AC85="recognized_subtype","medium",IF(AC85="operational","operational_only","debated")))</x:f>
        <x:v>operational_only</x:v>
      </x:c>
      <x:c r="AE85" s="12" t="str">
        <x:f>IF(AC85="deprecated","deprecated",IF(M85="yes","active",IF(M85="review","review_required","backlog")))</x:f>
        <x:v>backlog</x:v>
      </x:c>
      <x:c r="AF85" s="12" t="str">
        <x:f>IF(OR(AE85="active",AE85="review_required"),"yes","no")</x:f>
        <x:v>no</x:v>
      </x:c>
      <x:c r="AG85" s="12" t="str">
        <x:f>IF(AND(AE85="active",M85="yes",NOT(ISNUMBER(SEARCH("healthy",AB85)))),"yes","no")</x:f>
        <x:v>no</x:v>
      </x:c>
      <x:c r="AH85" s="12" t="str">
        <x:f>IF(OR(H85="contextual",H85="dialogue",H85="discourse",I85="claim+context",I85="discourse_segment"),"yes","no")</x:f>
        <x:v>no</x:v>
      </x:c>
      <x:c r="AI85" s="12" t="str">
        <x:f>IF(OR(AH85="yes",AD85="debated",AC85="operational"),"yes","no")</x:f>
        <x:v>yes</x:v>
      </x:c>
      <x:c r="AJ85" s="12" t="str">
        <x:f>IF(OR(AH85="yes",AC85="operational",AD85="debated"),"high",IF(AND(AG85="yes",L85="P0"),"medium","low"))</x:f>
        <x:v>high</x:v>
      </x:c>
      <x:c r="AK85" s="12" t="str">
        <x:f>IF(ISNUMBER(SEARCH("healthy",AB85)),"yes","no")</x:f>
        <x:v>no</x:v>
      </x:c>
      <x:c r="AL85" s="12" t="str">
        <x:f>IF(AG85="yes","yes","candidate_only")</x:f>
        <x:v>candidate_only</x:v>
      </x:c>
      <x:c r="AM85" s="12" t="str">
        <x:f>IF(OR(AC85="canonical",AG85="yes"),"yes","recommended")</x:f>
        <x:v>recommended</x:v>
      </x:c>
      <x:c r="AN85" s="12" t="str">
        <x:f>IF(AC85="deprecated","exclude",IF(AND(AG85="yes",AJ85="high"),"import_but_human_review_required",IF(AG85="yes","import_as_active","import_as_backlog")))</x:f>
        <x:v>import_as_backlog</x:v>
      </x:c>
      <x:c r="AO85" s="12" t="str">
        <x:f>IF(AND(AG85="yes",OR(P85="",Q85="",R85="",S85="")),"missing_required_mvp_fields",IF(AND(AC85="canonical",Y85=""),"missing_source_ref","ok"))</x:f>
        <x:v>ok</x:v>
      </x:c>
      <x:c r="AP85" s="12" t="str">
        <x:f>IF(AO85="ok","ready_for_codex_import","needs_review")</x:f>
        <x:v>ready_for_codex_import</x:v>
      </x:c>
      <x:c r="AQ85" s="12"/>
      <x:c r="AR85" s="12" t="str">
        <x:v>Added v2 operational fields. Review before classification activation.</x:v>
      </x:c>
    </x:row>
    <x:row r="86">
      <x:c r="A86" s="13" t="str">
        <x:v>faulty_analogy_explicit_marker</x:v>
      </x:c>
      <x:c r="B86" s="13" t="str">
        <x:v>faulty_analogy</x:v>
      </x:c>
      <x:c r="C86" s="13" t="str">
        <x:v>Faulty analogy</x:v>
      </x:c>
      <x:c r="D86" s="13" t="str">
        <x:v>قیاس مع‌الفارق</x:v>
      </x:c>
      <x:c r="E86" s="13" t="str">
        <x:v>Explicit lexical marker</x:v>
      </x:c>
      <x:c r="F86" s="13" t="str">
        <x:v>reasoning_failures</x:v>
      </x:c>
      <x:c r="G86" s="13" t="str">
        <x:v>operational_variant</x:v>
      </x:c>
      <x:c r="H86" s="13" t="str">
        <x:v>structural</x:v>
      </x:c>
      <x:c r="I86" s="13" t="str">
        <x:v>claim</x:v>
      </x:c>
      <x:c r="J86" s="13" t="str">
        <x:v>derived_operational_subtype</x:v>
      </x:c>
      <x:c r="K86" s="13" t="str">
        <x:v>derived_from_established_parent_review_required</x:v>
      </x:c>
      <x:c r="L86" s="13" t="str">
        <x:v>P2</x:v>
      </x:c>
      <x:c r="M86" s="13" t="str">
        <x:v>no</x:v>
      </x:c>
      <x:c r="N86" s="13" t="str">
        <x:v>Operational subtype under Faulty analogy: the pattern is cued by strong connective or evaluative language. Parent definition: Using an analogy while ignoring relevant disanalogies.</x:v>
      </x:c>
      <x:c r="O86" s="13" t="str">
        <x:v>Look for: explicit claim-level evidence; parent-family cues for Faulty analogy; variant cue: the pattern is cued by strong connective or evaluative language; avoid author-level inference.</x:v>
      </x:c>
      <x:c r="P86" s="13" t="str">
        <x:v>Exact evidence span in text plus claim-level reasoning link; for contextual/discourse entries, require surrounding context.</x:v>
      </x:c>
      <x:c r="Q86" s="13" t="str">
        <x:v>Do not label merely because topic is controversial, emotional, or wrong. Do not judge intent or personality. Require textual evidence and consider healthy-reasoning cues.</x:v>
      </x:c>
      <x:c r="R86" s="13" t="str">
        <x:v>Stub: A claim relies on the pattern is cued by strong connective or evaluative language to support a conclusion without adequate qualification.</x:v>
      </x:c>
      <x:c r="S86" s="13" t="str">
        <x:v>Stub: A claim discusses faulty analogy with caveats, balanced evidence, or no argumentative use of the pattern.</x:v>
      </x:c>
      <x:c r="T86" s="13" t="str">
        <x:v>Mild or ambiguous cue; do not classify without clear evidence span.</x:v>
      </x:c>
      <x:c r="U86" s="13" t="str">
        <x:v>Clear claim-level pattern with some argumentative impact.</x:v>
      </x:c>
      <x:c r="V86" s="13" t="str">
        <x:v>Strong pattern central to the conclusion and likely to materially distort reasoning.</x:v>
      </x:c>
      <x:c r="W86" s="13" t="str"/>
      <x:c r="X86" s="13" t="str">
        <x:v>walton_argumentation_schemes</x:v>
      </x:c>
      <x:c r="Y86" s="13" t="str">
        <x:v>https://www.cambridge.org/core/books/argumentation-schemes/1D013BFA2695C72B14134F2C38B17B85</x:v>
      </x:c>
      <x:c r="Z86" s="13" t="str">
        <x:v>Review before enabling. This workbook is a living taxonomy scaffold, not a validated scientific benchmark.</x:v>
      </x:c>
      <x:c r="AA86" s="13" t="str">
        <x:v>0.1.0-draft</x:v>
      </x:c>
      <x:c r="AB86" s="12" t="str">
        <x:f>IF(ISNUMBER(SEARCH("healthy",F86)),"healthy_reasoning_patterns",IF(ISNUMBER(SEARCH("statistical",F86)),"statistical_reasoning",IF(ISNUMBER(SEARCH("causal",F86)),"causal_reasoning",IF(ISNUMBER(SEARCH("social",F86)),"social_influence",IF(ISNUMBER(SEARCH("rhetoric",F86)),"rhetoric_discourse",IF(ISNUMBER(SEARCH("behavior",F86)),"behavioural_economics",IF(ISNUMBER(SEARCH("cognitive",F86)),"cognitive_biases",IF(J86="protective_pattern","healthy_reasoning_patterns",IF(L86="P0","core_mvp","extended_fallacies")))))))))</x:f>
        <x:v>extended_fallacies</x:v>
      </x:c>
      <x:c r="AC86" s="12" t="str">
        <x:f>IF(ISNUMBER(SEARCH("operational",J86)),"operational",IF(ISNUMBER(SEARCH("deprecated",J86)),"deprecated",IF(L86="P0","canonical","recognized_subtype")))</x:f>
        <x:v>operational</x:v>
      </x:c>
      <x:c r="AD86" s="12" t="str">
        <x:f>IF(AC86="canonical","high",IF(AC86="recognized_subtype","medium",IF(AC86="operational","operational_only","debated")))</x:f>
        <x:v>operational_only</x:v>
      </x:c>
      <x:c r="AE86" s="12" t="str">
        <x:f>IF(AC86="deprecated","deprecated",IF(M86="yes","active",IF(M86="review","review_required","backlog")))</x:f>
        <x:v>backlog</x:v>
      </x:c>
      <x:c r="AF86" s="12" t="str">
        <x:f>IF(OR(AE86="active",AE86="review_required"),"yes","no")</x:f>
        <x:v>no</x:v>
      </x:c>
      <x:c r="AG86" s="12" t="str">
        <x:f>IF(AND(AE86="active",M86="yes",NOT(ISNUMBER(SEARCH("healthy",AB86)))),"yes","no")</x:f>
        <x:v>no</x:v>
      </x:c>
      <x:c r="AH86" s="12" t="str">
        <x:f>IF(OR(H86="contextual",H86="dialogue",H86="discourse",I86="claim+context",I86="discourse_segment"),"yes","no")</x:f>
        <x:v>no</x:v>
      </x:c>
      <x:c r="AI86" s="12" t="str">
        <x:f>IF(OR(AH86="yes",AD86="debated",AC86="operational"),"yes","no")</x:f>
        <x:v>yes</x:v>
      </x:c>
      <x:c r="AJ86" s="12" t="str">
        <x:f>IF(OR(AH86="yes",AC86="operational",AD86="debated"),"high",IF(AND(AG86="yes",L86="P0"),"medium","low"))</x:f>
        <x:v>high</x:v>
      </x:c>
      <x:c r="AK86" s="12" t="str">
        <x:f>IF(ISNUMBER(SEARCH("healthy",AB86)),"yes","no")</x:f>
        <x:v>no</x:v>
      </x:c>
      <x:c r="AL86" s="12" t="str">
        <x:f>IF(AG86="yes","yes","candidate_only")</x:f>
        <x:v>candidate_only</x:v>
      </x:c>
      <x:c r="AM86" s="12" t="str">
        <x:f>IF(OR(AC86="canonical",AG86="yes"),"yes","recommended")</x:f>
        <x:v>recommended</x:v>
      </x:c>
      <x:c r="AN86" s="12" t="str">
        <x:f>IF(AC86="deprecated","exclude",IF(AND(AG86="yes",AJ86="high"),"import_but_human_review_required",IF(AG86="yes","import_as_active","import_as_backlog")))</x:f>
        <x:v>import_as_backlog</x:v>
      </x:c>
      <x:c r="AO86" s="12" t="str">
        <x:f>IF(AND(AG86="yes",OR(P86="",Q86="",R86="",S86="")),"missing_required_mvp_fields",IF(AND(AC86="canonical",Y86=""),"missing_source_ref","ok"))</x:f>
        <x:v>ok</x:v>
      </x:c>
      <x:c r="AP86" s="12" t="str">
        <x:f>IF(AO86="ok","ready_for_codex_import","needs_review")</x:f>
        <x:v>ready_for_codex_import</x:v>
      </x:c>
      <x:c r="AQ86" s="12"/>
      <x:c r="AR86" s="12" t="str">
        <x:v>Added v2 operational fields. Review before classification activation.</x:v>
      </x:c>
    </x:row>
    <x:row r="87">
      <x:c r="A87" s="13" t="str">
        <x:v>appeal_to_nature_explicit_marker</x:v>
      </x:c>
      <x:c r="B87" s="13" t="str">
        <x:v>appeal_to_nature</x:v>
      </x:c>
      <x:c r="C87" s="13" t="str">
        <x:v>Appeal to nature</x:v>
      </x:c>
      <x:c r="D87" s="13" t="str">
        <x:v>استناد به طبیعی بودن</x:v>
      </x:c>
      <x:c r="E87" s="13" t="str">
        <x:v>Explicit lexical marker</x:v>
      </x:c>
      <x:c r="F87" s="13" t="str">
        <x:v>reasoning_failures</x:v>
      </x:c>
      <x:c r="G87" s="13" t="str">
        <x:v>operational_variant</x:v>
      </x:c>
      <x:c r="H87" s="13" t="str">
        <x:v>contextual</x:v>
      </x:c>
      <x:c r="I87" s="13" t="str">
        <x:v>claim+context</x:v>
      </x:c>
      <x:c r="J87" s="13" t="str">
        <x:v>derived_operational_subtype</x:v>
      </x:c>
      <x:c r="K87" s="13" t="str">
        <x:v>derived_from_established_parent_review_required</x:v>
      </x:c>
      <x:c r="L87" s="13" t="str">
        <x:v>P2</x:v>
      </x:c>
      <x:c r="M87" s="13" t="str">
        <x:v>no</x:v>
      </x:c>
      <x:c r="N87" s="13" t="str">
        <x:v>Operational subtype under Appeal to nature: the pattern is cued by strong connective or evaluative language. Parent definition: Treating naturalness as sufficient proof of goodness or correctness.</x:v>
      </x:c>
      <x:c r="O87" s="13" t="str">
        <x:v>Look for: explicit claim-level evidence; parent-family cues for Appeal to nature; variant cue: the pattern is cued by strong connective or evaluative language; avoid author-level inference.</x:v>
      </x:c>
      <x:c r="P87" s="13" t="str">
        <x:v>Exact evidence span in text plus claim-level reasoning link; for contextual/discourse entries, require surrounding context.</x:v>
      </x:c>
      <x:c r="Q87" s="13" t="str">
        <x:v>Do not label merely because topic is controversial, emotional, or wrong. Do not judge intent or personality. Require textual evidence and consider healthy-reasoning cues.</x:v>
      </x:c>
      <x:c r="R87" s="13" t="str">
        <x:v>Stub: A claim relies on the pattern is cued by strong connective or evaluative language to support a conclusion without adequate qualification.</x:v>
      </x:c>
      <x:c r="S87" s="13" t="str">
        <x:v>Stub: A claim discusses appeal to nature with caveats, balanced evidence, or no argumentative use of the pattern.</x:v>
      </x:c>
      <x:c r="T87" s="13" t="str">
        <x:v>Mild or ambiguous cue; do not classify without clear evidence span.</x:v>
      </x:c>
      <x:c r="U87" s="13" t="str">
        <x:v>Clear claim-level pattern with some argumentative impact.</x:v>
      </x:c>
      <x:c r="V87" s="13" t="str">
        <x:v>Strong pattern central to the conclusion and likely to materially distort reasoning.</x:v>
      </x:c>
      <x:c r="W87" s="13" t="str"/>
      <x:c r="X87" s="13" t="str">
        <x:v>sep_fallacies</x:v>
      </x:c>
      <x:c r="Y87" s="13" t="str">
        <x:v>https://plato.stanford.edu/entries/fallacies/</x:v>
      </x:c>
      <x:c r="Z87" s="13" t="str">
        <x:v>Review before enabling. This workbook is a living taxonomy scaffold, not a validated scientific benchmark.</x:v>
      </x:c>
      <x:c r="AA87" s="13" t="str">
        <x:v>0.1.0-draft</x:v>
      </x:c>
      <x:c r="AB87" s="12" t="str">
        <x:f>IF(ISNUMBER(SEARCH("healthy",F87)),"healthy_reasoning_patterns",IF(ISNUMBER(SEARCH("statistical",F87)),"statistical_reasoning",IF(ISNUMBER(SEARCH("causal",F87)),"causal_reasoning",IF(ISNUMBER(SEARCH("social",F87)),"social_influence",IF(ISNUMBER(SEARCH("rhetoric",F87)),"rhetoric_discourse",IF(ISNUMBER(SEARCH("behavior",F87)),"behavioural_economics",IF(ISNUMBER(SEARCH("cognitive",F87)),"cognitive_biases",IF(J87="protective_pattern","healthy_reasoning_patterns",IF(L87="P0","core_mvp","extended_fallacies")))))))))</x:f>
        <x:v>extended_fallacies</x:v>
      </x:c>
      <x:c r="AC87" s="12" t="str">
        <x:f>IF(ISNUMBER(SEARCH("operational",J87)),"operational",IF(ISNUMBER(SEARCH("deprecated",J87)),"deprecated",IF(L87="P0","canonical","recognized_subtype")))</x:f>
        <x:v>operational</x:v>
      </x:c>
      <x:c r="AD87" s="12" t="str">
        <x:f>IF(AC87="canonical","high",IF(AC87="recognized_subtype","medium",IF(AC87="operational","operational_only","debated")))</x:f>
        <x:v>operational_only</x:v>
      </x:c>
      <x:c r="AE87" s="12" t="str">
        <x:f>IF(AC87="deprecated","deprecated",IF(M87="yes","active",IF(M87="review","review_required","backlog")))</x:f>
        <x:v>backlog</x:v>
      </x:c>
      <x:c r="AF87" s="12" t="str">
        <x:f>IF(OR(AE87="active",AE87="review_required"),"yes","no")</x:f>
        <x:v>no</x:v>
      </x:c>
      <x:c r="AG87" s="12" t="str">
        <x:f>IF(AND(AE87="active",M87="yes",NOT(ISNUMBER(SEARCH("healthy",AB87)))),"yes","no")</x:f>
        <x:v>no</x:v>
      </x:c>
      <x:c r="AH87" s="12" t="str">
        <x:f>IF(OR(H87="contextual",H87="dialogue",H87="discourse",I87="claim+context",I87="discourse_segment"),"yes","no")</x:f>
        <x:v>yes</x:v>
      </x:c>
      <x:c r="AI87" s="12" t="str">
        <x:f>IF(OR(AH87="yes",AD87="debated",AC87="operational"),"yes","no")</x:f>
        <x:v>yes</x:v>
      </x:c>
      <x:c r="AJ87" s="12" t="str">
        <x:f>IF(OR(AH87="yes",AC87="operational",AD87="debated"),"high",IF(AND(AG87="yes",L87="P0"),"medium","low"))</x:f>
        <x:v>high</x:v>
      </x:c>
      <x:c r="AK87" s="12" t="str">
        <x:f>IF(ISNUMBER(SEARCH("healthy",AB87)),"yes","no")</x:f>
        <x:v>no</x:v>
      </x:c>
      <x:c r="AL87" s="12" t="str">
        <x:f>IF(AG87="yes","yes","candidate_only")</x:f>
        <x:v>candidate_only</x:v>
      </x:c>
      <x:c r="AM87" s="12" t="str">
        <x:f>IF(OR(AC87="canonical",AG87="yes"),"yes","recommended")</x:f>
        <x:v>recommended</x:v>
      </x:c>
      <x:c r="AN87" s="12" t="str">
        <x:f>IF(AC87="deprecated","exclude",IF(AND(AG87="yes",AJ87="high"),"import_but_human_review_required",IF(AG87="yes","import_as_active","import_as_backlog")))</x:f>
        <x:v>import_as_backlog</x:v>
      </x:c>
      <x:c r="AO87" s="12" t="str">
        <x:f>IF(AND(AG87="yes",OR(P87="",Q87="",R87="",S87="")),"missing_required_mvp_fields",IF(AND(AC87="canonical",Y87=""),"missing_source_ref","ok"))</x:f>
        <x:v>ok</x:v>
      </x:c>
      <x:c r="AP87" s="12" t="str">
        <x:f>IF(AO87="ok","ready_for_codex_import","needs_review")</x:f>
        <x:v>ready_for_codex_import</x:v>
      </x:c>
      <x:c r="AQ87" s="12"/>
      <x:c r="AR87" s="12" t="str">
        <x:v>Added v2 operational fields. Review before classification activation.</x:v>
      </x:c>
    </x:row>
    <x:row r="88">
      <x:c r="A88" s="13" t="str">
        <x:v>appeal_to_tradition_explicit_marker</x:v>
      </x:c>
      <x:c r="B88" s="13" t="str">
        <x:v>appeal_to_tradition</x:v>
      </x:c>
      <x:c r="C88" s="13" t="str">
        <x:v>Appeal to tradition</x:v>
      </x:c>
      <x:c r="D88" s="13" t="str">
        <x:v>استناد به سنت</x:v>
      </x:c>
      <x:c r="E88" s="13" t="str">
        <x:v>Explicit lexical marker</x:v>
      </x:c>
      <x:c r="F88" s="13" t="str">
        <x:v>reasoning_failures</x:v>
      </x:c>
      <x:c r="G88" s="13" t="str">
        <x:v>operational_variant</x:v>
      </x:c>
      <x:c r="H88" s="13" t="str">
        <x:v>contextual</x:v>
      </x:c>
      <x:c r="I88" s="13" t="str">
        <x:v>claim+context</x:v>
      </x:c>
      <x:c r="J88" s="13" t="str">
        <x:v>derived_operational_subtype</x:v>
      </x:c>
      <x:c r="K88" s="13" t="str">
        <x:v>derived_from_established_parent_review_required</x:v>
      </x:c>
      <x:c r="L88" s="13" t="str">
        <x:v>P2</x:v>
      </x:c>
      <x:c r="M88" s="13" t="str">
        <x:v>no</x:v>
      </x:c>
      <x:c r="N88" s="13" t="str">
        <x:v>Operational subtype under Appeal to tradition: the pattern is cued by strong connective or evaluative language. Parent definition: Treating long-standing practice as sufficient proof of correctness.</x:v>
      </x:c>
      <x:c r="O88" s="13" t="str">
        <x:v>Look for: explicit claim-level evidence; parent-family cues for Appeal to tradition; variant cue: the pattern is cued by strong connective or evaluative language; avoid author-level inference.</x:v>
      </x:c>
      <x:c r="P88" s="13" t="str">
        <x:v>Exact evidence span in text plus claim-level reasoning link; for contextual/discourse entries, require surrounding context.</x:v>
      </x:c>
      <x:c r="Q88" s="13" t="str">
        <x:v>Do not label merely because topic is controversial, emotional, or wrong. Do not judge intent or personality. Require textual evidence and consider healthy-reasoning cues.</x:v>
      </x:c>
      <x:c r="R88" s="13" t="str">
        <x:v>Stub: A claim relies on the pattern is cued by strong connective or evaluative language to support a conclusion without adequate qualification.</x:v>
      </x:c>
      <x:c r="S88" s="13" t="str">
        <x:v>Stub: A claim discusses appeal to tradition with caveats, balanced evidence, or no argumentative use of the pattern.</x:v>
      </x:c>
      <x:c r="T88" s="13" t="str">
        <x:v>Mild or ambiguous cue; do not classify without clear evidence span.</x:v>
      </x:c>
      <x:c r="U88" s="13" t="str">
        <x:v>Clear claim-level pattern with some argumentative impact.</x:v>
      </x:c>
      <x:c r="V88" s="13" t="str">
        <x:v>Strong pattern central to the conclusion and likely to materially distort reasoning.</x:v>
      </x:c>
      <x:c r="W88" s="13" t="str"/>
      <x:c r="X88" s="13" t="str">
        <x:v>sep_fallacies</x:v>
      </x:c>
      <x:c r="Y88" s="13" t="str">
        <x:v>https://plato.stanford.edu/entries/fallacies/</x:v>
      </x:c>
      <x:c r="Z88" s="13" t="str">
        <x:v>Review before enabling. This workbook is a living taxonomy scaffold, not a validated scientific benchmark.</x:v>
      </x:c>
      <x:c r="AA88" s="13" t="str">
        <x:v>0.1.0-draft</x:v>
      </x:c>
      <x:c r="AB88" s="12" t="str">
        <x:f>IF(ISNUMBER(SEARCH("healthy",F88)),"healthy_reasoning_patterns",IF(ISNUMBER(SEARCH("statistical",F88)),"statistical_reasoning",IF(ISNUMBER(SEARCH("causal",F88)),"causal_reasoning",IF(ISNUMBER(SEARCH("social",F88)),"social_influence",IF(ISNUMBER(SEARCH("rhetoric",F88)),"rhetoric_discourse",IF(ISNUMBER(SEARCH("behavior",F88)),"behavioural_economics",IF(ISNUMBER(SEARCH("cognitive",F88)),"cognitive_biases",IF(J88="protective_pattern","healthy_reasoning_patterns",IF(L88="P0","core_mvp","extended_fallacies")))))))))</x:f>
        <x:v>extended_fallacies</x:v>
      </x:c>
      <x:c r="AC88" s="12" t="str">
        <x:f>IF(ISNUMBER(SEARCH("operational",J88)),"operational",IF(ISNUMBER(SEARCH("deprecated",J88)),"deprecated",IF(L88="P0","canonical","recognized_subtype")))</x:f>
        <x:v>operational</x:v>
      </x:c>
      <x:c r="AD88" s="12" t="str">
        <x:f>IF(AC88="canonical","high",IF(AC88="recognized_subtype","medium",IF(AC88="operational","operational_only","debated")))</x:f>
        <x:v>operational_only</x:v>
      </x:c>
      <x:c r="AE88" s="12" t="str">
        <x:f>IF(AC88="deprecated","deprecated",IF(M88="yes","active",IF(M88="review","review_required","backlog")))</x:f>
        <x:v>backlog</x:v>
      </x:c>
      <x:c r="AF88" s="12" t="str">
        <x:f>IF(OR(AE88="active",AE88="review_required"),"yes","no")</x:f>
        <x:v>no</x:v>
      </x:c>
      <x:c r="AG88" s="12" t="str">
        <x:f>IF(AND(AE88="active",M88="yes",NOT(ISNUMBER(SEARCH("healthy",AB88)))),"yes","no")</x:f>
        <x:v>no</x:v>
      </x:c>
      <x:c r="AH88" s="12" t="str">
        <x:f>IF(OR(H88="contextual",H88="dialogue",H88="discourse",I88="claim+context",I88="discourse_segment"),"yes","no")</x:f>
        <x:v>yes</x:v>
      </x:c>
      <x:c r="AI88" s="12" t="str">
        <x:f>IF(OR(AH88="yes",AD88="debated",AC88="operational"),"yes","no")</x:f>
        <x:v>yes</x:v>
      </x:c>
      <x:c r="AJ88" s="12" t="str">
        <x:f>IF(OR(AH88="yes",AC88="operational",AD88="debated"),"high",IF(AND(AG88="yes",L88="P0"),"medium","low"))</x:f>
        <x:v>high</x:v>
      </x:c>
      <x:c r="AK88" s="12" t="str">
        <x:f>IF(ISNUMBER(SEARCH("healthy",AB88)),"yes","no")</x:f>
        <x:v>no</x:v>
      </x:c>
      <x:c r="AL88" s="12" t="str">
        <x:f>IF(AG88="yes","yes","candidate_only")</x:f>
        <x:v>candidate_only</x:v>
      </x:c>
      <x:c r="AM88" s="12" t="str">
        <x:f>IF(OR(AC88="canonical",AG88="yes"),"yes","recommended")</x:f>
        <x:v>recommended</x:v>
      </x:c>
      <x:c r="AN88" s="12" t="str">
        <x:f>IF(AC88="deprecated","exclude",IF(AND(AG88="yes",AJ88="high"),"import_but_human_review_required",IF(AG88="yes","import_as_active","import_as_backlog")))</x:f>
        <x:v>import_as_backlog</x:v>
      </x:c>
      <x:c r="AO88" s="12" t="str">
        <x:f>IF(AND(AG88="yes",OR(P88="",Q88="",R88="",S88="")),"missing_required_mvp_fields",IF(AND(AC88="canonical",Y88=""),"missing_source_ref","ok"))</x:f>
        <x:v>ok</x:v>
      </x:c>
      <x:c r="AP88" s="12" t="str">
        <x:f>IF(AO88="ok","ready_for_codex_import","needs_review")</x:f>
        <x:v>ready_for_codex_import</x:v>
      </x:c>
      <x:c r="AQ88" s="12"/>
      <x:c r="AR88" s="12" t="str">
        <x:v>Added v2 operational fields. Review before classification activation.</x:v>
      </x:c>
    </x:row>
    <x:row r="89">
      <x:c r="A89" s="13" t="str">
        <x:v>appeal_to_novelty_explicit_marker</x:v>
      </x:c>
      <x:c r="B89" s="13" t="str">
        <x:v>appeal_to_novelty</x:v>
      </x:c>
      <x:c r="C89" s="13" t="str">
        <x:v>Appeal to novelty</x:v>
      </x:c>
      <x:c r="D89" s="13" t="str">
        <x:v>استناد به نو بودن</x:v>
      </x:c>
      <x:c r="E89" s="13" t="str">
        <x:v>Explicit lexical marker</x:v>
      </x:c>
      <x:c r="F89" s="13" t="str">
        <x:v>reasoning_failures</x:v>
      </x:c>
      <x:c r="G89" s="13" t="str">
        <x:v>operational_variant</x:v>
      </x:c>
      <x:c r="H89" s="13" t="str">
        <x:v>contextual</x:v>
      </x:c>
      <x:c r="I89" s="13" t="str">
        <x:v>claim+context</x:v>
      </x:c>
      <x:c r="J89" s="13" t="str">
        <x:v>derived_operational_subtype</x:v>
      </x:c>
      <x:c r="K89" s="13" t="str">
        <x:v>derived_from_established_parent_review_required</x:v>
      </x:c>
      <x:c r="L89" s="13" t="str">
        <x:v>P2</x:v>
      </x:c>
      <x:c r="M89" s="13" t="str">
        <x:v>no</x:v>
      </x:c>
      <x:c r="N89" s="13" t="str">
        <x:v>Operational subtype under Appeal to novelty: the pattern is cued by strong connective or evaluative language. Parent definition: Treating newness as sufficient proof of superiority.</x:v>
      </x:c>
      <x:c r="O89" s="13" t="str">
        <x:v>Look for: explicit claim-level evidence; parent-family cues for Appeal to novelty; variant cue: the pattern is cued by strong connective or evaluative language; avoid author-level inference.</x:v>
      </x:c>
      <x:c r="P89" s="13" t="str">
        <x:v>Exact evidence span in text plus claim-level reasoning link; for contextual/discourse entries, require surrounding context.</x:v>
      </x:c>
      <x:c r="Q89" s="13" t="str">
        <x:v>Do not label merely because topic is controversial, emotional, or wrong. Do not judge intent or personality. Require textual evidence and consider healthy-reasoning cues.</x:v>
      </x:c>
      <x:c r="R89" s="13" t="str">
        <x:v>Stub: A claim relies on the pattern is cued by strong connective or evaluative language to support a conclusion without adequate qualification.</x:v>
      </x:c>
      <x:c r="S89" s="13" t="str">
        <x:v>Stub: A claim discusses appeal to novelty with caveats, balanced evidence, or no argumentative use of the pattern.</x:v>
      </x:c>
      <x:c r="T89" s="13" t="str">
        <x:v>Mild or ambiguous cue; do not classify without clear evidence span.</x:v>
      </x:c>
      <x:c r="U89" s="13" t="str">
        <x:v>Clear claim-level pattern with some argumentative impact.</x:v>
      </x:c>
      <x:c r="V89" s="13" t="str">
        <x:v>Strong pattern central to the conclusion and likely to materially distort reasoning.</x:v>
      </x:c>
      <x:c r="W89" s="13" t="str"/>
      <x:c r="X89" s="13" t="str">
        <x:v>sep_fallacies</x:v>
      </x:c>
      <x:c r="Y89" s="13" t="str">
        <x:v>https://plato.stanford.edu/entries/fallacies/</x:v>
      </x:c>
      <x:c r="Z89" s="13" t="str">
        <x:v>Review before enabling. This workbook is a living taxonomy scaffold, not a validated scientific benchmark.</x:v>
      </x:c>
      <x:c r="AA89" s="13" t="str">
        <x:v>0.1.0-draft</x:v>
      </x:c>
      <x:c r="AB89" s="12" t="str">
        <x:f>IF(ISNUMBER(SEARCH("healthy",F89)),"healthy_reasoning_patterns",IF(ISNUMBER(SEARCH("statistical",F89)),"statistical_reasoning",IF(ISNUMBER(SEARCH("causal",F89)),"causal_reasoning",IF(ISNUMBER(SEARCH("social",F89)),"social_influence",IF(ISNUMBER(SEARCH("rhetoric",F89)),"rhetoric_discourse",IF(ISNUMBER(SEARCH("behavior",F89)),"behavioural_economics",IF(ISNUMBER(SEARCH("cognitive",F89)),"cognitive_biases",IF(J89="protective_pattern","healthy_reasoning_patterns",IF(L89="P0","core_mvp","extended_fallacies")))))))))</x:f>
        <x:v>extended_fallacies</x:v>
      </x:c>
      <x:c r="AC89" s="12" t="str">
        <x:f>IF(ISNUMBER(SEARCH("operational",J89)),"operational",IF(ISNUMBER(SEARCH("deprecated",J89)),"deprecated",IF(L89="P0","canonical","recognized_subtype")))</x:f>
        <x:v>operational</x:v>
      </x:c>
      <x:c r="AD89" s="12" t="str">
        <x:f>IF(AC89="canonical","high",IF(AC89="recognized_subtype","medium",IF(AC89="operational","operational_only","debated")))</x:f>
        <x:v>operational_only</x:v>
      </x:c>
      <x:c r="AE89" s="12" t="str">
        <x:f>IF(AC89="deprecated","deprecated",IF(M89="yes","active",IF(M89="review","review_required","backlog")))</x:f>
        <x:v>backlog</x:v>
      </x:c>
      <x:c r="AF89" s="12" t="str">
        <x:f>IF(OR(AE89="active",AE89="review_required"),"yes","no")</x:f>
        <x:v>no</x:v>
      </x:c>
      <x:c r="AG89" s="12" t="str">
        <x:f>IF(AND(AE89="active",M89="yes",NOT(ISNUMBER(SEARCH("healthy",AB89)))),"yes","no")</x:f>
        <x:v>no</x:v>
      </x:c>
      <x:c r="AH89" s="12" t="str">
        <x:f>IF(OR(H89="contextual",H89="dialogue",H89="discourse",I89="claim+context",I89="discourse_segment"),"yes","no")</x:f>
        <x:v>yes</x:v>
      </x:c>
      <x:c r="AI89" s="12" t="str">
        <x:f>IF(OR(AH89="yes",AD89="debated",AC89="operational"),"yes","no")</x:f>
        <x:v>yes</x:v>
      </x:c>
      <x:c r="AJ89" s="12" t="str">
        <x:f>IF(OR(AH89="yes",AC89="operational",AD89="debated"),"high",IF(AND(AG89="yes",L89="P0"),"medium","low"))</x:f>
        <x:v>high</x:v>
      </x:c>
      <x:c r="AK89" s="12" t="str">
        <x:f>IF(ISNUMBER(SEARCH("healthy",AB89)),"yes","no")</x:f>
        <x:v>no</x:v>
      </x:c>
      <x:c r="AL89" s="12" t="str">
        <x:f>IF(AG89="yes","yes","candidate_only")</x:f>
        <x:v>candidate_only</x:v>
      </x:c>
      <x:c r="AM89" s="12" t="str">
        <x:f>IF(OR(AC89="canonical",AG89="yes"),"yes","recommended")</x:f>
        <x:v>recommended</x:v>
      </x:c>
      <x:c r="AN89" s="12" t="str">
        <x:f>IF(AC89="deprecated","exclude",IF(AND(AG89="yes",AJ89="high"),"import_but_human_review_required",IF(AG89="yes","import_as_active","import_as_backlog")))</x:f>
        <x:v>import_as_backlog</x:v>
      </x:c>
      <x:c r="AO89" s="12" t="str">
        <x:f>IF(AND(AG89="yes",OR(P89="",Q89="",R89="",S89="")),"missing_required_mvp_fields",IF(AND(AC89="canonical",Y89=""),"missing_source_ref","ok"))</x:f>
        <x:v>ok</x:v>
      </x:c>
      <x:c r="AP89" s="12" t="str">
        <x:f>IF(AO89="ok","ready_for_codex_import","needs_review")</x:f>
        <x:v>ready_for_codex_import</x:v>
      </x:c>
      <x:c r="AQ89" s="12"/>
      <x:c r="AR89" s="12" t="str">
        <x:v>Added v2 operational fields. Review before classification activation.</x:v>
      </x:c>
    </x:row>
    <x:row r="90">
      <x:c r="A90" s="13" t="str">
        <x:v>nirvana_fallacy_explicit_marker</x:v>
      </x:c>
      <x:c r="B90" s="13" t="str">
        <x:v>nirvana_fallacy</x:v>
      </x:c>
      <x:c r="C90" s="13" t="str">
        <x:v>Nirvana fallacy</x:v>
      </x:c>
      <x:c r="D90" s="13" t="str">
        <x:v>مقایسه با راه‌حل ایده‌آل</x:v>
      </x:c>
      <x:c r="E90" s="13" t="str">
        <x:v>Explicit lexical marker</x:v>
      </x:c>
      <x:c r="F90" s="13" t="str">
        <x:v>reasoning_failures</x:v>
      </x:c>
      <x:c r="G90" s="13" t="str">
        <x:v>operational_variant</x:v>
      </x:c>
      <x:c r="H90" s="13" t="str">
        <x:v>contextual</x:v>
      </x:c>
      <x:c r="I90" s="13" t="str">
        <x:v>claim+context</x:v>
      </x:c>
      <x:c r="J90" s="13" t="str">
        <x:v>derived_operational_subtype</x:v>
      </x:c>
      <x:c r="K90" s="13" t="str">
        <x:v>derived_from_established_parent_review_required</x:v>
      </x:c>
      <x:c r="L90" s="13" t="str">
        <x:v>P2</x:v>
      </x:c>
      <x:c r="M90" s="13" t="str">
        <x:v>no</x:v>
      </x:c>
      <x:c r="N90" s="13" t="str">
        <x:v>Operational subtype under Nirvana fallacy: the pattern is cued by strong connective or evaluative language. Parent definition: Rejecting realistic options because they are not perfect.</x:v>
      </x:c>
      <x:c r="O90" s="13" t="str">
        <x:v>Look for: explicit claim-level evidence; parent-family cues for Nirvana fallacy; variant cue: the pattern is cued by strong connective or evaluative language; avoid author-level inference.</x:v>
      </x:c>
      <x:c r="P90" s="13" t="str">
        <x:v>Exact evidence span in text plus claim-level reasoning link; for contextual/discourse entries, require surrounding context.</x:v>
      </x:c>
      <x:c r="Q90" s="13" t="str">
        <x:v>Do not label merely because topic is controversial, emotional, or wrong. Do not judge intent or personality. Require textual evidence and consider healthy-reasoning cues.</x:v>
      </x:c>
      <x:c r="R90" s="13" t="str">
        <x:v>Stub: A claim relies on the pattern is cued by strong connective or evaluative language to support a conclusion without adequate qualification.</x:v>
      </x:c>
      <x:c r="S90" s="13" t="str">
        <x:v>Stub: A claim discusses nirvana fallacy with caveats, balanced evidence, or no argumentative use of the pattern.</x:v>
      </x:c>
      <x:c r="T90" s="13" t="str">
        <x:v>Mild or ambiguous cue; do not classify without clear evidence span.</x:v>
      </x:c>
      <x:c r="U90" s="13" t="str">
        <x:v>Clear claim-level pattern with some argumentative impact.</x:v>
      </x:c>
      <x:c r="V90" s="13" t="str">
        <x:v>Strong pattern central to the conclusion and likely to materially distort reasoning.</x:v>
      </x:c>
      <x:c r="W90" s="13" t="str"/>
      <x:c r="X90" s="13" t="str">
        <x:v>sep_fallacies</x:v>
      </x:c>
      <x:c r="Y90" s="13" t="str">
        <x:v>https://plato.stanford.edu/entries/fallacies/</x:v>
      </x:c>
      <x:c r="Z90" s="13" t="str">
        <x:v>Review before enabling. This workbook is a living taxonomy scaffold, not a validated scientific benchmark.</x:v>
      </x:c>
      <x:c r="AA90" s="13" t="str">
        <x:v>0.1.0-draft</x:v>
      </x:c>
      <x:c r="AB90" s="12" t="str">
        <x:f>IF(ISNUMBER(SEARCH("healthy",F90)),"healthy_reasoning_patterns",IF(ISNUMBER(SEARCH("statistical",F90)),"statistical_reasoning",IF(ISNUMBER(SEARCH("causal",F90)),"causal_reasoning",IF(ISNUMBER(SEARCH("social",F90)),"social_influence",IF(ISNUMBER(SEARCH("rhetoric",F90)),"rhetoric_discourse",IF(ISNUMBER(SEARCH("behavior",F90)),"behavioural_economics",IF(ISNUMBER(SEARCH("cognitive",F90)),"cognitive_biases",IF(J90="protective_pattern","healthy_reasoning_patterns",IF(L90="P0","core_mvp","extended_fallacies")))))))))</x:f>
        <x:v>extended_fallacies</x:v>
      </x:c>
      <x:c r="AC90" s="12" t="str">
        <x:f>IF(ISNUMBER(SEARCH("operational",J90)),"operational",IF(ISNUMBER(SEARCH("deprecated",J90)),"deprecated",IF(L90="P0","canonical","recognized_subtype")))</x:f>
        <x:v>operational</x:v>
      </x:c>
      <x:c r="AD90" s="12" t="str">
        <x:f>IF(AC90="canonical","high",IF(AC90="recognized_subtype","medium",IF(AC90="operational","operational_only","debated")))</x:f>
        <x:v>operational_only</x:v>
      </x:c>
      <x:c r="AE90" s="12" t="str">
        <x:f>IF(AC90="deprecated","deprecated",IF(M90="yes","active",IF(M90="review","review_required","backlog")))</x:f>
        <x:v>backlog</x:v>
      </x:c>
      <x:c r="AF90" s="12" t="str">
        <x:f>IF(OR(AE90="active",AE90="review_required"),"yes","no")</x:f>
        <x:v>no</x:v>
      </x:c>
      <x:c r="AG90" s="12" t="str">
        <x:f>IF(AND(AE90="active",M90="yes",NOT(ISNUMBER(SEARCH("healthy",AB90)))),"yes","no")</x:f>
        <x:v>no</x:v>
      </x:c>
      <x:c r="AH90" s="12" t="str">
        <x:f>IF(OR(H90="contextual",H90="dialogue",H90="discourse",I90="claim+context",I90="discourse_segment"),"yes","no")</x:f>
        <x:v>yes</x:v>
      </x:c>
      <x:c r="AI90" s="12" t="str">
        <x:f>IF(OR(AH90="yes",AD90="debated",AC90="operational"),"yes","no")</x:f>
        <x:v>yes</x:v>
      </x:c>
      <x:c r="AJ90" s="12" t="str">
        <x:f>IF(OR(AH90="yes",AC90="operational",AD90="debated"),"high",IF(AND(AG90="yes",L90="P0"),"medium","low"))</x:f>
        <x:v>high</x:v>
      </x:c>
      <x:c r="AK90" s="12" t="str">
        <x:f>IF(ISNUMBER(SEARCH("healthy",AB90)),"yes","no")</x:f>
        <x:v>no</x:v>
      </x:c>
      <x:c r="AL90" s="12" t="str">
        <x:f>IF(AG90="yes","yes","candidate_only")</x:f>
        <x:v>candidate_only</x:v>
      </x:c>
      <x:c r="AM90" s="12" t="str">
        <x:f>IF(OR(AC90="canonical",AG90="yes"),"yes","recommended")</x:f>
        <x:v>recommended</x:v>
      </x:c>
      <x:c r="AN90" s="12" t="str">
        <x:f>IF(AC90="deprecated","exclude",IF(AND(AG90="yes",AJ90="high"),"import_but_human_review_required",IF(AG90="yes","import_as_active","import_as_backlog")))</x:f>
        <x:v>import_as_backlog</x:v>
      </x:c>
      <x:c r="AO90" s="12" t="str">
        <x:f>IF(AND(AG90="yes",OR(P90="",Q90="",R90="",S90="")),"missing_required_mvp_fields",IF(AND(AC90="canonical",Y90=""),"missing_source_ref","ok"))</x:f>
        <x:v>ok</x:v>
      </x:c>
      <x:c r="AP90" s="12" t="str">
        <x:f>IF(AO90="ok","ready_for_codex_import","needs_review")</x:f>
        <x:v>ready_for_codex_import</x:v>
      </x:c>
      <x:c r="AQ90" s="12"/>
      <x:c r="AR90" s="12" t="str">
        <x:v>Added v2 operational fields. Review before classification activation.</x:v>
      </x:c>
    </x:row>
    <x:row r="91">
      <x:c r="A91" s="13" t="str">
        <x:v>middle_ground_fallacy_explicit_marker</x:v>
      </x:c>
      <x:c r="B91" s="13" t="str">
        <x:v>middle_ground_fallacy</x:v>
      </x:c>
      <x:c r="C91" s="13" t="str">
        <x:v>Middle-ground fallacy</x:v>
      </x:c>
      <x:c r="D91" s="13" t="str">
        <x:v>میانه‌روی کاذب</x:v>
      </x:c>
      <x:c r="E91" s="13" t="str">
        <x:v>Explicit lexical marker</x:v>
      </x:c>
      <x:c r="F91" s="13" t="str">
        <x:v>reasoning_failures</x:v>
      </x:c>
      <x:c r="G91" s="13" t="str">
        <x:v>operational_variant</x:v>
      </x:c>
      <x:c r="H91" s="13" t="str">
        <x:v>contextual</x:v>
      </x:c>
      <x:c r="I91" s="13" t="str">
        <x:v>claim+context</x:v>
      </x:c>
      <x:c r="J91" s="13" t="str">
        <x:v>derived_operational_subtype</x:v>
      </x:c>
      <x:c r="K91" s="13" t="str">
        <x:v>derived_from_established_parent_review_required</x:v>
      </x:c>
      <x:c r="L91" s="13" t="str">
        <x:v>P2</x:v>
      </x:c>
      <x:c r="M91" s="13" t="str">
        <x:v>no</x:v>
      </x:c>
      <x:c r="N91" s="13" t="str">
        <x:v>Operational subtype under Middle-ground fallacy: the pattern is cued by strong connective or evaluative language. Parent definition: Assuming the middle position is correct merely because it is intermediate.</x:v>
      </x:c>
      <x:c r="O91" s="13" t="str">
        <x:v>Look for: explicit claim-level evidence; parent-family cues for Middle-ground fallacy; variant cue: the pattern is cued by strong connective or evaluative language; avoid author-level inference.</x:v>
      </x:c>
      <x:c r="P91" s="13" t="str">
        <x:v>Exact evidence span in text plus claim-level reasoning link; for contextual/discourse entries, require surrounding context.</x:v>
      </x:c>
      <x:c r="Q91" s="13" t="str">
        <x:v>Do not label merely because topic is controversial, emotional, or wrong. Do not judge intent or personality. Require textual evidence and consider healthy-reasoning cues.</x:v>
      </x:c>
      <x:c r="R91" s="13" t="str">
        <x:v>Stub: A claim relies on the pattern is cued by strong connective or evaluative language to support a conclusion without adequate qualification.</x:v>
      </x:c>
      <x:c r="S91" s="13" t="str">
        <x:v>Stub: A claim discusses middle-ground fallacy with caveats, balanced evidence, or no argumentative use of the pattern.</x:v>
      </x:c>
      <x:c r="T91" s="13" t="str">
        <x:v>Mild or ambiguous cue; do not classify without clear evidence span.</x:v>
      </x:c>
      <x:c r="U91" s="13" t="str">
        <x:v>Clear claim-level pattern with some argumentative impact.</x:v>
      </x:c>
      <x:c r="V91" s="13" t="str">
        <x:v>Strong pattern central to the conclusion and likely to materially distort reasoning.</x:v>
      </x:c>
      <x:c r="W91" s="13" t="str"/>
      <x:c r="X91" s="13" t="str">
        <x:v>sep_fallacies</x:v>
      </x:c>
      <x:c r="Y91" s="13" t="str">
        <x:v>https://plato.stanford.edu/entries/fallacies/</x:v>
      </x:c>
      <x:c r="Z91" s="13" t="str">
        <x:v>Review before enabling. This workbook is a living taxonomy scaffold, not a validated scientific benchmark.</x:v>
      </x:c>
      <x:c r="AA91" s="13" t="str">
        <x:v>0.1.0-draft</x:v>
      </x:c>
      <x:c r="AB91" s="12" t="str">
        <x:f>IF(ISNUMBER(SEARCH("healthy",F91)),"healthy_reasoning_patterns",IF(ISNUMBER(SEARCH("statistical",F91)),"statistical_reasoning",IF(ISNUMBER(SEARCH("causal",F91)),"causal_reasoning",IF(ISNUMBER(SEARCH("social",F91)),"social_influence",IF(ISNUMBER(SEARCH("rhetoric",F91)),"rhetoric_discourse",IF(ISNUMBER(SEARCH("behavior",F91)),"behavioural_economics",IF(ISNUMBER(SEARCH("cognitive",F91)),"cognitive_biases",IF(J91="protective_pattern","healthy_reasoning_patterns",IF(L91="P0","core_mvp","extended_fallacies")))))))))</x:f>
        <x:v>extended_fallacies</x:v>
      </x:c>
      <x:c r="AC91" s="12" t="str">
        <x:f>IF(ISNUMBER(SEARCH("operational",J91)),"operational",IF(ISNUMBER(SEARCH("deprecated",J91)),"deprecated",IF(L91="P0","canonical","recognized_subtype")))</x:f>
        <x:v>operational</x:v>
      </x:c>
      <x:c r="AD91" s="12" t="str">
        <x:f>IF(AC91="canonical","high",IF(AC91="recognized_subtype","medium",IF(AC91="operational","operational_only","debated")))</x:f>
        <x:v>operational_only</x:v>
      </x:c>
      <x:c r="AE91" s="12" t="str">
        <x:f>IF(AC91="deprecated","deprecated",IF(M91="yes","active",IF(M91="review","review_required","backlog")))</x:f>
        <x:v>backlog</x:v>
      </x:c>
      <x:c r="AF91" s="12" t="str">
        <x:f>IF(OR(AE91="active",AE91="review_required"),"yes","no")</x:f>
        <x:v>no</x:v>
      </x:c>
      <x:c r="AG91" s="12" t="str">
        <x:f>IF(AND(AE91="active",M91="yes",NOT(ISNUMBER(SEARCH("healthy",AB91)))),"yes","no")</x:f>
        <x:v>no</x:v>
      </x:c>
      <x:c r="AH91" s="12" t="str">
        <x:f>IF(OR(H91="contextual",H91="dialogue",H91="discourse",I91="claim+context",I91="discourse_segment"),"yes","no")</x:f>
        <x:v>yes</x:v>
      </x:c>
      <x:c r="AI91" s="12" t="str">
        <x:f>IF(OR(AH91="yes",AD91="debated",AC91="operational"),"yes","no")</x:f>
        <x:v>yes</x:v>
      </x:c>
      <x:c r="AJ91" s="12" t="str">
        <x:f>IF(OR(AH91="yes",AC91="operational",AD91="debated"),"high",IF(AND(AG91="yes",L91="P0"),"medium","low"))</x:f>
        <x:v>high</x:v>
      </x:c>
      <x:c r="AK91" s="12" t="str">
        <x:f>IF(ISNUMBER(SEARCH("healthy",AB91)),"yes","no")</x:f>
        <x:v>no</x:v>
      </x:c>
      <x:c r="AL91" s="12" t="str">
        <x:f>IF(AG91="yes","yes","candidate_only")</x:f>
        <x:v>candidate_only</x:v>
      </x:c>
      <x:c r="AM91" s="12" t="str">
        <x:f>IF(OR(AC91="canonical",AG91="yes"),"yes","recommended")</x:f>
        <x:v>recommended</x:v>
      </x:c>
      <x:c r="AN91" s="12" t="str">
        <x:f>IF(AC91="deprecated","exclude",IF(AND(AG91="yes",AJ91="high"),"import_but_human_review_required",IF(AG91="yes","import_as_active","import_as_backlog")))</x:f>
        <x:v>import_as_backlog</x:v>
      </x:c>
      <x:c r="AO91" s="12" t="str">
        <x:f>IF(AND(AG91="yes",OR(P91="",Q91="",R91="",S91="")),"missing_required_mvp_fields",IF(AND(AC91="canonical",Y91=""),"missing_source_ref","ok"))</x:f>
        <x:v>ok</x:v>
      </x:c>
      <x:c r="AP91" s="12" t="str">
        <x:f>IF(AO91="ok","ready_for_codex_import","needs_review")</x:f>
        <x:v>ready_for_codex_import</x:v>
      </x:c>
      <x:c r="AQ91" s="12"/>
      <x:c r="AR91" s="12" t="str">
        <x:v>Added v2 operational fields. Review before classification activation.</x:v>
      </x:c>
    </x:row>
    <x:row r="92">
      <x:c r="A92" s="13" t="str">
        <x:v>relative_privation_explicit_marker</x:v>
      </x:c>
      <x:c r="B92" s="13" t="str">
        <x:v>relative_privation</x:v>
      </x:c>
      <x:c r="C92" s="13" t="str">
        <x:v>Relative privation</x:v>
      </x:c>
      <x:c r="D92" s="13" t="str">
        <x:v>کم‌اهمیت‌سازی با مقایسه</x:v>
      </x:c>
      <x:c r="E92" s="13" t="str">
        <x:v>Explicit lexical marker</x:v>
      </x:c>
      <x:c r="F92" s="13" t="str">
        <x:v>reasoning_failures</x:v>
      </x:c>
      <x:c r="G92" s="13" t="str">
        <x:v>operational_variant</x:v>
      </x:c>
      <x:c r="H92" s="13" t="str">
        <x:v>dialogue</x:v>
      </x:c>
      <x:c r="I92" s="13" t="str">
        <x:v>discourse_segment</x:v>
      </x:c>
      <x:c r="J92" s="13" t="str">
        <x:v>derived_operational_subtype</x:v>
      </x:c>
      <x:c r="K92" s="13" t="str">
        <x:v>derived_from_established_parent_review_required</x:v>
      </x:c>
      <x:c r="L92" s="13" t="str">
        <x:v>P3</x:v>
      </x:c>
      <x:c r="M92" s="13" t="str">
        <x:v>no</x:v>
      </x:c>
      <x:c r="N92" s="13" t="str">
        <x:v>Operational subtype under Relative privation: the pattern is cued by strong connective or evaluative language. Parent definition: Dismissing a problem because worse problems exist.</x:v>
      </x:c>
      <x:c r="O92" s="13" t="str">
        <x:v>Look for: explicit claim-level evidence; parent-family cues for Relative privation; variant cue: the pattern is cued by strong connective or evaluative language; avoid author-level inference.</x:v>
      </x:c>
      <x:c r="P92" s="13" t="str">
        <x:v>Exact evidence span in text plus claim-level reasoning link; for contextual/discourse entries, require surrounding context.</x:v>
      </x:c>
      <x:c r="Q92" s="13" t="str">
        <x:v>Do not label merely because topic is controversial, emotional, or wrong. Do not judge intent or personality. Require textual evidence and consider healthy-reasoning cues.</x:v>
      </x:c>
      <x:c r="R92" s="13" t="str">
        <x:v>Stub: A claim relies on the pattern is cued by strong connective or evaluative language to support a conclusion without adequate qualification.</x:v>
      </x:c>
      <x:c r="S92" s="13" t="str">
        <x:v>Stub: A claim discusses relative privation with caveats, balanced evidence, or no argumentative use of the pattern.</x:v>
      </x:c>
      <x:c r="T92" s="13" t="str">
        <x:v>Mild or ambiguous cue; do not classify without clear evidence span.</x:v>
      </x:c>
      <x:c r="U92" s="13" t="str">
        <x:v>Clear claim-level pattern with some argumentative impact.</x:v>
      </x:c>
      <x:c r="V92" s="13" t="str">
        <x:v>Strong pattern central to the conclusion and likely to materially distort reasoning.</x:v>
      </x:c>
      <x:c r="W92" s="13" t="str"/>
      <x:c r="X92" s="13" t="str">
        <x:v>sep_fallacies</x:v>
      </x:c>
      <x:c r="Y92" s="13" t="str">
        <x:v>https://plato.stanford.edu/entries/fallacies/</x:v>
      </x:c>
      <x:c r="Z92" s="13" t="str">
        <x:v>Review before enabling. This workbook is a living taxonomy scaffold, not a validated scientific benchmark.</x:v>
      </x:c>
      <x:c r="AA92" s="13" t="str">
        <x:v>0.1.0-draft</x:v>
      </x:c>
      <x:c r="AB92" s="12" t="str">
        <x:f>IF(ISNUMBER(SEARCH("healthy",F92)),"healthy_reasoning_patterns",IF(ISNUMBER(SEARCH("statistical",F92)),"statistical_reasoning",IF(ISNUMBER(SEARCH("causal",F92)),"causal_reasoning",IF(ISNUMBER(SEARCH("social",F92)),"social_influence",IF(ISNUMBER(SEARCH("rhetoric",F92)),"rhetoric_discourse",IF(ISNUMBER(SEARCH("behavior",F92)),"behavioural_economics",IF(ISNUMBER(SEARCH("cognitive",F92)),"cognitive_biases",IF(J92="protective_pattern","healthy_reasoning_patterns",IF(L92="P0","core_mvp","extended_fallacies")))))))))</x:f>
        <x:v>extended_fallacies</x:v>
      </x:c>
      <x:c r="AC92" s="12" t="str">
        <x:f>IF(ISNUMBER(SEARCH("operational",J92)),"operational",IF(ISNUMBER(SEARCH("deprecated",J92)),"deprecated",IF(L92="P0","canonical","recognized_subtype")))</x:f>
        <x:v>operational</x:v>
      </x:c>
      <x:c r="AD92" s="12" t="str">
        <x:f>IF(AC92="canonical","high",IF(AC92="recognized_subtype","medium",IF(AC92="operational","operational_only","debated")))</x:f>
        <x:v>operational_only</x:v>
      </x:c>
      <x:c r="AE92" s="12" t="str">
        <x:f>IF(AC92="deprecated","deprecated",IF(M92="yes","active",IF(M92="review","review_required","backlog")))</x:f>
        <x:v>backlog</x:v>
      </x:c>
      <x:c r="AF92" s="12" t="str">
        <x:f>IF(OR(AE92="active",AE92="review_required"),"yes","no")</x:f>
        <x:v>no</x:v>
      </x:c>
      <x:c r="AG92" s="12" t="str">
        <x:f>IF(AND(AE92="active",M92="yes",NOT(ISNUMBER(SEARCH("healthy",AB92)))),"yes","no")</x:f>
        <x:v>no</x:v>
      </x:c>
      <x:c r="AH92" s="12" t="str">
        <x:f>IF(OR(H92="contextual",H92="dialogue",H92="discourse",I92="claim+context",I92="discourse_segment"),"yes","no")</x:f>
        <x:v>yes</x:v>
      </x:c>
      <x:c r="AI92" s="12" t="str">
        <x:f>IF(OR(AH92="yes",AD92="debated",AC92="operational"),"yes","no")</x:f>
        <x:v>yes</x:v>
      </x:c>
      <x:c r="AJ92" s="12" t="str">
        <x:f>IF(OR(AH92="yes",AC92="operational",AD92="debated"),"high",IF(AND(AG92="yes",L92="P0"),"medium","low"))</x:f>
        <x:v>high</x:v>
      </x:c>
      <x:c r="AK92" s="12" t="str">
        <x:f>IF(ISNUMBER(SEARCH("healthy",AB92)),"yes","no")</x:f>
        <x:v>no</x:v>
      </x:c>
      <x:c r="AL92" s="12" t="str">
        <x:f>IF(AG92="yes","yes","candidate_only")</x:f>
        <x:v>candidate_only</x:v>
      </x:c>
      <x:c r="AM92" s="12" t="str">
        <x:f>IF(OR(AC92="canonical",AG92="yes"),"yes","recommended")</x:f>
        <x:v>recommended</x:v>
      </x:c>
      <x:c r="AN92" s="12" t="str">
        <x:f>IF(AC92="deprecated","exclude",IF(AND(AG92="yes",AJ92="high"),"import_but_human_review_required",IF(AG92="yes","import_as_active","import_as_backlog")))</x:f>
        <x:v>import_as_backlog</x:v>
      </x:c>
      <x:c r="AO92" s="12" t="str">
        <x:f>IF(AND(AG92="yes",OR(P92="",Q92="",R92="",S92="")),"missing_required_mvp_fields",IF(AND(AC92="canonical",Y92=""),"missing_source_ref","ok"))</x:f>
        <x:v>ok</x:v>
      </x:c>
      <x:c r="AP92" s="12" t="str">
        <x:f>IF(AO92="ok","ready_for_codex_import","needs_review")</x:f>
        <x:v>ready_for_codex_import</x:v>
      </x:c>
      <x:c r="AQ92" s="12"/>
      <x:c r="AR92" s="12" t="str">
        <x:v>Added v2 operational fields. Review before classification activation.</x:v>
      </x:c>
    </x:row>
    <x:row r="93">
      <x:c r="A93" s="13" t="str">
        <x:v>whataboutism_explicit_marker</x:v>
      </x:c>
      <x:c r="B93" s="13" t="str">
        <x:v>whataboutism</x:v>
      </x:c>
      <x:c r="C93" s="13" t="str">
        <x:v>Whataboutism</x:v>
      </x:c>
      <x:c r="D93" s="13" t="str">
        <x:v>چه‌درباره‌گرایی</x:v>
      </x:c>
      <x:c r="E93" s="13" t="str">
        <x:v>Explicit lexical marker</x:v>
      </x:c>
      <x:c r="F93" s="13" t="str">
        <x:v>reasoning_failures</x:v>
      </x:c>
      <x:c r="G93" s="13" t="str">
        <x:v>operational_variant</x:v>
      </x:c>
      <x:c r="H93" s="13" t="str">
        <x:v>dialogue</x:v>
      </x:c>
      <x:c r="I93" s="13" t="str">
        <x:v>discourse_segment</x:v>
      </x:c>
      <x:c r="J93" s="13" t="str">
        <x:v>derived_operational_subtype</x:v>
      </x:c>
      <x:c r="K93" s="13" t="str">
        <x:v>derived_from_established_parent_review_required</x:v>
      </x:c>
      <x:c r="L93" s="13" t="str">
        <x:v>P3</x:v>
      </x:c>
      <x:c r="M93" s="13" t="str">
        <x:v>no</x:v>
      </x:c>
      <x:c r="N93" s="13" t="str">
        <x:v>Operational subtype under Whataboutism: the pattern is cued by strong connective or evaluative language. Parent definition: Deflecting criticism by pointing to another issue.</x:v>
      </x:c>
      <x:c r="O93" s="13" t="str">
        <x:v>Look for: explicit claim-level evidence; parent-family cues for Whataboutism; variant cue: the pattern is cued by strong connective or evaluative language; avoid author-level inference.</x:v>
      </x:c>
      <x:c r="P93" s="13" t="str">
        <x:v>Exact evidence span in text plus claim-level reasoning link; for contextual/discourse entries, require surrounding context.</x:v>
      </x:c>
      <x:c r="Q93" s="13" t="str">
        <x:v>Do not label merely because topic is controversial, emotional, or wrong. Do not judge intent or personality. Require textual evidence and consider healthy-reasoning cues.</x:v>
      </x:c>
      <x:c r="R93" s="13" t="str">
        <x:v>Stub: A claim relies on the pattern is cued by strong connective or evaluative language to support a conclusion without adequate qualification.</x:v>
      </x:c>
      <x:c r="S93" s="13" t="str">
        <x:v>Stub: A claim discusses whataboutism with caveats, balanced evidence, or no argumentative use of the pattern.</x:v>
      </x:c>
      <x:c r="T93" s="13" t="str">
        <x:v>Mild or ambiguous cue; do not classify without clear evidence span.</x:v>
      </x:c>
      <x:c r="U93" s="13" t="str">
        <x:v>Clear claim-level pattern with some argumentative impact.</x:v>
      </x:c>
      <x:c r="V93" s="13" t="str">
        <x:v>Strong pattern central to the conclusion and likely to materially distort reasoning.</x:v>
      </x:c>
      <x:c r="W93" s="13" t="str"/>
      <x:c r="X93" s="13" t="str">
        <x:v>pragmadialectics</x:v>
      </x:c>
      <x:c r="Y93" s="13" t="str">
        <x:v>https://doi.org/10.1017/CBO9780511616389</x:v>
      </x:c>
      <x:c r="Z93" s="13" t="str">
        <x:v>Review before enabling. This workbook is a living taxonomy scaffold, not a validated scientific benchmark.</x:v>
      </x:c>
      <x:c r="AA93" s="13" t="str">
        <x:v>0.1.0-draft</x:v>
      </x:c>
      <x:c r="AB93" s="12" t="str">
        <x:f>IF(ISNUMBER(SEARCH("healthy",F93)),"healthy_reasoning_patterns",IF(ISNUMBER(SEARCH("statistical",F93)),"statistical_reasoning",IF(ISNUMBER(SEARCH("causal",F93)),"causal_reasoning",IF(ISNUMBER(SEARCH("social",F93)),"social_influence",IF(ISNUMBER(SEARCH("rhetoric",F93)),"rhetoric_discourse",IF(ISNUMBER(SEARCH("behavior",F93)),"behavioural_economics",IF(ISNUMBER(SEARCH("cognitive",F93)),"cognitive_biases",IF(J93="protective_pattern","healthy_reasoning_patterns",IF(L93="P0","core_mvp","extended_fallacies")))))))))</x:f>
        <x:v>extended_fallacies</x:v>
      </x:c>
      <x:c r="AC93" s="12" t="str">
        <x:f>IF(ISNUMBER(SEARCH("operational",J93)),"operational",IF(ISNUMBER(SEARCH("deprecated",J93)),"deprecated",IF(L93="P0","canonical","recognized_subtype")))</x:f>
        <x:v>operational</x:v>
      </x:c>
      <x:c r="AD93" s="12" t="str">
        <x:f>IF(AC93="canonical","high",IF(AC93="recognized_subtype","medium",IF(AC93="operational","operational_only","debated")))</x:f>
        <x:v>operational_only</x:v>
      </x:c>
      <x:c r="AE93" s="12" t="str">
        <x:f>IF(AC93="deprecated","deprecated",IF(M93="yes","active",IF(M93="review","review_required","backlog")))</x:f>
        <x:v>backlog</x:v>
      </x:c>
      <x:c r="AF93" s="12" t="str">
        <x:f>IF(OR(AE93="active",AE93="review_required"),"yes","no")</x:f>
        <x:v>no</x:v>
      </x:c>
      <x:c r="AG93" s="12" t="str">
        <x:f>IF(AND(AE93="active",M93="yes",NOT(ISNUMBER(SEARCH("healthy",AB93)))),"yes","no")</x:f>
        <x:v>no</x:v>
      </x:c>
      <x:c r="AH93" s="12" t="str">
        <x:f>IF(OR(H93="contextual",H93="dialogue",H93="discourse",I93="claim+context",I93="discourse_segment"),"yes","no")</x:f>
        <x:v>yes</x:v>
      </x:c>
      <x:c r="AI93" s="12" t="str">
        <x:f>IF(OR(AH93="yes",AD93="debated",AC93="operational"),"yes","no")</x:f>
        <x:v>yes</x:v>
      </x:c>
      <x:c r="AJ93" s="12" t="str">
        <x:f>IF(OR(AH93="yes",AC93="operational",AD93="debated"),"high",IF(AND(AG93="yes",L93="P0"),"medium","low"))</x:f>
        <x:v>high</x:v>
      </x:c>
      <x:c r="AK93" s="12" t="str">
        <x:f>IF(ISNUMBER(SEARCH("healthy",AB93)),"yes","no")</x:f>
        <x:v>no</x:v>
      </x:c>
      <x:c r="AL93" s="12" t="str">
        <x:f>IF(AG93="yes","yes","candidate_only")</x:f>
        <x:v>candidate_only</x:v>
      </x:c>
      <x:c r="AM93" s="12" t="str">
        <x:f>IF(OR(AC93="canonical",AG93="yes"),"yes","recommended")</x:f>
        <x:v>recommended</x:v>
      </x:c>
      <x:c r="AN93" s="12" t="str">
        <x:f>IF(AC93="deprecated","exclude",IF(AND(AG93="yes",AJ93="high"),"import_but_human_review_required",IF(AG93="yes","import_as_active","import_as_backlog")))</x:f>
        <x:v>import_as_backlog</x:v>
      </x:c>
      <x:c r="AO93" s="12" t="str">
        <x:f>IF(AND(AG93="yes",OR(P93="",Q93="",R93="",S93="")),"missing_required_mvp_fields",IF(AND(AC93="canonical",Y93=""),"missing_source_ref","ok"))</x:f>
        <x:v>ok</x:v>
      </x:c>
      <x:c r="AP93" s="12" t="str">
        <x:f>IF(AO93="ok","ready_for_codex_import","needs_review")</x:f>
        <x:v>ready_for_codex_import</x:v>
      </x:c>
      <x:c r="AQ93" s="12"/>
      <x:c r="AR93" s="12" t="str">
        <x:v>Added v2 operational fields. Review before classification activation.</x:v>
      </x:c>
    </x:row>
    <x:row r="94">
      <x:c r="A94" s="13" t="str">
        <x:v>straw_man_implicit_premise</x:v>
      </x:c>
      <x:c r="B94" s="13" t="str">
        <x:v>straw_man</x:v>
      </x:c>
      <x:c r="C94" s="13" t="str">
        <x:v>Straw man</x:v>
      </x:c>
      <x:c r="D94" s="13" t="str">
        <x:v>تحریف موضع مقابل</x:v>
      </x:c>
      <x:c r="E94" s="13" t="str">
        <x:v>Implicit-premise variant</x:v>
      </x:c>
      <x:c r="F94" s="13" t="str">
        <x:v>reasoning_failures</x:v>
      </x:c>
      <x:c r="G94" s="13" t="str">
        <x:v>operational_variant</x:v>
      </x:c>
      <x:c r="H94" s="13" t="str">
        <x:v>structural</x:v>
      </x:c>
      <x:c r="I94" s="13" t="str">
        <x:v>claim</x:v>
      </x:c>
      <x:c r="J94" s="13" t="str">
        <x:v>derived_operational_subtype</x:v>
      </x:c>
      <x:c r="K94" s="13" t="str">
        <x:v>derived_from_established_parent_review_required</x:v>
      </x:c>
      <x:c r="L94" s="13" t="str">
        <x:v>P3</x:v>
      </x:c>
      <x:c r="M94" s="13" t="str">
        <x:v>no</x:v>
      </x:c>
      <x:c r="N94" s="13" t="str">
        <x:v>Operational subtype under Straw man: a crucial premise is implied rather than stated. Parent definition: Misrepresenting an opponent's position to make it easier to refute.</x:v>
      </x:c>
      <x:c r="O94" s="13" t="str">
        <x:v>Look for: explicit claim-level evidence; parent-family cues for Straw man; variant cue: a crucial premise is implied rather than stated; avoid author-level inference.</x:v>
      </x:c>
      <x:c r="P94" s="13" t="str">
        <x:v>Exact evidence span in text plus claim-level reasoning link; for contextual/discourse entries, require surrounding context.</x:v>
      </x:c>
      <x:c r="Q94" s="13" t="str">
        <x:v>Do not label merely because topic is controversial, emotional, or wrong. Do not judge intent or personality. Require textual evidence and consider healthy-reasoning cues.</x:v>
      </x:c>
      <x:c r="R94" s="13" t="str">
        <x:v>Stub: A claim relies on a crucial premise is implied rather than stated to support a conclusion without adequate qualification.</x:v>
      </x:c>
      <x:c r="S94" s="13" t="str">
        <x:v>Stub: A claim discusses straw man with caveats, balanced evidence, or no argumentative use of the pattern.</x:v>
      </x:c>
      <x:c r="T94" s="13" t="str">
        <x:v>Mild or ambiguous cue; do not classify without clear evidence span.</x:v>
      </x:c>
      <x:c r="U94" s="13" t="str">
        <x:v>Clear claim-level pattern with some argumentative impact.</x:v>
      </x:c>
      <x:c r="V94" s="13" t="str">
        <x:v>Strong pattern central to the conclusion and likely to materially distort reasoning.</x:v>
      </x:c>
      <x:c r="W94" s="13" t="str"/>
      <x:c r="X94" s="13" t="str">
        <x:v>sep_fallacies</x:v>
      </x:c>
      <x:c r="Y94" s="13" t="str">
        <x:v>https://plato.stanford.edu/entries/fallacies/</x:v>
      </x:c>
      <x:c r="Z94" s="13" t="str">
        <x:v>Review before enabling. This workbook is a living taxonomy scaffold, not a validated scientific benchmark.</x:v>
      </x:c>
      <x:c r="AA94" s="13" t="str">
        <x:v>0.1.0-draft</x:v>
      </x:c>
      <x:c r="AB94" s="12" t="str">
        <x:f>IF(ISNUMBER(SEARCH("healthy",F94)),"healthy_reasoning_patterns",IF(ISNUMBER(SEARCH("statistical",F94)),"statistical_reasoning",IF(ISNUMBER(SEARCH("causal",F94)),"causal_reasoning",IF(ISNUMBER(SEARCH("social",F94)),"social_influence",IF(ISNUMBER(SEARCH("rhetoric",F94)),"rhetoric_discourse",IF(ISNUMBER(SEARCH("behavior",F94)),"behavioural_economics",IF(ISNUMBER(SEARCH("cognitive",F94)),"cognitive_biases",IF(J94="protective_pattern","healthy_reasoning_patterns",IF(L94="P0","core_mvp","extended_fallacies")))))))))</x:f>
        <x:v>extended_fallacies</x:v>
      </x:c>
      <x:c r="AC94" s="12" t="str">
        <x:f>IF(ISNUMBER(SEARCH("operational",J94)),"operational",IF(ISNUMBER(SEARCH("deprecated",J94)),"deprecated",IF(L94="P0","canonical","recognized_subtype")))</x:f>
        <x:v>operational</x:v>
      </x:c>
      <x:c r="AD94" s="12" t="str">
        <x:f>IF(AC94="canonical","high",IF(AC94="recognized_subtype","medium",IF(AC94="operational","operational_only","debated")))</x:f>
        <x:v>operational_only</x:v>
      </x:c>
      <x:c r="AE94" s="12" t="str">
        <x:f>IF(AC94="deprecated","deprecated",IF(M94="yes","active",IF(M94="review","review_required","backlog")))</x:f>
        <x:v>backlog</x:v>
      </x:c>
      <x:c r="AF94" s="12" t="str">
        <x:f>IF(OR(AE94="active",AE94="review_required"),"yes","no")</x:f>
        <x:v>no</x:v>
      </x:c>
      <x:c r="AG94" s="12" t="str">
        <x:f>IF(AND(AE94="active",M94="yes",NOT(ISNUMBER(SEARCH("healthy",AB94)))),"yes","no")</x:f>
        <x:v>no</x:v>
      </x:c>
      <x:c r="AH94" s="12" t="str">
        <x:f>IF(OR(H94="contextual",H94="dialogue",H94="discourse",I94="claim+context",I94="discourse_segment"),"yes","no")</x:f>
        <x:v>no</x:v>
      </x:c>
      <x:c r="AI94" s="12" t="str">
        <x:f>IF(OR(AH94="yes",AD94="debated",AC94="operational"),"yes","no")</x:f>
        <x:v>yes</x:v>
      </x:c>
      <x:c r="AJ94" s="12" t="str">
        <x:f>IF(OR(AH94="yes",AC94="operational",AD94="debated"),"high",IF(AND(AG94="yes",L94="P0"),"medium","low"))</x:f>
        <x:v>high</x:v>
      </x:c>
      <x:c r="AK94" s="12" t="str">
        <x:f>IF(ISNUMBER(SEARCH("healthy",AB94)),"yes","no")</x:f>
        <x:v>no</x:v>
      </x:c>
      <x:c r="AL94" s="12" t="str">
        <x:f>IF(AG94="yes","yes","candidate_only")</x:f>
        <x:v>candidate_only</x:v>
      </x:c>
      <x:c r="AM94" s="12" t="str">
        <x:f>IF(OR(AC94="canonical",AG94="yes"),"yes","recommended")</x:f>
        <x:v>recommended</x:v>
      </x:c>
      <x:c r="AN94" s="12" t="str">
        <x:f>IF(AC94="deprecated","exclude",IF(AND(AG94="yes",AJ94="high"),"import_but_human_review_required",IF(AG94="yes","import_as_active","import_as_backlog")))</x:f>
        <x:v>import_as_backlog</x:v>
      </x:c>
      <x:c r="AO94" s="12" t="str">
        <x:f>IF(AND(AG94="yes",OR(P94="",Q94="",R94="",S94="")),"missing_required_mvp_fields",IF(AND(AC94="canonical",Y94=""),"missing_source_ref","ok"))</x:f>
        <x:v>ok</x:v>
      </x:c>
      <x:c r="AP94" s="12" t="str">
        <x:f>IF(AO94="ok","ready_for_codex_import","needs_review")</x:f>
        <x:v>ready_for_codex_import</x:v>
      </x:c>
      <x:c r="AQ94" s="12"/>
      <x:c r="AR94" s="12" t="str">
        <x:v>Added v2 operational fields. Review before classification activation.</x:v>
      </x:c>
    </x:row>
    <x:row r="95">
      <x:c r="A95" s="13" t="str">
        <x:v>weak_man_implicit_premise</x:v>
      </x:c>
      <x:c r="B95" s="13" t="str">
        <x:v>weak_man</x:v>
      </x:c>
      <x:c r="C95" s="13" t="str">
        <x:v>Weak man</x:v>
      </x:c>
      <x:c r="D95" s="13" t="str">
        <x:v>انتخاب نسخه ضعیف استدلال مقابل</x:v>
      </x:c>
      <x:c r="E95" s="13" t="str">
        <x:v>Implicit-premise variant</x:v>
      </x:c>
      <x:c r="F95" s="13" t="str">
        <x:v>reasoning_failures</x:v>
      </x:c>
      <x:c r="G95" s="13" t="str">
        <x:v>operational_variant</x:v>
      </x:c>
      <x:c r="H95" s="13" t="str">
        <x:v>structural</x:v>
      </x:c>
      <x:c r="I95" s="13" t="str">
        <x:v>claim</x:v>
      </x:c>
      <x:c r="J95" s="13" t="str">
        <x:v>derived_operational_subtype</x:v>
      </x:c>
      <x:c r="K95" s="13" t="str">
        <x:v>derived_from_established_parent_review_required</x:v>
      </x:c>
      <x:c r="L95" s="13" t="str">
        <x:v>P3</x:v>
      </x:c>
      <x:c r="M95" s="13" t="str">
        <x:v>no</x:v>
      </x:c>
      <x:c r="N95" s="13" t="str">
        <x:v>Operational subtype under Weak man: a crucial premise is implied rather than stated. Parent definition: Targeting a weak version of a broader position rather than the strongest relevant version.</x:v>
      </x:c>
      <x:c r="O95" s="13" t="str">
        <x:v>Look for: explicit claim-level evidence; parent-family cues for Weak man; variant cue: a crucial premise is implied rather than stated; avoid author-level inference.</x:v>
      </x:c>
      <x:c r="P95" s="13" t="str">
        <x:v>Exact evidence span in text plus claim-level reasoning link; for contextual/discourse entries, require surrounding context.</x:v>
      </x:c>
      <x:c r="Q95" s="13" t="str">
        <x:v>Do not label merely because topic is controversial, emotional, or wrong. Do not judge intent or personality. Require textual evidence and consider healthy-reasoning cues.</x:v>
      </x:c>
      <x:c r="R95" s="13" t="str">
        <x:v>Stub: A claim relies on a crucial premise is implied rather than stated to support a conclusion without adequate qualification.</x:v>
      </x:c>
      <x:c r="S95" s="13" t="str">
        <x:v>Stub: A claim discusses weak man with caveats, balanced evidence, or no argumentative use of the pattern.</x:v>
      </x:c>
      <x:c r="T95" s="13" t="str">
        <x:v>Mild or ambiguous cue; do not classify without clear evidence span.</x:v>
      </x:c>
      <x:c r="U95" s="13" t="str">
        <x:v>Clear claim-level pattern with some argumentative impact.</x:v>
      </x:c>
      <x:c r="V95" s="13" t="str">
        <x:v>Strong pattern central to the conclusion and likely to materially distort reasoning.</x:v>
      </x:c>
      <x:c r="W95" s="13" t="str"/>
      <x:c r="X95" s="13" t="str">
        <x:v>sep_fallacies</x:v>
      </x:c>
      <x:c r="Y95" s="13" t="str">
        <x:v>https://plato.stanford.edu/entries/fallacies/</x:v>
      </x:c>
      <x:c r="Z95" s="13" t="str">
        <x:v>Review before enabling. This workbook is a living taxonomy scaffold, not a validated scientific benchmark.</x:v>
      </x:c>
      <x:c r="AA95" s="13" t="str">
        <x:v>0.1.0-draft</x:v>
      </x:c>
      <x:c r="AB95" s="12" t="str">
        <x:f>IF(ISNUMBER(SEARCH("healthy",F95)),"healthy_reasoning_patterns",IF(ISNUMBER(SEARCH("statistical",F95)),"statistical_reasoning",IF(ISNUMBER(SEARCH("causal",F95)),"causal_reasoning",IF(ISNUMBER(SEARCH("social",F95)),"social_influence",IF(ISNUMBER(SEARCH("rhetoric",F95)),"rhetoric_discourse",IF(ISNUMBER(SEARCH("behavior",F95)),"behavioural_economics",IF(ISNUMBER(SEARCH("cognitive",F95)),"cognitive_biases",IF(J95="protective_pattern","healthy_reasoning_patterns",IF(L95="P0","core_mvp","extended_fallacies")))))))))</x:f>
        <x:v>extended_fallacies</x:v>
      </x:c>
      <x:c r="AC95" s="12" t="str">
        <x:f>IF(ISNUMBER(SEARCH("operational",J95)),"operational",IF(ISNUMBER(SEARCH("deprecated",J95)),"deprecated",IF(L95="P0","canonical","recognized_subtype")))</x:f>
        <x:v>operational</x:v>
      </x:c>
      <x:c r="AD95" s="12" t="str">
        <x:f>IF(AC95="canonical","high",IF(AC95="recognized_subtype","medium",IF(AC95="operational","operational_only","debated")))</x:f>
        <x:v>operational_only</x:v>
      </x:c>
      <x:c r="AE95" s="12" t="str">
        <x:f>IF(AC95="deprecated","deprecated",IF(M95="yes","active",IF(M95="review","review_required","backlog")))</x:f>
        <x:v>backlog</x:v>
      </x:c>
      <x:c r="AF95" s="12" t="str">
        <x:f>IF(OR(AE95="active",AE95="review_required"),"yes","no")</x:f>
        <x:v>no</x:v>
      </x:c>
      <x:c r="AG95" s="12" t="str">
        <x:f>IF(AND(AE95="active",M95="yes",NOT(ISNUMBER(SEARCH("healthy",AB95)))),"yes","no")</x:f>
        <x:v>no</x:v>
      </x:c>
      <x:c r="AH95" s="12" t="str">
        <x:f>IF(OR(H95="contextual",H95="dialogue",H95="discourse",I95="claim+context",I95="discourse_segment"),"yes","no")</x:f>
        <x:v>no</x:v>
      </x:c>
      <x:c r="AI95" s="12" t="str">
        <x:f>IF(OR(AH95="yes",AD95="debated",AC95="operational"),"yes","no")</x:f>
        <x:v>yes</x:v>
      </x:c>
      <x:c r="AJ95" s="12" t="str">
        <x:f>IF(OR(AH95="yes",AC95="operational",AD95="debated"),"high",IF(AND(AG95="yes",L95="P0"),"medium","low"))</x:f>
        <x:v>high</x:v>
      </x:c>
      <x:c r="AK95" s="12" t="str">
        <x:f>IF(ISNUMBER(SEARCH("healthy",AB95)),"yes","no")</x:f>
        <x:v>no</x:v>
      </x:c>
      <x:c r="AL95" s="12" t="str">
        <x:f>IF(AG95="yes","yes","candidate_only")</x:f>
        <x:v>candidate_only</x:v>
      </x:c>
      <x:c r="AM95" s="12" t="str">
        <x:f>IF(OR(AC95="canonical",AG95="yes"),"yes","recommended")</x:f>
        <x:v>recommended</x:v>
      </x:c>
      <x:c r="AN95" s="12" t="str">
        <x:f>IF(AC95="deprecated","exclude",IF(AND(AG95="yes",AJ95="high"),"import_but_human_review_required",IF(AG95="yes","import_as_active","import_as_backlog")))</x:f>
        <x:v>import_as_backlog</x:v>
      </x:c>
      <x:c r="AO95" s="12" t="str">
        <x:f>IF(AND(AG95="yes",OR(P95="",Q95="",R95="",S95="")),"missing_required_mvp_fields",IF(AND(AC95="canonical",Y95=""),"missing_source_ref","ok"))</x:f>
        <x:v>ok</x:v>
      </x:c>
      <x:c r="AP95" s="12" t="str">
        <x:f>IF(AO95="ok","ready_for_codex_import","needs_review")</x:f>
        <x:v>ready_for_codex_import</x:v>
      </x:c>
      <x:c r="AQ95" s="12"/>
      <x:c r="AR95" s="12" t="str">
        <x:v>Added v2 operational fields. Review before classification activation.</x:v>
      </x:c>
    </x:row>
    <x:row r="96">
      <x:c r="A96" s="13" t="str">
        <x:v>ad_hominem_abusive_implicit_premise</x:v>
      </x:c>
      <x:c r="B96" s="13" t="str">
        <x:v>ad_hominem_abusive</x:v>
      </x:c>
      <x:c r="C96" s="13" t="str">
        <x:v>Abusive ad hominem</x:v>
      </x:c>
      <x:c r="D96" s="13" t="str">
        <x:v>حمله شخصی مستقیم</x:v>
      </x:c>
      <x:c r="E96" s="13" t="str">
        <x:v>Implicit-premise variant</x:v>
      </x:c>
      <x:c r="F96" s="13" t="str">
        <x:v>reasoning_failures</x:v>
      </x:c>
      <x:c r="G96" s="13" t="str">
        <x:v>operational_variant</x:v>
      </x:c>
      <x:c r="H96" s="13" t="str">
        <x:v>structural</x:v>
      </x:c>
      <x:c r="I96" s="13" t="str">
        <x:v>claim</x:v>
      </x:c>
      <x:c r="J96" s="13" t="str">
        <x:v>derived_operational_subtype</x:v>
      </x:c>
      <x:c r="K96" s="13" t="str">
        <x:v>derived_from_established_parent_review_required</x:v>
      </x:c>
      <x:c r="L96" s="13" t="str">
        <x:v>P3</x:v>
      </x:c>
      <x:c r="M96" s="13" t="str">
        <x:v>no</x:v>
      </x:c>
      <x:c r="N96" s="13" t="str">
        <x:v>Operational subtype under Abusive ad hominem: a crucial premise is implied rather than stated. Parent definition: Rejecting a claim by attacking a person rather than the claim-level reasons.</x:v>
      </x:c>
      <x:c r="O96" s="13" t="str">
        <x:v>Look for: explicit claim-level evidence; parent-family cues for Abusive ad hominem; variant cue: a crucial premise is implied rather than stated; avoid author-level inference.</x:v>
      </x:c>
      <x:c r="P96" s="13" t="str">
        <x:v>Exact evidence span in text plus claim-level reasoning link; for contextual/discourse entries, require surrounding context.</x:v>
      </x:c>
      <x:c r="Q96" s="13" t="str">
        <x:v>Do not label merely because topic is controversial, emotional, or wrong. Do not judge intent or personality. Require textual evidence and consider healthy-reasoning cues.</x:v>
      </x:c>
      <x:c r="R96" s="13" t="str">
        <x:v>Stub: A claim relies on a crucial premise is implied rather than stated to support a conclusion without adequate qualification.</x:v>
      </x:c>
      <x:c r="S96" s="13" t="str">
        <x:v>Stub: A claim discusses abusive ad hominem with caveats, balanced evidence, or no argumentative use of the pattern.</x:v>
      </x:c>
      <x:c r="T96" s="13" t="str">
        <x:v>Mild or ambiguous cue; do not classify without clear evidence span.</x:v>
      </x:c>
      <x:c r="U96" s="13" t="str">
        <x:v>Clear claim-level pattern with some argumentative impact.</x:v>
      </x:c>
      <x:c r="V96" s="13" t="str">
        <x:v>Strong pattern central to the conclusion and likely to materially distort reasoning.</x:v>
      </x:c>
      <x:c r="W96" s="13" t="str"/>
      <x:c r="X96" s="13" t="str">
        <x:v>sep_fallacies</x:v>
      </x:c>
      <x:c r="Y96" s="13" t="str">
        <x:v>https://plato.stanford.edu/entries/fallacies/</x:v>
      </x:c>
      <x:c r="Z96" s="13" t="str">
        <x:v>Review before enabling. This workbook is a living taxonomy scaffold, not a validated scientific benchmark.</x:v>
      </x:c>
      <x:c r="AA96" s="13" t="str">
        <x:v>0.1.0-draft</x:v>
      </x:c>
      <x:c r="AB96" s="12" t="str">
        <x:f>IF(ISNUMBER(SEARCH("healthy",F96)),"healthy_reasoning_patterns",IF(ISNUMBER(SEARCH("statistical",F96)),"statistical_reasoning",IF(ISNUMBER(SEARCH("causal",F96)),"causal_reasoning",IF(ISNUMBER(SEARCH("social",F96)),"social_influence",IF(ISNUMBER(SEARCH("rhetoric",F96)),"rhetoric_discourse",IF(ISNUMBER(SEARCH("behavior",F96)),"behavioural_economics",IF(ISNUMBER(SEARCH("cognitive",F96)),"cognitive_biases",IF(J96="protective_pattern","healthy_reasoning_patterns",IF(L96="P0","core_mvp","extended_fallacies")))))))))</x:f>
        <x:v>extended_fallacies</x:v>
      </x:c>
      <x:c r="AC96" s="12" t="str">
        <x:f>IF(ISNUMBER(SEARCH("operational",J96)),"operational",IF(ISNUMBER(SEARCH("deprecated",J96)),"deprecated",IF(L96="P0","canonical","recognized_subtype")))</x:f>
        <x:v>operational</x:v>
      </x:c>
      <x:c r="AD96" s="12" t="str">
        <x:f>IF(AC96="canonical","high",IF(AC96="recognized_subtype","medium",IF(AC96="operational","operational_only","debated")))</x:f>
        <x:v>operational_only</x:v>
      </x:c>
      <x:c r="AE96" s="12" t="str">
        <x:f>IF(AC96="deprecated","deprecated",IF(M96="yes","active",IF(M96="review","review_required","backlog")))</x:f>
        <x:v>backlog</x:v>
      </x:c>
      <x:c r="AF96" s="12" t="str">
        <x:f>IF(OR(AE96="active",AE96="review_required"),"yes","no")</x:f>
        <x:v>no</x:v>
      </x:c>
      <x:c r="AG96" s="12" t="str">
        <x:f>IF(AND(AE96="active",M96="yes",NOT(ISNUMBER(SEARCH("healthy",AB96)))),"yes","no")</x:f>
        <x:v>no</x:v>
      </x:c>
      <x:c r="AH96" s="12" t="str">
        <x:f>IF(OR(H96="contextual",H96="dialogue",H96="discourse",I96="claim+context",I96="discourse_segment"),"yes","no")</x:f>
        <x:v>no</x:v>
      </x:c>
      <x:c r="AI96" s="12" t="str">
        <x:f>IF(OR(AH96="yes",AD96="debated",AC96="operational"),"yes","no")</x:f>
        <x:v>yes</x:v>
      </x:c>
      <x:c r="AJ96" s="12" t="str">
        <x:f>IF(OR(AH96="yes",AC96="operational",AD96="debated"),"high",IF(AND(AG96="yes",L96="P0"),"medium","low"))</x:f>
        <x:v>high</x:v>
      </x:c>
      <x:c r="AK96" s="12" t="str">
        <x:f>IF(ISNUMBER(SEARCH("healthy",AB96)),"yes","no")</x:f>
        <x:v>no</x:v>
      </x:c>
      <x:c r="AL96" s="12" t="str">
        <x:f>IF(AG96="yes","yes","candidate_only")</x:f>
        <x:v>candidate_only</x:v>
      </x:c>
      <x:c r="AM96" s="12" t="str">
        <x:f>IF(OR(AC96="canonical",AG96="yes"),"yes","recommended")</x:f>
        <x:v>recommended</x:v>
      </x:c>
      <x:c r="AN96" s="12" t="str">
        <x:f>IF(AC96="deprecated","exclude",IF(AND(AG96="yes",AJ96="high"),"import_but_human_review_required",IF(AG96="yes","import_as_active","import_as_backlog")))</x:f>
        <x:v>import_as_backlog</x:v>
      </x:c>
      <x:c r="AO96" s="12" t="str">
        <x:f>IF(AND(AG96="yes",OR(P96="",Q96="",R96="",S96="")),"missing_required_mvp_fields",IF(AND(AC96="canonical",Y96=""),"missing_source_ref","ok"))</x:f>
        <x:v>ok</x:v>
      </x:c>
      <x:c r="AP96" s="12" t="str">
        <x:f>IF(AO96="ok","ready_for_codex_import","needs_review")</x:f>
        <x:v>ready_for_codex_import</x:v>
      </x:c>
      <x:c r="AQ96" s="12"/>
      <x:c r="AR96" s="12" t="str">
        <x:v>Added v2 operational fields. Review before classification activation.</x:v>
      </x:c>
    </x:row>
    <x:row r="97">
      <x:c r="A97" s="13" t="str">
        <x:v>ad_hominem_circumstantial_implicit_premise</x:v>
      </x:c>
      <x:c r="B97" s="13" t="str">
        <x:v>ad_hominem_circumstantial</x:v>
      </x:c>
      <x:c r="C97" s="13" t="str">
        <x:v>Circumstantial ad hominem</x:v>
      </x:c>
      <x:c r="D97" s="13" t="str">
        <x:v>حمله به شرایط شخص</x:v>
      </x:c>
      <x:c r="E97" s="13" t="str">
        <x:v>Implicit-premise variant</x:v>
      </x:c>
      <x:c r="F97" s="13" t="str">
        <x:v>reasoning_failures</x:v>
      </x:c>
      <x:c r="G97" s="13" t="str">
        <x:v>operational_variant</x:v>
      </x:c>
      <x:c r="H97" s="13" t="str">
        <x:v>structural</x:v>
      </x:c>
      <x:c r="I97" s="13" t="str">
        <x:v>claim</x:v>
      </x:c>
      <x:c r="J97" s="13" t="str">
        <x:v>derived_operational_subtype</x:v>
      </x:c>
      <x:c r="K97" s="13" t="str">
        <x:v>derived_from_established_parent_review_required</x:v>
      </x:c>
      <x:c r="L97" s="13" t="str">
        <x:v>P3</x:v>
      </x:c>
      <x:c r="M97" s="13" t="str">
        <x:v>no</x:v>
      </x:c>
      <x:c r="N97" s="13" t="str">
        <x:v>Operational subtype under Circumstantial ad hominem: a crucial premise is implied rather than stated. Parent definition: Treating a speaker's circumstances as decisive against their claim without claim-level evidence.</x:v>
      </x:c>
      <x:c r="O97" s="13" t="str">
        <x:v>Look for: explicit claim-level evidence; parent-family cues for Circumstantial ad hominem; variant cue: a crucial premise is implied rather than stated; avoid author-level inference.</x:v>
      </x:c>
      <x:c r="P97" s="13" t="str">
        <x:v>Exact evidence span in text plus claim-level reasoning link; for contextual/discourse entries, require surrounding context.</x:v>
      </x:c>
      <x:c r="Q97" s="13" t="str">
        <x:v>Do not label merely because topic is controversial, emotional, or wrong. Do not judge intent or personality. Require textual evidence and consider healthy-reasoning cues.</x:v>
      </x:c>
      <x:c r="R97" s="13" t="str">
        <x:v>Stub: A claim relies on a crucial premise is implied rather than stated to support a conclusion without adequate qualification.</x:v>
      </x:c>
      <x:c r="S97" s="13" t="str">
        <x:v>Stub: A claim discusses circumstantial ad hominem with caveats, balanced evidence, or no argumentative use of the pattern.</x:v>
      </x:c>
      <x:c r="T97" s="13" t="str">
        <x:v>Mild or ambiguous cue; do not classify without clear evidence span.</x:v>
      </x:c>
      <x:c r="U97" s="13" t="str">
        <x:v>Clear claim-level pattern with some argumentative impact.</x:v>
      </x:c>
      <x:c r="V97" s="13" t="str">
        <x:v>Strong pattern central to the conclusion and likely to materially distort reasoning.</x:v>
      </x:c>
      <x:c r="W97" s="13" t="str">
        <x:v>cherry_picking; missing_counterevidence; evidence_grading</x:v>
      </x:c>
      <x:c r="X97" s="13" t="str">
        <x:v>sep_fallacies</x:v>
      </x:c>
      <x:c r="Y97" s="13" t="str">
        <x:v>https://plato.stanford.edu/entries/fallacies/</x:v>
      </x:c>
      <x:c r="Z97" s="13" t="str">
        <x:v>Review before enabling. This workbook is a living taxonomy scaffold, not a validated scientific benchmark.</x:v>
      </x:c>
      <x:c r="AA97" s="13" t="str">
        <x:v>0.1.0-draft</x:v>
      </x:c>
      <x:c r="AB97" s="12" t="str">
        <x:f>IF(ISNUMBER(SEARCH("healthy",F97)),"healthy_reasoning_patterns",IF(ISNUMBER(SEARCH("statistical",F97)),"statistical_reasoning",IF(ISNUMBER(SEARCH("causal",F97)),"causal_reasoning",IF(ISNUMBER(SEARCH("social",F97)),"social_influence",IF(ISNUMBER(SEARCH("rhetoric",F97)),"rhetoric_discourse",IF(ISNUMBER(SEARCH("behavior",F97)),"behavioural_economics",IF(ISNUMBER(SEARCH("cognitive",F97)),"cognitive_biases",IF(J97="protective_pattern","healthy_reasoning_patterns",IF(L97="P0","core_mvp","extended_fallacies")))))))))</x:f>
        <x:v>extended_fallacies</x:v>
      </x:c>
      <x:c r="AC97" s="12" t="str">
        <x:f>IF(ISNUMBER(SEARCH("operational",J97)),"operational",IF(ISNUMBER(SEARCH("deprecated",J97)),"deprecated",IF(L97="P0","canonical","recognized_subtype")))</x:f>
        <x:v>operational</x:v>
      </x:c>
      <x:c r="AD97" s="12" t="str">
        <x:f>IF(AC97="canonical","high",IF(AC97="recognized_subtype","medium",IF(AC97="operational","operational_only","debated")))</x:f>
        <x:v>operational_only</x:v>
      </x:c>
      <x:c r="AE97" s="12" t="str">
        <x:f>IF(AC97="deprecated","deprecated",IF(M97="yes","active",IF(M97="review","review_required","backlog")))</x:f>
        <x:v>backlog</x:v>
      </x:c>
      <x:c r="AF97" s="12" t="str">
        <x:f>IF(OR(AE97="active",AE97="review_required"),"yes","no")</x:f>
        <x:v>no</x:v>
      </x:c>
      <x:c r="AG97" s="12" t="str">
        <x:f>IF(AND(AE97="active",M97="yes",NOT(ISNUMBER(SEARCH("healthy",AB97)))),"yes","no")</x:f>
        <x:v>no</x:v>
      </x:c>
      <x:c r="AH97" s="12" t="str">
        <x:f>IF(OR(H97="contextual",H97="dialogue",H97="discourse",I97="claim+context",I97="discourse_segment"),"yes","no")</x:f>
        <x:v>no</x:v>
      </x:c>
      <x:c r="AI97" s="12" t="str">
        <x:f>IF(OR(AH97="yes",AD97="debated",AC97="operational"),"yes","no")</x:f>
        <x:v>yes</x:v>
      </x:c>
      <x:c r="AJ97" s="12" t="str">
        <x:f>IF(OR(AH97="yes",AC97="operational",AD97="debated"),"high",IF(AND(AG97="yes",L97="P0"),"medium","low"))</x:f>
        <x:v>high</x:v>
      </x:c>
      <x:c r="AK97" s="12" t="str">
        <x:f>IF(ISNUMBER(SEARCH("healthy",AB97)),"yes","no")</x:f>
        <x:v>no</x:v>
      </x:c>
      <x:c r="AL97" s="12" t="str">
        <x:f>IF(AG97="yes","yes","candidate_only")</x:f>
        <x:v>candidate_only</x:v>
      </x:c>
      <x:c r="AM97" s="12" t="str">
        <x:f>IF(OR(AC97="canonical",AG97="yes"),"yes","recommended")</x:f>
        <x:v>recommended</x:v>
      </x:c>
      <x:c r="AN97" s="12" t="str">
        <x:f>IF(AC97="deprecated","exclude",IF(AND(AG97="yes",AJ97="high"),"import_but_human_review_required",IF(AG97="yes","import_as_active","import_as_backlog")))</x:f>
        <x:v>import_as_backlog</x:v>
      </x:c>
      <x:c r="AO97" s="12" t="str">
        <x:f>IF(AND(AG97="yes",OR(P97="",Q97="",R97="",S97="")),"missing_required_mvp_fields",IF(AND(AC97="canonical",Y97=""),"missing_source_ref","ok"))</x:f>
        <x:v>ok</x:v>
      </x:c>
      <x:c r="AP97" s="12" t="str">
        <x:f>IF(AO97="ok","ready_for_codex_import","needs_review")</x:f>
        <x:v>ready_for_codex_import</x:v>
      </x:c>
      <x:c r="AQ97" s="12"/>
      <x:c r="AR97" s="12" t="str">
        <x:v>Added v2 operational fields. Review before classification activation.</x:v>
      </x:c>
    </x:row>
    <x:row r="98">
      <x:c r="A98" s="13" t="str">
        <x:v>tu_quoque_implicit_premise</x:v>
      </x:c>
      <x:c r="B98" s="13" t="str">
        <x:v>tu_quoque</x:v>
      </x:c>
      <x:c r="C98" s="13" t="str">
        <x:v>Tu quoque</x:v>
      </x:c>
      <x:c r="D98" s="13" t="str">
        <x:v>تو هم همین‌طور</x:v>
      </x:c>
      <x:c r="E98" s="13" t="str">
        <x:v>Implicit-premise variant</x:v>
      </x:c>
      <x:c r="F98" s="13" t="str">
        <x:v>reasoning_failures</x:v>
      </x:c>
      <x:c r="G98" s="13" t="str">
        <x:v>operational_variant</x:v>
      </x:c>
      <x:c r="H98" s="13" t="str">
        <x:v>dialogue</x:v>
      </x:c>
      <x:c r="I98" s="13" t="str">
        <x:v>discourse_segment</x:v>
      </x:c>
      <x:c r="J98" s="13" t="str">
        <x:v>derived_operational_subtype</x:v>
      </x:c>
      <x:c r="K98" s="13" t="str">
        <x:v>derived_from_established_parent_review_required</x:v>
      </x:c>
      <x:c r="L98" s="13" t="str">
        <x:v>P3</x:v>
      </x:c>
      <x:c r="M98" s="13" t="str">
        <x:v>no</x:v>
      </x:c>
      <x:c r="N98" s="13" t="str">
        <x:v>Operational subtype under Tu quoque: a crucial premise is implied rather than stated. Parent definition: Deflecting criticism by alleging inconsistency in the critic rather than addressing the argument.</x:v>
      </x:c>
      <x:c r="O98" s="13" t="str">
        <x:v>Look for: explicit claim-level evidence; parent-family cues for Tu quoque; variant cue: a crucial premise is implied rather than stated; avoid author-level inference.</x:v>
      </x:c>
      <x:c r="P98" s="13" t="str">
        <x:v>Exact evidence span in text plus claim-level reasoning link; for contextual/discourse entries, require surrounding context.</x:v>
      </x:c>
      <x:c r="Q98" s="13" t="str">
        <x:v>Do not label merely because topic is controversial, emotional, or wrong. Do not judge intent or personality. Require textual evidence and consider healthy-reasoning cues.</x:v>
      </x:c>
      <x:c r="R98" s="13" t="str">
        <x:v>Stub: A claim relies on a crucial premise is implied rather than stated to support a conclusion without adequate qualification.</x:v>
      </x:c>
      <x:c r="S98" s="13" t="str">
        <x:v>Stub: A claim discusses tu quoque with caveats, balanced evidence, or no argumentative use of the pattern.</x:v>
      </x:c>
      <x:c r="T98" s="13" t="str">
        <x:v>Mild or ambiguous cue; do not classify without clear evidence span.</x:v>
      </x:c>
      <x:c r="U98" s="13" t="str">
        <x:v>Clear claim-level pattern with some argumentative impact.</x:v>
      </x:c>
      <x:c r="V98" s="13" t="str">
        <x:v>Strong pattern central to the conclusion and likely to materially distort reasoning.</x:v>
      </x:c>
      <x:c r="W98" s="13" t="str"/>
      <x:c r="X98" s="13" t="str">
        <x:v>sep_fallacies</x:v>
      </x:c>
      <x:c r="Y98" s="13" t="str">
        <x:v>https://plato.stanford.edu/entries/fallacies/</x:v>
      </x:c>
      <x:c r="Z98" s="13" t="str">
        <x:v>Review before enabling. This workbook is a living taxonomy scaffold, not a validated scientific benchmark.</x:v>
      </x:c>
      <x:c r="AA98" s="13" t="str">
        <x:v>0.1.0-draft</x:v>
      </x:c>
      <x:c r="AB98" s="12" t="str">
        <x:f>IF(ISNUMBER(SEARCH("healthy",F98)),"healthy_reasoning_patterns",IF(ISNUMBER(SEARCH("statistical",F98)),"statistical_reasoning",IF(ISNUMBER(SEARCH("causal",F98)),"causal_reasoning",IF(ISNUMBER(SEARCH("social",F98)),"social_influence",IF(ISNUMBER(SEARCH("rhetoric",F98)),"rhetoric_discourse",IF(ISNUMBER(SEARCH("behavior",F98)),"behavioural_economics",IF(ISNUMBER(SEARCH("cognitive",F98)),"cognitive_biases",IF(J98="protective_pattern","healthy_reasoning_patterns",IF(L98="P0","core_mvp","extended_fallacies")))))))))</x:f>
        <x:v>extended_fallacies</x:v>
      </x:c>
      <x:c r="AC98" s="12" t="str">
        <x:f>IF(ISNUMBER(SEARCH("operational",J98)),"operational",IF(ISNUMBER(SEARCH("deprecated",J98)),"deprecated",IF(L98="P0","canonical","recognized_subtype")))</x:f>
        <x:v>operational</x:v>
      </x:c>
      <x:c r="AD98" s="12" t="str">
        <x:f>IF(AC98="canonical","high",IF(AC98="recognized_subtype","medium",IF(AC98="operational","operational_only","debated")))</x:f>
        <x:v>operational_only</x:v>
      </x:c>
      <x:c r="AE98" s="12" t="str">
        <x:f>IF(AC98="deprecated","deprecated",IF(M98="yes","active",IF(M98="review","review_required","backlog")))</x:f>
        <x:v>backlog</x:v>
      </x:c>
      <x:c r="AF98" s="12" t="str">
        <x:f>IF(OR(AE98="active",AE98="review_required"),"yes","no")</x:f>
        <x:v>no</x:v>
      </x:c>
      <x:c r="AG98" s="12" t="str">
        <x:f>IF(AND(AE98="active",M98="yes",NOT(ISNUMBER(SEARCH("healthy",AB98)))),"yes","no")</x:f>
        <x:v>no</x:v>
      </x:c>
      <x:c r="AH98" s="12" t="str">
        <x:f>IF(OR(H98="contextual",H98="dialogue",H98="discourse",I98="claim+context",I98="discourse_segment"),"yes","no")</x:f>
        <x:v>yes</x:v>
      </x:c>
      <x:c r="AI98" s="12" t="str">
        <x:f>IF(OR(AH98="yes",AD98="debated",AC98="operational"),"yes","no")</x:f>
        <x:v>yes</x:v>
      </x:c>
      <x:c r="AJ98" s="12" t="str">
        <x:f>IF(OR(AH98="yes",AC98="operational",AD98="debated"),"high",IF(AND(AG98="yes",L98="P0"),"medium","low"))</x:f>
        <x:v>high</x:v>
      </x:c>
      <x:c r="AK98" s="12" t="str">
        <x:f>IF(ISNUMBER(SEARCH("healthy",AB98)),"yes","no")</x:f>
        <x:v>no</x:v>
      </x:c>
      <x:c r="AL98" s="12" t="str">
        <x:f>IF(AG98="yes","yes","candidate_only")</x:f>
        <x:v>candidate_only</x:v>
      </x:c>
      <x:c r="AM98" s="12" t="str">
        <x:f>IF(OR(AC98="canonical",AG98="yes"),"yes","recommended")</x:f>
        <x:v>recommended</x:v>
      </x:c>
      <x:c r="AN98" s="12" t="str">
        <x:f>IF(AC98="deprecated","exclude",IF(AND(AG98="yes",AJ98="high"),"import_but_human_review_required",IF(AG98="yes","import_as_active","import_as_backlog")))</x:f>
        <x:v>import_as_backlog</x:v>
      </x:c>
      <x:c r="AO98" s="12" t="str">
        <x:f>IF(AND(AG98="yes",OR(P98="",Q98="",R98="",S98="")),"missing_required_mvp_fields",IF(AND(AC98="canonical",Y98=""),"missing_source_ref","ok"))</x:f>
        <x:v>ok</x:v>
      </x:c>
      <x:c r="AP98" s="12" t="str">
        <x:f>IF(AO98="ok","ready_for_codex_import","needs_review")</x:f>
        <x:v>ready_for_codex_import</x:v>
      </x:c>
      <x:c r="AQ98" s="12"/>
      <x:c r="AR98" s="12" t="str">
        <x:v>Added v2 operational fields. Review before classification activation.</x:v>
      </x:c>
    </x:row>
    <x:row r="99">
      <x:c r="A99" s="13" t="str">
        <x:v>guilt_by_association_implicit_premise</x:v>
      </x:c>
      <x:c r="B99" s="13" t="str">
        <x:v>guilt_by_association</x:v>
      </x:c>
      <x:c r="C99" s="13" t="str">
        <x:v>Guilt by association</x:v>
      </x:c>
      <x:c r="D99" s="13" t="str">
        <x:v>بی‌اعتبارسازی با نسبت دادن ارتباط</x:v>
      </x:c>
      <x:c r="E99" s="13" t="str">
        <x:v>Implicit-premise variant</x:v>
      </x:c>
      <x:c r="F99" s="13" t="str">
        <x:v>reasoning_failures</x:v>
      </x:c>
      <x:c r="G99" s="13" t="str">
        <x:v>operational_variant</x:v>
      </x:c>
      <x:c r="H99" s="13" t="str">
        <x:v>contextual</x:v>
      </x:c>
      <x:c r="I99" s="13" t="str">
        <x:v>claim+context</x:v>
      </x:c>
      <x:c r="J99" s="13" t="str">
        <x:v>derived_operational_subtype</x:v>
      </x:c>
      <x:c r="K99" s="13" t="str">
        <x:v>derived_from_established_parent_review_required</x:v>
      </x:c>
      <x:c r="L99" s="13" t="str">
        <x:v>P3</x:v>
      </x:c>
      <x:c r="M99" s="13" t="str">
        <x:v>no</x:v>
      </x:c>
      <x:c r="N99" s="13" t="str">
        <x:v>Operational subtype under Guilt by association: a crucial premise is implied rather than stated. Parent definition: Rejecting a claim because its speaker is associated with a disliked person or group.</x:v>
      </x:c>
      <x:c r="O99" s="13" t="str">
        <x:v>Look for: explicit claim-level evidence; parent-family cues for Guilt by association; variant cue: a crucial premise is implied rather than stated; avoid author-level inference.</x:v>
      </x:c>
      <x:c r="P99" s="13" t="str">
        <x:v>Exact evidence span in text plus claim-level reasoning link; for contextual/discourse entries, require surrounding context.</x:v>
      </x:c>
      <x:c r="Q99" s="13" t="str">
        <x:v>Do not label merely because topic is controversial, emotional, or wrong. Do not judge intent or personality. Require textual evidence and consider healthy-reasoning cues.</x:v>
      </x:c>
      <x:c r="R99" s="13" t="str">
        <x:v>Stub: A claim relies on a crucial premise is implied rather than stated to support a conclusion without adequate qualification.</x:v>
      </x:c>
      <x:c r="S99" s="13" t="str">
        <x:v>Stub: A claim discusses guilt by association with caveats, balanced evidence, or no argumentative use of the pattern.</x:v>
      </x:c>
      <x:c r="T99" s="13" t="str">
        <x:v>Mild or ambiguous cue; do not classify without clear evidence span.</x:v>
      </x:c>
      <x:c r="U99" s="13" t="str">
        <x:v>Clear claim-level pattern with some argumentative impact.</x:v>
      </x:c>
      <x:c r="V99" s="13" t="str">
        <x:v>Strong pattern central to the conclusion and likely to materially distort reasoning.</x:v>
      </x:c>
      <x:c r="W99" s="13" t="str"/>
      <x:c r="X99" s="13" t="str">
        <x:v>sep_fallacies</x:v>
      </x:c>
      <x:c r="Y99" s="13" t="str">
        <x:v>https://plato.stanford.edu/entries/fallacies/</x:v>
      </x:c>
      <x:c r="Z99" s="13" t="str">
        <x:v>Review before enabling. This workbook is a living taxonomy scaffold, not a validated scientific benchmark.</x:v>
      </x:c>
      <x:c r="AA99" s="13" t="str">
        <x:v>0.1.0-draft</x:v>
      </x:c>
      <x:c r="AB99" s="12" t="str">
        <x:f>IF(ISNUMBER(SEARCH("healthy",F99)),"healthy_reasoning_patterns",IF(ISNUMBER(SEARCH("statistical",F99)),"statistical_reasoning",IF(ISNUMBER(SEARCH("causal",F99)),"causal_reasoning",IF(ISNUMBER(SEARCH("social",F99)),"social_influence",IF(ISNUMBER(SEARCH("rhetoric",F99)),"rhetoric_discourse",IF(ISNUMBER(SEARCH("behavior",F99)),"behavioural_economics",IF(ISNUMBER(SEARCH("cognitive",F99)),"cognitive_biases",IF(J99="protective_pattern","healthy_reasoning_patterns",IF(L99="P0","core_mvp","extended_fallacies")))))))))</x:f>
        <x:v>extended_fallacies</x:v>
      </x:c>
      <x:c r="AC99" s="12" t="str">
        <x:f>IF(ISNUMBER(SEARCH("operational",J99)),"operational",IF(ISNUMBER(SEARCH("deprecated",J99)),"deprecated",IF(L99="P0","canonical","recognized_subtype")))</x:f>
        <x:v>operational</x:v>
      </x:c>
      <x:c r="AD99" s="12" t="str">
        <x:f>IF(AC99="canonical","high",IF(AC99="recognized_subtype","medium",IF(AC99="operational","operational_only","debated")))</x:f>
        <x:v>operational_only</x:v>
      </x:c>
      <x:c r="AE99" s="12" t="str">
        <x:f>IF(AC99="deprecated","deprecated",IF(M99="yes","active",IF(M99="review","review_required","backlog")))</x:f>
        <x:v>backlog</x:v>
      </x:c>
      <x:c r="AF99" s="12" t="str">
        <x:f>IF(OR(AE99="active",AE99="review_required"),"yes","no")</x:f>
        <x:v>no</x:v>
      </x:c>
      <x:c r="AG99" s="12" t="str">
        <x:f>IF(AND(AE99="active",M99="yes",NOT(ISNUMBER(SEARCH("healthy",AB99)))),"yes","no")</x:f>
        <x:v>no</x:v>
      </x:c>
      <x:c r="AH99" s="12" t="str">
        <x:f>IF(OR(H99="contextual",H99="dialogue",H99="discourse",I99="claim+context",I99="discourse_segment"),"yes","no")</x:f>
        <x:v>yes</x:v>
      </x:c>
      <x:c r="AI99" s="12" t="str">
        <x:f>IF(OR(AH99="yes",AD99="debated",AC99="operational"),"yes","no")</x:f>
        <x:v>yes</x:v>
      </x:c>
      <x:c r="AJ99" s="12" t="str">
        <x:f>IF(OR(AH99="yes",AC99="operational",AD99="debated"),"high",IF(AND(AG99="yes",L99="P0"),"medium","low"))</x:f>
        <x:v>high</x:v>
      </x:c>
      <x:c r="AK99" s="12" t="str">
        <x:f>IF(ISNUMBER(SEARCH("healthy",AB99)),"yes","no")</x:f>
        <x:v>no</x:v>
      </x:c>
      <x:c r="AL99" s="12" t="str">
        <x:f>IF(AG99="yes","yes","candidate_only")</x:f>
        <x:v>candidate_only</x:v>
      </x:c>
      <x:c r="AM99" s="12" t="str">
        <x:f>IF(OR(AC99="canonical",AG99="yes"),"yes","recommended")</x:f>
        <x:v>recommended</x:v>
      </x:c>
      <x:c r="AN99" s="12" t="str">
        <x:f>IF(AC99="deprecated","exclude",IF(AND(AG99="yes",AJ99="high"),"import_but_human_review_required",IF(AG99="yes","import_as_active","import_as_backlog")))</x:f>
        <x:v>import_as_backlog</x:v>
      </x:c>
      <x:c r="AO99" s="12" t="str">
        <x:f>IF(AND(AG99="yes",OR(P99="",Q99="",R99="",S99="")),"missing_required_mvp_fields",IF(AND(AC99="canonical",Y99=""),"missing_source_ref","ok"))</x:f>
        <x:v>ok</x:v>
      </x:c>
      <x:c r="AP99" s="12" t="str">
        <x:f>IF(AO99="ok","ready_for_codex_import","needs_review")</x:f>
        <x:v>ready_for_codex_import</x:v>
      </x:c>
      <x:c r="AQ99" s="12"/>
      <x:c r="AR99" s="12" t="str">
        <x:v>Added v2 operational fields. Review before classification activation.</x:v>
      </x:c>
    </x:row>
    <x:row r="100">
      <x:c r="A100" s="13" t="str">
        <x:v>genetic_fallacy_implicit_premise</x:v>
      </x:c>
      <x:c r="B100" s="13" t="str">
        <x:v>genetic_fallacy</x:v>
      </x:c>
      <x:c r="C100" s="13" t="str">
        <x:v>Genetic fallacy</x:v>
      </x:c>
      <x:c r="D100" s="13" t="str">
        <x:v>مغالطه منشأ</x:v>
      </x:c>
      <x:c r="E100" s="13" t="str">
        <x:v>Implicit-premise variant</x:v>
      </x:c>
      <x:c r="F100" s="13" t="str">
        <x:v>reasoning_failures</x:v>
      </x:c>
      <x:c r="G100" s="13" t="str">
        <x:v>operational_variant</x:v>
      </x:c>
      <x:c r="H100" s="13" t="str">
        <x:v>contextual</x:v>
      </x:c>
      <x:c r="I100" s="13" t="str">
        <x:v>claim+context</x:v>
      </x:c>
      <x:c r="J100" s="13" t="str">
        <x:v>derived_operational_subtype</x:v>
      </x:c>
      <x:c r="K100" s="13" t="str">
        <x:v>derived_from_established_parent_review_required</x:v>
      </x:c>
      <x:c r="L100" s="13" t="str">
        <x:v>P3</x:v>
      </x:c>
      <x:c r="M100" s="13" t="str">
        <x:v>no</x:v>
      </x:c>
      <x:c r="N100" s="13" t="str">
        <x:v>Operational subtype under Genetic fallacy: a crucial premise is implied rather than stated. Parent definition: Judging a claim solely by its origin rather than its current evidence or reasoning.</x:v>
      </x:c>
      <x:c r="O100" s="13" t="str">
        <x:v>Look for: explicit claim-level evidence; parent-family cues for Genetic fallacy; variant cue: a crucial premise is implied rather than stated; avoid author-level inference.</x:v>
      </x:c>
      <x:c r="P100" s="13" t="str">
        <x:v>Exact evidence span in text plus claim-level reasoning link; for contextual/discourse entries, require surrounding context.</x:v>
      </x:c>
      <x:c r="Q100" s="13" t="str">
        <x:v>Do not label merely because topic is controversial, emotional, or wrong. Do not judge intent or personality. Require textual evidence and consider healthy-reasoning cues.</x:v>
      </x:c>
      <x:c r="R100" s="13" t="str">
        <x:v>Stub: A claim relies on a crucial premise is implied rather than stated to support a conclusion without adequate qualification.</x:v>
      </x:c>
      <x:c r="S100" s="13" t="str">
        <x:v>Stub: A claim discusses genetic fallacy with caveats, balanced evidence, or no argumentative use of the pattern.</x:v>
      </x:c>
      <x:c r="T100" s="13" t="str">
        <x:v>Mild or ambiguous cue; do not classify without clear evidence span.</x:v>
      </x:c>
      <x:c r="U100" s="13" t="str">
        <x:v>Clear claim-level pattern with some argumentative impact.</x:v>
      </x:c>
      <x:c r="V100" s="13" t="str">
        <x:v>Strong pattern central to the conclusion and likely to materially distort reasoning.</x:v>
      </x:c>
      <x:c r="W100" s="13" t="str">
        <x:v>cherry_picking; missing_counterevidence; evidence_grading</x:v>
      </x:c>
      <x:c r="X100" s="13" t="str">
        <x:v>sep_fallacies</x:v>
      </x:c>
      <x:c r="Y100" s="13" t="str">
        <x:v>https://plato.stanford.edu/entries/fallacies/</x:v>
      </x:c>
      <x:c r="Z100" s="13" t="str">
        <x:v>Review before enabling. This workbook is a living taxonomy scaffold, not a validated scientific benchmark.</x:v>
      </x:c>
      <x:c r="AA100" s="13" t="str">
        <x:v>0.1.0-draft</x:v>
      </x:c>
      <x:c r="AB100" s="12" t="str">
        <x:f>IF(ISNUMBER(SEARCH("healthy",F100)),"healthy_reasoning_patterns",IF(ISNUMBER(SEARCH("statistical",F100)),"statistical_reasoning",IF(ISNUMBER(SEARCH("causal",F100)),"causal_reasoning",IF(ISNUMBER(SEARCH("social",F100)),"social_influence",IF(ISNUMBER(SEARCH("rhetoric",F100)),"rhetoric_discourse",IF(ISNUMBER(SEARCH("behavior",F100)),"behavioural_economics",IF(ISNUMBER(SEARCH("cognitive",F100)),"cognitive_biases",IF(J100="protective_pattern","healthy_reasoning_patterns",IF(L100="P0","core_mvp","extended_fallacies")))))))))</x:f>
        <x:v>extended_fallacies</x:v>
      </x:c>
      <x:c r="AC100" s="12" t="str">
        <x:f>IF(ISNUMBER(SEARCH("operational",J100)),"operational",IF(ISNUMBER(SEARCH("deprecated",J100)),"deprecated",IF(L100="P0","canonical","recognized_subtype")))</x:f>
        <x:v>operational</x:v>
      </x:c>
      <x:c r="AD100" s="12" t="str">
        <x:f>IF(AC100="canonical","high",IF(AC100="recognized_subtype","medium",IF(AC100="operational","operational_only","debated")))</x:f>
        <x:v>operational_only</x:v>
      </x:c>
      <x:c r="AE100" s="12" t="str">
        <x:f>IF(AC100="deprecated","deprecated",IF(M100="yes","active",IF(M100="review","review_required","backlog")))</x:f>
        <x:v>backlog</x:v>
      </x:c>
      <x:c r="AF100" s="12" t="str">
        <x:f>IF(OR(AE100="active",AE100="review_required"),"yes","no")</x:f>
        <x:v>no</x:v>
      </x:c>
      <x:c r="AG100" s="12" t="str">
        <x:f>IF(AND(AE100="active",M100="yes",NOT(ISNUMBER(SEARCH("healthy",AB100)))),"yes","no")</x:f>
        <x:v>no</x:v>
      </x:c>
      <x:c r="AH100" s="12" t="str">
        <x:f>IF(OR(H100="contextual",H100="dialogue",H100="discourse",I100="claim+context",I100="discourse_segment"),"yes","no")</x:f>
        <x:v>yes</x:v>
      </x:c>
      <x:c r="AI100" s="12" t="str">
        <x:f>IF(OR(AH100="yes",AD100="debated",AC100="operational"),"yes","no")</x:f>
        <x:v>yes</x:v>
      </x:c>
      <x:c r="AJ100" s="12" t="str">
        <x:f>IF(OR(AH100="yes",AC100="operational",AD100="debated"),"high",IF(AND(AG100="yes",L100="P0"),"medium","low"))</x:f>
        <x:v>high</x:v>
      </x:c>
      <x:c r="AK100" s="12" t="str">
        <x:f>IF(ISNUMBER(SEARCH("healthy",AB100)),"yes","no")</x:f>
        <x:v>no</x:v>
      </x:c>
      <x:c r="AL100" s="12" t="str">
        <x:f>IF(AG100="yes","yes","candidate_only")</x:f>
        <x:v>candidate_only</x:v>
      </x:c>
      <x:c r="AM100" s="12" t="str">
        <x:f>IF(OR(AC100="canonical",AG100="yes"),"yes","recommended")</x:f>
        <x:v>recommended</x:v>
      </x:c>
      <x:c r="AN100" s="12" t="str">
        <x:f>IF(AC100="deprecated","exclude",IF(AND(AG100="yes",AJ100="high"),"import_but_human_review_required",IF(AG100="yes","import_as_active","import_as_backlog")))</x:f>
        <x:v>import_as_backlog</x:v>
      </x:c>
      <x:c r="AO100" s="12" t="str">
        <x:f>IF(AND(AG100="yes",OR(P100="",Q100="",R100="",S100="")),"missing_required_mvp_fields",IF(AND(AC100="canonical",Y100=""),"missing_source_ref","ok"))</x:f>
        <x:v>ok</x:v>
      </x:c>
      <x:c r="AP100" s="12" t="str">
        <x:f>IF(AO100="ok","ready_for_codex_import","needs_review")</x:f>
        <x:v>ready_for_codex_import</x:v>
      </x:c>
      <x:c r="AQ100" s="12"/>
      <x:c r="AR100" s="12" t="str">
        <x:v>Added v2 operational fields. Review before classification activation.</x:v>
      </x:c>
    </x:row>
    <x:row r="101">
      <x:c r="A101" s="13" t="str">
        <x:v>appeal_to_authority_misuse_implicit_premise</x:v>
      </x:c>
      <x:c r="B101" s="13" t="str">
        <x:v>appeal_to_authority_misuse</x:v>
      </x:c>
      <x:c r="C101" s="13" t="str">
        <x:v>Misused appeal to authority</x:v>
      </x:c>
      <x:c r="D101" s="13" t="str">
        <x:v>استناد ناموجه به مرجع</x:v>
      </x:c>
      <x:c r="E101" s="13" t="str">
        <x:v>Implicit-premise variant</x:v>
      </x:c>
      <x:c r="F101" s="13" t="str">
        <x:v>reasoning_failures</x:v>
      </x:c>
      <x:c r="G101" s="13" t="str">
        <x:v>operational_variant</x:v>
      </x:c>
      <x:c r="H101" s="13" t="str">
        <x:v>contextual</x:v>
      </x:c>
      <x:c r="I101" s="13" t="str">
        <x:v>claim+context</x:v>
      </x:c>
      <x:c r="J101" s="13" t="str">
        <x:v>derived_operational_subtype</x:v>
      </x:c>
      <x:c r="K101" s="13" t="str">
        <x:v>derived_from_established_parent_review_required</x:v>
      </x:c>
      <x:c r="L101" s="13" t="str">
        <x:v>P3</x:v>
      </x:c>
      <x:c r="M101" s="13" t="str">
        <x:v>no</x:v>
      </x:c>
      <x:c r="N101" s="13" t="str">
        <x:v>Operational subtype under Misused appeal to authority: a crucial premise is implied rather than stated. Parent definition: Using authority as a substitute for relevant evidence, especially outside the authority's domain.</x:v>
      </x:c>
      <x:c r="O101" s="13" t="str">
        <x:v>Look for: explicit claim-level evidence; parent-family cues for Misused appeal to authority; variant cue: a crucial premise is implied rather than stated; avoid author-level inference.</x:v>
      </x:c>
      <x:c r="P101" s="13" t="str">
        <x:v>Exact evidence span in text plus claim-level reasoning link; for contextual/discourse entries, require surrounding context.</x:v>
      </x:c>
      <x:c r="Q101" s="13" t="str">
        <x:v>Do not label merely because topic is controversial, emotional, or wrong. Do not judge intent or personality. Require textual evidence and consider healthy-reasoning cues.</x:v>
      </x:c>
      <x:c r="R101" s="13" t="str">
        <x:v>Stub: A claim relies on a crucial premise is implied rather than stated to support a conclusion without adequate qualification.</x:v>
      </x:c>
      <x:c r="S101" s="13" t="str">
        <x:v>Stub: A claim discusses misused appeal to authority with caveats, balanced evidence, or no argumentative use of the pattern.</x:v>
      </x:c>
      <x:c r="T101" s="13" t="str">
        <x:v>Mild or ambiguous cue; do not classify without clear evidence span.</x:v>
      </x:c>
      <x:c r="U101" s="13" t="str">
        <x:v>Clear claim-level pattern with some argumentative impact.</x:v>
      </x:c>
      <x:c r="V101" s="13" t="str">
        <x:v>Strong pattern central to the conclusion and likely to materially distort reasoning.</x:v>
      </x:c>
      <x:c r="W101" s="13" t="str">
        <x:v>authority_bias; appeal_to_authority_misuse; source_triangulation</x:v>
      </x:c>
      <x:c r="X101" s="13" t="str">
        <x:v>walton_argumentation_schemes</x:v>
      </x:c>
      <x:c r="Y101" s="13" t="str">
        <x:v>https://www.cambridge.org/core/books/argumentation-schemes/1D013BFA2695C72B14134F2C38B17B85</x:v>
      </x:c>
      <x:c r="Z101" s="13" t="str">
        <x:v>Review before enabling. This workbook is a living taxonomy scaffold, not a validated scientific benchmark.</x:v>
      </x:c>
      <x:c r="AA101" s="13" t="str">
        <x:v>0.1.0-draft</x:v>
      </x:c>
      <x:c r="AB101" s="12" t="str">
        <x:f>IF(ISNUMBER(SEARCH("healthy",F101)),"healthy_reasoning_patterns",IF(ISNUMBER(SEARCH("statistical",F101)),"statistical_reasoning",IF(ISNUMBER(SEARCH("causal",F101)),"causal_reasoning",IF(ISNUMBER(SEARCH("social",F101)),"social_influence",IF(ISNUMBER(SEARCH("rhetoric",F101)),"rhetoric_discourse",IF(ISNUMBER(SEARCH("behavior",F101)),"behavioural_economics",IF(ISNUMBER(SEARCH("cognitive",F101)),"cognitive_biases",IF(J101="protective_pattern","healthy_reasoning_patterns",IF(L101="P0","core_mvp","extended_fallacies")))))))))</x:f>
        <x:v>extended_fallacies</x:v>
      </x:c>
      <x:c r="AC101" s="12" t="str">
        <x:f>IF(ISNUMBER(SEARCH("operational",J101)),"operational",IF(ISNUMBER(SEARCH("deprecated",J101)),"deprecated",IF(L101="P0","canonical","recognized_subtype")))</x:f>
        <x:v>operational</x:v>
      </x:c>
      <x:c r="AD101" s="12" t="str">
        <x:f>IF(AC101="canonical","high",IF(AC101="recognized_subtype","medium",IF(AC101="operational","operational_only","debated")))</x:f>
        <x:v>operational_only</x:v>
      </x:c>
      <x:c r="AE101" s="12" t="str">
        <x:f>IF(AC101="deprecated","deprecated",IF(M101="yes","active",IF(M101="review","review_required","backlog")))</x:f>
        <x:v>backlog</x:v>
      </x:c>
      <x:c r="AF101" s="12" t="str">
        <x:f>IF(OR(AE101="active",AE101="review_required"),"yes","no")</x:f>
        <x:v>no</x:v>
      </x:c>
      <x:c r="AG101" s="12" t="str">
        <x:f>IF(AND(AE101="active",M101="yes",NOT(ISNUMBER(SEARCH("healthy",AB101)))),"yes","no")</x:f>
        <x:v>no</x:v>
      </x:c>
      <x:c r="AH101" s="12" t="str">
        <x:f>IF(OR(H101="contextual",H101="dialogue",H101="discourse",I101="claim+context",I101="discourse_segment"),"yes","no")</x:f>
        <x:v>yes</x:v>
      </x:c>
      <x:c r="AI101" s="12" t="str">
        <x:f>IF(OR(AH101="yes",AD101="debated",AC101="operational"),"yes","no")</x:f>
        <x:v>yes</x:v>
      </x:c>
      <x:c r="AJ101" s="12" t="str">
        <x:f>IF(OR(AH101="yes",AC101="operational",AD101="debated"),"high",IF(AND(AG101="yes",L101="P0"),"medium","low"))</x:f>
        <x:v>high</x:v>
      </x:c>
      <x:c r="AK101" s="12" t="str">
        <x:f>IF(ISNUMBER(SEARCH("healthy",AB101)),"yes","no")</x:f>
        <x:v>no</x:v>
      </x:c>
      <x:c r="AL101" s="12" t="str">
        <x:f>IF(AG101="yes","yes","candidate_only")</x:f>
        <x:v>candidate_only</x:v>
      </x:c>
      <x:c r="AM101" s="12" t="str">
        <x:f>IF(OR(AC101="canonical",AG101="yes"),"yes","recommended")</x:f>
        <x:v>recommended</x:v>
      </x:c>
      <x:c r="AN101" s="12" t="str">
        <x:f>IF(AC101="deprecated","exclude",IF(AND(AG101="yes",AJ101="high"),"import_but_human_review_required",IF(AG101="yes","import_as_active","import_as_backlog")))</x:f>
        <x:v>import_as_backlog</x:v>
      </x:c>
      <x:c r="AO101" s="12" t="str">
        <x:f>IF(AND(AG101="yes",OR(P101="",Q101="",R101="",S101="")),"missing_required_mvp_fields",IF(AND(AC101="canonical",Y101=""),"missing_source_ref","ok"))</x:f>
        <x:v>ok</x:v>
      </x:c>
      <x:c r="AP101" s="12" t="str">
        <x:f>IF(AO101="ok","ready_for_codex_import","needs_review")</x:f>
        <x:v>ready_for_codex_import</x:v>
      </x:c>
      <x:c r="AQ101" s="12"/>
      <x:c r="AR101" s="12" t="str">
        <x:v>Added v2 operational fields. Review before classification activation.</x:v>
      </x:c>
    </x:row>
    <x:row r="102">
      <x:c r="A102" s="13" t="str">
        <x:v>appeal_to_emotion_implicit_premise</x:v>
      </x:c>
      <x:c r="B102" s="13" t="str">
        <x:v>appeal_to_emotion</x:v>
      </x:c>
      <x:c r="C102" s="13" t="str">
        <x:v>Appeal to emotion</x:v>
      </x:c>
      <x:c r="D102" s="13" t="str">
        <x:v>استناد به احساسات</x:v>
      </x:c>
      <x:c r="E102" s="13" t="str">
        <x:v>Implicit-premise variant</x:v>
      </x:c>
      <x:c r="F102" s="13" t="str">
        <x:v>reasoning_failures</x:v>
      </x:c>
      <x:c r="G102" s="13" t="str">
        <x:v>operational_variant</x:v>
      </x:c>
      <x:c r="H102" s="13" t="str">
        <x:v>discourse</x:v>
      </x:c>
      <x:c r="I102" s="13" t="str">
        <x:v>discourse_segment</x:v>
      </x:c>
      <x:c r="J102" s="13" t="str">
        <x:v>derived_operational_subtype</x:v>
      </x:c>
      <x:c r="K102" s="13" t="str">
        <x:v>derived_from_established_parent_review_required</x:v>
      </x:c>
      <x:c r="L102" s="13" t="str">
        <x:v>P3</x:v>
      </x:c>
      <x:c r="M102" s="13" t="str">
        <x:v>no</x:v>
      </x:c>
      <x:c r="N102" s="13" t="str">
        <x:v>Operational subtype under Appeal to emotion: a crucial premise is implied rather than stated. Parent definition: Using emotion as the main support for a conclusion without adequate reasons.</x:v>
      </x:c>
      <x:c r="O102" s="13" t="str">
        <x:v>Look for: explicit claim-level evidence; parent-family cues for Appeal to emotion; variant cue: a crucial premise is implied rather than stated; avoid author-level inference.</x:v>
      </x:c>
      <x:c r="P102" s="13" t="str">
        <x:v>Exact evidence span in text plus claim-level reasoning link; for contextual/discourse entries, require surrounding context.</x:v>
      </x:c>
      <x:c r="Q102" s="13" t="str">
        <x:v>Do not label merely because topic is controversial, emotional, or wrong. Do not judge intent or personality. Require textual evidence and consider healthy-reasoning cues.</x:v>
      </x:c>
      <x:c r="R102" s="13" t="str">
        <x:v>Stub: A claim relies on a crucial premise is implied rather than stated to support a conclusion without adequate qualification.</x:v>
      </x:c>
      <x:c r="S102" s="13" t="str">
        <x:v>Stub: A claim discusses appeal to emotion with caveats, balanced evidence, or no argumentative use of the pattern.</x:v>
      </x:c>
      <x:c r="T102" s="13" t="str">
        <x:v>Mild or ambiguous cue; do not classify without clear evidence span.</x:v>
      </x:c>
      <x:c r="U102" s="13" t="str">
        <x:v>Clear claim-level pattern with some argumentative impact.</x:v>
      </x:c>
      <x:c r="V102" s="13" t="str">
        <x:v>Strong pattern central to the conclusion and likely to materially distort reasoning.</x:v>
      </x:c>
      <x:c r="W102" s="13" t="str"/>
      <x:c r="X102" s="13" t="str">
        <x:v>sep_fallacies</x:v>
      </x:c>
      <x:c r="Y102" s="13" t="str">
        <x:v>https://plato.stanford.edu/entries/fallacies/</x:v>
      </x:c>
      <x:c r="Z102" s="13" t="str">
        <x:v>Review before enabling. This workbook is a living taxonomy scaffold, not a validated scientific benchmark.</x:v>
      </x:c>
      <x:c r="AA102" s="13" t="str">
        <x:v>0.1.0-draft</x:v>
      </x:c>
      <x:c r="AB102" s="12" t="str">
        <x:f>IF(ISNUMBER(SEARCH("healthy",F102)),"healthy_reasoning_patterns",IF(ISNUMBER(SEARCH("statistical",F102)),"statistical_reasoning",IF(ISNUMBER(SEARCH("causal",F102)),"causal_reasoning",IF(ISNUMBER(SEARCH("social",F102)),"social_influence",IF(ISNUMBER(SEARCH("rhetoric",F102)),"rhetoric_discourse",IF(ISNUMBER(SEARCH("behavior",F102)),"behavioural_economics",IF(ISNUMBER(SEARCH("cognitive",F102)),"cognitive_biases",IF(J102="protective_pattern","healthy_reasoning_patterns",IF(L102="P0","core_mvp","extended_fallacies")))))))))</x:f>
        <x:v>extended_fallacies</x:v>
      </x:c>
      <x:c r="AC102" s="12" t="str">
        <x:f>IF(ISNUMBER(SEARCH("operational",J102)),"operational",IF(ISNUMBER(SEARCH("deprecated",J102)),"deprecated",IF(L102="P0","canonical","recognized_subtype")))</x:f>
        <x:v>operational</x:v>
      </x:c>
      <x:c r="AD102" s="12" t="str">
        <x:f>IF(AC102="canonical","high",IF(AC102="recognized_subtype","medium",IF(AC102="operational","operational_only","debated")))</x:f>
        <x:v>operational_only</x:v>
      </x:c>
      <x:c r="AE102" s="12" t="str">
        <x:f>IF(AC102="deprecated","deprecated",IF(M102="yes","active",IF(M102="review","review_required","backlog")))</x:f>
        <x:v>backlog</x:v>
      </x:c>
      <x:c r="AF102" s="12" t="str">
        <x:f>IF(OR(AE102="active",AE102="review_required"),"yes","no")</x:f>
        <x:v>no</x:v>
      </x:c>
      <x:c r="AG102" s="12" t="str">
        <x:f>IF(AND(AE102="active",M102="yes",NOT(ISNUMBER(SEARCH("healthy",AB102)))),"yes","no")</x:f>
        <x:v>no</x:v>
      </x:c>
      <x:c r="AH102" s="12" t="str">
        <x:f>IF(OR(H102="contextual",H102="dialogue",H102="discourse",I102="claim+context",I102="discourse_segment"),"yes","no")</x:f>
        <x:v>yes</x:v>
      </x:c>
      <x:c r="AI102" s="12" t="str">
        <x:f>IF(OR(AH102="yes",AD102="debated",AC102="operational"),"yes","no")</x:f>
        <x:v>yes</x:v>
      </x:c>
      <x:c r="AJ102" s="12" t="str">
        <x:f>IF(OR(AH102="yes",AC102="operational",AD102="debated"),"high",IF(AND(AG102="yes",L102="P0"),"medium","low"))</x:f>
        <x:v>high</x:v>
      </x:c>
      <x:c r="AK102" s="12" t="str">
        <x:f>IF(ISNUMBER(SEARCH("healthy",AB102)),"yes","no")</x:f>
        <x:v>no</x:v>
      </x:c>
      <x:c r="AL102" s="12" t="str">
        <x:f>IF(AG102="yes","yes","candidate_only")</x:f>
        <x:v>candidate_only</x:v>
      </x:c>
      <x:c r="AM102" s="12" t="str">
        <x:f>IF(OR(AC102="canonical",AG102="yes"),"yes","recommended")</x:f>
        <x:v>recommended</x:v>
      </x:c>
      <x:c r="AN102" s="12" t="str">
        <x:f>IF(AC102="deprecated","exclude",IF(AND(AG102="yes",AJ102="high"),"import_but_human_review_required",IF(AG102="yes","import_as_active","import_as_backlog")))</x:f>
        <x:v>import_as_backlog</x:v>
      </x:c>
      <x:c r="AO102" s="12" t="str">
        <x:f>IF(AND(AG102="yes",OR(P102="",Q102="",R102="",S102="")),"missing_required_mvp_fields",IF(AND(AC102="canonical",Y102=""),"missing_source_ref","ok"))</x:f>
        <x:v>ok</x:v>
      </x:c>
      <x:c r="AP102" s="12" t="str">
        <x:f>IF(AO102="ok","ready_for_codex_import","needs_review")</x:f>
        <x:v>ready_for_codex_import</x:v>
      </x:c>
      <x:c r="AQ102" s="12"/>
      <x:c r="AR102" s="12" t="str">
        <x:v>Added v2 operational fields. Review before classification activation.</x:v>
      </x:c>
    </x:row>
    <x:row r="103">
      <x:c r="A103" s="13" t="str">
        <x:v>appeal_to_fear_implicit_premise</x:v>
      </x:c>
      <x:c r="B103" s="13" t="str">
        <x:v>appeal_to_fear</x:v>
      </x:c>
      <x:c r="C103" s="13" t="str">
        <x:v>Appeal to fear</x:v>
      </x:c>
      <x:c r="D103" s="13" t="str">
        <x:v>استناد به ترس</x:v>
      </x:c>
      <x:c r="E103" s="13" t="str">
        <x:v>Implicit-premise variant</x:v>
      </x:c>
      <x:c r="F103" s="13" t="str">
        <x:v>reasoning_failures</x:v>
      </x:c>
      <x:c r="G103" s="13" t="str">
        <x:v>operational_variant</x:v>
      </x:c>
      <x:c r="H103" s="13" t="str">
        <x:v>discourse</x:v>
      </x:c>
      <x:c r="I103" s="13" t="str">
        <x:v>discourse_segment</x:v>
      </x:c>
      <x:c r="J103" s="13" t="str">
        <x:v>derived_operational_subtype</x:v>
      </x:c>
      <x:c r="K103" s="13" t="str">
        <x:v>derived_from_established_parent_review_required</x:v>
      </x:c>
      <x:c r="L103" s="13" t="str">
        <x:v>P3</x:v>
      </x:c>
      <x:c r="M103" s="13" t="str">
        <x:v>no</x:v>
      </x:c>
      <x:c r="N103" s="13" t="str">
        <x:v>Operational subtype under Appeal to fear: a crucial premise is implied rather than stated. Parent definition: Using fear or threat as decisive support for a claim or choice.</x:v>
      </x:c>
      <x:c r="O103" s="13" t="str">
        <x:v>Look for: explicit claim-level evidence; parent-family cues for Appeal to fear; variant cue: a crucial premise is implied rather than stated; avoid author-level inference.</x:v>
      </x:c>
      <x:c r="P103" s="13" t="str">
        <x:v>Exact evidence span in text plus claim-level reasoning link; for contextual/discourse entries, require surrounding context.</x:v>
      </x:c>
      <x:c r="Q103" s="13" t="str">
        <x:v>Do not label merely because topic is controversial, emotional, or wrong. Do not judge intent or personality. Require textual evidence and consider healthy-reasoning cues.</x:v>
      </x:c>
      <x:c r="R103" s="13" t="str">
        <x:v>Stub: A claim relies on a crucial premise is implied rather than stated to support a conclusion without adequate qualification.</x:v>
      </x:c>
      <x:c r="S103" s="13" t="str">
        <x:v>Stub: A claim discusses appeal to fear with caveats, balanced evidence, or no argumentative use of the pattern.</x:v>
      </x:c>
      <x:c r="T103" s="13" t="str">
        <x:v>Mild or ambiguous cue; do not classify without clear evidence span.</x:v>
      </x:c>
      <x:c r="U103" s="13" t="str">
        <x:v>Clear claim-level pattern with some argumentative impact.</x:v>
      </x:c>
      <x:c r="V103" s="13" t="str">
        <x:v>Strong pattern central to the conclusion and likely to materially distort reasoning.</x:v>
      </x:c>
      <x:c r="W103" s="13" t="str"/>
      <x:c r="X103" s="13" t="str">
        <x:v>sep_fallacies</x:v>
      </x:c>
      <x:c r="Y103" s="13" t="str">
        <x:v>https://plato.stanford.edu/entries/fallacies/</x:v>
      </x:c>
      <x:c r="Z103" s="13" t="str">
        <x:v>Review before enabling. This workbook is a living taxonomy scaffold, not a validated scientific benchmark.</x:v>
      </x:c>
      <x:c r="AA103" s="13" t="str">
        <x:v>0.1.0-draft</x:v>
      </x:c>
      <x:c r="AB103" s="12" t="str">
        <x:f>IF(ISNUMBER(SEARCH("healthy",F103)),"healthy_reasoning_patterns",IF(ISNUMBER(SEARCH("statistical",F103)),"statistical_reasoning",IF(ISNUMBER(SEARCH("causal",F103)),"causal_reasoning",IF(ISNUMBER(SEARCH("social",F103)),"social_influence",IF(ISNUMBER(SEARCH("rhetoric",F103)),"rhetoric_discourse",IF(ISNUMBER(SEARCH("behavior",F103)),"behavioural_economics",IF(ISNUMBER(SEARCH("cognitive",F103)),"cognitive_biases",IF(J103="protective_pattern","healthy_reasoning_patterns",IF(L103="P0","core_mvp","extended_fallacies")))))))))</x:f>
        <x:v>extended_fallacies</x:v>
      </x:c>
      <x:c r="AC103" s="12" t="str">
        <x:f>IF(ISNUMBER(SEARCH("operational",J103)),"operational",IF(ISNUMBER(SEARCH("deprecated",J103)),"deprecated",IF(L103="P0","canonical","recognized_subtype")))</x:f>
        <x:v>operational</x:v>
      </x:c>
      <x:c r="AD103" s="12" t="str">
        <x:f>IF(AC103="canonical","high",IF(AC103="recognized_subtype","medium",IF(AC103="operational","operational_only","debated")))</x:f>
        <x:v>operational_only</x:v>
      </x:c>
      <x:c r="AE103" s="12" t="str">
        <x:f>IF(AC103="deprecated","deprecated",IF(M103="yes","active",IF(M103="review","review_required","backlog")))</x:f>
        <x:v>backlog</x:v>
      </x:c>
      <x:c r="AF103" s="12" t="str">
        <x:f>IF(OR(AE103="active",AE103="review_required"),"yes","no")</x:f>
        <x:v>no</x:v>
      </x:c>
      <x:c r="AG103" s="12" t="str">
        <x:f>IF(AND(AE103="active",M103="yes",NOT(ISNUMBER(SEARCH("healthy",AB103)))),"yes","no")</x:f>
        <x:v>no</x:v>
      </x:c>
      <x:c r="AH103" s="12" t="str">
        <x:f>IF(OR(H103="contextual",H103="dialogue",H103="discourse",I103="claim+context",I103="discourse_segment"),"yes","no")</x:f>
        <x:v>yes</x:v>
      </x:c>
      <x:c r="AI103" s="12" t="str">
        <x:f>IF(OR(AH103="yes",AD103="debated",AC103="operational"),"yes","no")</x:f>
        <x:v>yes</x:v>
      </x:c>
      <x:c r="AJ103" s="12" t="str">
        <x:f>IF(OR(AH103="yes",AC103="operational",AD103="debated"),"high",IF(AND(AG103="yes",L103="P0"),"medium","low"))</x:f>
        <x:v>high</x:v>
      </x:c>
      <x:c r="AK103" s="12" t="str">
        <x:f>IF(ISNUMBER(SEARCH("healthy",AB103)),"yes","no")</x:f>
        <x:v>no</x:v>
      </x:c>
      <x:c r="AL103" s="12" t="str">
        <x:f>IF(AG103="yes","yes","candidate_only")</x:f>
        <x:v>candidate_only</x:v>
      </x:c>
      <x:c r="AM103" s="12" t="str">
        <x:f>IF(OR(AC103="canonical",AG103="yes"),"yes","recommended")</x:f>
        <x:v>recommended</x:v>
      </x:c>
      <x:c r="AN103" s="12" t="str">
        <x:f>IF(AC103="deprecated","exclude",IF(AND(AG103="yes",AJ103="high"),"import_but_human_review_required",IF(AG103="yes","import_as_active","import_as_backlog")))</x:f>
        <x:v>import_as_backlog</x:v>
      </x:c>
      <x:c r="AO103" s="12" t="str">
        <x:f>IF(AND(AG103="yes",OR(P103="",Q103="",R103="",S103="")),"missing_required_mvp_fields",IF(AND(AC103="canonical",Y103=""),"missing_source_ref","ok"))</x:f>
        <x:v>ok</x:v>
      </x:c>
      <x:c r="AP103" s="12" t="str">
        <x:f>IF(AO103="ok","ready_for_codex_import","needs_review")</x:f>
        <x:v>ready_for_codex_import</x:v>
      </x:c>
      <x:c r="AQ103" s="12"/>
      <x:c r="AR103" s="12" t="str">
        <x:v>Added v2 operational fields. Review before classification activation.</x:v>
      </x:c>
    </x:row>
    <x:row r="104">
      <x:c r="A104" s="13" t="str">
        <x:v>appeal_to_pity_implicit_premise</x:v>
      </x:c>
      <x:c r="B104" s="13" t="str">
        <x:v>appeal_to_pity</x:v>
      </x:c>
      <x:c r="C104" s="13" t="str">
        <x:v>Appeal to pity</x:v>
      </x:c>
      <x:c r="D104" s="13" t="str">
        <x:v>استناد به ترحم</x:v>
      </x:c>
      <x:c r="E104" s="13" t="str">
        <x:v>Implicit-premise variant</x:v>
      </x:c>
      <x:c r="F104" s="13" t="str">
        <x:v>reasoning_failures</x:v>
      </x:c>
      <x:c r="G104" s="13" t="str">
        <x:v>operational_variant</x:v>
      </x:c>
      <x:c r="H104" s="13" t="str">
        <x:v>discourse</x:v>
      </x:c>
      <x:c r="I104" s="13" t="str">
        <x:v>discourse_segment</x:v>
      </x:c>
      <x:c r="J104" s="13" t="str">
        <x:v>derived_operational_subtype</x:v>
      </x:c>
      <x:c r="K104" s="13" t="str">
        <x:v>derived_from_established_parent_review_required</x:v>
      </x:c>
      <x:c r="L104" s="13" t="str">
        <x:v>P3</x:v>
      </x:c>
      <x:c r="M104" s="13" t="str">
        <x:v>no</x:v>
      </x:c>
      <x:c r="N104" s="13" t="str">
        <x:v>Operational subtype under Appeal to pity: a crucial premise is implied rather than stated. Parent definition: Substituting pity or sympathy for relevant evidence.</x:v>
      </x:c>
      <x:c r="O104" s="13" t="str">
        <x:v>Look for: explicit claim-level evidence; parent-family cues for Appeal to pity; variant cue: a crucial premise is implied rather than stated; avoid author-level inference.</x:v>
      </x:c>
      <x:c r="P104" s="13" t="str">
        <x:v>Exact evidence span in text plus claim-level reasoning link; for contextual/discourse entries, require surrounding context.</x:v>
      </x:c>
      <x:c r="Q104" s="13" t="str">
        <x:v>Do not label merely because topic is controversial, emotional, or wrong. Do not judge intent or personality. Require textual evidence and consider healthy-reasoning cues.</x:v>
      </x:c>
      <x:c r="R104" s="13" t="str">
        <x:v>Stub: A claim relies on a crucial premise is implied rather than stated to support a conclusion without adequate qualification.</x:v>
      </x:c>
      <x:c r="S104" s="13" t="str">
        <x:v>Stub: A claim discusses appeal to pity with caveats, balanced evidence, or no argumentative use of the pattern.</x:v>
      </x:c>
      <x:c r="T104" s="13" t="str">
        <x:v>Mild or ambiguous cue; do not classify without clear evidence span.</x:v>
      </x:c>
      <x:c r="U104" s="13" t="str">
        <x:v>Clear claim-level pattern with some argumentative impact.</x:v>
      </x:c>
      <x:c r="V104" s="13" t="str">
        <x:v>Strong pattern central to the conclusion and likely to materially distort reasoning.</x:v>
      </x:c>
      <x:c r="W104" s="13" t="str">
        <x:v>cherry_picking; missing_counterevidence; evidence_grading</x:v>
      </x:c>
      <x:c r="X104" s="13" t="str">
        <x:v>sep_fallacies</x:v>
      </x:c>
      <x:c r="Y104" s="13" t="str">
        <x:v>https://plato.stanford.edu/entries/fallacies/</x:v>
      </x:c>
      <x:c r="Z104" s="13" t="str">
        <x:v>Review before enabling. This workbook is a living taxonomy scaffold, not a validated scientific benchmark.</x:v>
      </x:c>
      <x:c r="AA104" s="13" t="str">
        <x:v>0.1.0-draft</x:v>
      </x:c>
      <x:c r="AB104" s="12" t="str">
        <x:f>IF(ISNUMBER(SEARCH("healthy",F104)),"healthy_reasoning_patterns",IF(ISNUMBER(SEARCH("statistical",F104)),"statistical_reasoning",IF(ISNUMBER(SEARCH("causal",F104)),"causal_reasoning",IF(ISNUMBER(SEARCH("social",F104)),"social_influence",IF(ISNUMBER(SEARCH("rhetoric",F104)),"rhetoric_discourse",IF(ISNUMBER(SEARCH("behavior",F104)),"behavioural_economics",IF(ISNUMBER(SEARCH("cognitive",F104)),"cognitive_biases",IF(J104="protective_pattern","healthy_reasoning_patterns",IF(L104="P0","core_mvp","extended_fallacies")))))))))</x:f>
        <x:v>extended_fallacies</x:v>
      </x:c>
      <x:c r="AC104" s="12" t="str">
        <x:f>IF(ISNUMBER(SEARCH("operational",J104)),"operational",IF(ISNUMBER(SEARCH("deprecated",J104)),"deprecated",IF(L104="P0","canonical","recognized_subtype")))</x:f>
        <x:v>operational</x:v>
      </x:c>
      <x:c r="AD104" s="12" t="str">
        <x:f>IF(AC104="canonical","high",IF(AC104="recognized_subtype","medium",IF(AC104="operational","operational_only","debated")))</x:f>
        <x:v>operational_only</x:v>
      </x:c>
      <x:c r="AE104" s="12" t="str">
        <x:f>IF(AC104="deprecated","deprecated",IF(M104="yes","active",IF(M104="review","review_required","backlog")))</x:f>
        <x:v>backlog</x:v>
      </x:c>
      <x:c r="AF104" s="12" t="str">
        <x:f>IF(OR(AE104="active",AE104="review_required"),"yes","no")</x:f>
        <x:v>no</x:v>
      </x:c>
      <x:c r="AG104" s="12" t="str">
        <x:f>IF(AND(AE104="active",M104="yes",NOT(ISNUMBER(SEARCH("healthy",AB104)))),"yes","no")</x:f>
        <x:v>no</x:v>
      </x:c>
      <x:c r="AH104" s="12" t="str">
        <x:f>IF(OR(H104="contextual",H104="dialogue",H104="discourse",I104="claim+context",I104="discourse_segment"),"yes","no")</x:f>
        <x:v>yes</x:v>
      </x:c>
      <x:c r="AI104" s="12" t="str">
        <x:f>IF(OR(AH104="yes",AD104="debated",AC104="operational"),"yes","no")</x:f>
        <x:v>yes</x:v>
      </x:c>
      <x:c r="AJ104" s="12" t="str">
        <x:f>IF(OR(AH104="yes",AC104="operational",AD104="debated"),"high",IF(AND(AG104="yes",L104="P0"),"medium","low"))</x:f>
        <x:v>high</x:v>
      </x:c>
      <x:c r="AK104" s="12" t="str">
        <x:f>IF(ISNUMBER(SEARCH("healthy",AB104)),"yes","no")</x:f>
        <x:v>no</x:v>
      </x:c>
      <x:c r="AL104" s="12" t="str">
        <x:f>IF(AG104="yes","yes","candidate_only")</x:f>
        <x:v>candidate_only</x:v>
      </x:c>
      <x:c r="AM104" s="12" t="str">
        <x:f>IF(OR(AC104="canonical",AG104="yes"),"yes","recommended")</x:f>
        <x:v>recommended</x:v>
      </x:c>
      <x:c r="AN104" s="12" t="str">
        <x:f>IF(AC104="deprecated","exclude",IF(AND(AG104="yes",AJ104="high"),"import_but_human_review_required",IF(AG104="yes","import_as_active","import_as_backlog")))</x:f>
        <x:v>import_as_backlog</x:v>
      </x:c>
      <x:c r="AO104" s="12" t="str">
        <x:f>IF(AND(AG104="yes",OR(P104="",Q104="",R104="",S104="")),"missing_required_mvp_fields",IF(AND(AC104="canonical",Y104=""),"missing_source_ref","ok"))</x:f>
        <x:v>ok</x:v>
      </x:c>
      <x:c r="AP104" s="12" t="str">
        <x:f>IF(AO104="ok","ready_for_codex_import","needs_review")</x:f>
        <x:v>ready_for_codex_import</x:v>
      </x:c>
      <x:c r="AQ104" s="12"/>
      <x:c r="AR104" s="12" t="str">
        <x:v>Added v2 operational fields. Review before classification activation.</x:v>
      </x:c>
    </x:row>
    <x:row r="105">
      <x:c r="A105" s="13" t="str">
        <x:v>appeal_to_force_implicit_premise</x:v>
      </x:c>
      <x:c r="B105" s="13" t="str">
        <x:v>appeal_to_force</x:v>
      </x:c>
      <x:c r="C105" s="13" t="str">
        <x:v>Appeal to force</x:v>
      </x:c>
      <x:c r="D105" s="13" t="str">
        <x:v>استناد به اجبار</x:v>
      </x:c>
      <x:c r="E105" s="13" t="str">
        <x:v>Implicit-premise variant</x:v>
      </x:c>
      <x:c r="F105" s="13" t="str">
        <x:v>reasoning_failures</x:v>
      </x:c>
      <x:c r="G105" s="13" t="str">
        <x:v>operational_variant</x:v>
      </x:c>
      <x:c r="H105" s="13" t="str">
        <x:v>dialogue</x:v>
      </x:c>
      <x:c r="I105" s="13" t="str">
        <x:v>discourse_segment</x:v>
      </x:c>
      <x:c r="J105" s="13" t="str">
        <x:v>derived_operational_subtype</x:v>
      </x:c>
      <x:c r="K105" s="13" t="str">
        <x:v>derived_from_established_parent_review_required</x:v>
      </x:c>
      <x:c r="L105" s="13" t="str">
        <x:v>P3</x:v>
      </x:c>
      <x:c r="M105" s="13" t="str">
        <x:v>no</x:v>
      </x:c>
      <x:c r="N105" s="13" t="str">
        <x:v>Operational subtype under Appeal to force: a crucial premise is implied rather than stated. Parent definition: Relying on threat or coercion rather than reasons.</x:v>
      </x:c>
      <x:c r="O105" s="13" t="str">
        <x:v>Look for: explicit claim-level evidence; parent-family cues for Appeal to force; variant cue: a crucial premise is implied rather than stated; avoid author-level inference.</x:v>
      </x:c>
      <x:c r="P105" s="13" t="str">
        <x:v>Exact evidence span in text plus claim-level reasoning link; for contextual/discourse entries, require surrounding context.</x:v>
      </x:c>
      <x:c r="Q105" s="13" t="str">
        <x:v>Do not label merely because topic is controversial, emotional, or wrong. Do not judge intent or personality. Require textual evidence and consider healthy-reasoning cues.</x:v>
      </x:c>
      <x:c r="R105" s="13" t="str">
        <x:v>Stub: A claim relies on a crucial premise is implied rather than stated to support a conclusion without adequate qualification.</x:v>
      </x:c>
      <x:c r="S105" s="13" t="str">
        <x:v>Stub: A claim discusses appeal to force with caveats, balanced evidence, or no argumentative use of the pattern.</x:v>
      </x:c>
      <x:c r="T105" s="13" t="str">
        <x:v>Mild or ambiguous cue; do not classify without clear evidence span.</x:v>
      </x:c>
      <x:c r="U105" s="13" t="str">
        <x:v>Clear claim-level pattern with some argumentative impact.</x:v>
      </x:c>
      <x:c r="V105" s="13" t="str">
        <x:v>Strong pattern central to the conclusion and likely to materially distort reasoning.</x:v>
      </x:c>
      <x:c r="W105" s="13" t="str"/>
      <x:c r="X105" s="13" t="str">
        <x:v>sep_fallacies</x:v>
      </x:c>
      <x:c r="Y105" s="13" t="str">
        <x:v>https://plato.stanford.edu/entries/fallacies/</x:v>
      </x:c>
      <x:c r="Z105" s="13" t="str">
        <x:v>Review before enabling. This workbook is a living taxonomy scaffold, not a validated scientific benchmark.</x:v>
      </x:c>
      <x:c r="AA105" s="13" t="str">
        <x:v>0.1.0-draft</x:v>
      </x:c>
      <x:c r="AB105" s="12" t="str">
        <x:f>IF(ISNUMBER(SEARCH("healthy",F105)),"healthy_reasoning_patterns",IF(ISNUMBER(SEARCH("statistical",F105)),"statistical_reasoning",IF(ISNUMBER(SEARCH("causal",F105)),"causal_reasoning",IF(ISNUMBER(SEARCH("social",F105)),"social_influence",IF(ISNUMBER(SEARCH("rhetoric",F105)),"rhetoric_discourse",IF(ISNUMBER(SEARCH("behavior",F105)),"behavioural_economics",IF(ISNUMBER(SEARCH("cognitive",F105)),"cognitive_biases",IF(J105="protective_pattern","healthy_reasoning_patterns",IF(L105="P0","core_mvp","extended_fallacies")))))))))</x:f>
        <x:v>extended_fallacies</x:v>
      </x:c>
      <x:c r="AC105" s="12" t="str">
        <x:f>IF(ISNUMBER(SEARCH("operational",J105)),"operational",IF(ISNUMBER(SEARCH("deprecated",J105)),"deprecated",IF(L105="P0","canonical","recognized_subtype")))</x:f>
        <x:v>operational</x:v>
      </x:c>
      <x:c r="AD105" s="12" t="str">
        <x:f>IF(AC105="canonical","high",IF(AC105="recognized_subtype","medium",IF(AC105="operational","operational_only","debated")))</x:f>
        <x:v>operational_only</x:v>
      </x:c>
      <x:c r="AE105" s="12" t="str">
        <x:f>IF(AC105="deprecated","deprecated",IF(M105="yes","active",IF(M105="review","review_required","backlog")))</x:f>
        <x:v>backlog</x:v>
      </x:c>
      <x:c r="AF105" s="12" t="str">
        <x:f>IF(OR(AE105="active",AE105="review_required"),"yes","no")</x:f>
        <x:v>no</x:v>
      </x:c>
      <x:c r="AG105" s="12" t="str">
        <x:f>IF(AND(AE105="active",M105="yes",NOT(ISNUMBER(SEARCH("healthy",AB105)))),"yes","no")</x:f>
        <x:v>no</x:v>
      </x:c>
      <x:c r="AH105" s="12" t="str">
        <x:f>IF(OR(H105="contextual",H105="dialogue",H105="discourse",I105="claim+context",I105="discourse_segment"),"yes","no")</x:f>
        <x:v>yes</x:v>
      </x:c>
      <x:c r="AI105" s="12" t="str">
        <x:f>IF(OR(AH105="yes",AD105="debated",AC105="operational"),"yes","no")</x:f>
        <x:v>yes</x:v>
      </x:c>
      <x:c r="AJ105" s="12" t="str">
        <x:f>IF(OR(AH105="yes",AC105="operational",AD105="debated"),"high",IF(AND(AG105="yes",L105="P0"),"medium","low"))</x:f>
        <x:v>high</x:v>
      </x:c>
      <x:c r="AK105" s="12" t="str">
        <x:f>IF(ISNUMBER(SEARCH("healthy",AB105)),"yes","no")</x:f>
        <x:v>no</x:v>
      </x:c>
      <x:c r="AL105" s="12" t="str">
        <x:f>IF(AG105="yes","yes","candidate_only")</x:f>
        <x:v>candidate_only</x:v>
      </x:c>
      <x:c r="AM105" s="12" t="str">
        <x:f>IF(OR(AC105="canonical",AG105="yes"),"yes","recommended")</x:f>
        <x:v>recommended</x:v>
      </x:c>
      <x:c r="AN105" s="12" t="str">
        <x:f>IF(AC105="deprecated","exclude",IF(AND(AG105="yes",AJ105="high"),"import_but_human_review_required",IF(AG105="yes","import_as_active","import_as_backlog")))</x:f>
        <x:v>import_as_backlog</x:v>
      </x:c>
      <x:c r="AO105" s="12" t="str">
        <x:f>IF(AND(AG105="yes",OR(P105="",Q105="",R105="",S105="")),"missing_required_mvp_fields",IF(AND(AC105="canonical",Y105=""),"missing_source_ref","ok"))</x:f>
        <x:v>ok</x:v>
      </x:c>
      <x:c r="AP105" s="12" t="str">
        <x:f>IF(AO105="ok","ready_for_codex_import","needs_review")</x:f>
        <x:v>ready_for_codex_import</x:v>
      </x:c>
      <x:c r="AQ105" s="12"/>
      <x:c r="AR105" s="12" t="str">
        <x:v>Added v2 operational fields. Review before classification activation.</x:v>
      </x:c>
    </x:row>
    <x:row r="106">
      <x:c r="A106" s="13" t="str">
        <x:v>appeal_to_popularity_implicit_premise</x:v>
      </x:c>
      <x:c r="B106" s="13" t="str">
        <x:v>appeal_to_popularity</x:v>
      </x:c>
      <x:c r="C106" s="13" t="str">
        <x:v>Ad populum</x:v>
      </x:c>
      <x:c r="D106" s="13" t="str">
        <x:v>استناد به محبوبیت</x:v>
      </x:c>
      <x:c r="E106" s="13" t="str">
        <x:v>Implicit-premise variant</x:v>
      </x:c>
      <x:c r="F106" s="13" t="str">
        <x:v>reasoning_failures</x:v>
      </x:c>
      <x:c r="G106" s="13" t="str">
        <x:v>operational_variant</x:v>
      </x:c>
      <x:c r="H106" s="13" t="str">
        <x:v>contextual</x:v>
      </x:c>
      <x:c r="I106" s="13" t="str">
        <x:v>claim+context</x:v>
      </x:c>
      <x:c r="J106" s="13" t="str">
        <x:v>derived_operational_subtype</x:v>
      </x:c>
      <x:c r="K106" s="13" t="str">
        <x:v>derived_from_established_parent_review_required</x:v>
      </x:c>
      <x:c r="L106" s="13" t="str">
        <x:v>P3</x:v>
      </x:c>
      <x:c r="M106" s="13" t="str">
        <x:v>no</x:v>
      </x:c>
      <x:c r="N106" s="13" t="str">
        <x:v>Operational subtype under Ad populum: a crucial premise is implied rather than stated. Parent definition: Treating popularity as sufficient proof of truth or correctness.</x:v>
      </x:c>
      <x:c r="O106" s="13" t="str">
        <x:v>Look for: explicit claim-level evidence; parent-family cues for Ad populum; variant cue: a crucial premise is implied rather than stated; avoid author-level inference.</x:v>
      </x:c>
      <x:c r="P106" s="13" t="str">
        <x:v>Exact evidence span in text plus claim-level reasoning link; for contextual/discourse entries, require surrounding context.</x:v>
      </x:c>
      <x:c r="Q106" s="13" t="str">
        <x:v>Do not label merely because topic is controversial, emotional, or wrong. Do not judge intent or personality. Require textual evidence and consider healthy-reasoning cues.</x:v>
      </x:c>
      <x:c r="R106" s="13" t="str">
        <x:v>Stub: A claim relies on a crucial premise is implied rather than stated to support a conclusion without adequate qualification.</x:v>
      </x:c>
      <x:c r="S106" s="13" t="str">
        <x:v>Stub: A claim discusses ad populum with caveats, balanced evidence, or no argumentative use of the pattern.</x:v>
      </x:c>
      <x:c r="T106" s="13" t="str">
        <x:v>Mild or ambiguous cue; do not classify without clear evidence span.</x:v>
      </x:c>
      <x:c r="U106" s="13" t="str">
        <x:v>Clear claim-level pattern with some argumentative impact.</x:v>
      </x:c>
      <x:c r="V106" s="13" t="str">
        <x:v>Strong pattern central to the conclusion and likely to materially distort reasoning.</x:v>
      </x:c>
      <x:c r="W106" s="13" t="str"/>
      <x:c r="X106" s="13" t="str">
        <x:v>sep_fallacies</x:v>
      </x:c>
      <x:c r="Y106" s="13" t="str">
        <x:v>https://plato.stanford.edu/entries/fallacies/</x:v>
      </x:c>
      <x:c r="Z106" s="13" t="str">
        <x:v>Review before enabling. This workbook is a living taxonomy scaffold, not a validated scientific benchmark.</x:v>
      </x:c>
      <x:c r="AA106" s="13" t="str">
        <x:v>0.1.0-draft</x:v>
      </x:c>
      <x:c r="AB106" s="12" t="str">
        <x:f>IF(ISNUMBER(SEARCH("healthy",F106)),"healthy_reasoning_patterns",IF(ISNUMBER(SEARCH("statistical",F106)),"statistical_reasoning",IF(ISNUMBER(SEARCH("causal",F106)),"causal_reasoning",IF(ISNUMBER(SEARCH("social",F106)),"social_influence",IF(ISNUMBER(SEARCH("rhetoric",F106)),"rhetoric_discourse",IF(ISNUMBER(SEARCH("behavior",F106)),"behavioural_economics",IF(ISNUMBER(SEARCH("cognitive",F106)),"cognitive_biases",IF(J106="protective_pattern","healthy_reasoning_patterns",IF(L106="P0","core_mvp","extended_fallacies")))))))))</x:f>
        <x:v>extended_fallacies</x:v>
      </x:c>
      <x:c r="AC106" s="12" t="str">
        <x:f>IF(ISNUMBER(SEARCH("operational",J106)),"operational",IF(ISNUMBER(SEARCH("deprecated",J106)),"deprecated",IF(L106="P0","canonical","recognized_subtype")))</x:f>
        <x:v>operational</x:v>
      </x:c>
      <x:c r="AD106" s="12" t="str">
        <x:f>IF(AC106="canonical","high",IF(AC106="recognized_subtype","medium",IF(AC106="operational","operational_only","debated")))</x:f>
        <x:v>operational_only</x:v>
      </x:c>
      <x:c r="AE106" s="12" t="str">
        <x:f>IF(AC106="deprecated","deprecated",IF(M106="yes","active",IF(M106="review","review_required","backlog")))</x:f>
        <x:v>backlog</x:v>
      </x:c>
      <x:c r="AF106" s="12" t="str">
        <x:f>IF(OR(AE106="active",AE106="review_required"),"yes","no")</x:f>
        <x:v>no</x:v>
      </x:c>
      <x:c r="AG106" s="12" t="str">
        <x:f>IF(AND(AE106="active",M106="yes",NOT(ISNUMBER(SEARCH("healthy",AB106)))),"yes","no")</x:f>
        <x:v>no</x:v>
      </x:c>
      <x:c r="AH106" s="12" t="str">
        <x:f>IF(OR(H106="contextual",H106="dialogue",H106="discourse",I106="claim+context",I106="discourse_segment"),"yes","no")</x:f>
        <x:v>yes</x:v>
      </x:c>
      <x:c r="AI106" s="12" t="str">
        <x:f>IF(OR(AH106="yes",AD106="debated",AC106="operational"),"yes","no")</x:f>
        <x:v>yes</x:v>
      </x:c>
      <x:c r="AJ106" s="12" t="str">
        <x:f>IF(OR(AH106="yes",AC106="operational",AD106="debated"),"high",IF(AND(AG106="yes",L106="P0"),"medium","low"))</x:f>
        <x:v>high</x:v>
      </x:c>
      <x:c r="AK106" s="12" t="str">
        <x:f>IF(ISNUMBER(SEARCH("healthy",AB106)),"yes","no")</x:f>
        <x:v>no</x:v>
      </x:c>
      <x:c r="AL106" s="12" t="str">
        <x:f>IF(AG106="yes","yes","candidate_only")</x:f>
        <x:v>candidate_only</x:v>
      </x:c>
      <x:c r="AM106" s="12" t="str">
        <x:f>IF(OR(AC106="canonical",AG106="yes"),"yes","recommended")</x:f>
        <x:v>recommended</x:v>
      </x:c>
      <x:c r="AN106" s="12" t="str">
        <x:f>IF(AC106="deprecated","exclude",IF(AND(AG106="yes",AJ106="high"),"import_but_human_review_required",IF(AG106="yes","import_as_active","import_as_backlog")))</x:f>
        <x:v>import_as_backlog</x:v>
      </x:c>
      <x:c r="AO106" s="12" t="str">
        <x:f>IF(AND(AG106="yes",OR(P106="",Q106="",R106="",S106="")),"missing_required_mvp_fields",IF(AND(AC106="canonical",Y106=""),"missing_source_ref","ok"))</x:f>
        <x:v>ok</x:v>
      </x:c>
      <x:c r="AP106" s="12" t="str">
        <x:f>IF(AO106="ok","ready_for_codex_import","needs_review")</x:f>
        <x:v>ready_for_codex_import</x:v>
      </x:c>
      <x:c r="AQ106" s="12"/>
      <x:c r="AR106" s="12" t="str">
        <x:v>Added v2 operational fields. Review before classification activation.</x:v>
      </x:c>
    </x:row>
    <x:row r="107">
      <x:c r="A107" s="13" t="str">
        <x:v>false_dilemma_implicit_premise</x:v>
      </x:c>
      <x:c r="B107" s="13" t="str">
        <x:v>false_dilemma</x:v>
      </x:c>
      <x:c r="C107" s="13" t="str">
        <x:v>False dilemma</x:v>
      </x:c>
      <x:c r="D107" s="13" t="str">
        <x:v>دوگانه کاذب</x:v>
      </x:c>
      <x:c r="E107" s="13" t="str">
        <x:v>Implicit-premise variant</x:v>
      </x:c>
      <x:c r="F107" s="13" t="str">
        <x:v>reasoning_failures</x:v>
      </x:c>
      <x:c r="G107" s="13" t="str">
        <x:v>operational_variant</x:v>
      </x:c>
      <x:c r="H107" s="13" t="str">
        <x:v>structural</x:v>
      </x:c>
      <x:c r="I107" s="13" t="str">
        <x:v>claim</x:v>
      </x:c>
      <x:c r="J107" s="13" t="str">
        <x:v>derived_operational_subtype</x:v>
      </x:c>
      <x:c r="K107" s="13" t="str">
        <x:v>derived_from_established_parent_review_required</x:v>
      </x:c>
      <x:c r="L107" s="13" t="str">
        <x:v>P3</x:v>
      </x:c>
      <x:c r="M107" s="13" t="str">
        <x:v>no</x:v>
      </x:c>
      <x:c r="N107" s="13" t="str">
        <x:v>Operational subtype under False dilemma: a crucial premise is implied rather than stated. Parent definition: Presenting limited options as exhaustive when relevant alternatives exist.</x:v>
      </x:c>
      <x:c r="O107" s="13" t="str">
        <x:v>Look for: explicit claim-level evidence; parent-family cues for False dilemma; variant cue: a crucial premise is implied rather than stated; avoid author-level inference.</x:v>
      </x:c>
      <x:c r="P107" s="13" t="str">
        <x:v>Exact evidence span in text plus claim-level reasoning link; for contextual/discourse entries, require surrounding context.</x:v>
      </x:c>
      <x:c r="Q107" s="13" t="str">
        <x:v>Do not label merely because topic is controversial, emotional, or wrong. Do not judge intent or personality. Require textual evidence and consider healthy-reasoning cues.</x:v>
      </x:c>
      <x:c r="R107" s="13" t="str">
        <x:v>Stub: A claim relies on a crucial premise is implied rather than stated to support a conclusion without adequate qualification.</x:v>
      </x:c>
      <x:c r="S107" s="13" t="str">
        <x:v>Stub: A claim discusses false dilemma with caveats, balanced evidence, or no argumentative use of the pattern.</x:v>
      </x:c>
      <x:c r="T107" s="13" t="str">
        <x:v>Mild or ambiguous cue; do not classify without clear evidence span.</x:v>
      </x:c>
      <x:c r="U107" s="13" t="str">
        <x:v>Clear claim-level pattern with some argumentative impact.</x:v>
      </x:c>
      <x:c r="V107" s="13" t="str">
        <x:v>Strong pattern central to the conclusion and likely to materially distort reasoning.</x:v>
      </x:c>
      <x:c r="W107" s="13" t="str"/>
      <x:c r="X107" s="13" t="str">
        <x:v>sep_fallacies</x:v>
      </x:c>
      <x:c r="Y107" s="13" t="str">
        <x:v>https://plato.stanford.edu/entries/fallacies/</x:v>
      </x:c>
      <x:c r="Z107" s="13" t="str">
        <x:v>Review before enabling. This workbook is a living taxonomy scaffold, not a validated scientific benchmark.</x:v>
      </x:c>
      <x:c r="AA107" s="13" t="str">
        <x:v>0.1.0-draft</x:v>
      </x:c>
      <x:c r="AB107" s="12" t="str">
        <x:f>IF(ISNUMBER(SEARCH("healthy",F107)),"healthy_reasoning_patterns",IF(ISNUMBER(SEARCH("statistical",F107)),"statistical_reasoning",IF(ISNUMBER(SEARCH("causal",F107)),"causal_reasoning",IF(ISNUMBER(SEARCH("social",F107)),"social_influence",IF(ISNUMBER(SEARCH("rhetoric",F107)),"rhetoric_discourse",IF(ISNUMBER(SEARCH("behavior",F107)),"behavioural_economics",IF(ISNUMBER(SEARCH("cognitive",F107)),"cognitive_biases",IF(J107="protective_pattern","healthy_reasoning_patterns",IF(L107="P0","core_mvp","extended_fallacies")))))))))</x:f>
        <x:v>extended_fallacies</x:v>
      </x:c>
      <x:c r="AC107" s="12" t="str">
        <x:f>IF(ISNUMBER(SEARCH("operational",J107)),"operational",IF(ISNUMBER(SEARCH("deprecated",J107)),"deprecated",IF(L107="P0","canonical","recognized_subtype")))</x:f>
        <x:v>operational</x:v>
      </x:c>
      <x:c r="AD107" s="12" t="str">
        <x:f>IF(AC107="canonical","high",IF(AC107="recognized_subtype","medium",IF(AC107="operational","operational_only","debated")))</x:f>
        <x:v>operational_only</x:v>
      </x:c>
      <x:c r="AE107" s="12" t="str">
        <x:f>IF(AC107="deprecated","deprecated",IF(M107="yes","active",IF(M107="review","review_required","backlog")))</x:f>
        <x:v>backlog</x:v>
      </x:c>
      <x:c r="AF107" s="12" t="str">
        <x:f>IF(OR(AE107="active",AE107="review_required"),"yes","no")</x:f>
        <x:v>no</x:v>
      </x:c>
      <x:c r="AG107" s="12" t="str">
        <x:f>IF(AND(AE107="active",M107="yes",NOT(ISNUMBER(SEARCH("healthy",AB107)))),"yes","no")</x:f>
        <x:v>no</x:v>
      </x:c>
      <x:c r="AH107" s="12" t="str">
        <x:f>IF(OR(H107="contextual",H107="dialogue",H107="discourse",I107="claim+context",I107="discourse_segment"),"yes","no")</x:f>
        <x:v>no</x:v>
      </x:c>
      <x:c r="AI107" s="12" t="str">
        <x:f>IF(OR(AH107="yes",AD107="debated",AC107="operational"),"yes","no")</x:f>
        <x:v>yes</x:v>
      </x:c>
      <x:c r="AJ107" s="12" t="str">
        <x:f>IF(OR(AH107="yes",AC107="operational",AD107="debated"),"high",IF(AND(AG107="yes",L107="P0"),"medium","low"))</x:f>
        <x:v>high</x:v>
      </x:c>
      <x:c r="AK107" s="12" t="str">
        <x:f>IF(ISNUMBER(SEARCH("healthy",AB107)),"yes","no")</x:f>
        <x:v>no</x:v>
      </x:c>
      <x:c r="AL107" s="12" t="str">
        <x:f>IF(AG107="yes","yes","candidate_only")</x:f>
        <x:v>candidate_only</x:v>
      </x:c>
      <x:c r="AM107" s="12" t="str">
        <x:f>IF(OR(AC107="canonical",AG107="yes"),"yes","recommended")</x:f>
        <x:v>recommended</x:v>
      </x:c>
      <x:c r="AN107" s="12" t="str">
        <x:f>IF(AC107="deprecated","exclude",IF(AND(AG107="yes",AJ107="high"),"import_but_human_review_required",IF(AG107="yes","import_as_active","import_as_backlog")))</x:f>
        <x:v>import_as_backlog</x:v>
      </x:c>
      <x:c r="AO107" s="12" t="str">
        <x:f>IF(AND(AG107="yes",OR(P107="",Q107="",R107="",S107="")),"missing_required_mvp_fields",IF(AND(AC107="canonical",Y107=""),"missing_source_ref","ok"))</x:f>
        <x:v>ok</x:v>
      </x:c>
      <x:c r="AP107" s="12" t="str">
        <x:f>IF(AO107="ok","ready_for_codex_import","needs_review")</x:f>
        <x:v>ready_for_codex_import</x:v>
      </x:c>
      <x:c r="AQ107" s="12"/>
      <x:c r="AR107" s="12" t="str">
        <x:v>Added v2 operational fields. Review before classification activation.</x:v>
      </x:c>
    </x:row>
    <x:row r="108">
      <x:c r="A108" s="13" t="str">
        <x:v>false_equivalence_implicit_premise</x:v>
      </x:c>
      <x:c r="B108" s="13" t="str">
        <x:v>false_equivalence</x:v>
      </x:c>
      <x:c r="C108" s="13" t="str">
        <x:v>False equivalence</x:v>
      </x:c>
      <x:c r="D108" s="13" t="str">
        <x:v>معادل‌سازی کاذب</x:v>
      </x:c>
      <x:c r="E108" s="13" t="str">
        <x:v>Implicit-premise variant</x:v>
      </x:c>
      <x:c r="F108" s="13" t="str">
        <x:v>reasoning_failures</x:v>
      </x:c>
      <x:c r="G108" s="13" t="str">
        <x:v>operational_variant</x:v>
      </x:c>
      <x:c r="H108" s="13" t="str">
        <x:v>structural</x:v>
      </x:c>
      <x:c r="I108" s="13" t="str">
        <x:v>claim</x:v>
      </x:c>
      <x:c r="J108" s="13" t="str">
        <x:v>derived_operational_subtype</x:v>
      </x:c>
      <x:c r="K108" s="13" t="str">
        <x:v>derived_from_established_parent_review_required</x:v>
      </x:c>
      <x:c r="L108" s="13" t="str">
        <x:v>P3</x:v>
      </x:c>
      <x:c r="M108" s="13" t="str">
        <x:v>no</x:v>
      </x:c>
      <x:c r="N108" s="13" t="str">
        <x:v>Operational subtype under False equivalence: a crucial premise is implied rather than stated. Parent definition: Treating two cases as equivalent while ignoring relevant differences.</x:v>
      </x:c>
      <x:c r="O108" s="13" t="str">
        <x:v>Look for: explicit claim-level evidence; parent-family cues for False equivalence; variant cue: a crucial premise is implied rather than stated; avoid author-level inference.</x:v>
      </x:c>
      <x:c r="P108" s="13" t="str">
        <x:v>Exact evidence span in text plus claim-level reasoning link; for contextual/discourse entries, require surrounding context.</x:v>
      </x:c>
      <x:c r="Q108" s="13" t="str">
        <x:v>Do not label merely because topic is controversial, emotional, or wrong. Do not judge intent or personality. Require textual evidence and consider healthy-reasoning cues.</x:v>
      </x:c>
      <x:c r="R108" s="13" t="str">
        <x:v>Stub: A claim relies on a crucial premise is implied rather than stated to support a conclusion without adequate qualification.</x:v>
      </x:c>
      <x:c r="S108" s="13" t="str">
        <x:v>Stub: A claim discusses false equivalence with caveats, balanced evidence, or no argumentative use of the pattern.</x:v>
      </x:c>
      <x:c r="T108" s="13" t="str">
        <x:v>Mild or ambiguous cue; do not classify without clear evidence span.</x:v>
      </x:c>
      <x:c r="U108" s="13" t="str">
        <x:v>Clear claim-level pattern with some argumentative impact.</x:v>
      </x:c>
      <x:c r="V108" s="13" t="str">
        <x:v>Strong pattern central to the conclusion and likely to materially distort reasoning.</x:v>
      </x:c>
      <x:c r="W108" s="13" t="str"/>
      <x:c r="X108" s="13" t="str">
        <x:v>sep_fallacies</x:v>
      </x:c>
      <x:c r="Y108" s="13" t="str">
        <x:v>https://plato.stanford.edu/entries/fallacies/</x:v>
      </x:c>
      <x:c r="Z108" s="13" t="str">
        <x:v>Review before enabling. This workbook is a living taxonomy scaffold, not a validated scientific benchmark.</x:v>
      </x:c>
      <x:c r="AA108" s="13" t="str">
        <x:v>0.1.0-draft</x:v>
      </x:c>
      <x:c r="AB108" s="12" t="str">
        <x:f>IF(ISNUMBER(SEARCH("healthy",F108)),"healthy_reasoning_patterns",IF(ISNUMBER(SEARCH("statistical",F108)),"statistical_reasoning",IF(ISNUMBER(SEARCH("causal",F108)),"causal_reasoning",IF(ISNUMBER(SEARCH("social",F108)),"social_influence",IF(ISNUMBER(SEARCH("rhetoric",F108)),"rhetoric_discourse",IF(ISNUMBER(SEARCH("behavior",F108)),"behavioural_economics",IF(ISNUMBER(SEARCH("cognitive",F108)),"cognitive_biases",IF(J108="protective_pattern","healthy_reasoning_patterns",IF(L108="P0","core_mvp","extended_fallacies")))))))))</x:f>
        <x:v>extended_fallacies</x:v>
      </x:c>
      <x:c r="AC108" s="12" t="str">
        <x:f>IF(ISNUMBER(SEARCH("operational",J108)),"operational",IF(ISNUMBER(SEARCH("deprecated",J108)),"deprecated",IF(L108="P0","canonical","recognized_subtype")))</x:f>
        <x:v>operational</x:v>
      </x:c>
      <x:c r="AD108" s="12" t="str">
        <x:f>IF(AC108="canonical","high",IF(AC108="recognized_subtype","medium",IF(AC108="operational","operational_only","debated")))</x:f>
        <x:v>operational_only</x:v>
      </x:c>
      <x:c r="AE108" s="12" t="str">
        <x:f>IF(AC108="deprecated","deprecated",IF(M108="yes","active",IF(M108="review","review_required","backlog")))</x:f>
        <x:v>backlog</x:v>
      </x:c>
      <x:c r="AF108" s="12" t="str">
        <x:f>IF(OR(AE108="active",AE108="review_required"),"yes","no")</x:f>
        <x:v>no</x:v>
      </x:c>
      <x:c r="AG108" s="12" t="str">
        <x:f>IF(AND(AE108="active",M108="yes",NOT(ISNUMBER(SEARCH("healthy",AB108)))),"yes","no")</x:f>
        <x:v>no</x:v>
      </x:c>
      <x:c r="AH108" s="12" t="str">
        <x:f>IF(OR(H108="contextual",H108="dialogue",H108="discourse",I108="claim+context",I108="discourse_segment"),"yes","no")</x:f>
        <x:v>no</x:v>
      </x:c>
      <x:c r="AI108" s="12" t="str">
        <x:f>IF(OR(AH108="yes",AD108="debated",AC108="operational"),"yes","no")</x:f>
        <x:v>yes</x:v>
      </x:c>
      <x:c r="AJ108" s="12" t="str">
        <x:f>IF(OR(AH108="yes",AC108="operational",AD108="debated"),"high",IF(AND(AG108="yes",L108="P0"),"medium","low"))</x:f>
        <x:v>high</x:v>
      </x:c>
      <x:c r="AK108" s="12" t="str">
        <x:f>IF(ISNUMBER(SEARCH("healthy",AB108)),"yes","no")</x:f>
        <x:v>no</x:v>
      </x:c>
      <x:c r="AL108" s="12" t="str">
        <x:f>IF(AG108="yes","yes","candidate_only")</x:f>
        <x:v>candidate_only</x:v>
      </x:c>
      <x:c r="AM108" s="12" t="str">
        <x:f>IF(OR(AC108="canonical",AG108="yes"),"yes","recommended")</x:f>
        <x:v>recommended</x:v>
      </x:c>
      <x:c r="AN108" s="12" t="str">
        <x:f>IF(AC108="deprecated","exclude",IF(AND(AG108="yes",AJ108="high"),"import_but_human_review_required",IF(AG108="yes","import_as_active","import_as_backlog")))</x:f>
        <x:v>import_as_backlog</x:v>
      </x:c>
      <x:c r="AO108" s="12" t="str">
        <x:f>IF(AND(AG108="yes",OR(P108="",Q108="",R108="",S108="")),"missing_required_mvp_fields",IF(AND(AC108="canonical",Y108=""),"missing_source_ref","ok"))</x:f>
        <x:v>ok</x:v>
      </x:c>
      <x:c r="AP108" s="12" t="str">
        <x:f>IF(AO108="ok","ready_for_codex_import","needs_review")</x:f>
        <x:v>ready_for_codex_import</x:v>
      </x:c>
      <x:c r="AQ108" s="12"/>
      <x:c r="AR108" s="12" t="str">
        <x:v>Added v2 operational fields. Review before classification activation.</x:v>
      </x:c>
    </x:row>
    <x:row r="109">
      <x:c r="A109" s="13" t="str">
        <x:v>slippery_slope_implicit_premise</x:v>
      </x:c>
      <x:c r="B109" s="13" t="str">
        <x:v>slippery_slope</x:v>
      </x:c>
      <x:c r="C109" s="13" t="str">
        <x:v>Slippery slope</x:v>
      </x:c>
      <x:c r="D109" s="13" t="str">
        <x:v>شیب لغزنده</x:v>
      </x:c>
      <x:c r="E109" s="13" t="str">
        <x:v>Implicit-premise variant</x:v>
      </x:c>
      <x:c r="F109" s="13" t="str">
        <x:v>reasoning_failures</x:v>
      </x:c>
      <x:c r="G109" s="13" t="str">
        <x:v>operational_variant</x:v>
      </x:c>
      <x:c r="H109" s="13" t="str">
        <x:v>structural</x:v>
      </x:c>
      <x:c r="I109" s="13" t="str">
        <x:v>claim</x:v>
      </x:c>
      <x:c r="J109" s="13" t="str">
        <x:v>derived_operational_subtype</x:v>
      </x:c>
      <x:c r="K109" s="13" t="str">
        <x:v>derived_from_established_parent_review_required</x:v>
      </x:c>
      <x:c r="L109" s="13" t="str">
        <x:v>P3</x:v>
      </x:c>
      <x:c r="M109" s="13" t="str">
        <x:v>no</x:v>
      </x:c>
      <x:c r="N109" s="13" t="str">
        <x:v>Operational subtype under Slippery slope: a crucial premise is implied rather than stated. Parent definition: Asserting a chain of consequences without adequate causal support.</x:v>
      </x:c>
      <x:c r="O109" s="13" t="str">
        <x:v>Look for: explicit claim-level evidence; parent-family cues for Slippery slope; variant cue: a crucial premise is implied rather than stated; avoid author-level inference.</x:v>
      </x:c>
      <x:c r="P109" s="13" t="str">
        <x:v>Exact evidence span in text plus claim-level reasoning link; for contextual/discourse entries, require surrounding context.</x:v>
      </x:c>
      <x:c r="Q109" s="13" t="str">
        <x:v>Do not label merely because topic is controversial, emotional, or wrong. Do not judge intent or personality. Require textual evidence and consider healthy-reasoning cues.</x:v>
      </x:c>
      <x:c r="R109" s="13" t="str">
        <x:v>Stub: A claim relies on a crucial premise is implied rather than stated to support a conclusion without adequate qualification.</x:v>
      </x:c>
      <x:c r="S109" s="13" t="str">
        <x:v>Stub: A claim discusses slippery slope with caveats, balanced evidence, or no argumentative use of the pattern.</x:v>
      </x:c>
      <x:c r="T109" s="13" t="str">
        <x:v>Mild or ambiguous cue; do not classify without clear evidence span.</x:v>
      </x:c>
      <x:c r="U109" s="13" t="str">
        <x:v>Clear claim-level pattern with some argumentative impact.</x:v>
      </x:c>
      <x:c r="V109" s="13" t="str">
        <x:v>Strong pattern central to the conclusion and likely to materially distort reasoning.</x:v>
      </x:c>
      <x:c r="W109" s="13" t="str">
        <x:v>post_hoc; cum_hoc; alternative_explanation_neglect</x:v>
      </x:c>
      <x:c r="X109" s="13" t="str">
        <x:v>sep_fallacies</x:v>
      </x:c>
      <x:c r="Y109" s="13" t="str">
        <x:v>https://plato.stanford.edu/entries/fallacies/</x:v>
      </x:c>
      <x:c r="Z109" s="13" t="str">
        <x:v>Review before enabling. This workbook is a living taxonomy scaffold, not a validated scientific benchmark.</x:v>
      </x:c>
      <x:c r="AA109" s="13" t="str">
        <x:v>0.1.0-draft</x:v>
      </x:c>
      <x:c r="AB109" s="12" t="str">
        <x:f>IF(ISNUMBER(SEARCH("healthy",F109)),"healthy_reasoning_patterns",IF(ISNUMBER(SEARCH("statistical",F109)),"statistical_reasoning",IF(ISNUMBER(SEARCH("causal",F109)),"causal_reasoning",IF(ISNUMBER(SEARCH("social",F109)),"social_influence",IF(ISNUMBER(SEARCH("rhetoric",F109)),"rhetoric_discourse",IF(ISNUMBER(SEARCH("behavior",F109)),"behavioural_economics",IF(ISNUMBER(SEARCH("cognitive",F109)),"cognitive_biases",IF(J109="protective_pattern","healthy_reasoning_patterns",IF(L109="P0","core_mvp","extended_fallacies")))))))))</x:f>
        <x:v>extended_fallacies</x:v>
      </x:c>
      <x:c r="AC109" s="12" t="str">
        <x:f>IF(ISNUMBER(SEARCH("operational",J109)),"operational",IF(ISNUMBER(SEARCH("deprecated",J109)),"deprecated",IF(L109="P0","canonical","recognized_subtype")))</x:f>
        <x:v>operational</x:v>
      </x:c>
      <x:c r="AD109" s="12" t="str">
        <x:f>IF(AC109="canonical","high",IF(AC109="recognized_subtype","medium",IF(AC109="operational","operational_only","debated")))</x:f>
        <x:v>operational_only</x:v>
      </x:c>
      <x:c r="AE109" s="12" t="str">
        <x:f>IF(AC109="deprecated","deprecated",IF(M109="yes","active",IF(M109="review","review_required","backlog")))</x:f>
        <x:v>backlog</x:v>
      </x:c>
      <x:c r="AF109" s="12" t="str">
        <x:f>IF(OR(AE109="active",AE109="review_required"),"yes","no")</x:f>
        <x:v>no</x:v>
      </x:c>
      <x:c r="AG109" s="12" t="str">
        <x:f>IF(AND(AE109="active",M109="yes",NOT(ISNUMBER(SEARCH("healthy",AB109)))),"yes","no")</x:f>
        <x:v>no</x:v>
      </x:c>
      <x:c r="AH109" s="12" t="str">
        <x:f>IF(OR(H109="contextual",H109="dialogue",H109="discourse",I109="claim+context",I109="discourse_segment"),"yes","no")</x:f>
        <x:v>no</x:v>
      </x:c>
      <x:c r="AI109" s="12" t="str">
        <x:f>IF(OR(AH109="yes",AD109="debated",AC109="operational"),"yes","no")</x:f>
        <x:v>yes</x:v>
      </x:c>
      <x:c r="AJ109" s="12" t="str">
        <x:f>IF(OR(AH109="yes",AC109="operational",AD109="debated"),"high",IF(AND(AG109="yes",L109="P0"),"medium","low"))</x:f>
        <x:v>high</x:v>
      </x:c>
      <x:c r="AK109" s="12" t="str">
        <x:f>IF(ISNUMBER(SEARCH("healthy",AB109)),"yes","no")</x:f>
        <x:v>no</x:v>
      </x:c>
      <x:c r="AL109" s="12" t="str">
        <x:f>IF(AG109="yes","yes","candidate_only")</x:f>
        <x:v>candidate_only</x:v>
      </x:c>
      <x:c r="AM109" s="12" t="str">
        <x:f>IF(OR(AC109="canonical",AG109="yes"),"yes","recommended")</x:f>
        <x:v>recommended</x:v>
      </x:c>
      <x:c r="AN109" s="12" t="str">
        <x:f>IF(AC109="deprecated","exclude",IF(AND(AG109="yes",AJ109="high"),"import_but_human_review_required",IF(AG109="yes","import_as_active","import_as_backlog")))</x:f>
        <x:v>import_as_backlog</x:v>
      </x:c>
      <x:c r="AO109" s="12" t="str">
        <x:f>IF(AND(AG109="yes",OR(P109="",Q109="",R109="",S109="")),"missing_required_mvp_fields",IF(AND(AC109="canonical",Y109=""),"missing_source_ref","ok"))</x:f>
        <x:v>ok</x:v>
      </x:c>
      <x:c r="AP109" s="12" t="str">
        <x:f>IF(AO109="ok","ready_for_codex_import","needs_review")</x:f>
        <x:v>ready_for_codex_import</x:v>
      </x:c>
      <x:c r="AQ109" s="12"/>
      <x:c r="AR109" s="12" t="str">
        <x:v>Added v2 operational fields. Review before classification activation.</x:v>
      </x:c>
    </x:row>
    <x:row r="110">
      <x:c r="A110" s="13" t="str">
        <x:v>hasty_generalization_implicit_premise</x:v>
      </x:c>
      <x:c r="B110" s="13" t="str">
        <x:v>hasty_generalization</x:v>
      </x:c>
      <x:c r="C110" s="13" t="str">
        <x:v>Hasty generalization</x:v>
      </x:c>
      <x:c r="D110" s="13" t="str">
        <x:v>تعمیم شتاب‌زده</x:v>
      </x:c>
      <x:c r="E110" s="13" t="str">
        <x:v>Implicit-premise variant</x:v>
      </x:c>
      <x:c r="F110" s="13" t="str">
        <x:v>reasoning_failures</x:v>
      </x:c>
      <x:c r="G110" s="13" t="str">
        <x:v>operational_variant</x:v>
      </x:c>
      <x:c r="H110" s="13" t="str">
        <x:v>structural</x:v>
      </x:c>
      <x:c r="I110" s="13" t="str">
        <x:v>claim</x:v>
      </x:c>
      <x:c r="J110" s="13" t="str">
        <x:v>derived_operational_subtype</x:v>
      </x:c>
      <x:c r="K110" s="13" t="str">
        <x:v>derived_from_established_parent_review_required</x:v>
      </x:c>
      <x:c r="L110" s="13" t="str">
        <x:v>P3</x:v>
      </x:c>
      <x:c r="M110" s="13" t="str">
        <x:v>no</x:v>
      </x:c>
      <x:c r="N110" s="13" t="str">
        <x:v>Operational subtype under Hasty generalization: a crucial premise is implied rather than stated. Parent definition: Drawing a broad conclusion from insufficient or unrepresentative cases.</x:v>
      </x:c>
      <x:c r="O110" s="13" t="str">
        <x:v>Look for: explicit claim-level evidence; parent-family cues for Hasty generalization; variant cue: a crucial premise is implied rather than stated; avoid author-level inference.</x:v>
      </x:c>
      <x:c r="P110" s="13" t="str">
        <x:v>Exact evidence span in text plus claim-level reasoning link; for contextual/discourse entries, require surrounding context.</x:v>
      </x:c>
      <x:c r="Q110" s="13" t="str">
        <x:v>Do not label merely because topic is controversial, emotional, or wrong. Do not judge intent or personality. Require textual evidence and consider healthy-reasoning cues.</x:v>
      </x:c>
      <x:c r="R110" s="13" t="str">
        <x:v>Stub: A claim relies on a crucial premise is implied rather than stated to support a conclusion without adequate qualification.</x:v>
      </x:c>
      <x:c r="S110" s="13" t="str">
        <x:v>Stub: A claim discusses hasty generalization with caveats, balanced evidence, or no argumentative use of the pattern.</x:v>
      </x:c>
      <x:c r="T110" s="13" t="str">
        <x:v>Mild or ambiguous cue; do not classify without clear evidence span.</x:v>
      </x:c>
      <x:c r="U110" s="13" t="str">
        <x:v>Clear claim-level pattern with some argumentative impact.</x:v>
      </x:c>
      <x:c r="V110" s="13" t="str">
        <x:v>Strong pattern central to the conclusion and likely to materially distort reasoning.</x:v>
      </x:c>
      <x:c r="W110" s="13" t="str"/>
      <x:c r="X110" s="13" t="str">
        <x:v>sep_fallacies</x:v>
      </x:c>
      <x:c r="Y110" s="13" t="str">
        <x:v>https://plato.stanford.edu/entries/fallacies/</x:v>
      </x:c>
      <x:c r="Z110" s="13" t="str">
        <x:v>Review before enabling. This workbook is a living taxonomy scaffold, not a validated scientific benchmark.</x:v>
      </x:c>
      <x:c r="AA110" s="13" t="str">
        <x:v>0.1.0-draft</x:v>
      </x:c>
      <x:c r="AB110" s="12" t="str">
        <x:f>IF(ISNUMBER(SEARCH("healthy",F110)),"healthy_reasoning_patterns",IF(ISNUMBER(SEARCH("statistical",F110)),"statistical_reasoning",IF(ISNUMBER(SEARCH("causal",F110)),"causal_reasoning",IF(ISNUMBER(SEARCH("social",F110)),"social_influence",IF(ISNUMBER(SEARCH("rhetoric",F110)),"rhetoric_discourse",IF(ISNUMBER(SEARCH("behavior",F110)),"behavioural_economics",IF(ISNUMBER(SEARCH("cognitive",F110)),"cognitive_biases",IF(J110="protective_pattern","healthy_reasoning_patterns",IF(L110="P0","core_mvp","extended_fallacies")))))))))</x:f>
        <x:v>extended_fallacies</x:v>
      </x:c>
      <x:c r="AC110" s="12" t="str">
        <x:f>IF(ISNUMBER(SEARCH("operational",J110)),"operational",IF(ISNUMBER(SEARCH("deprecated",J110)),"deprecated",IF(L110="P0","canonical","recognized_subtype")))</x:f>
        <x:v>operational</x:v>
      </x:c>
      <x:c r="AD110" s="12" t="str">
        <x:f>IF(AC110="canonical","high",IF(AC110="recognized_subtype","medium",IF(AC110="operational","operational_only","debated")))</x:f>
        <x:v>operational_only</x:v>
      </x:c>
      <x:c r="AE110" s="12" t="str">
        <x:f>IF(AC110="deprecated","deprecated",IF(M110="yes","active",IF(M110="review","review_required","backlog")))</x:f>
        <x:v>backlog</x:v>
      </x:c>
      <x:c r="AF110" s="12" t="str">
        <x:f>IF(OR(AE110="active",AE110="review_required"),"yes","no")</x:f>
        <x:v>no</x:v>
      </x:c>
      <x:c r="AG110" s="12" t="str">
        <x:f>IF(AND(AE110="active",M110="yes",NOT(ISNUMBER(SEARCH("healthy",AB110)))),"yes","no")</x:f>
        <x:v>no</x:v>
      </x:c>
      <x:c r="AH110" s="12" t="str">
        <x:f>IF(OR(H110="contextual",H110="dialogue",H110="discourse",I110="claim+context",I110="discourse_segment"),"yes","no")</x:f>
        <x:v>no</x:v>
      </x:c>
      <x:c r="AI110" s="12" t="str">
        <x:f>IF(OR(AH110="yes",AD110="debated",AC110="operational"),"yes","no")</x:f>
        <x:v>yes</x:v>
      </x:c>
      <x:c r="AJ110" s="12" t="str">
        <x:f>IF(OR(AH110="yes",AC110="operational",AD110="debated"),"high",IF(AND(AG110="yes",L110="P0"),"medium","low"))</x:f>
        <x:v>high</x:v>
      </x:c>
      <x:c r="AK110" s="12" t="str">
        <x:f>IF(ISNUMBER(SEARCH("healthy",AB110)),"yes","no")</x:f>
        <x:v>no</x:v>
      </x:c>
      <x:c r="AL110" s="12" t="str">
        <x:f>IF(AG110="yes","yes","candidate_only")</x:f>
        <x:v>candidate_only</x:v>
      </x:c>
      <x:c r="AM110" s="12" t="str">
        <x:f>IF(OR(AC110="canonical",AG110="yes"),"yes","recommended")</x:f>
        <x:v>recommended</x:v>
      </x:c>
      <x:c r="AN110" s="12" t="str">
        <x:f>IF(AC110="deprecated","exclude",IF(AND(AG110="yes",AJ110="high"),"import_but_human_review_required",IF(AG110="yes","import_as_active","import_as_backlog")))</x:f>
        <x:v>import_as_backlog</x:v>
      </x:c>
      <x:c r="AO110" s="12" t="str">
        <x:f>IF(AND(AG110="yes",OR(P110="",Q110="",R110="",S110="")),"missing_required_mvp_fields",IF(AND(AC110="canonical",Y110=""),"missing_source_ref","ok"))</x:f>
        <x:v>ok</x:v>
      </x:c>
      <x:c r="AP110" s="12" t="str">
        <x:f>IF(AO110="ok","ready_for_codex_import","needs_review")</x:f>
        <x:v>ready_for_codex_import</x:v>
      </x:c>
      <x:c r="AQ110" s="12"/>
      <x:c r="AR110" s="12" t="str">
        <x:v>Added v2 operational fields. Review before classification activation.</x:v>
      </x:c>
    </x:row>
    <x:row r="111">
      <x:c r="A111" s="13" t="str">
        <x:v>accident_fallacy_implicit_premise</x:v>
      </x:c>
      <x:c r="B111" s="13" t="str">
        <x:v>accident_fallacy</x:v>
      </x:c>
      <x:c r="C111" s="13" t="str">
        <x:v>Accident</x:v>
      </x:c>
      <x:c r="D111" s="13" t="str">
        <x:v>کاربرد نادرست قاعده کلی</x:v>
      </x:c>
      <x:c r="E111" s="13" t="str">
        <x:v>Implicit-premise variant</x:v>
      </x:c>
      <x:c r="F111" s="13" t="str">
        <x:v>reasoning_failures</x:v>
      </x:c>
      <x:c r="G111" s="13" t="str">
        <x:v>operational_variant</x:v>
      </x:c>
      <x:c r="H111" s="13" t="str">
        <x:v>structural</x:v>
      </x:c>
      <x:c r="I111" s="13" t="str">
        <x:v>claim</x:v>
      </x:c>
      <x:c r="J111" s="13" t="str">
        <x:v>derived_operational_subtype</x:v>
      </x:c>
      <x:c r="K111" s="13" t="str">
        <x:v>derived_from_established_parent_review_required</x:v>
      </x:c>
      <x:c r="L111" s="13" t="str">
        <x:v>P3</x:v>
      </x:c>
      <x:c r="M111" s="13" t="str">
        <x:v>no</x:v>
      </x:c>
      <x:c r="N111" s="13" t="str">
        <x:v>Operational subtype under Accident: a crucial premise is implied rather than stated. Parent definition: Applying a general rule to an exceptional case without qualification.</x:v>
      </x:c>
      <x:c r="O111" s="13" t="str">
        <x:v>Look for: explicit claim-level evidence; parent-family cues for Accident; variant cue: a crucial premise is implied rather than stated; avoid author-level inference.</x:v>
      </x:c>
      <x:c r="P111" s="13" t="str">
        <x:v>Exact evidence span in text plus claim-level reasoning link; for contextual/discourse entries, require surrounding context.</x:v>
      </x:c>
      <x:c r="Q111" s="13" t="str">
        <x:v>Do not label merely because topic is controversial, emotional, or wrong. Do not judge intent or personality. Require textual evidence and consider healthy-reasoning cues.</x:v>
      </x:c>
      <x:c r="R111" s="13" t="str">
        <x:v>Stub: A claim relies on a crucial premise is implied rather than stated to support a conclusion without adequate qualification.</x:v>
      </x:c>
      <x:c r="S111" s="13" t="str">
        <x:v>Stub: A claim discusses accident with caveats, balanced evidence, or no argumentative use of the pattern.</x:v>
      </x:c>
      <x:c r="T111" s="13" t="str">
        <x:v>Mild or ambiguous cue; do not classify without clear evidence span.</x:v>
      </x:c>
      <x:c r="U111" s="13" t="str">
        <x:v>Clear claim-level pattern with some argumentative impact.</x:v>
      </x:c>
      <x:c r="V111" s="13" t="str">
        <x:v>Strong pattern central to the conclusion and likely to materially distort reasoning.</x:v>
      </x:c>
      <x:c r="W111" s="13" t="str"/>
      <x:c r="X111" s="13" t="str">
        <x:v>sep_fallacies</x:v>
      </x:c>
      <x:c r="Y111" s="13" t="str">
        <x:v>https://plato.stanford.edu/entries/fallacies/</x:v>
      </x:c>
      <x:c r="Z111" s="13" t="str">
        <x:v>Review before enabling. This workbook is a living taxonomy scaffold, not a validated scientific benchmark.</x:v>
      </x:c>
      <x:c r="AA111" s="13" t="str">
        <x:v>0.1.0-draft</x:v>
      </x:c>
      <x:c r="AB111" s="12" t="str">
        <x:f>IF(ISNUMBER(SEARCH("healthy",F111)),"healthy_reasoning_patterns",IF(ISNUMBER(SEARCH("statistical",F111)),"statistical_reasoning",IF(ISNUMBER(SEARCH("causal",F111)),"causal_reasoning",IF(ISNUMBER(SEARCH("social",F111)),"social_influence",IF(ISNUMBER(SEARCH("rhetoric",F111)),"rhetoric_discourse",IF(ISNUMBER(SEARCH("behavior",F111)),"behavioural_economics",IF(ISNUMBER(SEARCH("cognitive",F111)),"cognitive_biases",IF(J111="protective_pattern","healthy_reasoning_patterns",IF(L111="P0","core_mvp","extended_fallacies")))))))))</x:f>
        <x:v>extended_fallacies</x:v>
      </x:c>
      <x:c r="AC111" s="12" t="str">
        <x:f>IF(ISNUMBER(SEARCH("operational",J111)),"operational",IF(ISNUMBER(SEARCH("deprecated",J111)),"deprecated",IF(L111="P0","canonical","recognized_subtype")))</x:f>
        <x:v>operational</x:v>
      </x:c>
      <x:c r="AD111" s="12" t="str">
        <x:f>IF(AC111="canonical","high",IF(AC111="recognized_subtype","medium",IF(AC111="operational","operational_only","debated")))</x:f>
        <x:v>operational_only</x:v>
      </x:c>
      <x:c r="AE111" s="12" t="str">
        <x:f>IF(AC111="deprecated","deprecated",IF(M111="yes","active",IF(M111="review","review_required","backlog")))</x:f>
        <x:v>backlog</x:v>
      </x:c>
      <x:c r="AF111" s="12" t="str">
        <x:f>IF(OR(AE111="active",AE111="review_required"),"yes","no")</x:f>
        <x:v>no</x:v>
      </x:c>
      <x:c r="AG111" s="12" t="str">
        <x:f>IF(AND(AE111="active",M111="yes",NOT(ISNUMBER(SEARCH("healthy",AB111)))),"yes","no")</x:f>
        <x:v>no</x:v>
      </x:c>
      <x:c r="AH111" s="12" t="str">
        <x:f>IF(OR(H111="contextual",H111="dialogue",H111="discourse",I111="claim+context",I111="discourse_segment"),"yes","no")</x:f>
        <x:v>no</x:v>
      </x:c>
      <x:c r="AI111" s="12" t="str">
        <x:f>IF(OR(AH111="yes",AD111="debated",AC111="operational"),"yes","no")</x:f>
        <x:v>yes</x:v>
      </x:c>
      <x:c r="AJ111" s="12" t="str">
        <x:f>IF(OR(AH111="yes",AC111="operational",AD111="debated"),"high",IF(AND(AG111="yes",L111="P0"),"medium","low"))</x:f>
        <x:v>high</x:v>
      </x:c>
      <x:c r="AK111" s="12" t="str">
        <x:f>IF(ISNUMBER(SEARCH("healthy",AB111)),"yes","no")</x:f>
        <x:v>no</x:v>
      </x:c>
      <x:c r="AL111" s="12" t="str">
        <x:f>IF(AG111="yes","yes","candidate_only")</x:f>
        <x:v>candidate_only</x:v>
      </x:c>
      <x:c r="AM111" s="12" t="str">
        <x:f>IF(OR(AC111="canonical",AG111="yes"),"yes","recommended")</x:f>
        <x:v>recommended</x:v>
      </x:c>
      <x:c r="AN111" s="12" t="str">
        <x:f>IF(AC111="deprecated","exclude",IF(AND(AG111="yes",AJ111="high"),"import_but_human_review_required",IF(AG111="yes","import_as_active","import_as_backlog")))</x:f>
        <x:v>import_as_backlog</x:v>
      </x:c>
      <x:c r="AO111" s="12" t="str">
        <x:f>IF(AND(AG111="yes",OR(P111="",Q111="",R111="",S111="")),"missing_required_mvp_fields",IF(AND(AC111="canonical",Y111=""),"missing_source_ref","ok"))</x:f>
        <x:v>ok</x:v>
      </x:c>
      <x:c r="AP111" s="12" t="str">
        <x:f>IF(AO111="ok","ready_for_codex_import","needs_review")</x:f>
        <x:v>ready_for_codex_import</x:v>
      </x:c>
      <x:c r="AQ111" s="12"/>
      <x:c r="AR111" s="12" t="str">
        <x:v>Added v2 operational fields. Review before classification activation.</x:v>
      </x:c>
    </x:row>
    <x:row r="112">
      <x:c r="A112" s="13" t="str">
        <x:v>converse_accident_implicit_premise</x:v>
      </x:c>
      <x:c r="B112" s="13" t="str">
        <x:v>converse_accident</x:v>
      </x:c>
      <x:c r="C112" s="13" t="str">
        <x:v>Converse accident</x:v>
      </x:c>
      <x:c r="D112" s="13" t="str">
        <x:v>تعمیم استثنا</x:v>
      </x:c>
      <x:c r="E112" s="13" t="str">
        <x:v>Implicit-premise variant</x:v>
      </x:c>
      <x:c r="F112" s="13" t="str">
        <x:v>reasoning_failures</x:v>
      </x:c>
      <x:c r="G112" s="13" t="str">
        <x:v>operational_variant</x:v>
      </x:c>
      <x:c r="H112" s="13" t="str">
        <x:v>structural</x:v>
      </x:c>
      <x:c r="I112" s="13" t="str">
        <x:v>claim</x:v>
      </x:c>
      <x:c r="J112" s="13" t="str">
        <x:v>derived_operational_subtype</x:v>
      </x:c>
      <x:c r="K112" s="13" t="str">
        <x:v>derived_from_established_parent_review_required</x:v>
      </x:c>
      <x:c r="L112" s="13" t="str">
        <x:v>P3</x:v>
      </x:c>
      <x:c r="M112" s="13" t="str">
        <x:v>no</x:v>
      </x:c>
      <x:c r="N112" s="13" t="str">
        <x:v>Operational subtype under Converse accident: a crucial premise is implied rather than stated. Parent definition: Generalizing from an exceptional case to a broad rule.</x:v>
      </x:c>
      <x:c r="O112" s="13" t="str">
        <x:v>Look for: explicit claim-level evidence; parent-family cues for Converse accident; variant cue: a crucial premise is implied rather than stated; avoid author-level inference.</x:v>
      </x:c>
      <x:c r="P112" s="13" t="str">
        <x:v>Exact evidence span in text plus claim-level reasoning link; for contextual/discourse entries, require surrounding context.</x:v>
      </x:c>
      <x:c r="Q112" s="13" t="str">
        <x:v>Do not label merely because topic is controversial, emotional, or wrong. Do not judge intent or personality. Require textual evidence and consider healthy-reasoning cues.</x:v>
      </x:c>
      <x:c r="R112" s="13" t="str">
        <x:v>Stub: A claim relies on a crucial premise is implied rather than stated to support a conclusion without adequate qualification.</x:v>
      </x:c>
      <x:c r="S112" s="13" t="str">
        <x:v>Stub: A claim discusses converse accident with caveats, balanced evidence, or no argumentative use of the pattern.</x:v>
      </x:c>
      <x:c r="T112" s="13" t="str">
        <x:v>Mild or ambiguous cue; do not classify without clear evidence span.</x:v>
      </x:c>
      <x:c r="U112" s="13" t="str">
        <x:v>Clear claim-level pattern with some argumentative impact.</x:v>
      </x:c>
      <x:c r="V112" s="13" t="str">
        <x:v>Strong pattern central to the conclusion and likely to materially distort reasoning.</x:v>
      </x:c>
      <x:c r="W112" s="13" t="str"/>
      <x:c r="X112" s="13" t="str">
        <x:v>sep_fallacies</x:v>
      </x:c>
      <x:c r="Y112" s="13" t="str">
        <x:v>https://plato.stanford.edu/entries/fallacies/</x:v>
      </x:c>
      <x:c r="Z112" s="13" t="str">
        <x:v>Review before enabling. This workbook is a living taxonomy scaffold, not a validated scientific benchmark.</x:v>
      </x:c>
      <x:c r="AA112" s="13" t="str">
        <x:v>0.1.0-draft</x:v>
      </x:c>
      <x:c r="AB112" s="12" t="str">
        <x:f>IF(ISNUMBER(SEARCH("healthy",F112)),"healthy_reasoning_patterns",IF(ISNUMBER(SEARCH("statistical",F112)),"statistical_reasoning",IF(ISNUMBER(SEARCH("causal",F112)),"causal_reasoning",IF(ISNUMBER(SEARCH("social",F112)),"social_influence",IF(ISNUMBER(SEARCH("rhetoric",F112)),"rhetoric_discourse",IF(ISNUMBER(SEARCH("behavior",F112)),"behavioural_economics",IF(ISNUMBER(SEARCH("cognitive",F112)),"cognitive_biases",IF(J112="protective_pattern","healthy_reasoning_patterns",IF(L112="P0","core_mvp","extended_fallacies")))))))))</x:f>
        <x:v>extended_fallacies</x:v>
      </x:c>
      <x:c r="AC112" s="12" t="str">
        <x:f>IF(ISNUMBER(SEARCH("operational",J112)),"operational",IF(ISNUMBER(SEARCH("deprecated",J112)),"deprecated",IF(L112="P0","canonical","recognized_subtype")))</x:f>
        <x:v>operational</x:v>
      </x:c>
      <x:c r="AD112" s="12" t="str">
        <x:f>IF(AC112="canonical","high",IF(AC112="recognized_subtype","medium",IF(AC112="operational","operational_only","debated")))</x:f>
        <x:v>operational_only</x:v>
      </x:c>
      <x:c r="AE112" s="12" t="str">
        <x:f>IF(AC112="deprecated","deprecated",IF(M112="yes","active",IF(M112="review","review_required","backlog")))</x:f>
        <x:v>backlog</x:v>
      </x:c>
      <x:c r="AF112" s="12" t="str">
        <x:f>IF(OR(AE112="active",AE112="review_required"),"yes","no")</x:f>
        <x:v>no</x:v>
      </x:c>
      <x:c r="AG112" s="12" t="str">
        <x:f>IF(AND(AE112="active",M112="yes",NOT(ISNUMBER(SEARCH("healthy",AB112)))),"yes","no")</x:f>
        <x:v>no</x:v>
      </x:c>
      <x:c r="AH112" s="12" t="str">
        <x:f>IF(OR(H112="contextual",H112="dialogue",H112="discourse",I112="claim+context",I112="discourse_segment"),"yes","no")</x:f>
        <x:v>no</x:v>
      </x:c>
      <x:c r="AI112" s="12" t="str">
        <x:f>IF(OR(AH112="yes",AD112="debated",AC112="operational"),"yes","no")</x:f>
        <x:v>yes</x:v>
      </x:c>
      <x:c r="AJ112" s="12" t="str">
        <x:f>IF(OR(AH112="yes",AC112="operational",AD112="debated"),"high",IF(AND(AG112="yes",L112="P0"),"medium","low"))</x:f>
        <x:v>high</x:v>
      </x:c>
      <x:c r="AK112" s="12" t="str">
        <x:f>IF(ISNUMBER(SEARCH("healthy",AB112)),"yes","no")</x:f>
        <x:v>no</x:v>
      </x:c>
      <x:c r="AL112" s="12" t="str">
        <x:f>IF(AG112="yes","yes","candidate_only")</x:f>
        <x:v>candidate_only</x:v>
      </x:c>
      <x:c r="AM112" s="12" t="str">
        <x:f>IF(OR(AC112="canonical",AG112="yes"),"yes","recommended")</x:f>
        <x:v>recommended</x:v>
      </x:c>
      <x:c r="AN112" s="12" t="str">
        <x:f>IF(AC112="deprecated","exclude",IF(AND(AG112="yes",AJ112="high"),"import_but_human_review_required",IF(AG112="yes","import_as_active","import_as_backlog")))</x:f>
        <x:v>import_as_backlog</x:v>
      </x:c>
      <x:c r="AO112" s="12" t="str">
        <x:f>IF(AND(AG112="yes",OR(P112="",Q112="",R112="",S112="")),"missing_required_mvp_fields",IF(AND(AC112="canonical",Y112=""),"missing_source_ref","ok"))</x:f>
        <x:v>ok</x:v>
      </x:c>
      <x:c r="AP112" s="12" t="str">
        <x:f>IF(AO112="ok","ready_for_codex_import","needs_review")</x:f>
        <x:v>ready_for_codex_import</x:v>
      </x:c>
      <x:c r="AQ112" s="12"/>
      <x:c r="AR112" s="12" t="str">
        <x:v>Added v2 operational fields. Review before classification activation.</x:v>
      </x:c>
    </x:row>
    <x:row r="113">
      <x:c r="A113" s="13" t="str">
        <x:v>composition_fallacy_implicit_premise</x:v>
      </x:c>
      <x:c r="B113" s="13" t="str">
        <x:v>composition_fallacy</x:v>
      </x:c>
      <x:c r="C113" s="13" t="str">
        <x:v>Composition</x:v>
      </x:c>
      <x:c r="D113" s="13" t="str">
        <x:v>مغالطه ترکیب</x:v>
      </x:c>
      <x:c r="E113" s="13" t="str">
        <x:v>Implicit-premise variant</x:v>
      </x:c>
      <x:c r="F113" s="13" t="str">
        <x:v>reasoning_failures</x:v>
      </x:c>
      <x:c r="G113" s="13" t="str">
        <x:v>operational_variant</x:v>
      </x:c>
      <x:c r="H113" s="13" t="str">
        <x:v>structural</x:v>
      </x:c>
      <x:c r="I113" s="13" t="str">
        <x:v>claim</x:v>
      </x:c>
      <x:c r="J113" s="13" t="str">
        <x:v>derived_operational_subtype</x:v>
      </x:c>
      <x:c r="K113" s="13" t="str">
        <x:v>derived_from_established_parent_review_required</x:v>
      </x:c>
      <x:c r="L113" s="13" t="str">
        <x:v>P3</x:v>
      </x:c>
      <x:c r="M113" s="13" t="str">
        <x:v>no</x:v>
      </x:c>
      <x:c r="N113" s="13" t="str">
        <x:v>Operational subtype under Composition: a crucial premise is implied rather than stated. Parent definition: Inferring that a whole has a property because its parts have it.</x:v>
      </x:c>
      <x:c r="O113" s="13" t="str">
        <x:v>Look for: explicit claim-level evidence; parent-family cues for Composition; variant cue: a crucial premise is implied rather than stated; avoid author-level inference.</x:v>
      </x:c>
      <x:c r="P113" s="13" t="str">
        <x:v>Exact evidence span in text plus claim-level reasoning link; for contextual/discourse entries, require surrounding context.</x:v>
      </x:c>
      <x:c r="Q113" s="13" t="str">
        <x:v>Do not label merely because topic is controversial, emotional, or wrong. Do not judge intent or personality. Require textual evidence and consider healthy-reasoning cues.</x:v>
      </x:c>
      <x:c r="R113" s="13" t="str">
        <x:v>Stub: A claim relies on a crucial premise is implied rather than stated to support a conclusion without adequate qualification.</x:v>
      </x:c>
      <x:c r="S113" s="13" t="str">
        <x:v>Stub: A claim discusses composition with caveats, balanced evidence, or no argumentative use of the pattern.</x:v>
      </x:c>
      <x:c r="T113" s="13" t="str">
        <x:v>Mild or ambiguous cue; do not classify without clear evidence span.</x:v>
      </x:c>
      <x:c r="U113" s="13" t="str">
        <x:v>Clear claim-level pattern with some argumentative impact.</x:v>
      </x:c>
      <x:c r="V113" s="13" t="str">
        <x:v>Strong pattern central to the conclusion and likely to materially distort reasoning.</x:v>
      </x:c>
      <x:c r="W113" s="13" t="str"/>
      <x:c r="X113" s="13" t="str">
        <x:v>sep_fallacies</x:v>
      </x:c>
      <x:c r="Y113" s="13" t="str">
        <x:v>https://plato.stanford.edu/entries/fallacies/</x:v>
      </x:c>
      <x:c r="Z113" s="13" t="str">
        <x:v>Review before enabling. This workbook is a living taxonomy scaffold, not a validated scientific benchmark.</x:v>
      </x:c>
      <x:c r="AA113" s="13" t="str">
        <x:v>0.1.0-draft</x:v>
      </x:c>
      <x:c r="AB113" s="12" t="str">
        <x:f>IF(ISNUMBER(SEARCH("healthy",F113)),"healthy_reasoning_patterns",IF(ISNUMBER(SEARCH("statistical",F113)),"statistical_reasoning",IF(ISNUMBER(SEARCH("causal",F113)),"causal_reasoning",IF(ISNUMBER(SEARCH("social",F113)),"social_influence",IF(ISNUMBER(SEARCH("rhetoric",F113)),"rhetoric_discourse",IF(ISNUMBER(SEARCH("behavior",F113)),"behavioural_economics",IF(ISNUMBER(SEARCH("cognitive",F113)),"cognitive_biases",IF(J113="protective_pattern","healthy_reasoning_patterns",IF(L113="P0","core_mvp","extended_fallacies")))))))))</x:f>
        <x:v>extended_fallacies</x:v>
      </x:c>
      <x:c r="AC113" s="12" t="str">
        <x:f>IF(ISNUMBER(SEARCH("operational",J113)),"operational",IF(ISNUMBER(SEARCH("deprecated",J113)),"deprecated",IF(L113="P0","canonical","recognized_subtype")))</x:f>
        <x:v>operational</x:v>
      </x:c>
      <x:c r="AD113" s="12" t="str">
        <x:f>IF(AC113="canonical","high",IF(AC113="recognized_subtype","medium",IF(AC113="operational","operational_only","debated")))</x:f>
        <x:v>operational_only</x:v>
      </x:c>
      <x:c r="AE113" s="12" t="str">
        <x:f>IF(AC113="deprecated","deprecated",IF(M113="yes","active",IF(M113="review","review_required","backlog")))</x:f>
        <x:v>backlog</x:v>
      </x:c>
      <x:c r="AF113" s="12" t="str">
        <x:f>IF(OR(AE113="active",AE113="review_required"),"yes","no")</x:f>
        <x:v>no</x:v>
      </x:c>
      <x:c r="AG113" s="12" t="str">
        <x:f>IF(AND(AE113="active",M113="yes",NOT(ISNUMBER(SEARCH("healthy",AB113)))),"yes","no")</x:f>
        <x:v>no</x:v>
      </x:c>
      <x:c r="AH113" s="12" t="str">
        <x:f>IF(OR(H113="contextual",H113="dialogue",H113="discourse",I113="claim+context",I113="discourse_segment"),"yes","no")</x:f>
        <x:v>no</x:v>
      </x:c>
      <x:c r="AI113" s="12" t="str">
        <x:f>IF(OR(AH113="yes",AD113="debated",AC113="operational"),"yes","no")</x:f>
        <x:v>yes</x:v>
      </x:c>
      <x:c r="AJ113" s="12" t="str">
        <x:f>IF(OR(AH113="yes",AC113="operational",AD113="debated"),"high",IF(AND(AG113="yes",L113="P0"),"medium","low"))</x:f>
        <x:v>high</x:v>
      </x:c>
      <x:c r="AK113" s="12" t="str">
        <x:f>IF(ISNUMBER(SEARCH("healthy",AB113)),"yes","no")</x:f>
        <x:v>no</x:v>
      </x:c>
      <x:c r="AL113" s="12" t="str">
        <x:f>IF(AG113="yes","yes","candidate_only")</x:f>
        <x:v>candidate_only</x:v>
      </x:c>
      <x:c r="AM113" s="12" t="str">
        <x:f>IF(OR(AC113="canonical",AG113="yes"),"yes","recommended")</x:f>
        <x:v>recommended</x:v>
      </x:c>
      <x:c r="AN113" s="12" t="str">
        <x:f>IF(AC113="deprecated","exclude",IF(AND(AG113="yes",AJ113="high"),"import_but_human_review_required",IF(AG113="yes","import_as_active","import_as_backlog")))</x:f>
        <x:v>import_as_backlog</x:v>
      </x:c>
      <x:c r="AO113" s="12" t="str">
        <x:f>IF(AND(AG113="yes",OR(P113="",Q113="",R113="",S113="")),"missing_required_mvp_fields",IF(AND(AC113="canonical",Y113=""),"missing_source_ref","ok"))</x:f>
        <x:v>ok</x:v>
      </x:c>
      <x:c r="AP113" s="12" t="str">
        <x:f>IF(AO113="ok","ready_for_codex_import","needs_review")</x:f>
        <x:v>ready_for_codex_import</x:v>
      </x:c>
      <x:c r="AQ113" s="12"/>
      <x:c r="AR113" s="12" t="str">
        <x:v>Added v2 operational fields. Review before classification activation.</x:v>
      </x:c>
    </x:row>
    <x:row r="114">
      <x:c r="A114" s="13" t="str">
        <x:v>division_fallacy_implicit_premise</x:v>
      </x:c>
      <x:c r="B114" s="13" t="str">
        <x:v>division_fallacy</x:v>
      </x:c>
      <x:c r="C114" s="13" t="str">
        <x:v>Division</x:v>
      </x:c>
      <x:c r="D114" s="13" t="str">
        <x:v>مغالطه تقسیم</x:v>
      </x:c>
      <x:c r="E114" s="13" t="str">
        <x:v>Implicit-premise variant</x:v>
      </x:c>
      <x:c r="F114" s="13" t="str">
        <x:v>reasoning_failures</x:v>
      </x:c>
      <x:c r="G114" s="13" t="str">
        <x:v>operational_variant</x:v>
      </x:c>
      <x:c r="H114" s="13" t="str">
        <x:v>structural</x:v>
      </x:c>
      <x:c r="I114" s="13" t="str">
        <x:v>claim</x:v>
      </x:c>
      <x:c r="J114" s="13" t="str">
        <x:v>derived_operational_subtype</x:v>
      </x:c>
      <x:c r="K114" s="13" t="str">
        <x:v>derived_from_established_parent_review_required</x:v>
      </x:c>
      <x:c r="L114" s="13" t="str">
        <x:v>P3</x:v>
      </x:c>
      <x:c r="M114" s="13" t="str">
        <x:v>no</x:v>
      </x:c>
      <x:c r="N114" s="13" t="str">
        <x:v>Operational subtype under Division: a crucial premise is implied rather than stated. Parent definition: Inferring that parts have a property because the whole has it.</x:v>
      </x:c>
      <x:c r="O114" s="13" t="str">
        <x:v>Look for: explicit claim-level evidence; parent-family cues for Division; variant cue: a crucial premise is implied rather than stated; avoid author-level inference.</x:v>
      </x:c>
      <x:c r="P114" s="13" t="str">
        <x:v>Exact evidence span in text plus claim-level reasoning link; for contextual/discourse entries, require surrounding context.</x:v>
      </x:c>
      <x:c r="Q114" s="13" t="str">
        <x:v>Do not label merely because topic is controversial, emotional, or wrong. Do not judge intent or personality. Require textual evidence and consider healthy-reasoning cues.</x:v>
      </x:c>
      <x:c r="R114" s="13" t="str">
        <x:v>Stub: A claim relies on a crucial premise is implied rather than stated to support a conclusion without adequate qualification.</x:v>
      </x:c>
      <x:c r="S114" s="13" t="str">
        <x:v>Stub: A claim discusses division with caveats, balanced evidence, or no argumentative use of the pattern.</x:v>
      </x:c>
      <x:c r="T114" s="13" t="str">
        <x:v>Mild or ambiguous cue; do not classify without clear evidence span.</x:v>
      </x:c>
      <x:c r="U114" s="13" t="str">
        <x:v>Clear claim-level pattern with some argumentative impact.</x:v>
      </x:c>
      <x:c r="V114" s="13" t="str">
        <x:v>Strong pattern central to the conclusion and likely to materially distort reasoning.</x:v>
      </x:c>
      <x:c r="W114" s="13" t="str"/>
      <x:c r="X114" s="13" t="str">
        <x:v>sep_fallacies</x:v>
      </x:c>
      <x:c r="Y114" s="13" t="str">
        <x:v>https://plato.stanford.edu/entries/fallacies/</x:v>
      </x:c>
      <x:c r="Z114" s="13" t="str">
        <x:v>Review before enabling. This workbook is a living taxonomy scaffold, not a validated scientific benchmark.</x:v>
      </x:c>
      <x:c r="AA114" s="13" t="str">
        <x:v>0.1.0-draft</x:v>
      </x:c>
      <x:c r="AB114" s="12" t="str">
        <x:f>IF(ISNUMBER(SEARCH("healthy",F114)),"healthy_reasoning_patterns",IF(ISNUMBER(SEARCH("statistical",F114)),"statistical_reasoning",IF(ISNUMBER(SEARCH("causal",F114)),"causal_reasoning",IF(ISNUMBER(SEARCH("social",F114)),"social_influence",IF(ISNUMBER(SEARCH("rhetoric",F114)),"rhetoric_discourse",IF(ISNUMBER(SEARCH("behavior",F114)),"behavioural_economics",IF(ISNUMBER(SEARCH("cognitive",F114)),"cognitive_biases",IF(J114="protective_pattern","healthy_reasoning_patterns",IF(L114="P0","core_mvp","extended_fallacies")))))))))</x:f>
        <x:v>extended_fallacies</x:v>
      </x:c>
      <x:c r="AC114" s="12" t="str">
        <x:f>IF(ISNUMBER(SEARCH("operational",J114)),"operational",IF(ISNUMBER(SEARCH("deprecated",J114)),"deprecated",IF(L114="P0","canonical","recognized_subtype")))</x:f>
        <x:v>operational</x:v>
      </x:c>
      <x:c r="AD114" s="12" t="str">
        <x:f>IF(AC114="canonical","high",IF(AC114="recognized_subtype","medium",IF(AC114="operational","operational_only","debated")))</x:f>
        <x:v>operational_only</x:v>
      </x:c>
      <x:c r="AE114" s="12" t="str">
        <x:f>IF(AC114="deprecated","deprecated",IF(M114="yes","active",IF(M114="review","review_required","backlog")))</x:f>
        <x:v>backlog</x:v>
      </x:c>
      <x:c r="AF114" s="12" t="str">
        <x:f>IF(OR(AE114="active",AE114="review_required"),"yes","no")</x:f>
        <x:v>no</x:v>
      </x:c>
      <x:c r="AG114" s="12" t="str">
        <x:f>IF(AND(AE114="active",M114="yes",NOT(ISNUMBER(SEARCH("healthy",AB114)))),"yes","no")</x:f>
        <x:v>no</x:v>
      </x:c>
      <x:c r="AH114" s="12" t="str">
        <x:f>IF(OR(H114="contextual",H114="dialogue",H114="discourse",I114="claim+context",I114="discourse_segment"),"yes","no")</x:f>
        <x:v>no</x:v>
      </x:c>
      <x:c r="AI114" s="12" t="str">
        <x:f>IF(OR(AH114="yes",AD114="debated",AC114="operational"),"yes","no")</x:f>
        <x:v>yes</x:v>
      </x:c>
      <x:c r="AJ114" s="12" t="str">
        <x:f>IF(OR(AH114="yes",AC114="operational",AD114="debated"),"high",IF(AND(AG114="yes",L114="P0"),"medium","low"))</x:f>
        <x:v>high</x:v>
      </x:c>
      <x:c r="AK114" s="12" t="str">
        <x:f>IF(ISNUMBER(SEARCH("healthy",AB114)),"yes","no")</x:f>
        <x:v>no</x:v>
      </x:c>
      <x:c r="AL114" s="12" t="str">
        <x:f>IF(AG114="yes","yes","candidate_only")</x:f>
        <x:v>candidate_only</x:v>
      </x:c>
      <x:c r="AM114" s="12" t="str">
        <x:f>IF(OR(AC114="canonical",AG114="yes"),"yes","recommended")</x:f>
        <x:v>recommended</x:v>
      </x:c>
      <x:c r="AN114" s="12" t="str">
        <x:f>IF(AC114="deprecated","exclude",IF(AND(AG114="yes",AJ114="high"),"import_but_human_review_required",IF(AG114="yes","import_as_active","import_as_backlog")))</x:f>
        <x:v>import_as_backlog</x:v>
      </x:c>
      <x:c r="AO114" s="12" t="str">
        <x:f>IF(AND(AG114="yes",OR(P114="",Q114="",R114="",S114="")),"missing_required_mvp_fields",IF(AND(AC114="canonical",Y114=""),"missing_source_ref","ok"))</x:f>
        <x:v>ok</x:v>
      </x:c>
      <x:c r="AP114" s="12" t="str">
        <x:f>IF(AO114="ok","ready_for_codex_import","needs_review")</x:f>
        <x:v>ready_for_codex_import</x:v>
      </x:c>
      <x:c r="AQ114" s="12"/>
      <x:c r="AR114" s="12" t="str">
        <x:v>Added v2 operational fields. Review before classification activation.</x:v>
      </x:c>
    </x:row>
    <x:row r="115">
      <x:c r="A115" s="13" t="str">
        <x:v>equivocation_implicit_premise</x:v>
      </x:c>
      <x:c r="B115" s="13" t="str">
        <x:v>equivocation</x:v>
      </x:c>
      <x:c r="C115" s="13" t="str">
        <x:v>Equivocation</x:v>
      </x:c>
      <x:c r="D115" s="13" t="str">
        <x:v>اشتراک لفظی</x:v>
      </x:c>
      <x:c r="E115" s="13" t="str">
        <x:v>Implicit-premise variant</x:v>
      </x:c>
      <x:c r="F115" s="13" t="str">
        <x:v>reasoning_failures</x:v>
      </x:c>
      <x:c r="G115" s="13" t="str">
        <x:v>operational_variant</x:v>
      </x:c>
      <x:c r="H115" s="13" t="str">
        <x:v>lexical</x:v>
      </x:c>
      <x:c r="I115" s="13" t="str">
        <x:v>claim</x:v>
      </x:c>
      <x:c r="J115" s="13" t="str">
        <x:v>derived_operational_subtype</x:v>
      </x:c>
      <x:c r="K115" s="13" t="str">
        <x:v>derived_from_established_parent_review_required</x:v>
      </x:c>
      <x:c r="L115" s="13" t="str">
        <x:v>P3</x:v>
      </x:c>
      <x:c r="M115" s="13" t="str">
        <x:v>no</x:v>
      </x:c>
      <x:c r="N115" s="13" t="str">
        <x:v>Operational subtype under Equivocation: a crucial premise is implied rather than stated. Parent definition: Using a key term in different senses within the same argument.</x:v>
      </x:c>
      <x:c r="O115" s="13" t="str">
        <x:v>Look for: explicit claim-level evidence; parent-family cues for Equivocation; variant cue: a crucial premise is implied rather than stated; avoid author-level inference.</x:v>
      </x:c>
      <x:c r="P115" s="13" t="str">
        <x:v>Exact evidence span in text plus claim-level reasoning link; for contextual/discourse entries, require surrounding context.</x:v>
      </x:c>
      <x:c r="Q115" s="13" t="str">
        <x:v>Do not label merely because topic is controversial, emotional, or wrong. Do not judge intent or personality. Require textual evidence and consider healthy-reasoning cues.</x:v>
      </x:c>
      <x:c r="R115" s="13" t="str">
        <x:v>Stub: A claim relies on a crucial premise is implied rather than stated to support a conclusion without adequate qualification.</x:v>
      </x:c>
      <x:c r="S115" s="13" t="str">
        <x:v>Stub: A claim discusses equivocation with caveats, balanced evidence, or no argumentative use of the pattern.</x:v>
      </x:c>
      <x:c r="T115" s="13" t="str">
        <x:v>Mild or ambiguous cue; do not classify without clear evidence span.</x:v>
      </x:c>
      <x:c r="U115" s="13" t="str">
        <x:v>Clear claim-level pattern with some argumentative impact.</x:v>
      </x:c>
      <x:c r="V115" s="13" t="str">
        <x:v>Strong pattern central to the conclusion and likely to materially distort reasoning.</x:v>
      </x:c>
      <x:c r="W115" s="13" t="str"/>
      <x:c r="X115" s="13" t="str">
        <x:v>sep_fallacies</x:v>
      </x:c>
      <x:c r="Y115" s="13" t="str">
        <x:v>https://plato.stanford.edu/entries/fallacies/</x:v>
      </x:c>
      <x:c r="Z115" s="13" t="str">
        <x:v>Review before enabling. This workbook is a living taxonomy scaffold, not a validated scientific benchmark.</x:v>
      </x:c>
      <x:c r="AA115" s="13" t="str">
        <x:v>0.1.0-draft</x:v>
      </x:c>
      <x:c r="AB115" s="12" t="str">
        <x:f>IF(ISNUMBER(SEARCH("healthy",F115)),"healthy_reasoning_patterns",IF(ISNUMBER(SEARCH("statistical",F115)),"statistical_reasoning",IF(ISNUMBER(SEARCH("causal",F115)),"causal_reasoning",IF(ISNUMBER(SEARCH("social",F115)),"social_influence",IF(ISNUMBER(SEARCH("rhetoric",F115)),"rhetoric_discourse",IF(ISNUMBER(SEARCH("behavior",F115)),"behavioural_economics",IF(ISNUMBER(SEARCH("cognitive",F115)),"cognitive_biases",IF(J115="protective_pattern","healthy_reasoning_patterns",IF(L115="P0","core_mvp","extended_fallacies")))))))))</x:f>
        <x:v>extended_fallacies</x:v>
      </x:c>
      <x:c r="AC115" s="12" t="str">
        <x:f>IF(ISNUMBER(SEARCH("operational",J115)),"operational",IF(ISNUMBER(SEARCH("deprecated",J115)),"deprecated",IF(L115="P0","canonical","recognized_subtype")))</x:f>
        <x:v>operational</x:v>
      </x:c>
      <x:c r="AD115" s="12" t="str">
        <x:f>IF(AC115="canonical","high",IF(AC115="recognized_subtype","medium",IF(AC115="operational","operational_only","debated")))</x:f>
        <x:v>operational_only</x:v>
      </x:c>
      <x:c r="AE115" s="12" t="str">
        <x:f>IF(AC115="deprecated","deprecated",IF(M115="yes","active",IF(M115="review","review_required","backlog")))</x:f>
        <x:v>backlog</x:v>
      </x:c>
      <x:c r="AF115" s="12" t="str">
        <x:f>IF(OR(AE115="active",AE115="review_required"),"yes","no")</x:f>
        <x:v>no</x:v>
      </x:c>
      <x:c r="AG115" s="12" t="str">
        <x:f>IF(AND(AE115="active",M115="yes",NOT(ISNUMBER(SEARCH("healthy",AB115)))),"yes","no")</x:f>
        <x:v>no</x:v>
      </x:c>
      <x:c r="AH115" s="12" t="str">
        <x:f>IF(OR(H115="contextual",H115="dialogue",H115="discourse",I115="claim+context",I115="discourse_segment"),"yes","no")</x:f>
        <x:v>no</x:v>
      </x:c>
      <x:c r="AI115" s="12" t="str">
        <x:f>IF(OR(AH115="yes",AD115="debated",AC115="operational"),"yes","no")</x:f>
        <x:v>yes</x:v>
      </x:c>
      <x:c r="AJ115" s="12" t="str">
        <x:f>IF(OR(AH115="yes",AC115="operational",AD115="debated"),"high",IF(AND(AG115="yes",L115="P0"),"medium","low"))</x:f>
        <x:v>high</x:v>
      </x:c>
      <x:c r="AK115" s="12" t="str">
        <x:f>IF(ISNUMBER(SEARCH("healthy",AB115)),"yes","no")</x:f>
        <x:v>no</x:v>
      </x:c>
      <x:c r="AL115" s="12" t="str">
        <x:f>IF(AG115="yes","yes","candidate_only")</x:f>
        <x:v>candidate_only</x:v>
      </x:c>
      <x:c r="AM115" s="12" t="str">
        <x:f>IF(OR(AC115="canonical",AG115="yes"),"yes","recommended")</x:f>
        <x:v>recommended</x:v>
      </x:c>
      <x:c r="AN115" s="12" t="str">
        <x:f>IF(AC115="deprecated","exclude",IF(AND(AG115="yes",AJ115="high"),"import_but_human_review_required",IF(AG115="yes","import_as_active","import_as_backlog")))</x:f>
        <x:v>import_as_backlog</x:v>
      </x:c>
      <x:c r="AO115" s="12" t="str">
        <x:f>IF(AND(AG115="yes",OR(P115="",Q115="",R115="",S115="")),"missing_required_mvp_fields",IF(AND(AC115="canonical",Y115=""),"missing_source_ref","ok"))</x:f>
        <x:v>ok</x:v>
      </x:c>
      <x:c r="AP115" s="12" t="str">
        <x:f>IF(AO115="ok","ready_for_codex_import","needs_review")</x:f>
        <x:v>ready_for_codex_import</x:v>
      </x:c>
      <x:c r="AQ115" s="12"/>
      <x:c r="AR115" s="12" t="str">
        <x:v>Added v2 operational fields. Review before classification activation.</x:v>
      </x:c>
    </x:row>
    <x:row r="116">
      <x:c r="A116" s="13" t="str">
        <x:v>amphiboly_implicit_premise</x:v>
      </x:c>
      <x:c r="B116" s="13" t="str">
        <x:v>amphiboly</x:v>
      </x:c>
      <x:c r="C116" s="13" t="str">
        <x:v>Amphiboly</x:v>
      </x:c>
      <x:c r="D116" s="13" t="str">
        <x:v>ابهام نحوی</x:v>
      </x:c>
      <x:c r="E116" s="13" t="str">
        <x:v>Implicit-premise variant</x:v>
      </x:c>
      <x:c r="F116" s="13" t="str">
        <x:v>reasoning_failures</x:v>
      </x:c>
      <x:c r="G116" s="13" t="str">
        <x:v>operational_variant</x:v>
      </x:c>
      <x:c r="H116" s="13" t="str">
        <x:v>lexical</x:v>
      </x:c>
      <x:c r="I116" s="13" t="str">
        <x:v>claim</x:v>
      </x:c>
      <x:c r="J116" s="13" t="str">
        <x:v>derived_operational_subtype</x:v>
      </x:c>
      <x:c r="K116" s="13" t="str">
        <x:v>derived_from_established_parent_review_required</x:v>
      </x:c>
      <x:c r="L116" s="13" t="str">
        <x:v>P3</x:v>
      </x:c>
      <x:c r="M116" s="13" t="str">
        <x:v>no</x:v>
      </x:c>
      <x:c r="N116" s="13" t="str">
        <x:v>Operational subtype under Amphiboly: a crucial premise is implied rather than stated. Parent definition: Relying on syntactic ambiguity to support a conclusion.</x:v>
      </x:c>
      <x:c r="O116" s="13" t="str">
        <x:v>Look for: explicit claim-level evidence; parent-family cues for Amphiboly; variant cue: a crucial premise is implied rather than stated; avoid author-level inference.</x:v>
      </x:c>
      <x:c r="P116" s="13" t="str">
        <x:v>Exact evidence span in text plus claim-level reasoning link; for contextual/discourse entries, require surrounding context.</x:v>
      </x:c>
      <x:c r="Q116" s="13" t="str">
        <x:v>Do not label merely because topic is controversial, emotional, or wrong. Do not judge intent or personality. Require textual evidence and consider healthy-reasoning cues.</x:v>
      </x:c>
      <x:c r="R116" s="13" t="str">
        <x:v>Stub: A claim relies on a crucial premise is implied rather than stated to support a conclusion without adequate qualification.</x:v>
      </x:c>
      <x:c r="S116" s="13" t="str">
        <x:v>Stub: A claim discusses amphiboly with caveats, balanced evidence, or no argumentative use of the pattern.</x:v>
      </x:c>
      <x:c r="T116" s="13" t="str">
        <x:v>Mild or ambiguous cue; do not classify without clear evidence span.</x:v>
      </x:c>
      <x:c r="U116" s="13" t="str">
        <x:v>Clear claim-level pattern with some argumentative impact.</x:v>
      </x:c>
      <x:c r="V116" s="13" t="str">
        <x:v>Strong pattern central to the conclusion and likely to materially distort reasoning.</x:v>
      </x:c>
      <x:c r="W116" s="13" t="str"/>
      <x:c r="X116" s="13" t="str">
        <x:v>sep_fallacies</x:v>
      </x:c>
      <x:c r="Y116" s="13" t="str">
        <x:v>https://plato.stanford.edu/entries/fallacies/</x:v>
      </x:c>
      <x:c r="Z116" s="13" t="str">
        <x:v>Review before enabling. This workbook is a living taxonomy scaffold, not a validated scientific benchmark.</x:v>
      </x:c>
      <x:c r="AA116" s="13" t="str">
        <x:v>0.1.0-draft</x:v>
      </x:c>
      <x:c r="AB116" s="12" t="str">
        <x:f>IF(ISNUMBER(SEARCH("healthy",F116)),"healthy_reasoning_patterns",IF(ISNUMBER(SEARCH("statistical",F116)),"statistical_reasoning",IF(ISNUMBER(SEARCH("causal",F116)),"causal_reasoning",IF(ISNUMBER(SEARCH("social",F116)),"social_influence",IF(ISNUMBER(SEARCH("rhetoric",F116)),"rhetoric_discourse",IF(ISNUMBER(SEARCH("behavior",F116)),"behavioural_economics",IF(ISNUMBER(SEARCH("cognitive",F116)),"cognitive_biases",IF(J116="protective_pattern","healthy_reasoning_patterns",IF(L116="P0","core_mvp","extended_fallacies")))))))))</x:f>
        <x:v>extended_fallacies</x:v>
      </x:c>
      <x:c r="AC116" s="12" t="str">
        <x:f>IF(ISNUMBER(SEARCH("operational",J116)),"operational",IF(ISNUMBER(SEARCH("deprecated",J116)),"deprecated",IF(L116="P0","canonical","recognized_subtype")))</x:f>
        <x:v>operational</x:v>
      </x:c>
      <x:c r="AD116" s="12" t="str">
        <x:f>IF(AC116="canonical","high",IF(AC116="recognized_subtype","medium",IF(AC116="operational","operational_only","debated")))</x:f>
        <x:v>operational_only</x:v>
      </x:c>
      <x:c r="AE116" s="12" t="str">
        <x:f>IF(AC116="deprecated","deprecated",IF(M116="yes","active",IF(M116="review","review_required","backlog")))</x:f>
        <x:v>backlog</x:v>
      </x:c>
      <x:c r="AF116" s="12" t="str">
        <x:f>IF(OR(AE116="active",AE116="review_required"),"yes","no")</x:f>
        <x:v>no</x:v>
      </x:c>
      <x:c r="AG116" s="12" t="str">
        <x:f>IF(AND(AE116="active",M116="yes",NOT(ISNUMBER(SEARCH("healthy",AB116)))),"yes","no")</x:f>
        <x:v>no</x:v>
      </x:c>
      <x:c r="AH116" s="12" t="str">
        <x:f>IF(OR(H116="contextual",H116="dialogue",H116="discourse",I116="claim+context",I116="discourse_segment"),"yes","no")</x:f>
        <x:v>no</x:v>
      </x:c>
      <x:c r="AI116" s="12" t="str">
        <x:f>IF(OR(AH116="yes",AD116="debated",AC116="operational"),"yes","no")</x:f>
        <x:v>yes</x:v>
      </x:c>
      <x:c r="AJ116" s="12" t="str">
        <x:f>IF(OR(AH116="yes",AC116="operational",AD116="debated"),"high",IF(AND(AG116="yes",L116="P0"),"medium","low"))</x:f>
        <x:v>high</x:v>
      </x:c>
      <x:c r="AK116" s="12" t="str">
        <x:f>IF(ISNUMBER(SEARCH("healthy",AB116)),"yes","no")</x:f>
        <x:v>no</x:v>
      </x:c>
      <x:c r="AL116" s="12" t="str">
        <x:f>IF(AG116="yes","yes","candidate_only")</x:f>
        <x:v>candidate_only</x:v>
      </x:c>
      <x:c r="AM116" s="12" t="str">
        <x:f>IF(OR(AC116="canonical",AG116="yes"),"yes","recommended")</x:f>
        <x:v>recommended</x:v>
      </x:c>
      <x:c r="AN116" s="12" t="str">
        <x:f>IF(AC116="deprecated","exclude",IF(AND(AG116="yes",AJ116="high"),"import_but_human_review_required",IF(AG116="yes","import_as_active","import_as_backlog")))</x:f>
        <x:v>import_as_backlog</x:v>
      </x:c>
      <x:c r="AO116" s="12" t="str">
        <x:f>IF(AND(AG116="yes",OR(P116="",Q116="",R116="",S116="")),"missing_required_mvp_fields",IF(AND(AC116="canonical",Y116=""),"missing_source_ref","ok"))</x:f>
        <x:v>ok</x:v>
      </x:c>
      <x:c r="AP116" s="12" t="str">
        <x:f>IF(AO116="ok","ready_for_codex_import","needs_review")</x:f>
        <x:v>ready_for_codex_import</x:v>
      </x:c>
      <x:c r="AQ116" s="12"/>
      <x:c r="AR116" s="12" t="str">
        <x:v>Added v2 operational fields. Review before classification activation.</x:v>
      </x:c>
    </x:row>
    <x:row r="117">
      <x:c r="A117" s="13" t="str">
        <x:v>begging_the_question_implicit_premise</x:v>
      </x:c>
      <x:c r="B117" s="13" t="str">
        <x:v>begging_the_question</x:v>
      </x:c>
      <x:c r="C117" s="13" t="str">
        <x:v>Begging the question</x:v>
      </x:c>
      <x:c r="D117" s="13" t="str">
        <x:v>مصادره به مطلوب</x:v>
      </x:c>
      <x:c r="E117" s="13" t="str">
        <x:v>Implicit-premise variant</x:v>
      </x:c>
      <x:c r="F117" s="13" t="str">
        <x:v>reasoning_failures</x:v>
      </x:c>
      <x:c r="G117" s="13" t="str">
        <x:v>operational_variant</x:v>
      </x:c>
      <x:c r="H117" s="13" t="str">
        <x:v>structural</x:v>
      </x:c>
      <x:c r="I117" s="13" t="str">
        <x:v>claim</x:v>
      </x:c>
      <x:c r="J117" s="13" t="str">
        <x:v>derived_operational_subtype</x:v>
      </x:c>
      <x:c r="K117" s="13" t="str">
        <x:v>derived_from_established_parent_review_required</x:v>
      </x:c>
      <x:c r="L117" s="13" t="str">
        <x:v>P3</x:v>
      </x:c>
      <x:c r="M117" s="13" t="str">
        <x:v>no</x:v>
      </x:c>
      <x:c r="N117" s="13" t="str">
        <x:v>Operational subtype under Begging the question: a crucial premise is implied rather than stated. Parent definition: Assuming what the argument is meant to prove.</x:v>
      </x:c>
      <x:c r="O117" s="13" t="str">
        <x:v>Look for: explicit claim-level evidence; parent-family cues for Begging the question; variant cue: a crucial premise is implied rather than stated; avoid author-level inference.</x:v>
      </x:c>
      <x:c r="P117" s="13" t="str">
        <x:v>Exact evidence span in text plus claim-level reasoning link; for contextual/discourse entries, require surrounding context.</x:v>
      </x:c>
      <x:c r="Q117" s="13" t="str">
        <x:v>Do not label merely because topic is controversial, emotional, or wrong. Do not judge intent or personality. Require textual evidence and consider healthy-reasoning cues.</x:v>
      </x:c>
      <x:c r="R117" s="13" t="str">
        <x:v>Stub: A claim relies on a crucial premise is implied rather than stated to support a conclusion without adequate qualification.</x:v>
      </x:c>
      <x:c r="S117" s="13" t="str">
        <x:v>Stub: A claim discusses begging the question with caveats, balanced evidence, or no argumentative use of the pattern.</x:v>
      </x:c>
      <x:c r="T117" s="13" t="str">
        <x:v>Mild or ambiguous cue; do not classify without clear evidence span.</x:v>
      </x:c>
      <x:c r="U117" s="13" t="str">
        <x:v>Clear claim-level pattern with some argumentative impact.</x:v>
      </x:c>
      <x:c r="V117" s="13" t="str">
        <x:v>Strong pattern central to the conclusion and likely to materially distort reasoning.</x:v>
      </x:c>
      <x:c r="W117" s="13" t="str"/>
      <x:c r="X117" s="13" t="str">
        <x:v>sep_fallacies</x:v>
      </x:c>
      <x:c r="Y117" s="13" t="str">
        <x:v>https://plato.stanford.edu/entries/fallacies/</x:v>
      </x:c>
      <x:c r="Z117" s="13" t="str">
        <x:v>Review before enabling. This workbook is a living taxonomy scaffold, not a validated scientific benchmark.</x:v>
      </x:c>
      <x:c r="AA117" s="13" t="str">
        <x:v>0.1.0-draft</x:v>
      </x:c>
      <x:c r="AB117" s="12" t="str">
        <x:f>IF(ISNUMBER(SEARCH("healthy",F117)),"healthy_reasoning_patterns",IF(ISNUMBER(SEARCH("statistical",F117)),"statistical_reasoning",IF(ISNUMBER(SEARCH("causal",F117)),"causal_reasoning",IF(ISNUMBER(SEARCH("social",F117)),"social_influence",IF(ISNUMBER(SEARCH("rhetoric",F117)),"rhetoric_discourse",IF(ISNUMBER(SEARCH("behavior",F117)),"behavioural_economics",IF(ISNUMBER(SEARCH("cognitive",F117)),"cognitive_biases",IF(J117="protective_pattern","healthy_reasoning_patterns",IF(L117="P0","core_mvp","extended_fallacies")))))))))</x:f>
        <x:v>extended_fallacies</x:v>
      </x:c>
      <x:c r="AC117" s="12" t="str">
        <x:f>IF(ISNUMBER(SEARCH("operational",J117)),"operational",IF(ISNUMBER(SEARCH("deprecated",J117)),"deprecated",IF(L117="P0","canonical","recognized_subtype")))</x:f>
        <x:v>operational</x:v>
      </x:c>
      <x:c r="AD117" s="12" t="str">
        <x:f>IF(AC117="canonical","high",IF(AC117="recognized_subtype","medium",IF(AC117="operational","operational_only","debated")))</x:f>
        <x:v>operational_only</x:v>
      </x:c>
      <x:c r="AE117" s="12" t="str">
        <x:f>IF(AC117="deprecated","deprecated",IF(M117="yes","active",IF(M117="review","review_required","backlog")))</x:f>
        <x:v>backlog</x:v>
      </x:c>
      <x:c r="AF117" s="12" t="str">
        <x:f>IF(OR(AE117="active",AE117="review_required"),"yes","no")</x:f>
        <x:v>no</x:v>
      </x:c>
      <x:c r="AG117" s="12" t="str">
        <x:f>IF(AND(AE117="active",M117="yes",NOT(ISNUMBER(SEARCH("healthy",AB117)))),"yes","no")</x:f>
        <x:v>no</x:v>
      </x:c>
      <x:c r="AH117" s="12" t="str">
        <x:f>IF(OR(H117="contextual",H117="dialogue",H117="discourse",I117="claim+context",I117="discourse_segment"),"yes","no")</x:f>
        <x:v>no</x:v>
      </x:c>
      <x:c r="AI117" s="12" t="str">
        <x:f>IF(OR(AH117="yes",AD117="debated",AC117="operational"),"yes","no")</x:f>
        <x:v>yes</x:v>
      </x:c>
      <x:c r="AJ117" s="12" t="str">
        <x:f>IF(OR(AH117="yes",AC117="operational",AD117="debated"),"high",IF(AND(AG117="yes",L117="P0"),"medium","low"))</x:f>
        <x:v>high</x:v>
      </x:c>
      <x:c r="AK117" s="12" t="str">
        <x:f>IF(ISNUMBER(SEARCH("healthy",AB117)),"yes","no")</x:f>
        <x:v>no</x:v>
      </x:c>
      <x:c r="AL117" s="12" t="str">
        <x:f>IF(AG117="yes","yes","candidate_only")</x:f>
        <x:v>candidate_only</x:v>
      </x:c>
      <x:c r="AM117" s="12" t="str">
        <x:f>IF(OR(AC117="canonical",AG117="yes"),"yes","recommended")</x:f>
        <x:v>recommended</x:v>
      </x:c>
      <x:c r="AN117" s="12" t="str">
        <x:f>IF(AC117="deprecated","exclude",IF(AND(AG117="yes",AJ117="high"),"import_but_human_review_required",IF(AG117="yes","import_as_active","import_as_backlog")))</x:f>
        <x:v>import_as_backlog</x:v>
      </x:c>
      <x:c r="AO117" s="12" t="str">
        <x:f>IF(AND(AG117="yes",OR(P117="",Q117="",R117="",S117="")),"missing_required_mvp_fields",IF(AND(AC117="canonical",Y117=""),"missing_source_ref","ok"))</x:f>
        <x:v>ok</x:v>
      </x:c>
      <x:c r="AP117" s="12" t="str">
        <x:f>IF(AO117="ok","ready_for_codex_import","needs_review")</x:f>
        <x:v>ready_for_codex_import</x:v>
      </x:c>
      <x:c r="AQ117" s="12"/>
      <x:c r="AR117" s="12" t="str">
        <x:v>Added v2 operational fields. Review before classification activation.</x:v>
      </x:c>
    </x:row>
    <x:row r="118">
      <x:c r="A118" s="13" t="str">
        <x:v>circular_reasoning_implicit_premise</x:v>
      </x:c>
      <x:c r="B118" s="13" t="str">
        <x:v>circular_reasoning</x:v>
      </x:c>
      <x:c r="C118" s="13" t="str">
        <x:v>Circular reasoning</x:v>
      </x:c>
      <x:c r="D118" s="13" t="str">
        <x:v>استدلال دوری</x:v>
      </x:c>
      <x:c r="E118" s="13" t="str">
        <x:v>Implicit-premise variant</x:v>
      </x:c>
      <x:c r="F118" s="13" t="str">
        <x:v>reasoning_failures</x:v>
      </x:c>
      <x:c r="G118" s="13" t="str">
        <x:v>operational_variant</x:v>
      </x:c>
      <x:c r="H118" s="13" t="str">
        <x:v>structural</x:v>
      </x:c>
      <x:c r="I118" s="13" t="str">
        <x:v>claim</x:v>
      </x:c>
      <x:c r="J118" s="13" t="str">
        <x:v>derived_operational_subtype</x:v>
      </x:c>
      <x:c r="K118" s="13" t="str">
        <x:v>derived_from_established_parent_review_required</x:v>
      </x:c>
      <x:c r="L118" s="13" t="str">
        <x:v>P3</x:v>
      </x:c>
      <x:c r="M118" s="13" t="str">
        <x:v>no</x:v>
      </x:c>
      <x:c r="N118" s="13" t="str">
        <x:v>Operational subtype under Circular reasoning: a crucial premise is implied rather than stated. Parent definition: Using the conclusion, directly or indirectly, as support for itself.</x:v>
      </x:c>
      <x:c r="O118" s="13" t="str">
        <x:v>Look for: explicit claim-level evidence; parent-family cues for Circular reasoning; variant cue: a crucial premise is implied rather than stated; avoid author-level inference.</x:v>
      </x:c>
      <x:c r="P118" s="13" t="str">
        <x:v>Exact evidence span in text plus claim-level reasoning link; for contextual/discourse entries, require surrounding context.</x:v>
      </x:c>
      <x:c r="Q118" s="13" t="str">
        <x:v>Do not label merely because topic is controversial, emotional, or wrong. Do not judge intent or personality. Require textual evidence and consider healthy-reasoning cues.</x:v>
      </x:c>
      <x:c r="R118" s="13" t="str">
        <x:v>Stub: A claim relies on a crucial premise is implied rather than stated to support a conclusion without adequate qualification.</x:v>
      </x:c>
      <x:c r="S118" s="13" t="str">
        <x:v>Stub: A claim discusses circular reasoning with caveats, balanced evidence, or no argumentative use of the pattern.</x:v>
      </x:c>
      <x:c r="T118" s="13" t="str">
        <x:v>Mild or ambiguous cue; do not classify without clear evidence span.</x:v>
      </x:c>
      <x:c r="U118" s="13" t="str">
        <x:v>Clear claim-level pattern with some argumentative impact.</x:v>
      </x:c>
      <x:c r="V118" s="13" t="str">
        <x:v>Strong pattern central to the conclusion and likely to materially distort reasoning.</x:v>
      </x:c>
      <x:c r="W118" s="13" t="str"/>
      <x:c r="X118" s="13" t="str">
        <x:v>sep_fallacies</x:v>
      </x:c>
      <x:c r="Y118" s="13" t="str">
        <x:v>https://plato.stanford.edu/entries/fallacies/</x:v>
      </x:c>
      <x:c r="Z118" s="13" t="str">
        <x:v>Review before enabling. This workbook is a living taxonomy scaffold, not a validated scientific benchmark.</x:v>
      </x:c>
      <x:c r="AA118" s="13" t="str">
        <x:v>0.1.0-draft</x:v>
      </x:c>
      <x:c r="AB118" s="12" t="str">
        <x:f>IF(ISNUMBER(SEARCH("healthy",F118)),"healthy_reasoning_patterns",IF(ISNUMBER(SEARCH("statistical",F118)),"statistical_reasoning",IF(ISNUMBER(SEARCH("causal",F118)),"causal_reasoning",IF(ISNUMBER(SEARCH("social",F118)),"social_influence",IF(ISNUMBER(SEARCH("rhetoric",F118)),"rhetoric_discourse",IF(ISNUMBER(SEARCH("behavior",F118)),"behavioural_economics",IF(ISNUMBER(SEARCH("cognitive",F118)),"cognitive_biases",IF(J118="protective_pattern","healthy_reasoning_patterns",IF(L118="P0","core_mvp","extended_fallacies")))))))))</x:f>
        <x:v>extended_fallacies</x:v>
      </x:c>
      <x:c r="AC118" s="12" t="str">
        <x:f>IF(ISNUMBER(SEARCH("operational",J118)),"operational",IF(ISNUMBER(SEARCH("deprecated",J118)),"deprecated",IF(L118="P0","canonical","recognized_subtype")))</x:f>
        <x:v>operational</x:v>
      </x:c>
      <x:c r="AD118" s="12" t="str">
        <x:f>IF(AC118="canonical","high",IF(AC118="recognized_subtype","medium",IF(AC118="operational","operational_only","debated")))</x:f>
        <x:v>operational_only</x:v>
      </x:c>
      <x:c r="AE118" s="12" t="str">
        <x:f>IF(AC118="deprecated","deprecated",IF(M118="yes","active",IF(M118="review","review_required","backlog")))</x:f>
        <x:v>backlog</x:v>
      </x:c>
      <x:c r="AF118" s="12" t="str">
        <x:f>IF(OR(AE118="active",AE118="review_required"),"yes","no")</x:f>
        <x:v>no</x:v>
      </x:c>
      <x:c r="AG118" s="12" t="str">
        <x:f>IF(AND(AE118="active",M118="yes",NOT(ISNUMBER(SEARCH("healthy",AB118)))),"yes","no")</x:f>
        <x:v>no</x:v>
      </x:c>
      <x:c r="AH118" s="12" t="str">
        <x:f>IF(OR(H118="contextual",H118="dialogue",H118="discourse",I118="claim+context",I118="discourse_segment"),"yes","no")</x:f>
        <x:v>no</x:v>
      </x:c>
      <x:c r="AI118" s="12" t="str">
        <x:f>IF(OR(AH118="yes",AD118="debated",AC118="operational"),"yes","no")</x:f>
        <x:v>yes</x:v>
      </x:c>
      <x:c r="AJ118" s="12" t="str">
        <x:f>IF(OR(AH118="yes",AC118="operational",AD118="debated"),"high",IF(AND(AG118="yes",L118="P0"),"medium","low"))</x:f>
        <x:v>high</x:v>
      </x:c>
      <x:c r="AK118" s="12" t="str">
        <x:f>IF(ISNUMBER(SEARCH("healthy",AB118)),"yes","no")</x:f>
        <x:v>no</x:v>
      </x:c>
      <x:c r="AL118" s="12" t="str">
        <x:f>IF(AG118="yes","yes","candidate_only")</x:f>
        <x:v>candidate_only</x:v>
      </x:c>
      <x:c r="AM118" s="12" t="str">
        <x:f>IF(OR(AC118="canonical",AG118="yes"),"yes","recommended")</x:f>
        <x:v>recommended</x:v>
      </x:c>
      <x:c r="AN118" s="12" t="str">
        <x:f>IF(AC118="deprecated","exclude",IF(AND(AG118="yes",AJ118="high"),"import_but_human_review_required",IF(AG118="yes","import_as_active","import_as_backlog")))</x:f>
        <x:v>import_as_backlog</x:v>
      </x:c>
      <x:c r="AO118" s="12" t="str">
        <x:f>IF(AND(AG118="yes",OR(P118="",Q118="",R118="",S118="")),"missing_required_mvp_fields",IF(AND(AC118="canonical",Y118=""),"missing_source_ref","ok"))</x:f>
        <x:v>ok</x:v>
      </x:c>
      <x:c r="AP118" s="12" t="str">
        <x:f>IF(AO118="ok","ready_for_codex_import","needs_review")</x:f>
        <x:v>ready_for_codex_import</x:v>
      </x:c>
      <x:c r="AQ118" s="12"/>
      <x:c r="AR118" s="12" t="str">
        <x:v>Added v2 operational fields. Review before classification activation.</x:v>
      </x:c>
    </x:row>
    <x:row r="119">
      <x:c r="A119" s="13" t="str">
        <x:v>loaded_question_implicit_premise</x:v>
      </x:c>
      <x:c r="B119" s="13" t="str">
        <x:v>loaded_question</x:v>
      </x:c>
      <x:c r="C119" s="13" t="str">
        <x:v>Loaded question</x:v>
      </x:c>
      <x:c r="D119" s="13" t="str">
        <x:v>پرسش بارگذاری‌شده</x:v>
      </x:c>
      <x:c r="E119" s="13" t="str">
        <x:v>Implicit-premise variant</x:v>
      </x:c>
      <x:c r="F119" s="13" t="str">
        <x:v>reasoning_failures</x:v>
      </x:c>
      <x:c r="G119" s="13" t="str">
        <x:v>operational_variant</x:v>
      </x:c>
      <x:c r="H119" s="13" t="str">
        <x:v>structural</x:v>
      </x:c>
      <x:c r="I119" s="13" t="str">
        <x:v>claim</x:v>
      </x:c>
      <x:c r="J119" s="13" t="str">
        <x:v>derived_operational_subtype</x:v>
      </x:c>
      <x:c r="K119" s="13" t="str">
        <x:v>derived_from_established_parent_review_required</x:v>
      </x:c>
      <x:c r="L119" s="13" t="str">
        <x:v>P3</x:v>
      </x:c>
      <x:c r="M119" s="13" t="str">
        <x:v>no</x:v>
      </x:c>
      <x:c r="N119" s="13" t="str">
        <x:v>Operational subtype under Loaded question: a crucial premise is implied rather than stated. Parent definition: Asking a question that embeds a disputed presupposition.</x:v>
      </x:c>
      <x:c r="O119" s="13" t="str">
        <x:v>Look for: explicit claim-level evidence; parent-family cues for Loaded question; variant cue: a crucial premise is implied rather than stated; avoid author-level inference.</x:v>
      </x:c>
      <x:c r="P119" s="13" t="str">
        <x:v>Exact evidence span in text plus claim-level reasoning link; for contextual/discourse entries, require surrounding context.</x:v>
      </x:c>
      <x:c r="Q119" s="13" t="str">
        <x:v>Do not label merely because topic is controversial, emotional, or wrong. Do not judge intent or personality. Require textual evidence and consider healthy-reasoning cues.</x:v>
      </x:c>
      <x:c r="R119" s="13" t="str">
        <x:v>Stub: A claim relies on a crucial premise is implied rather than stated to support a conclusion without adequate qualification.</x:v>
      </x:c>
      <x:c r="S119" s="13" t="str">
        <x:v>Stub: A claim discusses loaded question with caveats, balanced evidence, or no argumentative use of the pattern.</x:v>
      </x:c>
      <x:c r="T119" s="13" t="str">
        <x:v>Mild or ambiguous cue; do not classify without clear evidence span.</x:v>
      </x:c>
      <x:c r="U119" s="13" t="str">
        <x:v>Clear claim-level pattern with some argumentative impact.</x:v>
      </x:c>
      <x:c r="V119" s="13" t="str">
        <x:v>Strong pattern central to the conclusion and likely to materially distort reasoning.</x:v>
      </x:c>
      <x:c r="W119" s="13" t="str"/>
      <x:c r="X119" s="13" t="str">
        <x:v>sep_fallacies</x:v>
      </x:c>
      <x:c r="Y119" s="13" t="str">
        <x:v>https://plato.stanford.edu/entries/fallacies/</x:v>
      </x:c>
      <x:c r="Z119" s="13" t="str">
        <x:v>Review before enabling. This workbook is a living taxonomy scaffold, not a validated scientific benchmark.</x:v>
      </x:c>
      <x:c r="AA119" s="13" t="str">
        <x:v>0.1.0-draft</x:v>
      </x:c>
      <x:c r="AB119" s="12" t="str">
        <x:f>IF(ISNUMBER(SEARCH("healthy",F119)),"healthy_reasoning_patterns",IF(ISNUMBER(SEARCH("statistical",F119)),"statistical_reasoning",IF(ISNUMBER(SEARCH("causal",F119)),"causal_reasoning",IF(ISNUMBER(SEARCH("social",F119)),"social_influence",IF(ISNUMBER(SEARCH("rhetoric",F119)),"rhetoric_discourse",IF(ISNUMBER(SEARCH("behavior",F119)),"behavioural_economics",IF(ISNUMBER(SEARCH("cognitive",F119)),"cognitive_biases",IF(J119="protective_pattern","healthy_reasoning_patterns",IF(L119="P0","core_mvp","extended_fallacies")))))))))</x:f>
        <x:v>extended_fallacies</x:v>
      </x:c>
      <x:c r="AC119" s="12" t="str">
        <x:f>IF(ISNUMBER(SEARCH("operational",J119)),"operational",IF(ISNUMBER(SEARCH("deprecated",J119)),"deprecated",IF(L119="P0","canonical","recognized_subtype")))</x:f>
        <x:v>operational</x:v>
      </x:c>
      <x:c r="AD119" s="12" t="str">
        <x:f>IF(AC119="canonical","high",IF(AC119="recognized_subtype","medium",IF(AC119="operational","operational_only","debated")))</x:f>
        <x:v>operational_only</x:v>
      </x:c>
      <x:c r="AE119" s="12" t="str">
        <x:f>IF(AC119="deprecated","deprecated",IF(M119="yes","active",IF(M119="review","review_required","backlog")))</x:f>
        <x:v>backlog</x:v>
      </x:c>
      <x:c r="AF119" s="12" t="str">
        <x:f>IF(OR(AE119="active",AE119="review_required"),"yes","no")</x:f>
        <x:v>no</x:v>
      </x:c>
      <x:c r="AG119" s="12" t="str">
        <x:f>IF(AND(AE119="active",M119="yes",NOT(ISNUMBER(SEARCH("healthy",AB119)))),"yes","no")</x:f>
        <x:v>no</x:v>
      </x:c>
      <x:c r="AH119" s="12" t="str">
        <x:f>IF(OR(H119="contextual",H119="dialogue",H119="discourse",I119="claim+context",I119="discourse_segment"),"yes","no")</x:f>
        <x:v>no</x:v>
      </x:c>
      <x:c r="AI119" s="12" t="str">
        <x:f>IF(OR(AH119="yes",AD119="debated",AC119="operational"),"yes","no")</x:f>
        <x:v>yes</x:v>
      </x:c>
      <x:c r="AJ119" s="12" t="str">
        <x:f>IF(OR(AH119="yes",AC119="operational",AD119="debated"),"high",IF(AND(AG119="yes",L119="P0"),"medium","low"))</x:f>
        <x:v>high</x:v>
      </x:c>
      <x:c r="AK119" s="12" t="str">
        <x:f>IF(ISNUMBER(SEARCH("healthy",AB119)),"yes","no")</x:f>
        <x:v>no</x:v>
      </x:c>
      <x:c r="AL119" s="12" t="str">
        <x:f>IF(AG119="yes","yes","candidate_only")</x:f>
        <x:v>candidate_only</x:v>
      </x:c>
      <x:c r="AM119" s="12" t="str">
        <x:f>IF(OR(AC119="canonical",AG119="yes"),"yes","recommended")</x:f>
        <x:v>recommended</x:v>
      </x:c>
      <x:c r="AN119" s="12" t="str">
        <x:f>IF(AC119="deprecated","exclude",IF(AND(AG119="yes",AJ119="high"),"import_but_human_review_required",IF(AG119="yes","import_as_active","import_as_backlog")))</x:f>
        <x:v>import_as_backlog</x:v>
      </x:c>
      <x:c r="AO119" s="12" t="str">
        <x:f>IF(AND(AG119="yes",OR(P119="",Q119="",R119="",S119="")),"missing_required_mvp_fields",IF(AND(AC119="canonical",Y119=""),"missing_source_ref","ok"))</x:f>
        <x:v>ok</x:v>
      </x:c>
      <x:c r="AP119" s="12" t="str">
        <x:f>IF(AO119="ok","ready_for_codex_import","needs_review")</x:f>
        <x:v>ready_for_codex_import</x:v>
      </x:c>
      <x:c r="AQ119" s="12"/>
      <x:c r="AR119" s="12" t="str">
        <x:v>Added v2 operational fields. Review before classification activation.</x:v>
      </x:c>
    </x:row>
    <x:row r="120">
      <x:c r="A120" s="13" t="str">
        <x:v>red_herring_implicit_premise</x:v>
      </x:c>
      <x:c r="B120" s="13" t="str">
        <x:v>red_herring</x:v>
      </x:c>
      <x:c r="C120" s="13" t="str">
        <x:v>Red herring</x:v>
      </x:c>
      <x:c r="D120" s="13" t="str">
        <x:v>انحراف بحث</x:v>
      </x:c>
      <x:c r="E120" s="13" t="str">
        <x:v>Implicit-premise variant</x:v>
      </x:c>
      <x:c r="F120" s="13" t="str">
        <x:v>reasoning_failures</x:v>
      </x:c>
      <x:c r="G120" s="13" t="str">
        <x:v>operational_variant</x:v>
      </x:c>
      <x:c r="H120" s="13" t="str">
        <x:v>dialogue</x:v>
      </x:c>
      <x:c r="I120" s="13" t="str">
        <x:v>discourse_segment</x:v>
      </x:c>
      <x:c r="J120" s="13" t="str">
        <x:v>derived_operational_subtype</x:v>
      </x:c>
      <x:c r="K120" s="13" t="str">
        <x:v>derived_from_established_parent_review_required</x:v>
      </x:c>
      <x:c r="L120" s="13" t="str">
        <x:v>P3</x:v>
      </x:c>
      <x:c r="M120" s="13" t="str">
        <x:v>no</x:v>
      </x:c>
      <x:c r="N120" s="13" t="str">
        <x:v>Operational subtype under Red herring: a crucial premise is implied rather than stated. Parent definition: Introducing irrelevant material that distracts from the issue.</x:v>
      </x:c>
      <x:c r="O120" s="13" t="str">
        <x:v>Look for: explicit claim-level evidence; parent-family cues for Red herring; variant cue: a crucial premise is implied rather than stated; avoid author-level inference.</x:v>
      </x:c>
      <x:c r="P120" s="13" t="str">
        <x:v>Exact evidence span in text plus claim-level reasoning link; for contextual/discourse entries, require surrounding context.</x:v>
      </x:c>
      <x:c r="Q120" s="13" t="str">
        <x:v>Do not label merely because topic is controversial, emotional, or wrong. Do not judge intent or personality. Require textual evidence and consider healthy-reasoning cues.</x:v>
      </x:c>
      <x:c r="R120" s="13" t="str">
        <x:v>Stub: A claim relies on a crucial premise is implied rather than stated to support a conclusion without adequate qualification.</x:v>
      </x:c>
      <x:c r="S120" s="13" t="str">
        <x:v>Stub: A claim discusses red herring with caveats, balanced evidence, or no argumentative use of the pattern.</x:v>
      </x:c>
      <x:c r="T120" s="13" t="str">
        <x:v>Mild or ambiguous cue; do not classify without clear evidence span.</x:v>
      </x:c>
      <x:c r="U120" s="13" t="str">
        <x:v>Clear claim-level pattern with some argumentative impact.</x:v>
      </x:c>
      <x:c r="V120" s="13" t="str">
        <x:v>Strong pattern central to the conclusion and likely to materially distort reasoning.</x:v>
      </x:c>
      <x:c r="W120" s="13" t="str"/>
      <x:c r="X120" s="13" t="str">
        <x:v>sep_fallacies</x:v>
      </x:c>
      <x:c r="Y120" s="13" t="str">
        <x:v>https://plato.stanford.edu/entries/fallacies/</x:v>
      </x:c>
      <x:c r="Z120" s="13" t="str">
        <x:v>Review before enabling. This workbook is a living taxonomy scaffold, not a validated scientific benchmark.</x:v>
      </x:c>
      <x:c r="AA120" s="13" t="str">
        <x:v>0.1.0-draft</x:v>
      </x:c>
      <x:c r="AB120" s="12" t="str">
        <x:f>IF(ISNUMBER(SEARCH("healthy",F120)),"healthy_reasoning_patterns",IF(ISNUMBER(SEARCH("statistical",F120)),"statistical_reasoning",IF(ISNUMBER(SEARCH("causal",F120)),"causal_reasoning",IF(ISNUMBER(SEARCH("social",F120)),"social_influence",IF(ISNUMBER(SEARCH("rhetoric",F120)),"rhetoric_discourse",IF(ISNUMBER(SEARCH("behavior",F120)),"behavioural_economics",IF(ISNUMBER(SEARCH("cognitive",F120)),"cognitive_biases",IF(J120="protective_pattern","healthy_reasoning_patterns",IF(L120="P0","core_mvp","extended_fallacies")))))))))</x:f>
        <x:v>extended_fallacies</x:v>
      </x:c>
      <x:c r="AC120" s="12" t="str">
        <x:f>IF(ISNUMBER(SEARCH("operational",J120)),"operational",IF(ISNUMBER(SEARCH("deprecated",J120)),"deprecated",IF(L120="P0","canonical","recognized_subtype")))</x:f>
        <x:v>operational</x:v>
      </x:c>
      <x:c r="AD120" s="12" t="str">
        <x:f>IF(AC120="canonical","high",IF(AC120="recognized_subtype","medium",IF(AC120="operational","operational_only","debated")))</x:f>
        <x:v>operational_only</x:v>
      </x:c>
      <x:c r="AE120" s="12" t="str">
        <x:f>IF(AC120="deprecated","deprecated",IF(M120="yes","active",IF(M120="review","review_required","backlog")))</x:f>
        <x:v>backlog</x:v>
      </x:c>
      <x:c r="AF120" s="12" t="str">
        <x:f>IF(OR(AE120="active",AE120="review_required"),"yes","no")</x:f>
        <x:v>no</x:v>
      </x:c>
      <x:c r="AG120" s="12" t="str">
        <x:f>IF(AND(AE120="active",M120="yes",NOT(ISNUMBER(SEARCH("healthy",AB120)))),"yes","no")</x:f>
        <x:v>no</x:v>
      </x:c>
      <x:c r="AH120" s="12" t="str">
        <x:f>IF(OR(H120="contextual",H120="dialogue",H120="discourse",I120="claim+context",I120="discourse_segment"),"yes","no")</x:f>
        <x:v>yes</x:v>
      </x:c>
      <x:c r="AI120" s="12" t="str">
        <x:f>IF(OR(AH120="yes",AD120="debated",AC120="operational"),"yes","no")</x:f>
        <x:v>yes</x:v>
      </x:c>
      <x:c r="AJ120" s="12" t="str">
        <x:f>IF(OR(AH120="yes",AC120="operational",AD120="debated"),"high",IF(AND(AG120="yes",L120="P0"),"medium","low"))</x:f>
        <x:v>high</x:v>
      </x:c>
      <x:c r="AK120" s="12" t="str">
        <x:f>IF(ISNUMBER(SEARCH("healthy",AB120)),"yes","no")</x:f>
        <x:v>no</x:v>
      </x:c>
      <x:c r="AL120" s="12" t="str">
        <x:f>IF(AG120="yes","yes","candidate_only")</x:f>
        <x:v>candidate_only</x:v>
      </x:c>
      <x:c r="AM120" s="12" t="str">
        <x:f>IF(OR(AC120="canonical",AG120="yes"),"yes","recommended")</x:f>
        <x:v>recommended</x:v>
      </x:c>
      <x:c r="AN120" s="12" t="str">
        <x:f>IF(AC120="deprecated","exclude",IF(AND(AG120="yes",AJ120="high"),"import_but_human_review_required",IF(AG120="yes","import_as_active","import_as_backlog")))</x:f>
        <x:v>import_as_backlog</x:v>
      </x:c>
      <x:c r="AO120" s="12" t="str">
        <x:f>IF(AND(AG120="yes",OR(P120="",Q120="",R120="",S120="")),"missing_required_mvp_fields",IF(AND(AC120="canonical",Y120=""),"missing_source_ref","ok"))</x:f>
        <x:v>ok</x:v>
      </x:c>
      <x:c r="AP120" s="12" t="str">
        <x:f>IF(AO120="ok","ready_for_codex_import","needs_review")</x:f>
        <x:v>ready_for_codex_import</x:v>
      </x:c>
      <x:c r="AQ120" s="12"/>
      <x:c r="AR120" s="12" t="str">
        <x:v>Added v2 operational fields. Review before classification activation.</x:v>
      </x:c>
    </x:row>
    <x:row r="121">
      <x:c r="A121" s="13" t="str">
        <x:v>ignoratio_elenchi_implicit_premise</x:v>
      </x:c>
      <x:c r="B121" s="13" t="str">
        <x:v>ignoratio_elenchi</x:v>
      </x:c>
      <x:c r="C121" s="13" t="str">
        <x:v>Irrelevant conclusion</x:v>
      </x:c>
      <x:c r="D121" s="13" t="str">
        <x:v>نتیجه نامربوط</x:v>
      </x:c>
      <x:c r="E121" s="13" t="str">
        <x:v>Implicit-premise variant</x:v>
      </x:c>
      <x:c r="F121" s="13" t="str">
        <x:v>reasoning_failures</x:v>
      </x:c>
      <x:c r="G121" s="13" t="str">
        <x:v>operational_variant</x:v>
      </x:c>
      <x:c r="H121" s="13" t="str">
        <x:v>structural</x:v>
      </x:c>
      <x:c r="I121" s="13" t="str">
        <x:v>claim</x:v>
      </x:c>
      <x:c r="J121" s="13" t="str">
        <x:v>derived_operational_subtype</x:v>
      </x:c>
      <x:c r="K121" s="13" t="str">
        <x:v>derived_from_established_parent_review_required</x:v>
      </x:c>
      <x:c r="L121" s="13" t="str">
        <x:v>P3</x:v>
      </x:c>
      <x:c r="M121" s="13" t="str">
        <x:v>no</x:v>
      </x:c>
      <x:c r="N121" s="13" t="str">
        <x:v>Operational subtype under Irrelevant conclusion: a crucial premise is implied rather than stated. Parent definition: Offering support for a conclusion different from the one at issue.</x:v>
      </x:c>
      <x:c r="O121" s="13" t="str">
        <x:v>Look for: explicit claim-level evidence; parent-family cues for Irrelevant conclusion; variant cue: a crucial premise is implied rather than stated; avoid author-level inference.</x:v>
      </x:c>
      <x:c r="P121" s="13" t="str">
        <x:v>Exact evidence span in text plus claim-level reasoning link; for contextual/discourse entries, require surrounding context.</x:v>
      </x:c>
      <x:c r="Q121" s="13" t="str">
        <x:v>Do not label merely because topic is controversial, emotional, or wrong. Do not judge intent or personality. Require textual evidence and consider healthy-reasoning cues.</x:v>
      </x:c>
      <x:c r="R121" s="13" t="str">
        <x:v>Stub: A claim relies on a crucial premise is implied rather than stated to support a conclusion without adequate qualification.</x:v>
      </x:c>
      <x:c r="S121" s="13" t="str">
        <x:v>Stub: A claim discusses irrelevant conclusion with caveats, balanced evidence, or no argumentative use of the pattern.</x:v>
      </x:c>
      <x:c r="T121" s="13" t="str">
        <x:v>Mild or ambiguous cue; do not classify without clear evidence span.</x:v>
      </x:c>
      <x:c r="U121" s="13" t="str">
        <x:v>Clear claim-level pattern with some argumentative impact.</x:v>
      </x:c>
      <x:c r="V121" s="13" t="str">
        <x:v>Strong pattern central to the conclusion and likely to materially distort reasoning.</x:v>
      </x:c>
      <x:c r="W121" s="13" t="str"/>
      <x:c r="X121" s="13" t="str">
        <x:v>sep_fallacies</x:v>
      </x:c>
      <x:c r="Y121" s="13" t="str">
        <x:v>https://plato.stanford.edu/entries/fallacies/</x:v>
      </x:c>
      <x:c r="Z121" s="13" t="str">
        <x:v>Review before enabling. This workbook is a living taxonomy scaffold, not a validated scientific benchmark.</x:v>
      </x:c>
      <x:c r="AA121" s="13" t="str">
        <x:v>0.1.0-draft</x:v>
      </x:c>
      <x:c r="AB121" s="12" t="str">
        <x:f>IF(ISNUMBER(SEARCH("healthy",F121)),"healthy_reasoning_patterns",IF(ISNUMBER(SEARCH("statistical",F121)),"statistical_reasoning",IF(ISNUMBER(SEARCH("causal",F121)),"causal_reasoning",IF(ISNUMBER(SEARCH("social",F121)),"social_influence",IF(ISNUMBER(SEARCH("rhetoric",F121)),"rhetoric_discourse",IF(ISNUMBER(SEARCH("behavior",F121)),"behavioural_economics",IF(ISNUMBER(SEARCH("cognitive",F121)),"cognitive_biases",IF(J121="protective_pattern","healthy_reasoning_patterns",IF(L121="P0","core_mvp","extended_fallacies")))))))))</x:f>
        <x:v>extended_fallacies</x:v>
      </x:c>
      <x:c r="AC121" s="12" t="str">
        <x:f>IF(ISNUMBER(SEARCH("operational",J121)),"operational",IF(ISNUMBER(SEARCH("deprecated",J121)),"deprecated",IF(L121="P0","canonical","recognized_subtype")))</x:f>
        <x:v>operational</x:v>
      </x:c>
      <x:c r="AD121" s="12" t="str">
        <x:f>IF(AC121="canonical","high",IF(AC121="recognized_subtype","medium",IF(AC121="operational","operational_only","debated")))</x:f>
        <x:v>operational_only</x:v>
      </x:c>
      <x:c r="AE121" s="12" t="str">
        <x:f>IF(AC121="deprecated","deprecated",IF(M121="yes","active",IF(M121="review","review_required","backlog")))</x:f>
        <x:v>backlog</x:v>
      </x:c>
      <x:c r="AF121" s="12" t="str">
        <x:f>IF(OR(AE121="active",AE121="review_required"),"yes","no")</x:f>
        <x:v>no</x:v>
      </x:c>
      <x:c r="AG121" s="12" t="str">
        <x:f>IF(AND(AE121="active",M121="yes",NOT(ISNUMBER(SEARCH("healthy",AB121)))),"yes","no")</x:f>
        <x:v>no</x:v>
      </x:c>
      <x:c r="AH121" s="12" t="str">
        <x:f>IF(OR(H121="contextual",H121="dialogue",H121="discourse",I121="claim+context",I121="discourse_segment"),"yes","no")</x:f>
        <x:v>no</x:v>
      </x:c>
      <x:c r="AI121" s="12" t="str">
        <x:f>IF(OR(AH121="yes",AD121="debated",AC121="operational"),"yes","no")</x:f>
        <x:v>yes</x:v>
      </x:c>
      <x:c r="AJ121" s="12" t="str">
        <x:f>IF(OR(AH121="yes",AC121="operational",AD121="debated"),"high",IF(AND(AG121="yes",L121="P0"),"medium","low"))</x:f>
        <x:v>high</x:v>
      </x:c>
      <x:c r="AK121" s="12" t="str">
        <x:f>IF(ISNUMBER(SEARCH("healthy",AB121)),"yes","no")</x:f>
        <x:v>no</x:v>
      </x:c>
      <x:c r="AL121" s="12" t="str">
        <x:f>IF(AG121="yes","yes","candidate_only")</x:f>
        <x:v>candidate_only</x:v>
      </x:c>
      <x:c r="AM121" s="12" t="str">
        <x:f>IF(OR(AC121="canonical",AG121="yes"),"yes","recommended")</x:f>
        <x:v>recommended</x:v>
      </x:c>
      <x:c r="AN121" s="12" t="str">
        <x:f>IF(AC121="deprecated","exclude",IF(AND(AG121="yes",AJ121="high"),"import_but_human_review_required",IF(AG121="yes","import_as_active","import_as_backlog")))</x:f>
        <x:v>import_as_backlog</x:v>
      </x:c>
      <x:c r="AO121" s="12" t="str">
        <x:f>IF(AND(AG121="yes",OR(P121="",Q121="",R121="",S121="")),"missing_required_mvp_fields",IF(AND(AC121="canonical",Y121=""),"missing_source_ref","ok"))</x:f>
        <x:v>ok</x:v>
      </x:c>
      <x:c r="AP121" s="12" t="str">
        <x:f>IF(AO121="ok","ready_for_codex_import","needs_review")</x:f>
        <x:v>ready_for_codex_import</x:v>
      </x:c>
      <x:c r="AQ121" s="12"/>
      <x:c r="AR121" s="12" t="str">
        <x:v>Added v2 operational fields. Review before classification activation.</x:v>
      </x:c>
    </x:row>
    <x:row r="122">
      <x:c r="A122" s="13" t="str">
        <x:v>moving_goalposts_implicit_premise</x:v>
      </x:c>
      <x:c r="B122" s="13" t="str">
        <x:v>moving_goalposts</x:v>
      </x:c>
      <x:c r="C122" s="13" t="str">
        <x:v>Moving the goalposts</x:v>
      </x:c>
      <x:c r="D122" s="13" t="str">
        <x:v>تغییر معیار پس از پاسخ</x:v>
      </x:c>
      <x:c r="E122" s="13" t="str">
        <x:v>Implicit-premise variant</x:v>
      </x:c>
      <x:c r="F122" s="13" t="str">
        <x:v>reasoning_failures</x:v>
      </x:c>
      <x:c r="G122" s="13" t="str">
        <x:v>operational_variant</x:v>
      </x:c>
      <x:c r="H122" s="13" t="str">
        <x:v>dialogue</x:v>
      </x:c>
      <x:c r="I122" s="13" t="str">
        <x:v>discourse_segment</x:v>
      </x:c>
      <x:c r="J122" s="13" t="str">
        <x:v>derived_operational_subtype</x:v>
      </x:c>
      <x:c r="K122" s="13" t="str">
        <x:v>derived_from_established_parent_review_required</x:v>
      </x:c>
      <x:c r="L122" s="13" t="str">
        <x:v>P3</x:v>
      </x:c>
      <x:c r="M122" s="13" t="str">
        <x:v>no</x:v>
      </x:c>
      <x:c r="N122" s="13" t="str">
        <x:v>Operational subtype under Moving the goalposts: a crucial premise is implied rather than stated. Parent definition: Changing acceptance criteria after evidence has been provided.</x:v>
      </x:c>
      <x:c r="O122" s="13" t="str">
        <x:v>Look for: explicit claim-level evidence; parent-family cues for Moving the goalposts; variant cue: a crucial premise is implied rather than stated; avoid author-level inference.</x:v>
      </x:c>
      <x:c r="P122" s="13" t="str">
        <x:v>Exact evidence span in text plus claim-level reasoning link; for contextual/discourse entries, require surrounding context.</x:v>
      </x:c>
      <x:c r="Q122" s="13" t="str">
        <x:v>Do not label merely because topic is controversial, emotional, or wrong. Do not judge intent or personality. Require textual evidence and consider healthy-reasoning cues.</x:v>
      </x:c>
      <x:c r="R122" s="13" t="str">
        <x:v>Stub: A claim relies on a crucial premise is implied rather than stated to support a conclusion without adequate qualification.</x:v>
      </x:c>
      <x:c r="S122" s="13" t="str">
        <x:v>Stub: A claim discusses moving the goalposts with caveats, balanced evidence, or no argumentative use of the pattern.</x:v>
      </x:c>
      <x:c r="T122" s="13" t="str">
        <x:v>Mild or ambiguous cue; do not classify without clear evidence span.</x:v>
      </x:c>
      <x:c r="U122" s="13" t="str">
        <x:v>Clear claim-level pattern with some argumentative impact.</x:v>
      </x:c>
      <x:c r="V122" s="13" t="str">
        <x:v>Strong pattern central to the conclusion and likely to materially distort reasoning.</x:v>
      </x:c>
      <x:c r="W122" s="13" t="str">
        <x:v>cherry_picking; missing_counterevidence; evidence_grading</x:v>
      </x:c>
      <x:c r="X122" s="13" t="str">
        <x:v>pragmadialectics</x:v>
      </x:c>
      <x:c r="Y122" s="13" t="str">
        <x:v>https://doi.org/10.1017/CBO9780511616389</x:v>
      </x:c>
      <x:c r="Z122" s="13" t="str">
        <x:v>Review before enabling. This workbook is a living taxonomy scaffold, not a validated scientific benchmark.</x:v>
      </x:c>
      <x:c r="AA122" s="13" t="str">
        <x:v>0.1.0-draft</x:v>
      </x:c>
      <x:c r="AB122" s="12" t="str">
        <x:f>IF(ISNUMBER(SEARCH("healthy",F122)),"healthy_reasoning_patterns",IF(ISNUMBER(SEARCH("statistical",F122)),"statistical_reasoning",IF(ISNUMBER(SEARCH("causal",F122)),"causal_reasoning",IF(ISNUMBER(SEARCH("social",F122)),"social_influence",IF(ISNUMBER(SEARCH("rhetoric",F122)),"rhetoric_discourse",IF(ISNUMBER(SEARCH("behavior",F122)),"behavioural_economics",IF(ISNUMBER(SEARCH("cognitive",F122)),"cognitive_biases",IF(J122="protective_pattern","healthy_reasoning_patterns",IF(L122="P0","core_mvp","extended_fallacies")))))))))</x:f>
        <x:v>extended_fallacies</x:v>
      </x:c>
      <x:c r="AC122" s="12" t="str">
        <x:f>IF(ISNUMBER(SEARCH("operational",J122)),"operational",IF(ISNUMBER(SEARCH("deprecated",J122)),"deprecated",IF(L122="P0","canonical","recognized_subtype")))</x:f>
        <x:v>operational</x:v>
      </x:c>
      <x:c r="AD122" s="12" t="str">
        <x:f>IF(AC122="canonical","high",IF(AC122="recognized_subtype","medium",IF(AC122="operational","operational_only","debated")))</x:f>
        <x:v>operational_only</x:v>
      </x:c>
      <x:c r="AE122" s="12" t="str">
        <x:f>IF(AC122="deprecated","deprecated",IF(M122="yes","active",IF(M122="review","review_required","backlog")))</x:f>
        <x:v>backlog</x:v>
      </x:c>
      <x:c r="AF122" s="12" t="str">
        <x:f>IF(OR(AE122="active",AE122="review_required"),"yes","no")</x:f>
        <x:v>no</x:v>
      </x:c>
      <x:c r="AG122" s="12" t="str">
        <x:f>IF(AND(AE122="active",M122="yes",NOT(ISNUMBER(SEARCH("healthy",AB122)))),"yes","no")</x:f>
        <x:v>no</x:v>
      </x:c>
      <x:c r="AH122" s="12" t="str">
        <x:f>IF(OR(H122="contextual",H122="dialogue",H122="discourse",I122="claim+context",I122="discourse_segment"),"yes","no")</x:f>
        <x:v>yes</x:v>
      </x:c>
      <x:c r="AI122" s="12" t="str">
        <x:f>IF(OR(AH122="yes",AD122="debated",AC122="operational"),"yes","no")</x:f>
        <x:v>yes</x:v>
      </x:c>
      <x:c r="AJ122" s="12" t="str">
        <x:f>IF(OR(AH122="yes",AC122="operational",AD122="debated"),"high",IF(AND(AG122="yes",L122="P0"),"medium","low"))</x:f>
        <x:v>high</x:v>
      </x:c>
      <x:c r="AK122" s="12" t="str">
        <x:f>IF(ISNUMBER(SEARCH("healthy",AB122)),"yes","no")</x:f>
        <x:v>no</x:v>
      </x:c>
      <x:c r="AL122" s="12" t="str">
        <x:f>IF(AG122="yes","yes","candidate_only")</x:f>
        <x:v>candidate_only</x:v>
      </x:c>
      <x:c r="AM122" s="12" t="str">
        <x:f>IF(OR(AC122="canonical",AG122="yes"),"yes","recommended")</x:f>
        <x:v>recommended</x:v>
      </x:c>
      <x:c r="AN122" s="12" t="str">
        <x:f>IF(AC122="deprecated","exclude",IF(AND(AG122="yes",AJ122="high"),"import_but_human_review_required",IF(AG122="yes","import_as_active","import_as_backlog")))</x:f>
        <x:v>import_as_backlog</x:v>
      </x:c>
      <x:c r="AO122" s="12" t="str">
        <x:f>IF(AND(AG122="yes",OR(P122="",Q122="",R122="",S122="")),"missing_required_mvp_fields",IF(AND(AC122="canonical",Y122=""),"missing_source_ref","ok"))</x:f>
        <x:v>ok</x:v>
      </x:c>
      <x:c r="AP122" s="12" t="str">
        <x:f>IF(AO122="ok","ready_for_codex_import","needs_review")</x:f>
        <x:v>ready_for_codex_import</x:v>
      </x:c>
      <x:c r="AQ122" s="12"/>
      <x:c r="AR122" s="12" t="str">
        <x:v>Added v2 operational fields. Review before classification activation.</x:v>
      </x:c>
    </x:row>
    <x:row r="123">
      <x:c r="A123" s="13" t="str">
        <x:v>no_true_scotsman_implicit_premise</x:v>
      </x:c>
      <x:c r="B123" s="13" t="str">
        <x:v>no_true_scotsman</x:v>
      </x:c>
      <x:c r="C123" s="13" t="str">
        <x:v>No true Scotsman</x:v>
      </x:c>
      <x:c r="D123" s="13" t="str">
        <x:v>اسکاتلندی واقعی نیست</x:v>
      </x:c>
      <x:c r="E123" s="13" t="str">
        <x:v>Implicit-premise variant</x:v>
      </x:c>
      <x:c r="F123" s="13" t="str">
        <x:v>reasoning_failures</x:v>
      </x:c>
      <x:c r="G123" s="13" t="str">
        <x:v>operational_variant</x:v>
      </x:c>
      <x:c r="H123" s="13" t="str">
        <x:v>dialogue</x:v>
      </x:c>
      <x:c r="I123" s="13" t="str">
        <x:v>discourse_segment</x:v>
      </x:c>
      <x:c r="J123" s="13" t="str">
        <x:v>derived_operational_subtype</x:v>
      </x:c>
      <x:c r="K123" s="13" t="str">
        <x:v>derived_from_established_parent_review_required</x:v>
      </x:c>
      <x:c r="L123" s="13" t="str">
        <x:v>P3</x:v>
      </x:c>
      <x:c r="M123" s="13" t="str">
        <x:v>no</x:v>
      </x:c>
      <x:c r="N123" s="13" t="str">
        <x:v>Operational subtype under No true Scotsman: a crucial premise is implied rather than stated. Parent definition: Protecting a generalization by redefining membership ad hoc.</x:v>
      </x:c>
      <x:c r="O123" s="13" t="str">
        <x:v>Look for: explicit claim-level evidence; parent-family cues for No true Scotsman; variant cue: a crucial premise is implied rather than stated; avoid author-level inference.</x:v>
      </x:c>
      <x:c r="P123" s="13" t="str">
        <x:v>Exact evidence span in text plus claim-level reasoning link; for contextual/discourse entries, require surrounding context.</x:v>
      </x:c>
      <x:c r="Q123" s="13" t="str">
        <x:v>Do not label merely because topic is controversial, emotional, or wrong. Do not judge intent or personality. Require textual evidence and consider healthy-reasoning cues.</x:v>
      </x:c>
      <x:c r="R123" s="13" t="str">
        <x:v>Stub: A claim relies on a crucial premise is implied rather than stated to support a conclusion without adequate qualification.</x:v>
      </x:c>
      <x:c r="S123" s="13" t="str">
        <x:v>Stub: A claim discusses no true scotsman with caveats, balanced evidence, or no argumentative use of the pattern.</x:v>
      </x:c>
      <x:c r="T123" s="13" t="str">
        <x:v>Mild or ambiguous cue; do not classify without clear evidence span.</x:v>
      </x:c>
      <x:c r="U123" s="13" t="str">
        <x:v>Clear claim-level pattern with some argumentative impact.</x:v>
      </x:c>
      <x:c r="V123" s="13" t="str">
        <x:v>Strong pattern central to the conclusion and likely to materially distort reasoning.</x:v>
      </x:c>
      <x:c r="W123" s="13" t="str"/>
      <x:c r="X123" s="13" t="str">
        <x:v>sep_fallacies</x:v>
      </x:c>
      <x:c r="Y123" s="13" t="str">
        <x:v>https://plato.stanford.edu/entries/fallacies/</x:v>
      </x:c>
      <x:c r="Z123" s="13" t="str">
        <x:v>Review before enabling. This workbook is a living taxonomy scaffold, not a validated scientific benchmark.</x:v>
      </x:c>
      <x:c r="AA123" s="13" t="str">
        <x:v>0.1.0-draft</x:v>
      </x:c>
      <x:c r="AB123" s="12" t="str">
        <x:f>IF(ISNUMBER(SEARCH("healthy",F123)),"healthy_reasoning_patterns",IF(ISNUMBER(SEARCH("statistical",F123)),"statistical_reasoning",IF(ISNUMBER(SEARCH("causal",F123)),"causal_reasoning",IF(ISNUMBER(SEARCH("social",F123)),"social_influence",IF(ISNUMBER(SEARCH("rhetoric",F123)),"rhetoric_discourse",IF(ISNUMBER(SEARCH("behavior",F123)),"behavioural_economics",IF(ISNUMBER(SEARCH("cognitive",F123)),"cognitive_biases",IF(J123="protective_pattern","healthy_reasoning_patterns",IF(L123="P0","core_mvp","extended_fallacies")))))))))</x:f>
        <x:v>extended_fallacies</x:v>
      </x:c>
      <x:c r="AC123" s="12" t="str">
        <x:f>IF(ISNUMBER(SEARCH("operational",J123)),"operational",IF(ISNUMBER(SEARCH("deprecated",J123)),"deprecated",IF(L123="P0","canonical","recognized_subtype")))</x:f>
        <x:v>operational</x:v>
      </x:c>
      <x:c r="AD123" s="12" t="str">
        <x:f>IF(AC123="canonical","high",IF(AC123="recognized_subtype","medium",IF(AC123="operational","operational_only","debated")))</x:f>
        <x:v>operational_only</x:v>
      </x:c>
      <x:c r="AE123" s="12" t="str">
        <x:f>IF(AC123="deprecated","deprecated",IF(M123="yes","active",IF(M123="review","review_required","backlog")))</x:f>
        <x:v>backlog</x:v>
      </x:c>
      <x:c r="AF123" s="12" t="str">
        <x:f>IF(OR(AE123="active",AE123="review_required"),"yes","no")</x:f>
        <x:v>no</x:v>
      </x:c>
      <x:c r="AG123" s="12" t="str">
        <x:f>IF(AND(AE123="active",M123="yes",NOT(ISNUMBER(SEARCH("healthy",AB123)))),"yes","no")</x:f>
        <x:v>no</x:v>
      </x:c>
      <x:c r="AH123" s="12" t="str">
        <x:f>IF(OR(H123="contextual",H123="dialogue",H123="discourse",I123="claim+context",I123="discourse_segment"),"yes","no")</x:f>
        <x:v>yes</x:v>
      </x:c>
      <x:c r="AI123" s="12" t="str">
        <x:f>IF(OR(AH123="yes",AD123="debated",AC123="operational"),"yes","no")</x:f>
        <x:v>yes</x:v>
      </x:c>
      <x:c r="AJ123" s="12" t="str">
        <x:f>IF(OR(AH123="yes",AC123="operational",AD123="debated"),"high",IF(AND(AG123="yes",L123="P0"),"medium","low"))</x:f>
        <x:v>high</x:v>
      </x:c>
      <x:c r="AK123" s="12" t="str">
        <x:f>IF(ISNUMBER(SEARCH("healthy",AB123)),"yes","no")</x:f>
        <x:v>no</x:v>
      </x:c>
      <x:c r="AL123" s="12" t="str">
        <x:f>IF(AG123="yes","yes","candidate_only")</x:f>
        <x:v>candidate_only</x:v>
      </x:c>
      <x:c r="AM123" s="12" t="str">
        <x:f>IF(OR(AC123="canonical",AG123="yes"),"yes","recommended")</x:f>
        <x:v>recommended</x:v>
      </x:c>
      <x:c r="AN123" s="12" t="str">
        <x:f>IF(AC123="deprecated","exclude",IF(AND(AG123="yes",AJ123="high"),"import_but_human_review_required",IF(AG123="yes","import_as_active","import_as_backlog")))</x:f>
        <x:v>import_as_backlog</x:v>
      </x:c>
      <x:c r="AO123" s="12" t="str">
        <x:f>IF(AND(AG123="yes",OR(P123="",Q123="",R123="",S123="")),"missing_required_mvp_fields",IF(AND(AC123="canonical",Y123=""),"missing_source_ref","ok"))</x:f>
        <x:v>ok</x:v>
      </x:c>
      <x:c r="AP123" s="12" t="str">
        <x:f>IF(AO123="ok","ready_for_codex_import","needs_review")</x:f>
        <x:v>ready_for_codex_import</x:v>
      </x:c>
      <x:c r="AQ123" s="12"/>
      <x:c r="AR123" s="12" t="str">
        <x:v>Added v2 operational fields. Review before classification activation.</x:v>
      </x:c>
    </x:row>
    <x:row r="124">
      <x:c r="A124" s="13" t="str">
        <x:v>special_pleading_implicit_premise</x:v>
      </x:c>
      <x:c r="B124" s="13" t="str">
        <x:v>special_pleading</x:v>
      </x:c>
      <x:c r="C124" s="13" t="str">
        <x:v>Special pleading</x:v>
      </x:c>
      <x:c r="D124" s="13" t="str">
        <x:v>استثناسازی ناموجه</x:v>
      </x:c>
      <x:c r="E124" s="13" t="str">
        <x:v>Implicit-premise variant</x:v>
      </x:c>
      <x:c r="F124" s="13" t="str">
        <x:v>reasoning_failures</x:v>
      </x:c>
      <x:c r="G124" s="13" t="str">
        <x:v>operational_variant</x:v>
      </x:c>
      <x:c r="H124" s="13" t="str">
        <x:v>dialogue</x:v>
      </x:c>
      <x:c r="I124" s="13" t="str">
        <x:v>discourse_segment</x:v>
      </x:c>
      <x:c r="J124" s="13" t="str">
        <x:v>derived_operational_subtype</x:v>
      </x:c>
      <x:c r="K124" s="13" t="str">
        <x:v>derived_from_established_parent_review_required</x:v>
      </x:c>
      <x:c r="L124" s="13" t="str">
        <x:v>P3</x:v>
      </x:c>
      <x:c r="M124" s="13" t="str">
        <x:v>no</x:v>
      </x:c>
      <x:c r="N124" s="13" t="str">
        <x:v>Operational subtype under Special pleading: a crucial premise is implied rather than stated. Parent definition: Applying standards inconsistently without relevant justification.</x:v>
      </x:c>
      <x:c r="O124" s="13" t="str">
        <x:v>Look for: explicit claim-level evidence; parent-family cues for Special pleading; variant cue: a crucial premise is implied rather than stated; avoid author-level inference.</x:v>
      </x:c>
      <x:c r="P124" s="13" t="str">
        <x:v>Exact evidence span in text plus claim-level reasoning link; for contextual/discourse entries, require surrounding context.</x:v>
      </x:c>
      <x:c r="Q124" s="13" t="str">
        <x:v>Do not label merely because topic is controversial, emotional, or wrong. Do not judge intent or personality. Require textual evidence and consider healthy-reasoning cues.</x:v>
      </x:c>
      <x:c r="R124" s="13" t="str">
        <x:v>Stub: A claim relies on a crucial premise is implied rather than stated to support a conclusion without adequate qualification.</x:v>
      </x:c>
      <x:c r="S124" s="13" t="str">
        <x:v>Stub: A claim discusses special pleading with caveats, balanced evidence, or no argumentative use of the pattern.</x:v>
      </x:c>
      <x:c r="T124" s="13" t="str">
        <x:v>Mild or ambiguous cue; do not classify without clear evidence span.</x:v>
      </x:c>
      <x:c r="U124" s="13" t="str">
        <x:v>Clear claim-level pattern with some argumentative impact.</x:v>
      </x:c>
      <x:c r="V124" s="13" t="str">
        <x:v>Strong pattern central to the conclusion and likely to materially distort reasoning.</x:v>
      </x:c>
      <x:c r="W124" s="13" t="str"/>
      <x:c r="X124" s="13" t="str">
        <x:v>sep_fallacies</x:v>
      </x:c>
      <x:c r="Y124" s="13" t="str">
        <x:v>https://plato.stanford.edu/entries/fallacies/</x:v>
      </x:c>
      <x:c r="Z124" s="13" t="str">
        <x:v>Review before enabling. This workbook is a living taxonomy scaffold, not a validated scientific benchmark.</x:v>
      </x:c>
      <x:c r="AA124" s="13" t="str">
        <x:v>0.1.0-draft</x:v>
      </x:c>
      <x:c r="AB124" s="12" t="str">
        <x:f>IF(ISNUMBER(SEARCH("healthy",F124)),"healthy_reasoning_patterns",IF(ISNUMBER(SEARCH("statistical",F124)),"statistical_reasoning",IF(ISNUMBER(SEARCH("causal",F124)),"causal_reasoning",IF(ISNUMBER(SEARCH("social",F124)),"social_influence",IF(ISNUMBER(SEARCH("rhetoric",F124)),"rhetoric_discourse",IF(ISNUMBER(SEARCH("behavior",F124)),"behavioural_economics",IF(ISNUMBER(SEARCH("cognitive",F124)),"cognitive_biases",IF(J124="protective_pattern","healthy_reasoning_patterns",IF(L124="P0","core_mvp","extended_fallacies")))))))))</x:f>
        <x:v>extended_fallacies</x:v>
      </x:c>
      <x:c r="AC124" s="12" t="str">
        <x:f>IF(ISNUMBER(SEARCH("operational",J124)),"operational",IF(ISNUMBER(SEARCH("deprecated",J124)),"deprecated",IF(L124="P0","canonical","recognized_subtype")))</x:f>
        <x:v>operational</x:v>
      </x:c>
      <x:c r="AD124" s="12" t="str">
        <x:f>IF(AC124="canonical","high",IF(AC124="recognized_subtype","medium",IF(AC124="operational","operational_only","debated")))</x:f>
        <x:v>operational_only</x:v>
      </x:c>
      <x:c r="AE124" s="12" t="str">
        <x:f>IF(AC124="deprecated","deprecated",IF(M124="yes","active",IF(M124="review","review_required","backlog")))</x:f>
        <x:v>backlog</x:v>
      </x:c>
      <x:c r="AF124" s="12" t="str">
        <x:f>IF(OR(AE124="active",AE124="review_required"),"yes","no")</x:f>
        <x:v>no</x:v>
      </x:c>
      <x:c r="AG124" s="12" t="str">
        <x:f>IF(AND(AE124="active",M124="yes",NOT(ISNUMBER(SEARCH("healthy",AB124)))),"yes","no")</x:f>
        <x:v>no</x:v>
      </x:c>
      <x:c r="AH124" s="12" t="str">
        <x:f>IF(OR(H124="contextual",H124="dialogue",H124="discourse",I124="claim+context",I124="discourse_segment"),"yes","no")</x:f>
        <x:v>yes</x:v>
      </x:c>
      <x:c r="AI124" s="12" t="str">
        <x:f>IF(OR(AH124="yes",AD124="debated",AC124="operational"),"yes","no")</x:f>
        <x:v>yes</x:v>
      </x:c>
      <x:c r="AJ124" s="12" t="str">
        <x:f>IF(OR(AH124="yes",AC124="operational",AD124="debated"),"high",IF(AND(AG124="yes",L124="P0"),"medium","low"))</x:f>
        <x:v>high</x:v>
      </x:c>
      <x:c r="AK124" s="12" t="str">
        <x:f>IF(ISNUMBER(SEARCH("healthy",AB124)),"yes","no")</x:f>
        <x:v>no</x:v>
      </x:c>
      <x:c r="AL124" s="12" t="str">
        <x:f>IF(AG124="yes","yes","candidate_only")</x:f>
        <x:v>candidate_only</x:v>
      </x:c>
      <x:c r="AM124" s="12" t="str">
        <x:f>IF(OR(AC124="canonical",AG124="yes"),"yes","recommended")</x:f>
        <x:v>recommended</x:v>
      </x:c>
      <x:c r="AN124" s="12" t="str">
        <x:f>IF(AC124="deprecated","exclude",IF(AND(AG124="yes",AJ124="high"),"import_but_human_review_required",IF(AG124="yes","import_as_active","import_as_backlog")))</x:f>
        <x:v>import_as_backlog</x:v>
      </x:c>
      <x:c r="AO124" s="12" t="str">
        <x:f>IF(AND(AG124="yes",OR(P124="",Q124="",R124="",S124="")),"missing_required_mvp_fields",IF(AND(AC124="canonical",Y124=""),"missing_source_ref","ok"))</x:f>
        <x:v>ok</x:v>
      </x:c>
      <x:c r="AP124" s="12" t="str">
        <x:f>IF(AO124="ok","ready_for_codex_import","needs_review")</x:f>
        <x:v>ready_for_codex_import</x:v>
      </x:c>
      <x:c r="AQ124" s="12"/>
      <x:c r="AR124" s="12" t="str">
        <x:v>Added v2 operational fields. Review before classification activation.</x:v>
      </x:c>
    </x:row>
    <x:row r="125">
      <x:c r="A125" s="13" t="str">
        <x:v>burden_of_proof_shift_implicit_premise</x:v>
      </x:c>
      <x:c r="B125" s="13" t="str">
        <x:v>burden_of_proof_shift</x:v>
      </x:c>
      <x:c r="C125" s="13" t="str">
        <x:v>Burden-of-proof shift</x:v>
      </x:c>
      <x:c r="D125" s="13" t="str">
        <x:v>جابجایی بار اثبات</x:v>
      </x:c>
      <x:c r="E125" s="13" t="str">
        <x:v>Implicit-premise variant</x:v>
      </x:c>
      <x:c r="F125" s="13" t="str">
        <x:v>reasoning_failures</x:v>
      </x:c>
      <x:c r="G125" s="13" t="str">
        <x:v>operational_variant</x:v>
      </x:c>
      <x:c r="H125" s="13" t="str">
        <x:v>dialogue</x:v>
      </x:c>
      <x:c r="I125" s="13" t="str">
        <x:v>discourse_segment</x:v>
      </x:c>
      <x:c r="J125" s="13" t="str">
        <x:v>derived_operational_subtype</x:v>
      </x:c>
      <x:c r="K125" s="13" t="str">
        <x:v>derived_from_established_parent_review_required</x:v>
      </x:c>
      <x:c r="L125" s="13" t="str">
        <x:v>P3</x:v>
      </x:c>
      <x:c r="M125" s="13" t="str">
        <x:v>no</x:v>
      </x:c>
      <x:c r="N125" s="13" t="str">
        <x:v>Operational subtype under Burden-of-proof shift: a crucial premise is implied rather than stated. Parent definition: Demanding disproof instead of supporting one's own claim.</x:v>
      </x:c>
      <x:c r="O125" s="13" t="str">
        <x:v>Look for: explicit claim-level evidence; parent-family cues for Burden-of-proof shift; variant cue: a crucial premise is implied rather than stated; avoid author-level inference.</x:v>
      </x:c>
      <x:c r="P125" s="13" t="str">
        <x:v>Exact evidence span in text plus claim-level reasoning link; for contextual/discourse entries, require surrounding context.</x:v>
      </x:c>
      <x:c r="Q125" s="13" t="str">
        <x:v>Do not label merely because topic is controversial, emotional, or wrong. Do not judge intent or personality. Require textual evidence and consider healthy-reasoning cues.</x:v>
      </x:c>
      <x:c r="R125" s="13" t="str">
        <x:v>Stub: A claim relies on a crucial premise is implied rather than stated to support a conclusion without adequate qualification.</x:v>
      </x:c>
      <x:c r="S125" s="13" t="str">
        <x:v>Stub: A claim discusses burden-of-proof shift with caveats, balanced evidence, or no argumentative use of the pattern.</x:v>
      </x:c>
      <x:c r="T125" s="13" t="str">
        <x:v>Mild or ambiguous cue; do not classify without clear evidence span.</x:v>
      </x:c>
      <x:c r="U125" s="13" t="str">
        <x:v>Clear claim-level pattern with some argumentative impact.</x:v>
      </x:c>
      <x:c r="V125" s="13" t="str">
        <x:v>Strong pattern central to the conclusion and likely to materially distort reasoning.</x:v>
      </x:c>
      <x:c r="W125" s="13" t="str"/>
      <x:c r="X125" s="13" t="str">
        <x:v>pragmadialectics</x:v>
      </x:c>
      <x:c r="Y125" s="13" t="str">
        <x:v>https://doi.org/10.1017/CBO9780511616389</x:v>
      </x:c>
      <x:c r="Z125" s="13" t="str">
        <x:v>Review before enabling. This workbook is a living taxonomy scaffold, not a validated scientific benchmark.</x:v>
      </x:c>
      <x:c r="AA125" s="13" t="str">
        <x:v>0.1.0-draft</x:v>
      </x:c>
      <x:c r="AB125" s="12" t="str">
        <x:f>IF(ISNUMBER(SEARCH("healthy",F125)),"healthy_reasoning_patterns",IF(ISNUMBER(SEARCH("statistical",F125)),"statistical_reasoning",IF(ISNUMBER(SEARCH("causal",F125)),"causal_reasoning",IF(ISNUMBER(SEARCH("social",F125)),"social_influence",IF(ISNUMBER(SEARCH("rhetoric",F125)),"rhetoric_discourse",IF(ISNUMBER(SEARCH("behavior",F125)),"behavioural_economics",IF(ISNUMBER(SEARCH("cognitive",F125)),"cognitive_biases",IF(J125="protective_pattern","healthy_reasoning_patterns",IF(L125="P0","core_mvp","extended_fallacies")))))))))</x:f>
        <x:v>extended_fallacies</x:v>
      </x:c>
      <x:c r="AC125" s="12" t="str">
        <x:f>IF(ISNUMBER(SEARCH("operational",J125)),"operational",IF(ISNUMBER(SEARCH("deprecated",J125)),"deprecated",IF(L125="P0","canonical","recognized_subtype")))</x:f>
        <x:v>operational</x:v>
      </x:c>
      <x:c r="AD125" s="12" t="str">
        <x:f>IF(AC125="canonical","high",IF(AC125="recognized_subtype","medium",IF(AC125="operational","operational_only","debated")))</x:f>
        <x:v>operational_only</x:v>
      </x:c>
      <x:c r="AE125" s="12" t="str">
        <x:f>IF(AC125="deprecated","deprecated",IF(M125="yes","active",IF(M125="review","review_required","backlog")))</x:f>
        <x:v>backlog</x:v>
      </x:c>
      <x:c r="AF125" s="12" t="str">
        <x:f>IF(OR(AE125="active",AE125="review_required"),"yes","no")</x:f>
        <x:v>no</x:v>
      </x:c>
      <x:c r="AG125" s="12" t="str">
        <x:f>IF(AND(AE125="active",M125="yes",NOT(ISNUMBER(SEARCH("healthy",AB125)))),"yes","no")</x:f>
        <x:v>no</x:v>
      </x:c>
      <x:c r="AH125" s="12" t="str">
        <x:f>IF(OR(H125="contextual",H125="dialogue",H125="discourse",I125="claim+context",I125="discourse_segment"),"yes","no")</x:f>
        <x:v>yes</x:v>
      </x:c>
      <x:c r="AI125" s="12" t="str">
        <x:f>IF(OR(AH125="yes",AD125="debated",AC125="operational"),"yes","no")</x:f>
        <x:v>yes</x:v>
      </x:c>
      <x:c r="AJ125" s="12" t="str">
        <x:f>IF(OR(AH125="yes",AC125="operational",AD125="debated"),"high",IF(AND(AG125="yes",L125="P0"),"medium","low"))</x:f>
        <x:v>high</x:v>
      </x:c>
      <x:c r="AK125" s="12" t="str">
        <x:f>IF(ISNUMBER(SEARCH("healthy",AB125)),"yes","no")</x:f>
        <x:v>no</x:v>
      </x:c>
      <x:c r="AL125" s="12" t="str">
        <x:f>IF(AG125="yes","yes","candidate_only")</x:f>
        <x:v>candidate_only</x:v>
      </x:c>
      <x:c r="AM125" s="12" t="str">
        <x:f>IF(OR(AC125="canonical",AG125="yes"),"yes","recommended")</x:f>
        <x:v>recommended</x:v>
      </x:c>
      <x:c r="AN125" s="12" t="str">
        <x:f>IF(AC125="deprecated","exclude",IF(AND(AG125="yes",AJ125="high"),"import_but_human_review_required",IF(AG125="yes","import_as_active","import_as_backlog")))</x:f>
        <x:v>import_as_backlog</x:v>
      </x:c>
      <x:c r="AO125" s="12" t="str">
        <x:f>IF(AND(AG125="yes",OR(P125="",Q125="",R125="",S125="")),"missing_required_mvp_fields",IF(AND(AC125="canonical",Y125=""),"missing_source_ref","ok"))</x:f>
        <x:v>ok</x:v>
      </x:c>
      <x:c r="AP125" s="12" t="str">
        <x:f>IF(AO125="ok","ready_for_codex_import","needs_review")</x:f>
        <x:v>ready_for_codex_import</x:v>
      </x:c>
      <x:c r="AQ125" s="12"/>
      <x:c r="AR125" s="12" t="str">
        <x:v>Added v2 operational fields. Review before classification activation.</x:v>
      </x:c>
    </x:row>
    <x:row r="126">
      <x:c r="A126" s="13" t="str">
        <x:v>appeal_to_ignorance_implicit_premise</x:v>
      </x:c>
      <x:c r="B126" s="13" t="str">
        <x:v>appeal_to_ignorance</x:v>
      </x:c>
      <x:c r="C126" s="13" t="str">
        <x:v>Appeal to ignorance</x:v>
      </x:c>
      <x:c r="D126" s="13" t="str">
        <x:v>استناد به نادانی</x:v>
      </x:c>
      <x:c r="E126" s="13" t="str">
        <x:v>Implicit-premise variant</x:v>
      </x:c>
      <x:c r="F126" s="13" t="str">
        <x:v>reasoning_failures</x:v>
      </x:c>
      <x:c r="G126" s="13" t="str">
        <x:v>operational_variant</x:v>
      </x:c>
      <x:c r="H126" s="13" t="str">
        <x:v>structural</x:v>
      </x:c>
      <x:c r="I126" s="13" t="str">
        <x:v>claim</x:v>
      </x:c>
      <x:c r="J126" s="13" t="str">
        <x:v>derived_operational_subtype</x:v>
      </x:c>
      <x:c r="K126" s="13" t="str">
        <x:v>derived_from_established_parent_review_required</x:v>
      </x:c>
      <x:c r="L126" s="13" t="str">
        <x:v>P3</x:v>
      </x:c>
      <x:c r="M126" s="13" t="str">
        <x:v>no</x:v>
      </x:c>
      <x:c r="N126" s="13" t="str">
        <x:v>Operational subtype under Appeal to ignorance: a crucial premise is implied rather than stated. Parent definition: Treating lack of disproof as proof or lack of proof as disproof.</x:v>
      </x:c>
      <x:c r="O126" s="13" t="str">
        <x:v>Look for: explicit claim-level evidence; parent-family cues for Appeal to ignorance; variant cue: a crucial premise is implied rather than stated; avoid author-level inference.</x:v>
      </x:c>
      <x:c r="P126" s="13" t="str">
        <x:v>Exact evidence span in text plus claim-level reasoning link; for contextual/discourse entries, require surrounding context.</x:v>
      </x:c>
      <x:c r="Q126" s="13" t="str">
        <x:v>Do not label merely because topic is controversial, emotional, or wrong. Do not judge intent or personality. Require textual evidence and consider healthy-reasoning cues.</x:v>
      </x:c>
      <x:c r="R126" s="13" t="str">
        <x:v>Stub: A claim relies on a crucial premise is implied rather than stated to support a conclusion without adequate qualification.</x:v>
      </x:c>
      <x:c r="S126" s="13" t="str">
        <x:v>Stub: A claim discusses appeal to ignorance with caveats, balanced evidence, or no argumentative use of the pattern.</x:v>
      </x:c>
      <x:c r="T126" s="13" t="str">
        <x:v>Mild or ambiguous cue; do not classify without clear evidence span.</x:v>
      </x:c>
      <x:c r="U126" s="13" t="str">
        <x:v>Clear claim-level pattern with some argumentative impact.</x:v>
      </x:c>
      <x:c r="V126" s="13" t="str">
        <x:v>Strong pattern central to the conclusion and likely to materially distort reasoning.</x:v>
      </x:c>
      <x:c r="W126" s="13" t="str"/>
      <x:c r="X126" s="13" t="str">
        <x:v>sep_fallacies</x:v>
      </x:c>
      <x:c r="Y126" s="13" t="str">
        <x:v>https://plato.stanford.edu/entries/fallacies/</x:v>
      </x:c>
      <x:c r="Z126" s="13" t="str">
        <x:v>Review before enabling. This workbook is a living taxonomy scaffold, not a validated scientific benchmark.</x:v>
      </x:c>
      <x:c r="AA126" s="13" t="str">
        <x:v>0.1.0-draft</x:v>
      </x:c>
      <x:c r="AB126" s="12" t="str">
        <x:f>IF(ISNUMBER(SEARCH("healthy",F126)),"healthy_reasoning_patterns",IF(ISNUMBER(SEARCH("statistical",F126)),"statistical_reasoning",IF(ISNUMBER(SEARCH("causal",F126)),"causal_reasoning",IF(ISNUMBER(SEARCH("social",F126)),"social_influence",IF(ISNUMBER(SEARCH("rhetoric",F126)),"rhetoric_discourse",IF(ISNUMBER(SEARCH("behavior",F126)),"behavioural_economics",IF(ISNUMBER(SEARCH("cognitive",F126)),"cognitive_biases",IF(J126="protective_pattern","healthy_reasoning_patterns",IF(L126="P0","core_mvp","extended_fallacies")))))))))</x:f>
        <x:v>extended_fallacies</x:v>
      </x:c>
      <x:c r="AC126" s="12" t="str">
        <x:f>IF(ISNUMBER(SEARCH("operational",J126)),"operational",IF(ISNUMBER(SEARCH("deprecated",J126)),"deprecated",IF(L126="P0","canonical","recognized_subtype")))</x:f>
        <x:v>operational</x:v>
      </x:c>
      <x:c r="AD126" s="12" t="str">
        <x:f>IF(AC126="canonical","high",IF(AC126="recognized_subtype","medium",IF(AC126="operational","operational_only","debated")))</x:f>
        <x:v>operational_only</x:v>
      </x:c>
      <x:c r="AE126" s="12" t="str">
        <x:f>IF(AC126="deprecated","deprecated",IF(M126="yes","active",IF(M126="review","review_required","backlog")))</x:f>
        <x:v>backlog</x:v>
      </x:c>
      <x:c r="AF126" s="12" t="str">
        <x:f>IF(OR(AE126="active",AE126="review_required"),"yes","no")</x:f>
        <x:v>no</x:v>
      </x:c>
      <x:c r="AG126" s="12" t="str">
        <x:f>IF(AND(AE126="active",M126="yes",NOT(ISNUMBER(SEARCH("healthy",AB126)))),"yes","no")</x:f>
        <x:v>no</x:v>
      </x:c>
      <x:c r="AH126" s="12" t="str">
        <x:f>IF(OR(H126="contextual",H126="dialogue",H126="discourse",I126="claim+context",I126="discourse_segment"),"yes","no")</x:f>
        <x:v>no</x:v>
      </x:c>
      <x:c r="AI126" s="12" t="str">
        <x:f>IF(OR(AH126="yes",AD126="debated",AC126="operational"),"yes","no")</x:f>
        <x:v>yes</x:v>
      </x:c>
      <x:c r="AJ126" s="12" t="str">
        <x:f>IF(OR(AH126="yes",AC126="operational",AD126="debated"),"high",IF(AND(AG126="yes",L126="P0"),"medium","low"))</x:f>
        <x:v>high</x:v>
      </x:c>
      <x:c r="AK126" s="12" t="str">
        <x:f>IF(ISNUMBER(SEARCH("healthy",AB126)),"yes","no")</x:f>
        <x:v>no</x:v>
      </x:c>
      <x:c r="AL126" s="12" t="str">
        <x:f>IF(AG126="yes","yes","candidate_only")</x:f>
        <x:v>candidate_only</x:v>
      </x:c>
      <x:c r="AM126" s="12" t="str">
        <x:f>IF(OR(AC126="canonical",AG126="yes"),"yes","recommended")</x:f>
        <x:v>recommended</x:v>
      </x:c>
      <x:c r="AN126" s="12" t="str">
        <x:f>IF(AC126="deprecated","exclude",IF(AND(AG126="yes",AJ126="high"),"import_but_human_review_required",IF(AG126="yes","import_as_active","import_as_backlog")))</x:f>
        <x:v>import_as_backlog</x:v>
      </x:c>
      <x:c r="AO126" s="12" t="str">
        <x:f>IF(AND(AG126="yes",OR(P126="",Q126="",R126="",S126="")),"missing_required_mvp_fields",IF(AND(AC126="canonical",Y126=""),"missing_source_ref","ok"))</x:f>
        <x:v>ok</x:v>
      </x:c>
      <x:c r="AP126" s="12" t="str">
        <x:f>IF(AO126="ok","ready_for_codex_import","needs_review")</x:f>
        <x:v>ready_for_codex_import</x:v>
      </x:c>
      <x:c r="AQ126" s="12"/>
      <x:c r="AR126" s="12" t="str">
        <x:v>Added v2 operational fields. Review before classification activation.</x:v>
      </x:c>
    </x:row>
    <x:row r="127">
      <x:c r="A127" s="13" t="str">
        <x:v>post_hoc_implicit_premise</x:v>
      </x:c>
      <x:c r="B127" s="13" t="str">
        <x:v>post_hoc</x:v>
      </x:c>
      <x:c r="C127" s="13" t="str">
        <x:v>Post hoc ergo propter hoc</x:v>
      </x:c>
      <x:c r="D127" s="13" t="str">
        <x:v>پس از آن، پس به علت آن</x:v>
      </x:c>
      <x:c r="E127" s="13" t="str">
        <x:v>Implicit-premise variant</x:v>
      </x:c>
      <x:c r="F127" s="13" t="str">
        <x:v>reasoning_failures</x:v>
      </x:c>
      <x:c r="G127" s="13" t="str">
        <x:v>operational_variant</x:v>
      </x:c>
      <x:c r="H127" s="13" t="str">
        <x:v>contextual</x:v>
      </x:c>
      <x:c r="I127" s="13" t="str">
        <x:v>claim+context</x:v>
      </x:c>
      <x:c r="J127" s="13" t="str">
        <x:v>derived_operational_subtype</x:v>
      </x:c>
      <x:c r="K127" s="13" t="str">
        <x:v>derived_from_established_parent_review_required</x:v>
      </x:c>
      <x:c r="L127" s="13" t="str">
        <x:v>P3</x:v>
      </x:c>
      <x:c r="M127" s="13" t="str">
        <x:v>no</x:v>
      </x:c>
      <x:c r="N127" s="13" t="str">
        <x:v>Operational subtype under Post hoc ergo propter hoc: a crucial premise is implied rather than stated. Parent definition: Inferring causation from temporal sequence alone.</x:v>
      </x:c>
      <x:c r="O127" s="13" t="str">
        <x:v>Look for: explicit claim-level evidence; parent-family cues for Post hoc ergo propter hoc; variant cue: a crucial premise is implied rather than stated; avoid author-level inference.</x:v>
      </x:c>
      <x:c r="P127" s="13" t="str">
        <x:v>Exact evidence span in text plus claim-level reasoning link; for contextual/discourse entries, require surrounding context.</x:v>
      </x:c>
      <x:c r="Q127" s="13" t="str">
        <x:v>Do not label merely because topic is controversial, emotional, or wrong. Do not judge intent or personality. Require textual evidence and consider healthy-reasoning cues.</x:v>
      </x:c>
      <x:c r="R127" s="13" t="str">
        <x:v>Stub: A claim relies on a crucial premise is implied rather than stated to support a conclusion without adequate qualification.</x:v>
      </x:c>
      <x:c r="S127" s="13" t="str">
        <x:v>Stub: A claim discusses post hoc ergo propter hoc with caveats, balanced evidence, or no argumentative use of the pattern.</x:v>
      </x:c>
      <x:c r="T127" s="13" t="str">
        <x:v>Mild or ambiguous cue; do not classify without clear evidence span.</x:v>
      </x:c>
      <x:c r="U127" s="13" t="str">
        <x:v>Clear claim-level pattern with some argumentative impact.</x:v>
      </x:c>
      <x:c r="V127" s="13" t="str">
        <x:v>Strong pattern central to the conclusion and likely to materially distort reasoning.</x:v>
      </x:c>
      <x:c r="W127" s="13" t="str"/>
      <x:c r="X127" s="13" t="str">
        <x:v>sep_fallacies</x:v>
      </x:c>
      <x:c r="Y127" s="13" t="str">
        <x:v>https://plato.stanford.edu/entries/fallacies/</x:v>
      </x:c>
      <x:c r="Z127" s="13" t="str">
        <x:v>Review before enabling. This workbook is a living taxonomy scaffold, not a validated scientific benchmark.</x:v>
      </x:c>
      <x:c r="AA127" s="13" t="str">
        <x:v>0.1.0-draft</x:v>
      </x:c>
      <x:c r="AB127" s="12" t="str">
        <x:f>IF(ISNUMBER(SEARCH("healthy",F127)),"healthy_reasoning_patterns",IF(ISNUMBER(SEARCH("statistical",F127)),"statistical_reasoning",IF(ISNUMBER(SEARCH("causal",F127)),"causal_reasoning",IF(ISNUMBER(SEARCH("social",F127)),"social_influence",IF(ISNUMBER(SEARCH("rhetoric",F127)),"rhetoric_discourse",IF(ISNUMBER(SEARCH("behavior",F127)),"behavioural_economics",IF(ISNUMBER(SEARCH("cognitive",F127)),"cognitive_biases",IF(J127="protective_pattern","healthy_reasoning_patterns",IF(L127="P0","core_mvp","extended_fallacies")))))))))</x:f>
        <x:v>extended_fallacies</x:v>
      </x:c>
      <x:c r="AC127" s="12" t="str">
        <x:f>IF(ISNUMBER(SEARCH("operational",J127)),"operational",IF(ISNUMBER(SEARCH("deprecated",J127)),"deprecated",IF(L127="P0","canonical","recognized_subtype")))</x:f>
        <x:v>operational</x:v>
      </x:c>
      <x:c r="AD127" s="12" t="str">
        <x:f>IF(AC127="canonical","high",IF(AC127="recognized_subtype","medium",IF(AC127="operational","operational_only","debated")))</x:f>
        <x:v>operational_only</x:v>
      </x:c>
      <x:c r="AE127" s="12" t="str">
        <x:f>IF(AC127="deprecated","deprecated",IF(M127="yes","active",IF(M127="review","review_required","backlog")))</x:f>
        <x:v>backlog</x:v>
      </x:c>
      <x:c r="AF127" s="12" t="str">
        <x:f>IF(OR(AE127="active",AE127="review_required"),"yes","no")</x:f>
        <x:v>no</x:v>
      </x:c>
      <x:c r="AG127" s="12" t="str">
        <x:f>IF(AND(AE127="active",M127="yes",NOT(ISNUMBER(SEARCH("healthy",AB127)))),"yes","no")</x:f>
        <x:v>no</x:v>
      </x:c>
      <x:c r="AH127" s="12" t="str">
        <x:f>IF(OR(H127="contextual",H127="dialogue",H127="discourse",I127="claim+context",I127="discourse_segment"),"yes","no")</x:f>
        <x:v>yes</x:v>
      </x:c>
      <x:c r="AI127" s="12" t="str">
        <x:f>IF(OR(AH127="yes",AD127="debated",AC127="operational"),"yes","no")</x:f>
        <x:v>yes</x:v>
      </x:c>
      <x:c r="AJ127" s="12" t="str">
        <x:f>IF(OR(AH127="yes",AC127="operational",AD127="debated"),"high",IF(AND(AG127="yes",L127="P0"),"medium","low"))</x:f>
        <x:v>high</x:v>
      </x:c>
      <x:c r="AK127" s="12" t="str">
        <x:f>IF(ISNUMBER(SEARCH("healthy",AB127)),"yes","no")</x:f>
        <x:v>no</x:v>
      </x:c>
      <x:c r="AL127" s="12" t="str">
        <x:f>IF(AG127="yes","yes","candidate_only")</x:f>
        <x:v>candidate_only</x:v>
      </x:c>
      <x:c r="AM127" s="12" t="str">
        <x:f>IF(OR(AC127="canonical",AG127="yes"),"yes","recommended")</x:f>
        <x:v>recommended</x:v>
      </x:c>
      <x:c r="AN127" s="12" t="str">
        <x:f>IF(AC127="deprecated","exclude",IF(AND(AG127="yes",AJ127="high"),"import_but_human_review_required",IF(AG127="yes","import_as_active","import_as_backlog")))</x:f>
        <x:v>import_as_backlog</x:v>
      </x:c>
      <x:c r="AO127" s="12" t="str">
        <x:f>IF(AND(AG127="yes",OR(P127="",Q127="",R127="",S127="")),"missing_required_mvp_fields",IF(AND(AC127="canonical",Y127=""),"missing_source_ref","ok"))</x:f>
        <x:v>ok</x:v>
      </x:c>
      <x:c r="AP127" s="12" t="str">
        <x:f>IF(AO127="ok","ready_for_codex_import","needs_review")</x:f>
        <x:v>ready_for_codex_import</x:v>
      </x:c>
      <x:c r="AQ127" s="12"/>
      <x:c r="AR127" s="12" t="str">
        <x:v>Added v2 operational fields. Review before classification activation.</x:v>
      </x:c>
    </x:row>
    <x:row r="128">
      <x:c r="A128" s="13" t="str">
        <x:v>cum_hoc_implicit_premise</x:v>
      </x:c>
      <x:c r="B128" s="13" t="str">
        <x:v>cum_hoc</x:v>
      </x:c>
      <x:c r="C128" s="13" t="str">
        <x:v>Cum hoc ergo propter hoc</x:v>
      </x:c>
      <x:c r="D128" s="13" t="str">
        <x:v>همزمانی به جای علیت</x:v>
      </x:c>
      <x:c r="E128" s="13" t="str">
        <x:v>Implicit-premise variant</x:v>
      </x:c>
      <x:c r="F128" s="13" t="str">
        <x:v>reasoning_failures</x:v>
      </x:c>
      <x:c r="G128" s="13" t="str">
        <x:v>operational_variant</x:v>
      </x:c>
      <x:c r="H128" s="13" t="str">
        <x:v>contextual</x:v>
      </x:c>
      <x:c r="I128" s="13" t="str">
        <x:v>claim+context</x:v>
      </x:c>
      <x:c r="J128" s="13" t="str">
        <x:v>derived_operational_subtype</x:v>
      </x:c>
      <x:c r="K128" s="13" t="str">
        <x:v>derived_from_established_parent_review_required</x:v>
      </x:c>
      <x:c r="L128" s="13" t="str">
        <x:v>P3</x:v>
      </x:c>
      <x:c r="M128" s="13" t="str">
        <x:v>no</x:v>
      </x:c>
      <x:c r="N128" s="13" t="str">
        <x:v>Operational subtype under Cum hoc ergo propter hoc: a crucial premise is implied rather than stated. Parent definition: Inferring causation from co-occurrence alone.</x:v>
      </x:c>
      <x:c r="O128" s="13" t="str">
        <x:v>Look for: explicit claim-level evidence; parent-family cues for Cum hoc ergo propter hoc; variant cue: a crucial premise is implied rather than stated; avoid author-level inference.</x:v>
      </x:c>
      <x:c r="P128" s="13" t="str">
        <x:v>Exact evidence span in text plus claim-level reasoning link; for contextual/discourse entries, require surrounding context.</x:v>
      </x:c>
      <x:c r="Q128" s="13" t="str">
        <x:v>Do not label merely because topic is controversial, emotional, or wrong. Do not judge intent or personality. Require textual evidence and consider healthy-reasoning cues.</x:v>
      </x:c>
      <x:c r="R128" s="13" t="str">
        <x:v>Stub: A claim relies on a crucial premise is implied rather than stated to support a conclusion without adequate qualification.</x:v>
      </x:c>
      <x:c r="S128" s="13" t="str">
        <x:v>Stub: A claim discusses cum hoc ergo propter hoc with caveats, balanced evidence, or no argumentative use of the pattern.</x:v>
      </x:c>
      <x:c r="T128" s="13" t="str">
        <x:v>Mild or ambiguous cue; do not classify without clear evidence span.</x:v>
      </x:c>
      <x:c r="U128" s="13" t="str">
        <x:v>Clear claim-level pattern with some argumentative impact.</x:v>
      </x:c>
      <x:c r="V128" s="13" t="str">
        <x:v>Strong pattern central to the conclusion and likely to materially distort reasoning.</x:v>
      </x:c>
      <x:c r="W128" s="13" t="str"/>
      <x:c r="X128" s="13" t="str">
        <x:v>sep_fallacies</x:v>
      </x:c>
      <x:c r="Y128" s="13" t="str">
        <x:v>https://plato.stanford.edu/entries/fallacies/</x:v>
      </x:c>
      <x:c r="Z128" s="13" t="str">
        <x:v>Review before enabling. This workbook is a living taxonomy scaffold, not a validated scientific benchmark.</x:v>
      </x:c>
      <x:c r="AA128" s="13" t="str">
        <x:v>0.1.0-draft</x:v>
      </x:c>
      <x:c r="AB128" s="12" t="str">
        <x:f>IF(ISNUMBER(SEARCH("healthy",F128)),"healthy_reasoning_patterns",IF(ISNUMBER(SEARCH("statistical",F128)),"statistical_reasoning",IF(ISNUMBER(SEARCH("causal",F128)),"causal_reasoning",IF(ISNUMBER(SEARCH("social",F128)),"social_influence",IF(ISNUMBER(SEARCH("rhetoric",F128)),"rhetoric_discourse",IF(ISNUMBER(SEARCH("behavior",F128)),"behavioural_economics",IF(ISNUMBER(SEARCH("cognitive",F128)),"cognitive_biases",IF(J128="protective_pattern","healthy_reasoning_patterns",IF(L128="P0","core_mvp","extended_fallacies")))))))))</x:f>
        <x:v>extended_fallacies</x:v>
      </x:c>
      <x:c r="AC128" s="12" t="str">
        <x:f>IF(ISNUMBER(SEARCH("operational",J128)),"operational",IF(ISNUMBER(SEARCH("deprecated",J128)),"deprecated",IF(L128="P0","canonical","recognized_subtype")))</x:f>
        <x:v>operational</x:v>
      </x:c>
      <x:c r="AD128" s="12" t="str">
        <x:f>IF(AC128="canonical","high",IF(AC128="recognized_subtype","medium",IF(AC128="operational","operational_only","debated")))</x:f>
        <x:v>operational_only</x:v>
      </x:c>
      <x:c r="AE128" s="12" t="str">
        <x:f>IF(AC128="deprecated","deprecated",IF(M128="yes","active",IF(M128="review","review_required","backlog")))</x:f>
        <x:v>backlog</x:v>
      </x:c>
      <x:c r="AF128" s="12" t="str">
        <x:f>IF(OR(AE128="active",AE128="review_required"),"yes","no")</x:f>
        <x:v>no</x:v>
      </x:c>
      <x:c r="AG128" s="12" t="str">
        <x:f>IF(AND(AE128="active",M128="yes",NOT(ISNUMBER(SEARCH("healthy",AB128)))),"yes","no")</x:f>
        <x:v>no</x:v>
      </x:c>
      <x:c r="AH128" s="12" t="str">
        <x:f>IF(OR(H128="contextual",H128="dialogue",H128="discourse",I128="claim+context",I128="discourse_segment"),"yes","no")</x:f>
        <x:v>yes</x:v>
      </x:c>
      <x:c r="AI128" s="12" t="str">
        <x:f>IF(OR(AH128="yes",AD128="debated",AC128="operational"),"yes","no")</x:f>
        <x:v>yes</x:v>
      </x:c>
      <x:c r="AJ128" s="12" t="str">
        <x:f>IF(OR(AH128="yes",AC128="operational",AD128="debated"),"high",IF(AND(AG128="yes",L128="P0"),"medium","low"))</x:f>
        <x:v>high</x:v>
      </x:c>
      <x:c r="AK128" s="12" t="str">
        <x:f>IF(ISNUMBER(SEARCH("healthy",AB128)),"yes","no")</x:f>
        <x:v>no</x:v>
      </x:c>
      <x:c r="AL128" s="12" t="str">
        <x:f>IF(AG128="yes","yes","candidate_only")</x:f>
        <x:v>candidate_only</x:v>
      </x:c>
      <x:c r="AM128" s="12" t="str">
        <x:f>IF(OR(AC128="canonical",AG128="yes"),"yes","recommended")</x:f>
        <x:v>recommended</x:v>
      </x:c>
      <x:c r="AN128" s="12" t="str">
        <x:f>IF(AC128="deprecated","exclude",IF(AND(AG128="yes",AJ128="high"),"import_but_human_review_required",IF(AG128="yes","import_as_active","import_as_backlog")))</x:f>
        <x:v>import_as_backlog</x:v>
      </x:c>
      <x:c r="AO128" s="12" t="str">
        <x:f>IF(AND(AG128="yes",OR(P128="",Q128="",R128="",S128="")),"missing_required_mvp_fields",IF(AND(AC128="canonical",Y128=""),"missing_source_ref","ok"))</x:f>
        <x:v>ok</x:v>
      </x:c>
      <x:c r="AP128" s="12" t="str">
        <x:f>IF(AO128="ok","ready_for_codex_import","needs_review")</x:f>
        <x:v>ready_for_codex_import</x:v>
      </x:c>
      <x:c r="AQ128" s="12"/>
      <x:c r="AR128" s="12" t="str">
        <x:v>Added v2 operational fields. Review before classification activation.</x:v>
      </x:c>
    </x:row>
    <x:row r="129">
      <x:c r="A129" s="13" t="str">
        <x:v>non_sequitur_implicit_premise</x:v>
      </x:c>
      <x:c r="B129" s="13" t="str">
        <x:v>non_sequitur</x:v>
      </x:c>
      <x:c r="C129" s="13" t="str">
        <x:v>Non sequitur</x:v>
      </x:c>
      <x:c r="D129" s="13" t="str">
        <x:v>نتیجه نامنبع</x:v>
      </x:c>
      <x:c r="E129" s="13" t="str">
        <x:v>Implicit-premise variant</x:v>
      </x:c>
      <x:c r="F129" s="13" t="str">
        <x:v>reasoning_failures</x:v>
      </x:c>
      <x:c r="G129" s="13" t="str">
        <x:v>operational_variant</x:v>
      </x:c>
      <x:c r="H129" s="13" t="str">
        <x:v>structural</x:v>
      </x:c>
      <x:c r="I129" s="13" t="str">
        <x:v>claim</x:v>
      </x:c>
      <x:c r="J129" s="13" t="str">
        <x:v>derived_operational_subtype</x:v>
      </x:c>
      <x:c r="K129" s="13" t="str">
        <x:v>derived_from_established_parent_review_required</x:v>
      </x:c>
      <x:c r="L129" s="13" t="str">
        <x:v>P3</x:v>
      </x:c>
      <x:c r="M129" s="13" t="str">
        <x:v>no</x:v>
      </x:c>
      <x:c r="N129" s="13" t="str">
        <x:v>Operational subtype under Non sequitur: a crucial premise is implied rather than stated. Parent definition: Drawing a conclusion that does not follow from the stated reasons.</x:v>
      </x:c>
      <x:c r="O129" s="13" t="str">
        <x:v>Look for: explicit claim-level evidence; parent-family cues for Non sequitur; variant cue: a crucial premise is implied rather than stated; avoid author-level inference.</x:v>
      </x:c>
      <x:c r="P129" s="13" t="str">
        <x:v>Exact evidence span in text plus claim-level reasoning link; for contextual/discourse entries, require surrounding context.</x:v>
      </x:c>
      <x:c r="Q129" s="13" t="str">
        <x:v>Do not label merely because topic is controversial, emotional, or wrong. Do not judge intent or personality. Require textual evidence and consider healthy-reasoning cues.</x:v>
      </x:c>
      <x:c r="R129" s="13" t="str">
        <x:v>Stub: A claim relies on a crucial premise is implied rather than stated to support a conclusion without adequate qualification.</x:v>
      </x:c>
      <x:c r="S129" s="13" t="str">
        <x:v>Stub: A claim discusses non sequitur with caveats, balanced evidence, or no argumentative use of the pattern.</x:v>
      </x:c>
      <x:c r="T129" s="13" t="str">
        <x:v>Mild or ambiguous cue; do not classify without clear evidence span.</x:v>
      </x:c>
      <x:c r="U129" s="13" t="str">
        <x:v>Clear claim-level pattern with some argumentative impact.</x:v>
      </x:c>
      <x:c r="V129" s="13" t="str">
        <x:v>Strong pattern central to the conclusion and likely to materially distort reasoning.</x:v>
      </x:c>
      <x:c r="W129" s="13" t="str"/>
      <x:c r="X129" s="13" t="str">
        <x:v>sep_fallacies</x:v>
      </x:c>
      <x:c r="Y129" s="13" t="str">
        <x:v>https://plato.stanford.edu/entries/fallacies/</x:v>
      </x:c>
      <x:c r="Z129" s="13" t="str">
        <x:v>Review before enabling. This workbook is a living taxonomy scaffold, not a validated scientific benchmark.</x:v>
      </x:c>
      <x:c r="AA129" s="13" t="str">
        <x:v>0.1.0-draft</x:v>
      </x:c>
      <x:c r="AB129" s="12" t="str">
        <x:f>IF(ISNUMBER(SEARCH("healthy",F129)),"healthy_reasoning_patterns",IF(ISNUMBER(SEARCH("statistical",F129)),"statistical_reasoning",IF(ISNUMBER(SEARCH("causal",F129)),"causal_reasoning",IF(ISNUMBER(SEARCH("social",F129)),"social_influence",IF(ISNUMBER(SEARCH("rhetoric",F129)),"rhetoric_discourse",IF(ISNUMBER(SEARCH("behavior",F129)),"behavioural_economics",IF(ISNUMBER(SEARCH("cognitive",F129)),"cognitive_biases",IF(J129="protective_pattern","healthy_reasoning_patterns",IF(L129="P0","core_mvp","extended_fallacies")))))))))</x:f>
        <x:v>extended_fallacies</x:v>
      </x:c>
      <x:c r="AC129" s="12" t="str">
        <x:f>IF(ISNUMBER(SEARCH("operational",J129)),"operational",IF(ISNUMBER(SEARCH("deprecated",J129)),"deprecated",IF(L129="P0","canonical","recognized_subtype")))</x:f>
        <x:v>operational</x:v>
      </x:c>
      <x:c r="AD129" s="12" t="str">
        <x:f>IF(AC129="canonical","high",IF(AC129="recognized_subtype","medium",IF(AC129="operational","operational_only","debated")))</x:f>
        <x:v>operational_only</x:v>
      </x:c>
      <x:c r="AE129" s="12" t="str">
        <x:f>IF(AC129="deprecated","deprecated",IF(M129="yes","active",IF(M129="review","review_required","backlog")))</x:f>
        <x:v>backlog</x:v>
      </x:c>
      <x:c r="AF129" s="12" t="str">
        <x:f>IF(OR(AE129="active",AE129="review_required"),"yes","no")</x:f>
        <x:v>no</x:v>
      </x:c>
      <x:c r="AG129" s="12" t="str">
        <x:f>IF(AND(AE129="active",M129="yes",NOT(ISNUMBER(SEARCH("healthy",AB129)))),"yes","no")</x:f>
        <x:v>no</x:v>
      </x:c>
      <x:c r="AH129" s="12" t="str">
        <x:f>IF(OR(H129="contextual",H129="dialogue",H129="discourse",I129="claim+context",I129="discourse_segment"),"yes","no")</x:f>
        <x:v>no</x:v>
      </x:c>
      <x:c r="AI129" s="12" t="str">
        <x:f>IF(OR(AH129="yes",AD129="debated",AC129="operational"),"yes","no")</x:f>
        <x:v>yes</x:v>
      </x:c>
      <x:c r="AJ129" s="12" t="str">
        <x:f>IF(OR(AH129="yes",AC129="operational",AD129="debated"),"high",IF(AND(AG129="yes",L129="P0"),"medium","low"))</x:f>
        <x:v>high</x:v>
      </x:c>
      <x:c r="AK129" s="12" t="str">
        <x:f>IF(ISNUMBER(SEARCH("healthy",AB129)),"yes","no")</x:f>
        <x:v>no</x:v>
      </x:c>
      <x:c r="AL129" s="12" t="str">
        <x:f>IF(AG129="yes","yes","candidate_only")</x:f>
        <x:v>candidate_only</x:v>
      </x:c>
      <x:c r="AM129" s="12" t="str">
        <x:f>IF(OR(AC129="canonical",AG129="yes"),"yes","recommended")</x:f>
        <x:v>recommended</x:v>
      </x:c>
      <x:c r="AN129" s="12" t="str">
        <x:f>IF(AC129="deprecated","exclude",IF(AND(AG129="yes",AJ129="high"),"import_but_human_review_required",IF(AG129="yes","import_as_active","import_as_backlog")))</x:f>
        <x:v>import_as_backlog</x:v>
      </x:c>
      <x:c r="AO129" s="12" t="str">
        <x:f>IF(AND(AG129="yes",OR(P129="",Q129="",R129="",S129="")),"missing_required_mvp_fields",IF(AND(AC129="canonical",Y129=""),"missing_source_ref","ok"))</x:f>
        <x:v>ok</x:v>
      </x:c>
      <x:c r="AP129" s="12" t="str">
        <x:f>IF(AO129="ok","ready_for_codex_import","needs_review")</x:f>
        <x:v>ready_for_codex_import</x:v>
      </x:c>
      <x:c r="AQ129" s="12"/>
      <x:c r="AR129" s="12" t="str">
        <x:v>Added v2 operational fields. Review before classification activation.</x:v>
      </x:c>
    </x:row>
    <x:row r="130">
      <x:c r="A130" s="13" t="str">
        <x:v>affirming_consequent_implicit_premise</x:v>
      </x:c>
      <x:c r="B130" s="13" t="str">
        <x:v>affirming_consequent</x:v>
      </x:c>
      <x:c r="C130" s="13" t="str">
        <x:v>Affirming the consequent</x:v>
      </x:c>
      <x:c r="D130" s="13" t="str">
        <x:v>اثبات تالی</x:v>
      </x:c>
      <x:c r="E130" s="13" t="str">
        <x:v>Implicit-premise variant</x:v>
      </x:c>
      <x:c r="F130" s="13" t="str">
        <x:v>reasoning_failures</x:v>
      </x:c>
      <x:c r="G130" s="13" t="str">
        <x:v>operational_variant</x:v>
      </x:c>
      <x:c r="H130" s="13" t="str">
        <x:v>formal</x:v>
      </x:c>
      <x:c r="I130" s="13" t="str">
        <x:v>claim</x:v>
      </x:c>
      <x:c r="J130" s="13" t="str">
        <x:v>derived_operational_subtype</x:v>
      </x:c>
      <x:c r="K130" s="13" t="str">
        <x:v>derived_from_established_parent_review_required</x:v>
      </x:c>
      <x:c r="L130" s="13" t="str">
        <x:v>P3</x:v>
      </x:c>
      <x:c r="M130" s="13" t="str">
        <x:v>no</x:v>
      </x:c>
      <x:c r="N130" s="13" t="str">
        <x:v>Operational subtype under Affirming the consequent: a crucial premise is implied rather than stated. Parent definition: Inferring a sufficient condition from the consequent in a conditional.</x:v>
      </x:c>
      <x:c r="O130" s="13" t="str">
        <x:v>Look for: explicit claim-level evidence; parent-family cues for Affirming the consequent; variant cue: a crucial premise is implied rather than stated; avoid author-level inference.</x:v>
      </x:c>
      <x:c r="P130" s="13" t="str">
        <x:v>Exact evidence span in text plus claim-level reasoning link; for contextual/discourse entries, require surrounding context.</x:v>
      </x:c>
      <x:c r="Q130" s="13" t="str">
        <x:v>Do not label merely because topic is controversial, emotional, or wrong. Do not judge intent or personality. Require textual evidence and consider healthy-reasoning cues.</x:v>
      </x:c>
      <x:c r="R130" s="13" t="str">
        <x:v>Stub: A claim relies on a crucial premise is implied rather than stated to support a conclusion without adequate qualification.</x:v>
      </x:c>
      <x:c r="S130" s="13" t="str">
        <x:v>Stub: A claim discusses affirming the consequent with caveats, balanced evidence, or no argumentative use of the pattern.</x:v>
      </x:c>
      <x:c r="T130" s="13" t="str">
        <x:v>Mild or ambiguous cue; do not classify without clear evidence span.</x:v>
      </x:c>
      <x:c r="U130" s="13" t="str">
        <x:v>Clear claim-level pattern with some argumentative impact.</x:v>
      </x:c>
      <x:c r="V130" s="13" t="str">
        <x:v>Strong pattern central to the conclusion and likely to materially distort reasoning.</x:v>
      </x:c>
      <x:c r="W130" s="13" t="str"/>
      <x:c r="X130" s="13" t="str">
        <x:v>sep_fallacies</x:v>
      </x:c>
      <x:c r="Y130" s="13" t="str">
        <x:v>https://plato.stanford.edu/entries/fallacies/</x:v>
      </x:c>
      <x:c r="Z130" s="13" t="str">
        <x:v>Review before enabling. This workbook is a living taxonomy scaffold, not a validated scientific benchmark.</x:v>
      </x:c>
      <x:c r="AA130" s="13" t="str">
        <x:v>0.1.0-draft</x:v>
      </x:c>
      <x:c r="AB130" s="12" t="str">
        <x:f>IF(ISNUMBER(SEARCH("healthy",F130)),"healthy_reasoning_patterns",IF(ISNUMBER(SEARCH("statistical",F130)),"statistical_reasoning",IF(ISNUMBER(SEARCH("causal",F130)),"causal_reasoning",IF(ISNUMBER(SEARCH("social",F130)),"social_influence",IF(ISNUMBER(SEARCH("rhetoric",F130)),"rhetoric_discourse",IF(ISNUMBER(SEARCH("behavior",F130)),"behavioural_economics",IF(ISNUMBER(SEARCH("cognitive",F130)),"cognitive_biases",IF(J130="protective_pattern","healthy_reasoning_patterns",IF(L130="P0","core_mvp","extended_fallacies")))))))))</x:f>
        <x:v>extended_fallacies</x:v>
      </x:c>
      <x:c r="AC130" s="12" t="str">
        <x:f>IF(ISNUMBER(SEARCH("operational",J130)),"operational",IF(ISNUMBER(SEARCH("deprecated",J130)),"deprecated",IF(L130="P0","canonical","recognized_subtype")))</x:f>
        <x:v>operational</x:v>
      </x:c>
      <x:c r="AD130" s="12" t="str">
        <x:f>IF(AC130="canonical","high",IF(AC130="recognized_subtype","medium",IF(AC130="operational","operational_only","debated")))</x:f>
        <x:v>operational_only</x:v>
      </x:c>
      <x:c r="AE130" s="12" t="str">
        <x:f>IF(AC130="deprecated","deprecated",IF(M130="yes","active",IF(M130="review","review_required","backlog")))</x:f>
        <x:v>backlog</x:v>
      </x:c>
      <x:c r="AF130" s="12" t="str">
        <x:f>IF(OR(AE130="active",AE130="review_required"),"yes","no")</x:f>
        <x:v>no</x:v>
      </x:c>
      <x:c r="AG130" s="12" t="str">
        <x:f>IF(AND(AE130="active",M130="yes",NOT(ISNUMBER(SEARCH("healthy",AB130)))),"yes","no")</x:f>
        <x:v>no</x:v>
      </x:c>
      <x:c r="AH130" s="12" t="str">
        <x:f>IF(OR(H130="contextual",H130="dialogue",H130="discourse",I130="claim+context",I130="discourse_segment"),"yes","no")</x:f>
        <x:v>no</x:v>
      </x:c>
      <x:c r="AI130" s="12" t="str">
        <x:f>IF(OR(AH130="yes",AD130="debated",AC130="operational"),"yes","no")</x:f>
        <x:v>yes</x:v>
      </x:c>
      <x:c r="AJ130" s="12" t="str">
        <x:f>IF(OR(AH130="yes",AC130="operational",AD130="debated"),"high",IF(AND(AG130="yes",L130="P0"),"medium","low"))</x:f>
        <x:v>high</x:v>
      </x:c>
      <x:c r="AK130" s="12" t="str">
        <x:f>IF(ISNUMBER(SEARCH("healthy",AB130)),"yes","no")</x:f>
        <x:v>no</x:v>
      </x:c>
      <x:c r="AL130" s="12" t="str">
        <x:f>IF(AG130="yes","yes","candidate_only")</x:f>
        <x:v>candidate_only</x:v>
      </x:c>
      <x:c r="AM130" s="12" t="str">
        <x:f>IF(OR(AC130="canonical",AG130="yes"),"yes","recommended")</x:f>
        <x:v>recommended</x:v>
      </x:c>
      <x:c r="AN130" s="12" t="str">
        <x:f>IF(AC130="deprecated","exclude",IF(AND(AG130="yes",AJ130="high"),"import_but_human_review_required",IF(AG130="yes","import_as_active","import_as_backlog")))</x:f>
        <x:v>import_as_backlog</x:v>
      </x:c>
      <x:c r="AO130" s="12" t="str">
        <x:f>IF(AND(AG130="yes",OR(P130="",Q130="",R130="",S130="")),"missing_required_mvp_fields",IF(AND(AC130="canonical",Y130=""),"missing_source_ref","ok"))</x:f>
        <x:v>ok</x:v>
      </x:c>
      <x:c r="AP130" s="12" t="str">
        <x:f>IF(AO130="ok","ready_for_codex_import","needs_review")</x:f>
        <x:v>ready_for_codex_import</x:v>
      </x:c>
      <x:c r="AQ130" s="12"/>
      <x:c r="AR130" s="12" t="str">
        <x:v>Added v2 operational fields. Review before classification activation.</x:v>
      </x:c>
    </x:row>
    <x:row r="131">
      <x:c r="A131" s="13" t="str">
        <x:v>denying_antecedent_implicit_premise</x:v>
      </x:c>
      <x:c r="B131" s="13" t="str">
        <x:v>denying_antecedent</x:v>
      </x:c>
      <x:c r="C131" s="13" t="str">
        <x:v>Denying the antecedent</x:v>
      </x:c>
      <x:c r="D131" s="13" t="str">
        <x:v>انکار مقدم</x:v>
      </x:c>
      <x:c r="E131" s="13" t="str">
        <x:v>Implicit-premise variant</x:v>
      </x:c>
      <x:c r="F131" s="13" t="str">
        <x:v>reasoning_failures</x:v>
      </x:c>
      <x:c r="G131" s="13" t="str">
        <x:v>operational_variant</x:v>
      </x:c>
      <x:c r="H131" s="13" t="str">
        <x:v>formal</x:v>
      </x:c>
      <x:c r="I131" s="13" t="str">
        <x:v>claim</x:v>
      </x:c>
      <x:c r="J131" s="13" t="str">
        <x:v>derived_operational_subtype</x:v>
      </x:c>
      <x:c r="K131" s="13" t="str">
        <x:v>derived_from_established_parent_review_required</x:v>
      </x:c>
      <x:c r="L131" s="13" t="str">
        <x:v>P3</x:v>
      </x:c>
      <x:c r="M131" s="13" t="str">
        <x:v>no</x:v>
      </x:c>
      <x:c r="N131" s="13" t="str">
        <x:v>Operational subtype under Denying the antecedent: a crucial premise is implied rather than stated. Parent definition: Inferring the negation of the consequent from the negation of the antecedent.</x:v>
      </x:c>
      <x:c r="O131" s="13" t="str">
        <x:v>Look for: explicit claim-level evidence; parent-family cues for Denying the antecedent; variant cue: a crucial premise is implied rather than stated; avoid author-level inference.</x:v>
      </x:c>
      <x:c r="P131" s="13" t="str">
        <x:v>Exact evidence span in text plus claim-level reasoning link; for contextual/discourse entries, require surrounding context.</x:v>
      </x:c>
      <x:c r="Q131" s="13" t="str">
        <x:v>Do not label merely because topic is controversial, emotional, or wrong. Do not judge intent or personality. Require textual evidence and consider healthy-reasoning cues.</x:v>
      </x:c>
      <x:c r="R131" s="13" t="str">
        <x:v>Stub: A claim relies on a crucial premise is implied rather than stated to support a conclusion without adequate qualification.</x:v>
      </x:c>
      <x:c r="S131" s="13" t="str">
        <x:v>Stub: A claim discusses denying the antecedent with caveats, balanced evidence, or no argumentative use of the pattern.</x:v>
      </x:c>
      <x:c r="T131" s="13" t="str">
        <x:v>Mild or ambiguous cue; do not classify without clear evidence span.</x:v>
      </x:c>
      <x:c r="U131" s="13" t="str">
        <x:v>Clear claim-level pattern with some argumentative impact.</x:v>
      </x:c>
      <x:c r="V131" s="13" t="str">
        <x:v>Strong pattern central to the conclusion and likely to materially distort reasoning.</x:v>
      </x:c>
      <x:c r="W131" s="13" t="str"/>
      <x:c r="X131" s="13" t="str">
        <x:v>sep_fallacies</x:v>
      </x:c>
      <x:c r="Y131" s="13" t="str">
        <x:v>https://plato.stanford.edu/entries/fallacies/</x:v>
      </x:c>
      <x:c r="Z131" s="13" t="str">
        <x:v>Review before enabling. This workbook is a living taxonomy scaffold, not a validated scientific benchmark.</x:v>
      </x:c>
      <x:c r="AA131" s="13" t="str">
        <x:v>0.1.0-draft</x:v>
      </x:c>
      <x:c r="AB131" s="12" t="str">
        <x:f>IF(ISNUMBER(SEARCH("healthy",F131)),"healthy_reasoning_patterns",IF(ISNUMBER(SEARCH("statistical",F131)),"statistical_reasoning",IF(ISNUMBER(SEARCH("causal",F131)),"causal_reasoning",IF(ISNUMBER(SEARCH("social",F131)),"social_influence",IF(ISNUMBER(SEARCH("rhetoric",F131)),"rhetoric_discourse",IF(ISNUMBER(SEARCH("behavior",F131)),"behavioural_economics",IF(ISNUMBER(SEARCH("cognitive",F131)),"cognitive_biases",IF(J131="protective_pattern","healthy_reasoning_patterns",IF(L131="P0","core_mvp","extended_fallacies")))))))))</x:f>
        <x:v>extended_fallacies</x:v>
      </x:c>
      <x:c r="AC131" s="12" t="str">
        <x:f>IF(ISNUMBER(SEARCH("operational",J131)),"operational",IF(ISNUMBER(SEARCH("deprecated",J131)),"deprecated",IF(L131="P0","canonical","recognized_subtype")))</x:f>
        <x:v>operational</x:v>
      </x:c>
      <x:c r="AD131" s="12" t="str">
        <x:f>IF(AC131="canonical","high",IF(AC131="recognized_subtype","medium",IF(AC131="operational","operational_only","debated")))</x:f>
        <x:v>operational_only</x:v>
      </x:c>
      <x:c r="AE131" s="12" t="str">
        <x:f>IF(AC131="deprecated","deprecated",IF(M131="yes","active",IF(M131="review","review_required","backlog")))</x:f>
        <x:v>backlog</x:v>
      </x:c>
      <x:c r="AF131" s="12" t="str">
        <x:f>IF(OR(AE131="active",AE131="review_required"),"yes","no")</x:f>
        <x:v>no</x:v>
      </x:c>
      <x:c r="AG131" s="12" t="str">
        <x:f>IF(AND(AE131="active",M131="yes",NOT(ISNUMBER(SEARCH("healthy",AB131)))),"yes","no")</x:f>
        <x:v>no</x:v>
      </x:c>
      <x:c r="AH131" s="12" t="str">
        <x:f>IF(OR(H131="contextual",H131="dialogue",H131="discourse",I131="claim+context",I131="discourse_segment"),"yes","no")</x:f>
        <x:v>no</x:v>
      </x:c>
      <x:c r="AI131" s="12" t="str">
        <x:f>IF(OR(AH131="yes",AD131="debated",AC131="operational"),"yes","no")</x:f>
        <x:v>yes</x:v>
      </x:c>
      <x:c r="AJ131" s="12" t="str">
        <x:f>IF(OR(AH131="yes",AC131="operational",AD131="debated"),"high",IF(AND(AG131="yes",L131="P0"),"medium","low"))</x:f>
        <x:v>high</x:v>
      </x:c>
      <x:c r="AK131" s="12" t="str">
        <x:f>IF(ISNUMBER(SEARCH("healthy",AB131)),"yes","no")</x:f>
        <x:v>no</x:v>
      </x:c>
      <x:c r="AL131" s="12" t="str">
        <x:f>IF(AG131="yes","yes","candidate_only")</x:f>
        <x:v>candidate_only</x:v>
      </x:c>
      <x:c r="AM131" s="12" t="str">
        <x:f>IF(OR(AC131="canonical",AG131="yes"),"yes","recommended")</x:f>
        <x:v>recommended</x:v>
      </x:c>
      <x:c r="AN131" s="12" t="str">
        <x:f>IF(AC131="deprecated","exclude",IF(AND(AG131="yes",AJ131="high"),"import_but_human_review_required",IF(AG131="yes","import_as_active","import_as_backlog")))</x:f>
        <x:v>import_as_backlog</x:v>
      </x:c>
      <x:c r="AO131" s="12" t="str">
        <x:f>IF(AND(AG131="yes",OR(P131="",Q131="",R131="",S131="")),"missing_required_mvp_fields",IF(AND(AC131="canonical",Y131=""),"missing_source_ref","ok"))</x:f>
        <x:v>ok</x:v>
      </x:c>
      <x:c r="AP131" s="12" t="str">
        <x:f>IF(AO131="ok","ready_for_codex_import","needs_review")</x:f>
        <x:v>ready_for_codex_import</x:v>
      </x:c>
      <x:c r="AQ131" s="12"/>
      <x:c r="AR131" s="12" t="str">
        <x:v>Added v2 operational fields. Review before classification activation.</x:v>
      </x:c>
    </x:row>
    <x:row r="132">
      <x:c r="A132" s="13" t="str">
        <x:v>faulty_analogy_implicit_premise</x:v>
      </x:c>
      <x:c r="B132" s="13" t="str">
        <x:v>faulty_analogy</x:v>
      </x:c>
      <x:c r="C132" s="13" t="str">
        <x:v>Faulty analogy</x:v>
      </x:c>
      <x:c r="D132" s="13" t="str">
        <x:v>قیاس مع‌الفارق</x:v>
      </x:c>
      <x:c r="E132" s="13" t="str">
        <x:v>Implicit-premise variant</x:v>
      </x:c>
      <x:c r="F132" s="13" t="str">
        <x:v>reasoning_failures</x:v>
      </x:c>
      <x:c r="G132" s="13" t="str">
        <x:v>operational_variant</x:v>
      </x:c>
      <x:c r="H132" s="13" t="str">
        <x:v>structural</x:v>
      </x:c>
      <x:c r="I132" s="13" t="str">
        <x:v>claim</x:v>
      </x:c>
      <x:c r="J132" s="13" t="str">
        <x:v>derived_operational_subtype</x:v>
      </x:c>
      <x:c r="K132" s="13" t="str">
        <x:v>derived_from_established_parent_review_required</x:v>
      </x:c>
      <x:c r="L132" s="13" t="str">
        <x:v>P3</x:v>
      </x:c>
      <x:c r="M132" s="13" t="str">
        <x:v>no</x:v>
      </x:c>
      <x:c r="N132" s="13" t="str">
        <x:v>Operational subtype under Faulty analogy: a crucial premise is implied rather than stated. Parent definition: Using an analogy while ignoring relevant disanalogies.</x:v>
      </x:c>
      <x:c r="O132" s="13" t="str">
        <x:v>Look for: explicit claim-level evidence; parent-family cues for Faulty analogy; variant cue: a crucial premise is implied rather than stated; avoid author-level inference.</x:v>
      </x:c>
      <x:c r="P132" s="13" t="str">
        <x:v>Exact evidence span in text plus claim-level reasoning link; for contextual/discourse entries, require surrounding context.</x:v>
      </x:c>
      <x:c r="Q132" s="13" t="str">
        <x:v>Do not label merely because topic is controversial, emotional, or wrong. Do not judge intent or personality. Require textual evidence and consider healthy-reasoning cues.</x:v>
      </x:c>
      <x:c r="R132" s="13" t="str">
        <x:v>Stub: A claim relies on a crucial premise is implied rather than stated to support a conclusion without adequate qualification.</x:v>
      </x:c>
      <x:c r="S132" s="13" t="str">
        <x:v>Stub: A claim discusses faulty analogy with caveats, balanced evidence, or no argumentative use of the pattern.</x:v>
      </x:c>
      <x:c r="T132" s="13" t="str">
        <x:v>Mild or ambiguous cue; do not classify without clear evidence span.</x:v>
      </x:c>
      <x:c r="U132" s="13" t="str">
        <x:v>Clear claim-level pattern with some argumentative impact.</x:v>
      </x:c>
      <x:c r="V132" s="13" t="str">
        <x:v>Strong pattern central to the conclusion and likely to materially distort reasoning.</x:v>
      </x:c>
      <x:c r="W132" s="13" t="str"/>
      <x:c r="X132" s="13" t="str">
        <x:v>walton_argumentation_schemes</x:v>
      </x:c>
      <x:c r="Y132" s="13" t="str">
        <x:v>https://www.cambridge.org/core/books/argumentation-schemes/1D013BFA2695C72B14134F2C38B17B85</x:v>
      </x:c>
      <x:c r="Z132" s="13" t="str">
        <x:v>Review before enabling. This workbook is a living taxonomy scaffold, not a validated scientific benchmark.</x:v>
      </x:c>
      <x:c r="AA132" s="13" t="str">
        <x:v>0.1.0-draft</x:v>
      </x:c>
      <x:c r="AB132" s="12" t="str">
        <x:f>IF(ISNUMBER(SEARCH("healthy",F132)),"healthy_reasoning_patterns",IF(ISNUMBER(SEARCH("statistical",F132)),"statistical_reasoning",IF(ISNUMBER(SEARCH("causal",F132)),"causal_reasoning",IF(ISNUMBER(SEARCH("social",F132)),"social_influence",IF(ISNUMBER(SEARCH("rhetoric",F132)),"rhetoric_discourse",IF(ISNUMBER(SEARCH("behavior",F132)),"behavioural_economics",IF(ISNUMBER(SEARCH("cognitive",F132)),"cognitive_biases",IF(J132="protective_pattern","healthy_reasoning_patterns",IF(L132="P0","core_mvp","extended_fallacies")))))))))</x:f>
        <x:v>extended_fallacies</x:v>
      </x:c>
      <x:c r="AC132" s="12" t="str">
        <x:f>IF(ISNUMBER(SEARCH("operational",J132)),"operational",IF(ISNUMBER(SEARCH("deprecated",J132)),"deprecated",IF(L132="P0","canonical","recognized_subtype")))</x:f>
        <x:v>operational</x:v>
      </x:c>
      <x:c r="AD132" s="12" t="str">
        <x:f>IF(AC132="canonical","high",IF(AC132="recognized_subtype","medium",IF(AC132="operational","operational_only","debated")))</x:f>
        <x:v>operational_only</x:v>
      </x:c>
      <x:c r="AE132" s="12" t="str">
        <x:f>IF(AC132="deprecated","deprecated",IF(M132="yes","active",IF(M132="review","review_required","backlog")))</x:f>
        <x:v>backlog</x:v>
      </x:c>
      <x:c r="AF132" s="12" t="str">
        <x:f>IF(OR(AE132="active",AE132="review_required"),"yes","no")</x:f>
        <x:v>no</x:v>
      </x:c>
      <x:c r="AG132" s="12" t="str">
        <x:f>IF(AND(AE132="active",M132="yes",NOT(ISNUMBER(SEARCH("healthy",AB132)))),"yes","no")</x:f>
        <x:v>no</x:v>
      </x:c>
      <x:c r="AH132" s="12" t="str">
        <x:f>IF(OR(H132="contextual",H132="dialogue",H132="discourse",I132="claim+context",I132="discourse_segment"),"yes","no")</x:f>
        <x:v>no</x:v>
      </x:c>
      <x:c r="AI132" s="12" t="str">
        <x:f>IF(OR(AH132="yes",AD132="debated",AC132="operational"),"yes","no")</x:f>
        <x:v>yes</x:v>
      </x:c>
      <x:c r="AJ132" s="12" t="str">
        <x:f>IF(OR(AH132="yes",AC132="operational",AD132="debated"),"high",IF(AND(AG132="yes",L132="P0"),"medium","low"))</x:f>
        <x:v>high</x:v>
      </x:c>
      <x:c r="AK132" s="12" t="str">
        <x:f>IF(ISNUMBER(SEARCH("healthy",AB132)),"yes","no")</x:f>
        <x:v>no</x:v>
      </x:c>
      <x:c r="AL132" s="12" t="str">
        <x:f>IF(AG132="yes","yes","candidate_only")</x:f>
        <x:v>candidate_only</x:v>
      </x:c>
      <x:c r="AM132" s="12" t="str">
        <x:f>IF(OR(AC132="canonical",AG132="yes"),"yes","recommended")</x:f>
        <x:v>recommended</x:v>
      </x:c>
      <x:c r="AN132" s="12" t="str">
        <x:f>IF(AC132="deprecated","exclude",IF(AND(AG132="yes",AJ132="high"),"import_but_human_review_required",IF(AG132="yes","import_as_active","import_as_backlog")))</x:f>
        <x:v>import_as_backlog</x:v>
      </x:c>
      <x:c r="AO132" s="12" t="str">
        <x:f>IF(AND(AG132="yes",OR(P132="",Q132="",R132="",S132="")),"missing_required_mvp_fields",IF(AND(AC132="canonical",Y132=""),"missing_source_ref","ok"))</x:f>
        <x:v>ok</x:v>
      </x:c>
      <x:c r="AP132" s="12" t="str">
        <x:f>IF(AO132="ok","ready_for_codex_import","needs_review")</x:f>
        <x:v>ready_for_codex_import</x:v>
      </x:c>
      <x:c r="AQ132" s="12"/>
      <x:c r="AR132" s="12" t="str">
        <x:v>Added v2 operational fields. Review before classification activation.</x:v>
      </x:c>
    </x:row>
    <x:row r="133">
      <x:c r="A133" s="13" t="str">
        <x:v>appeal_to_nature_implicit_premise</x:v>
      </x:c>
      <x:c r="B133" s="13" t="str">
        <x:v>appeal_to_nature</x:v>
      </x:c>
      <x:c r="C133" s="13" t="str">
        <x:v>Appeal to nature</x:v>
      </x:c>
      <x:c r="D133" s="13" t="str">
        <x:v>استناد به طبیعی بودن</x:v>
      </x:c>
      <x:c r="E133" s="13" t="str">
        <x:v>Implicit-premise variant</x:v>
      </x:c>
      <x:c r="F133" s="13" t="str">
        <x:v>reasoning_failures</x:v>
      </x:c>
      <x:c r="G133" s="13" t="str">
        <x:v>operational_variant</x:v>
      </x:c>
      <x:c r="H133" s="13" t="str">
        <x:v>contextual</x:v>
      </x:c>
      <x:c r="I133" s="13" t="str">
        <x:v>claim+context</x:v>
      </x:c>
      <x:c r="J133" s="13" t="str">
        <x:v>derived_operational_subtype</x:v>
      </x:c>
      <x:c r="K133" s="13" t="str">
        <x:v>derived_from_established_parent_review_required</x:v>
      </x:c>
      <x:c r="L133" s="13" t="str">
        <x:v>P3</x:v>
      </x:c>
      <x:c r="M133" s="13" t="str">
        <x:v>no</x:v>
      </x:c>
      <x:c r="N133" s="13" t="str">
        <x:v>Operational subtype under Appeal to nature: a crucial premise is implied rather than stated. Parent definition: Treating naturalness as sufficient proof of goodness or correctness.</x:v>
      </x:c>
      <x:c r="O133" s="13" t="str">
        <x:v>Look for: explicit claim-level evidence; parent-family cues for Appeal to nature; variant cue: a crucial premise is implied rather than stated; avoid author-level inference.</x:v>
      </x:c>
      <x:c r="P133" s="13" t="str">
        <x:v>Exact evidence span in text plus claim-level reasoning link; for contextual/discourse entries, require surrounding context.</x:v>
      </x:c>
      <x:c r="Q133" s="13" t="str">
        <x:v>Do not label merely because topic is controversial, emotional, or wrong. Do not judge intent or personality. Require textual evidence and consider healthy-reasoning cues.</x:v>
      </x:c>
      <x:c r="R133" s="13" t="str">
        <x:v>Stub: A claim relies on a crucial premise is implied rather than stated to support a conclusion without adequate qualification.</x:v>
      </x:c>
      <x:c r="S133" s="13" t="str">
        <x:v>Stub: A claim discusses appeal to nature with caveats, balanced evidence, or no argumentative use of the pattern.</x:v>
      </x:c>
      <x:c r="T133" s="13" t="str">
        <x:v>Mild or ambiguous cue; do not classify without clear evidence span.</x:v>
      </x:c>
      <x:c r="U133" s="13" t="str">
        <x:v>Clear claim-level pattern with some argumentative impact.</x:v>
      </x:c>
      <x:c r="V133" s="13" t="str">
        <x:v>Strong pattern central to the conclusion and likely to materially distort reasoning.</x:v>
      </x:c>
      <x:c r="W133" s="13" t="str"/>
      <x:c r="X133" s="13" t="str">
        <x:v>sep_fallacies</x:v>
      </x:c>
      <x:c r="Y133" s="13" t="str">
        <x:v>https://plato.stanford.edu/entries/fallacies/</x:v>
      </x:c>
      <x:c r="Z133" s="13" t="str">
        <x:v>Review before enabling. This workbook is a living taxonomy scaffold, not a validated scientific benchmark.</x:v>
      </x:c>
      <x:c r="AA133" s="13" t="str">
        <x:v>0.1.0-draft</x:v>
      </x:c>
      <x:c r="AB133" s="12" t="str">
        <x:f>IF(ISNUMBER(SEARCH("healthy",F133)),"healthy_reasoning_patterns",IF(ISNUMBER(SEARCH("statistical",F133)),"statistical_reasoning",IF(ISNUMBER(SEARCH("causal",F133)),"causal_reasoning",IF(ISNUMBER(SEARCH("social",F133)),"social_influence",IF(ISNUMBER(SEARCH("rhetoric",F133)),"rhetoric_discourse",IF(ISNUMBER(SEARCH("behavior",F133)),"behavioural_economics",IF(ISNUMBER(SEARCH("cognitive",F133)),"cognitive_biases",IF(J133="protective_pattern","healthy_reasoning_patterns",IF(L133="P0","core_mvp","extended_fallacies")))))))))</x:f>
        <x:v>extended_fallacies</x:v>
      </x:c>
      <x:c r="AC133" s="12" t="str">
        <x:f>IF(ISNUMBER(SEARCH("operational",J133)),"operational",IF(ISNUMBER(SEARCH("deprecated",J133)),"deprecated",IF(L133="P0","canonical","recognized_subtype")))</x:f>
        <x:v>operational</x:v>
      </x:c>
      <x:c r="AD133" s="12" t="str">
        <x:f>IF(AC133="canonical","high",IF(AC133="recognized_subtype","medium",IF(AC133="operational","operational_only","debated")))</x:f>
        <x:v>operational_only</x:v>
      </x:c>
      <x:c r="AE133" s="12" t="str">
        <x:f>IF(AC133="deprecated","deprecated",IF(M133="yes","active",IF(M133="review","review_required","backlog")))</x:f>
        <x:v>backlog</x:v>
      </x:c>
      <x:c r="AF133" s="12" t="str">
        <x:f>IF(OR(AE133="active",AE133="review_required"),"yes","no")</x:f>
        <x:v>no</x:v>
      </x:c>
      <x:c r="AG133" s="12" t="str">
        <x:f>IF(AND(AE133="active",M133="yes",NOT(ISNUMBER(SEARCH("healthy",AB133)))),"yes","no")</x:f>
        <x:v>no</x:v>
      </x:c>
      <x:c r="AH133" s="12" t="str">
        <x:f>IF(OR(H133="contextual",H133="dialogue",H133="discourse",I133="claim+context",I133="discourse_segment"),"yes","no")</x:f>
        <x:v>yes</x:v>
      </x:c>
      <x:c r="AI133" s="12" t="str">
        <x:f>IF(OR(AH133="yes",AD133="debated",AC133="operational"),"yes","no")</x:f>
        <x:v>yes</x:v>
      </x:c>
      <x:c r="AJ133" s="12" t="str">
        <x:f>IF(OR(AH133="yes",AC133="operational",AD133="debated"),"high",IF(AND(AG133="yes",L133="P0"),"medium","low"))</x:f>
        <x:v>high</x:v>
      </x:c>
      <x:c r="AK133" s="12" t="str">
        <x:f>IF(ISNUMBER(SEARCH("healthy",AB133)),"yes","no")</x:f>
        <x:v>no</x:v>
      </x:c>
      <x:c r="AL133" s="12" t="str">
        <x:f>IF(AG133="yes","yes","candidate_only")</x:f>
        <x:v>candidate_only</x:v>
      </x:c>
      <x:c r="AM133" s="12" t="str">
        <x:f>IF(OR(AC133="canonical",AG133="yes"),"yes","recommended")</x:f>
        <x:v>recommended</x:v>
      </x:c>
      <x:c r="AN133" s="12" t="str">
        <x:f>IF(AC133="deprecated","exclude",IF(AND(AG133="yes",AJ133="high"),"import_but_human_review_required",IF(AG133="yes","import_as_active","import_as_backlog")))</x:f>
        <x:v>import_as_backlog</x:v>
      </x:c>
      <x:c r="AO133" s="12" t="str">
        <x:f>IF(AND(AG133="yes",OR(P133="",Q133="",R133="",S133="")),"missing_required_mvp_fields",IF(AND(AC133="canonical",Y133=""),"missing_source_ref","ok"))</x:f>
        <x:v>ok</x:v>
      </x:c>
      <x:c r="AP133" s="12" t="str">
        <x:f>IF(AO133="ok","ready_for_codex_import","needs_review")</x:f>
        <x:v>ready_for_codex_import</x:v>
      </x:c>
      <x:c r="AQ133" s="12"/>
      <x:c r="AR133" s="12" t="str">
        <x:v>Added v2 operational fields. Review before classification activation.</x:v>
      </x:c>
    </x:row>
    <x:row r="134">
      <x:c r="A134" s="13" t="str">
        <x:v>appeal_to_tradition_implicit_premise</x:v>
      </x:c>
      <x:c r="B134" s="13" t="str">
        <x:v>appeal_to_tradition</x:v>
      </x:c>
      <x:c r="C134" s="13" t="str">
        <x:v>Appeal to tradition</x:v>
      </x:c>
      <x:c r="D134" s="13" t="str">
        <x:v>استناد به سنت</x:v>
      </x:c>
      <x:c r="E134" s="13" t="str">
        <x:v>Implicit-premise variant</x:v>
      </x:c>
      <x:c r="F134" s="13" t="str">
        <x:v>reasoning_failures</x:v>
      </x:c>
      <x:c r="G134" s="13" t="str">
        <x:v>operational_variant</x:v>
      </x:c>
      <x:c r="H134" s="13" t="str">
        <x:v>contextual</x:v>
      </x:c>
      <x:c r="I134" s="13" t="str">
        <x:v>claim+context</x:v>
      </x:c>
      <x:c r="J134" s="13" t="str">
        <x:v>derived_operational_subtype</x:v>
      </x:c>
      <x:c r="K134" s="13" t="str">
        <x:v>derived_from_established_parent_review_required</x:v>
      </x:c>
      <x:c r="L134" s="13" t="str">
        <x:v>P3</x:v>
      </x:c>
      <x:c r="M134" s="13" t="str">
        <x:v>no</x:v>
      </x:c>
      <x:c r="N134" s="13" t="str">
        <x:v>Operational subtype under Appeal to tradition: a crucial premise is implied rather than stated. Parent definition: Treating long-standing practice as sufficient proof of correctness.</x:v>
      </x:c>
      <x:c r="O134" s="13" t="str">
        <x:v>Look for: explicit claim-level evidence; parent-family cues for Appeal to tradition; variant cue: a crucial premise is implied rather than stated; avoid author-level inference.</x:v>
      </x:c>
      <x:c r="P134" s="13" t="str">
        <x:v>Exact evidence span in text plus claim-level reasoning link; for contextual/discourse entries, require surrounding context.</x:v>
      </x:c>
      <x:c r="Q134" s="13" t="str">
        <x:v>Do not label merely because topic is controversial, emotional, or wrong. Do not judge intent or personality. Require textual evidence and consider healthy-reasoning cues.</x:v>
      </x:c>
      <x:c r="R134" s="13" t="str">
        <x:v>Stub: A claim relies on a crucial premise is implied rather than stated to support a conclusion without adequate qualification.</x:v>
      </x:c>
      <x:c r="S134" s="13" t="str">
        <x:v>Stub: A claim discusses appeal to tradition with caveats, balanced evidence, or no argumentative use of the pattern.</x:v>
      </x:c>
      <x:c r="T134" s="13" t="str">
        <x:v>Mild or ambiguous cue; do not classify without clear evidence span.</x:v>
      </x:c>
      <x:c r="U134" s="13" t="str">
        <x:v>Clear claim-level pattern with some argumentative impact.</x:v>
      </x:c>
      <x:c r="V134" s="13" t="str">
        <x:v>Strong pattern central to the conclusion and likely to materially distort reasoning.</x:v>
      </x:c>
      <x:c r="W134" s="13" t="str"/>
      <x:c r="X134" s="13" t="str">
        <x:v>sep_fallacies</x:v>
      </x:c>
      <x:c r="Y134" s="13" t="str">
        <x:v>https://plato.stanford.edu/entries/fallacies/</x:v>
      </x:c>
      <x:c r="Z134" s="13" t="str">
        <x:v>Review before enabling. This workbook is a living taxonomy scaffold, not a validated scientific benchmark.</x:v>
      </x:c>
      <x:c r="AA134" s="13" t="str">
        <x:v>0.1.0-draft</x:v>
      </x:c>
      <x:c r="AB134" s="12" t="str">
        <x:f>IF(ISNUMBER(SEARCH("healthy",F134)),"healthy_reasoning_patterns",IF(ISNUMBER(SEARCH("statistical",F134)),"statistical_reasoning",IF(ISNUMBER(SEARCH("causal",F134)),"causal_reasoning",IF(ISNUMBER(SEARCH("social",F134)),"social_influence",IF(ISNUMBER(SEARCH("rhetoric",F134)),"rhetoric_discourse",IF(ISNUMBER(SEARCH("behavior",F134)),"behavioural_economics",IF(ISNUMBER(SEARCH("cognitive",F134)),"cognitive_biases",IF(J134="protective_pattern","healthy_reasoning_patterns",IF(L134="P0","core_mvp","extended_fallacies")))))))))</x:f>
        <x:v>extended_fallacies</x:v>
      </x:c>
      <x:c r="AC134" s="12" t="str">
        <x:f>IF(ISNUMBER(SEARCH("operational",J134)),"operational",IF(ISNUMBER(SEARCH("deprecated",J134)),"deprecated",IF(L134="P0","canonical","recognized_subtype")))</x:f>
        <x:v>operational</x:v>
      </x:c>
      <x:c r="AD134" s="12" t="str">
        <x:f>IF(AC134="canonical","high",IF(AC134="recognized_subtype","medium",IF(AC134="operational","operational_only","debated")))</x:f>
        <x:v>operational_only</x:v>
      </x:c>
      <x:c r="AE134" s="12" t="str">
        <x:f>IF(AC134="deprecated","deprecated",IF(M134="yes","active",IF(M134="review","review_required","backlog")))</x:f>
        <x:v>backlog</x:v>
      </x:c>
      <x:c r="AF134" s="12" t="str">
        <x:f>IF(OR(AE134="active",AE134="review_required"),"yes","no")</x:f>
        <x:v>no</x:v>
      </x:c>
      <x:c r="AG134" s="12" t="str">
        <x:f>IF(AND(AE134="active",M134="yes",NOT(ISNUMBER(SEARCH("healthy",AB134)))),"yes","no")</x:f>
        <x:v>no</x:v>
      </x:c>
      <x:c r="AH134" s="12" t="str">
        <x:f>IF(OR(H134="contextual",H134="dialogue",H134="discourse",I134="claim+context",I134="discourse_segment"),"yes","no")</x:f>
        <x:v>yes</x:v>
      </x:c>
      <x:c r="AI134" s="12" t="str">
        <x:f>IF(OR(AH134="yes",AD134="debated",AC134="operational"),"yes","no")</x:f>
        <x:v>yes</x:v>
      </x:c>
      <x:c r="AJ134" s="12" t="str">
        <x:f>IF(OR(AH134="yes",AC134="operational",AD134="debated"),"high",IF(AND(AG134="yes",L134="P0"),"medium","low"))</x:f>
        <x:v>high</x:v>
      </x:c>
      <x:c r="AK134" s="12" t="str">
        <x:f>IF(ISNUMBER(SEARCH("healthy",AB134)),"yes","no")</x:f>
        <x:v>no</x:v>
      </x:c>
      <x:c r="AL134" s="12" t="str">
        <x:f>IF(AG134="yes","yes","candidate_only")</x:f>
        <x:v>candidate_only</x:v>
      </x:c>
      <x:c r="AM134" s="12" t="str">
        <x:f>IF(OR(AC134="canonical",AG134="yes"),"yes","recommended")</x:f>
        <x:v>recommended</x:v>
      </x:c>
      <x:c r="AN134" s="12" t="str">
        <x:f>IF(AC134="deprecated","exclude",IF(AND(AG134="yes",AJ134="high"),"import_but_human_review_required",IF(AG134="yes","import_as_active","import_as_backlog")))</x:f>
        <x:v>import_as_backlog</x:v>
      </x:c>
      <x:c r="AO134" s="12" t="str">
        <x:f>IF(AND(AG134="yes",OR(P134="",Q134="",R134="",S134="")),"missing_required_mvp_fields",IF(AND(AC134="canonical",Y134=""),"missing_source_ref","ok"))</x:f>
        <x:v>ok</x:v>
      </x:c>
      <x:c r="AP134" s="12" t="str">
        <x:f>IF(AO134="ok","ready_for_codex_import","needs_review")</x:f>
        <x:v>ready_for_codex_import</x:v>
      </x:c>
      <x:c r="AQ134" s="12"/>
      <x:c r="AR134" s="12" t="str">
        <x:v>Added v2 operational fields. Review before classification activation.</x:v>
      </x:c>
    </x:row>
    <x:row r="135">
      <x:c r="A135" s="13" t="str">
        <x:v>appeal_to_novelty_implicit_premise</x:v>
      </x:c>
      <x:c r="B135" s="13" t="str">
        <x:v>appeal_to_novelty</x:v>
      </x:c>
      <x:c r="C135" s="13" t="str">
        <x:v>Appeal to novelty</x:v>
      </x:c>
      <x:c r="D135" s="13" t="str">
        <x:v>استناد به نو بودن</x:v>
      </x:c>
      <x:c r="E135" s="13" t="str">
        <x:v>Implicit-premise variant</x:v>
      </x:c>
      <x:c r="F135" s="13" t="str">
        <x:v>reasoning_failures</x:v>
      </x:c>
      <x:c r="G135" s="13" t="str">
        <x:v>operational_variant</x:v>
      </x:c>
      <x:c r="H135" s="13" t="str">
        <x:v>contextual</x:v>
      </x:c>
      <x:c r="I135" s="13" t="str">
        <x:v>claim+context</x:v>
      </x:c>
      <x:c r="J135" s="13" t="str">
        <x:v>derived_operational_subtype</x:v>
      </x:c>
      <x:c r="K135" s="13" t="str">
        <x:v>derived_from_established_parent_review_required</x:v>
      </x:c>
      <x:c r="L135" s="13" t="str">
        <x:v>P3</x:v>
      </x:c>
      <x:c r="M135" s="13" t="str">
        <x:v>no</x:v>
      </x:c>
      <x:c r="N135" s="13" t="str">
        <x:v>Operational subtype under Appeal to novelty: a crucial premise is implied rather than stated. Parent definition: Treating newness as sufficient proof of superiority.</x:v>
      </x:c>
      <x:c r="O135" s="13" t="str">
        <x:v>Look for: explicit claim-level evidence; parent-family cues for Appeal to novelty; variant cue: a crucial premise is implied rather than stated; avoid author-level inference.</x:v>
      </x:c>
      <x:c r="P135" s="13" t="str">
        <x:v>Exact evidence span in text plus claim-level reasoning link; for contextual/discourse entries, require surrounding context.</x:v>
      </x:c>
      <x:c r="Q135" s="13" t="str">
        <x:v>Do not label merely because topic is controversial, emotional, or wrong. Do not judge intent or personality. Require textual evidence and consider healthy-reasoning cues.</x:v>
      </x:c>
      <x:c r="R135" s="13" t="str">
        <x:v>Stub: A claim relies on a crucial premise is implied rather than stated to support a conclusion without adequate qualification.</x:v>
      </x:c>
      <x:c r="S135" s="13" t="str">
        <x:v>Stub: A claim discusses appeal to novelty with caveats, balanced evidence, or no argumentative use of the pattern.</x:v>
      </x:c>
      <x:c r="T135" s="13" t="str">
        <x:v>Mild or ambiguous cue; do not classify without clear evidence span.</x:v>
      </x:c>
      <x:c r="U135" s="13" t="str">
        <x:v>Clear claim-level pattern with some argumentative impact.</x:v>
      </x:c>
      <x:c r="V135" s="13" t="str">
        <x:v>Strong pattern central to the conclusion and likely to materially distort reasoning.</x:v>
      </x:c>
      <x:c r="W135" s="13" t="str"/>
      <x:c r="X135" s="13" t="str">
        <x:v>sep_fallacies</x:v>
      </x:c>
      <x:c r="Y135" s="13" t="str">
        <x:v>https://plato.stanford.edu/entries/fallacies/</x:v>
      </x:c>
      <x:c r="Z135" s="13" t="str">
        <x:v>Review before enabling. This workbook is a living taxonomy scaffold, not a validated scientific benchmark.</x:v>
      </x:c>
      <x:c r="AA135" s="13" t="str">
        <x:v>0.1.0-draft</x:v>
      </x:c>
      <x:c r="AB135" s="12" t="str">
        <x:f>IF(ISNUMBER(SEARCH("healthy",F135)),"healthy_reasoning_patterns",IF(ISNUMBER(SEARCH("statistical",F135)),"statistical_reasoning",IF(ISNUMBER(SEARCH("causal",F135)),"causal_reasoning",IF(ISNUMBER(SEARCH("social",F135)),"social_influence",IF(ISNUMBER(SEARCH("rhetoric",F135)),"rhetoric_discourse",IF(ISNUMBER(SEARCH("behavior",F135)),"behavioural_economics",IF(ISNUMBER(SEARCH("cognitive",F135)),"cognitive_biases",IF(J135="protective_pattern","healthy_reasoning_patterns",IF(L135="P0","core_mvp","extended_fallacies")))))))))</x:f>
        <x:v>extended_fallacies</x:v>
      </x:c>
      <x:c r="AC135" s="12" t="str">
        <x:f>IF(ISNUMBER(SEARCH("operational",J135)),"operational",IF(ISNUMBER(SEARCH("deprecated",J135)),"deprecated",IF(L135="P0","canonical","recognized_subtype")))</x:f>
        <x:v>operational</x:v>
      </x:c>
      <x:c r="AD135" s="12" t="str">
        <x:f>IF(AC135="canonical","high",IF(AC135="recognized_subtype","medium",IF(AC135="operational","operational_only","debated")))</x:f>
        <x:v>operational_only</x:v>
      </x:c>
      <x:c r="AE135" s="12" t="str">
        <x:f>IF(AC135="deprecated","deprecated",IF(M135="yes","active",IF(M135="review","review_required","backlog")))</x:f>
        <x:v>backlog</x:v>
      </x:c>
      <x:c r="AF135" s="12" t="str">
        <x:f>IF(OR(AE135="active",AE135="review_required"),"yes","no")</x:f>
        <x:v>no</x:v>
      </x:c>
      <x:c r="AG135" s="12" t="str">
        <x:f>IF(AND(AE135="active",M135="yes",NOT(ISNUMBER(SEARCH("healthy",AB135)))),"yes","no")</x:f>
        <x:v>no</x:v>
      </x:c>
      <x:c r="AH135" s="12" t="str">
        <x:f>IF(OR(H135="contextual",H135="dialogue",H135="discourse",I135="claim+context",I135="discourse_segment"),"yes","no")</x:f>
        <x:v>yes</x:v>
      </x:c>
      <x:c r="AI135" s="12" t="str">
        <x:f>IF(OR(AH135="yes",AD135="debated",AC135="operational"),"yes","no")</x:f>
        <x:v>yes</x:v>
      </x:c>
      <x:c r="AJ135" s="12" t="str">
        <x:f>IF(OR(AH135="yes",AC135="operational",AD135="debated"),"high",IF(AND(AG135="yes",L135="P0"),"medium","low"))</x:f>
        <x:v>high</x:v>
      </x:c>
      <x:c r="AK135" s="12" t="str">
        <x:f>IF(ISNUMBER(SEARCH("healthy",AB135)),"yes","no")</x:f>
        <x:v>no</x:v>
      </x:c>
      <x:c r="AL135" s="12" t="str">
        <x:f>IF(AG135="yes","yes","candidate_only")</x:f>
        <x:v>candidate_only</x:v>
      </x:c>
      <x:c r="AM135" s="12" t="str">
        <x:f>IF(OR(AC135="canonical",AG135="yes"),"yes","recommended")</x:f>
        <x:v>recommended</x:v>
      </x:c>
      <x:c r="AN135" s="12" t="str">
        <x:f>IF(AC135="deprecated","exclude",IF(AND(AG135="yes",AJ135="high"),"import_but_human_review_required",IF(AG135="yes","import_as_active","import_as_backlog")))</x:f>
        <x:v>import_as_backlog</x:v>
      </x:c>
      <x:c r="AO135" s="12" t="str">
        <x:f>IF(AND(AG135="yes",OR(P135="",Q135="",R135="",S135="")),"missing_required_mvp_fields",IF(AND(AC135="canonical",Y135=""),"missing_source_ref","ok"))</x:f>
        <x:v>ok</x:v>
      </x:c>
      <x:c r="AP135" s="12" t="str">
        <x:f>IF(AO135="ok","ready_for_codex_import","needs_review")</x:f>
        <x:v>ready_for_codex_import</x:v>
      </x:c>
      <x:c r="AQ135" s="12"/>
      <x:c r="AR135" s="12" t="str">
        <x:v>Added v2 operational fields. Review before classification activation.</x:v>
      </x:c>
    </x:row>
    <x:row r="136">
      <x:c r="A136" s="13" t="str">
        <x:v>nirvana_fallacy_implicit_premise</x:v>
      </x:c>
      <x:c r="B136" s="13" t="str">
        <x:v>nirvana_fallacy</x:v>
      </x:c>
      <x:c r="C136" s="13" t="str">
        <x:v>Nirvana fallacy</x:v>
      </x:c>
      <x:c r="D136" s="13" t="str">
        <x:v>مقایسه با راه‌حل ایده‌آل</x:v>
      </x:c>
      <x:c r="E136" s="13" t="str">
        <x:v>Implicit-premise variant</x:v>
      </x:c>
      <x:c r="F136" s="13" t="str">
        <x:v>reasoning_failures</x:v>
      </x:c>
      <x:c r="G136" s="13" t="str">
        <x:v>operational_variant</x:v>
      </x:c>
      <x:c r="H136" s="13" t="str">
        <x:v>contextual</x:v>
      </x:c>
      <x:c r="I136" s="13" t="str">
        <x:v>claim+context</x:v>
      </x:c>
      <x:c r="J136" s="13" t="str">
        <x:v>derived_operational_subtype</x:v>
      </x:c>
      <x:c r="K136" s="13" t="str">
        <x:v>derived_from_established_parent_review_required</x:v>
      </x:c>
      <x:c r="L136" s="13" t="str">
        <x:v>P3</x:v>
      </x:c>
      <x:c r="M136" s="13" t="str">
        <x:v>no</x:v>
      </x:c>
      <x:c r="N136" s="13" t="str">
        <x:v>Operational subtype under Nirvana fallacy: a crucial premise is implied rather than stated. Parent definition: Rejecting realistic options because they are not perfect.</x:v>
      </x:c>
      <x:c r="O136" s="13" t="str">
        <x:v>Look for: explicit claim-level evidence; parent-family cues for Nirvana fallacy; variant cue: a crucial premise is implied rather than stated; avoid author-level inference.</x:v>
      </x:c>
      <x:c r="P136" s="13" t="str">
        <x:v>Exact evidence span in text plus claim-level reasoning link; for contextual/discourse entries, require surrounding context.</x:v>
      </x:c>
      <x:c r="Q136" s="13" t="str">
        <x:v>Do not label merely because topic is controversial, emotional, or wrong. Do not judge intent or personality. Require textual evidence and consider healthy-reasoning cues.</x:v>
      </x:c>
      <x:c r="R136" s="13" t="str">
        <x:v>Stub: A claim relies on a crucial premise is implied rather than stated to support a conclusion without adequate qualification.</x:v>
      </x:c>
      <x:c r="S136" s="13" t="str">
        <x:v>Stub: A claim discusses nirvana fallacy with caveats, balanced evidence, or no argumentative use of the pattern.</x:v>
      </x:c>
      <x:c r="T136" s="13" t="str">
        <x:v>Mild or ambiguous cue; do not classify without clear evidence span.</x:v>
      </x:c>
      <x:c r="U136" s="13" t="str">
        <x:v>Clear claim-level pattern with some argumentative impact.</x:v>
      </x:c>
      <x:c r="V136" s="13" t="str">
        <x:v>Strong pattern central to the conclusion and likely to materially distort reasoning.</x:v>
      </x:c>
      <x:c r="W136" s="13" t="str"/>
      <x:c r="X136" s="13" t="str">
        <x:v>sep_fallacies</x:v>
      </x:c>
      <x:c r="Y136" s="13" t="str">
        <x:v>https://plato.stanford.edu/entries/fallacies/</x:v>
      </x:c>
      <x:c r="Z136" s="13" t="str">
        <x:v>Review before enabling. This workbook is a living taxonomy scaffold, not a validated scientific benchmark.</x:v>
      </x:c>
      <x:c r="AA136" s="13" t="str">
        <x:v>0.1.0-draft</x:v>
      </x:c>
      <x:c r="AB136" s="12" t="str">
        <x:f>IF(ISNUMBER(SEARCH("healthy",F136)),"healthy_reasoning_patterns",IF(ISNUMBER(SEARCH("statistical",F136)),"statistical_reasoning",IF(ISNUMBER(SEARCH("causal",F136)),"causal_reasoning",IF(ISNUMBER(SEARCH("social",F136)),"social_influence",IF(ISNUMBER(SEARCH("rhetoric",F136)),"rhetoric_discourse",IF(ISNUMBER(SEARCH("behavior",F136)),"behavioural_economics",IF(ISNUMBER(SEARCH("cognitive",F136)),"cognitive_biases",IF(J136="protective_pattern","healthy_reasoning_patterns",IF(L136="P0","core_mvp","extended_fallacies")))))))))</x:f>
        <x:v>extended_fallacies</x:v>
      </x:c>
      <x:c r="AC136" s="12" t="str">
        <x:f>IF(ISNUMBER(SEARCH("operational",J136)),"operational",IF(ISNUMBER(SEARCH("deprecated",J136)),"deprecated",IF(L136="P0","canonical","recognized_subtype")))</x:f>
        <x:v>operational</x:v>
      </x:c>
      <x:c r="AD136" s="12" t="str">
        <x:f>IF(AC136="canonical","high",IF(AC136="recognized_subtype","medium",IF(AC136="operational","operational_only","debated")))</x:f>
        <x:v>operational_only</x:v>
      </x:c>
      <x:c r="AE136" s="12" t="str">
        <x:f>IF(AC136="deprecated","deprecated",IF(M136="yes","active",IF(M136="review","review_required","backlog")))</x:f>
        <x:v>backlog</x:v>
      </x:c>
      <x:c r="AF136" s="12" t="str">
        <x:f>IF(OR(AE136="active",AE136="review_required"),"yes","no")</x:f>
        <x:v>no</x:v>
      </x:c>
      <x:c r="AG136" s="12" t="str">
        <x:f>IF(AND(AE136="active",M136="yes",NOT(ISNUMBER(SEARCH("healthy",AB136)))),"yes","no")</x:f>
        <x:v>no</x:v>
      </x:c>
      <x:c r="AH136" s="12" t="str">
        <x:f>IF(OR(H136="contextual",H136="dialogue",H136="discourse",I136="claim+context",I136="discourse_segment"),"yes","no")</x:f>
        <x:v>yes</x:v>
      </x:c>
      <x:c r="AI136" s="12" t="str">
        <x:f>IF(OR(AH136="yes",AD136="debated",AC136="operational"),"yes","no")</x:f>
        <x:v>yes</x:v>
      </x:c>
      <x:c r="AJ136" s="12" t="str">
        <x:f>IF(OR(AH136="yes",AC136="operational",AD136="debated"),"high",IF(AND(AG136="yes",L136="P0"),"medium","low"))</x:f>
        <x:v>high</x:v>
      </x:c>
      <x:c r="AK136" s="12" t="str">
        <x:f>IF(ISNUMBER(SEARCH("healthy",AB136)),"yes","no")</x:f>
        <x:v>no</x:v>
      </x:c>
      <x:c r="AL136" s="12" t="str">
        <x:f>IF(AG136="yes","yes","candidate_only")</x:f>
        <x:v>candidate_only</x:v>
      </x:c>
      <x:c r="AM136" s="12" t="str">
        <x:f>IF(OR(AC136="canonical",AG136="yes"),"yes","recommended")</x:f>
        <x:v>recommended</x:v>
      </x:c>
      <x:c r="AN136" s="12" t="str">
        <x:f>IF(AC136="deprecated","exclude",IF(AND(AG136="yes",AJ136="high"),"import_but_human_review_required",IF(AG136="yes","import_as_active","import_as_backlog")))</x:f>
        <x:v>import_as_backlog</x:v>
      </x:c>
      <x:c r="AO136" s="12" t="str">
        <x:f>IF(AND(AG136="yes",OR(P136="",Q136="",R136="",S136="")),"missing_required_mvp_fields",IF(AND(AC136="canonical",Y136=""),"missing_source_ref","ok"))</x:f>
        <x:v>ok</x:v>
      </x:c>
      <x:c r="AP136" s="12" t="str">
        <x:f>IF(AO136="ok","ready_for_codex_import","needs_review")</x:f>
        <x:v>ready_for_codex_import</x:v>
      </x:c>
      <x:c r="AQ136" s="12"/>
      <x:c r="AR136" s="12" t="str">
        <x:v>Added v2 operational fields. Review before classification activation.</x:v>
      </x:c>
    </x:row>
    <x:row r="137">
      <x:c r="A137" s="13" t="str">
        <x:v>middle_ground_fallacy_implicit_premise</x:v>
      </x:c>
      <x:c r="B137" s="13" t="str">
        <x:v>middle_ground_fallacy</x:v>
      </x:c>
      <x:c r="C137" s="13" t="str">
        <x:v>Middle-ground fallacy</x:v>
      </x:c>
      <x:c r="D137" s="13" t="str">
        <x:v>میانه‌روی کاذب</x:v>
      </x:c>
      <x:c r="E137" s="13" t="str">
        <x:v>Implicit-premise variant</x:v>
      </x:c>
      <x:c r="F137" s="13" t="str">
        <x:v>reasoning_failures</x:v>
      </x:c>
      <x:c r="G137" s="13" t="str">
        <x:v>operational_variant</x:v>
      </x:c>
      <x:c r="H137" s="13" t="str">
        <x:v>contextual</x:v>
      </x:c>
      <x:c r="I137" s="13" t="str">
        <x:v>claim+context</x:v>
      </x:c>
      <x:c r="J137" s="13" t="str">
        <x:v>derived_operational_subtype</x:v>
      </x:c>
      <x:c r="K137" s="13" t="str">
        <x:v>derived_from_established_parent_review_required</x:v>
      </x:c>
      <x:c r="L137" s="13" t="str">
        <x:v>P3</x:v>
      </x:c>
      <x:c r="M137" s="13" t="str">
        <x:v>no</x:v>
      </x:c>
      <x:c r="N137" s="13" t="str">
        <x:v>Operational subtype under Middle-ground fallacy: a crucial premise is implied rather than stated. Parent definition: Assuming the middle position is correct merely because it is intermediate.</x:v>
      </x:c>
      <x:c r="O137" s="13" t="str">
        <x:v>Look for: explicit claim-level evidence; parent-family cues for Middle-ground fallacy; variant cue: a crucial premise is implied rather than stated; avoid author-level inference.</x:v>
      </x:c>
      <x:c r="P137" s="13" t="str">
        <x:v>Exact evidence span in text plus claim-level reasoning link; for contextual/discourse entries, require surrounding context.</x:v>
      </x:c>
      <x:c r="Q137" s="13" t="str">
        <x:v>Do not label merely because topic is controversial, emotional, or wrong. Do not judge intent or personality. Require textual evidence and consider healthy-reasoning cues.</x:v>
      </x:c>
      <x:c r="R137" s="13" t="str">
        <x:v>Stub: A claim relies on a crucial premise is implied rather than stated to support a conclusion without adequate qualification.</x:v>
      </x:c>
      <x:c r="S137" s="13" t="str">
        <x:v>Stub: A claim discusses middle-ground fallacy with caveats, balanced evidence, or no argumentative use of the pattern.</x:v>
      </x:c>
      <x:c r="T137" s="13" t="str">
        <x:v>Mild or ambiguous cue; do not classify without clear evidence span.</x:v>
      </x:c>
      <x:c r="U137" s="13" t="str">
        <x:v>Clear claim-level pattern with some argumentative impact.</x:v>
      </x:c>
      <x:c r="V137" s="13" t="str">
        <x:v>Strong pattern central to the conclusion and likely to materially distort reasoning.</x:v>
      </x:c>
      <x:c r="W137" s="13" t="str"/>
      <x:c r="X137" s="13" t="str">
        <x:v>sep_fallacies</x:v>
      </x:c>
      <x:c r="Y137" s="13" t="str">
        <x:v>https://plato.stanford.edu/entries/fallacies/</x:v>
      </x:c>
      <x:c r="Z137" s="13" t="str">
        <x:v>Review before enabling. This workbook is a living taxonomy scaffold, not a validated scientific benchmark.</x:v>
      </x:c>
      <x:c r="AA137" s="13" t="str">
        <x:v>0.1.0-draft</x:v>
      </x:c>
      <x:c r="AB137" s="12" t="str">
        <x:f>IF(ISNUMBER(SEARCH("healthy",F137)),"healthy_reasoning_patterns",IF(ISNUMBER(SEARCH("statistical",F137)),"statistical_reasoning",IF(ISNUMBER(SEARCH("causal",F137)),"causal_reasoning",IF(ISNUMBER(SEARCH("social",F137)),"social_influence",IF(ISNUMBER(SEARCH("rhetoric",F137)),"rhetoric_discourse",IF(ISNUMBER(SEARCH("behavior",F137)),"behavioural_economics",IF(ISNUMBER(SEARCH("cognitive",F137)),"cognitive_biases",IF(J137="protective_pattern","healthy_reasoning_patterns",IF(L137="P0","core_mvp","extended_fallacies")))))))))</x:f>
        <x:v>extended_fallacies</x:v>
      </x:c>
      <x:c r="AC137" s="12" t="str">
        <x:f>IF(ISNUMBER(SEARCH("operational",J137)),"operational",IF(ISNUMBER(SEARCH("deprecated",J137)),"deprecated",IF(L137="P0","canonical","recognized_subtype")))</x:f>
        <x:v>operational</x:v>
      </x:c>
      <x:c r="AD137" s="12" t="str">
        <x:f>IF(AC137="canonical","high",IF(AC137="recognized_subtype","medium",IF(AC137="operational","operational_only","debated")))</x:f>
        <x:v>operational_only</x:v>
      </x:c>
      <x:c r="AE137" s="12" t="str">
        <x:f>IF(AC137="deprecated","deprecated",IF(M137="yes","active",IF(M137="review","review_required","backlog")))</x:f>
        <x:v>backlog</x:v>
      </x:c>
      <x:c r="AF137" s="12" t="str">
        <x:f>IF(OR(AE137="active",AE137="review_required"),"yes","no")</x:f>
        <x:v>no</x:v>
      </x:c>
      <x:c r="AG137" s="12" t="str">
        <x:f>IF(AND(AE137="active",M137="yes",NOT(ISNUMBER(SEARCH("healthy",AB137)))),"yes","no")</x:f>
        <x:v>no</x:v>
      </x:c>
      <x:c r="AH137" s="12" t="str">
        <x:f>IF(OR(H137="contextual",H137="dialogue",H137="discourse",I137="claim+context",I137="discourse_segment"),"yes","no")</x:f>
        <x:v>yes</x:v>
      </x:c>
      <x:c r="AI137" s="12" t="str">
        <x:f>IF(OR(AH137="yes",AD137="debated",AC137="operational"),"yes","no")</x:f>
        <x:v>yes</x:v>
      </x:c>
      <x:c r="AJ137" s="12" t="str">
        <x:f>IF(OR(AH137="yes",AC137="operational",AD137="debated"),"high",IF(AND(AG137="yes",L137="P0"),"medium","low"))</x:f>
        <x:v>high</x:v>
      </x:c>
      <x:c r="AK137" s="12" t="str">
        <x:f>IF(ISNUMBER(SEARCH("healthy",AB137)),"yes","no")</x:f>
        <x:v>no</x:v>
      </x:c>
      <x:c r="AL137" s="12" t="str">
        <x:f>IF(AG137="yes","yes","candidate_only")</x:f>
        <x:v>candidate_only</x:v>
      </x:c>
      <x:c r="AM137" s="12" t="str">
        <x:f>IF(OR(AC137="canonical",AG137="yes"),"yes","recommended")</x:f>
        <x:v>recommended</x:v>
      </x:c>
      <x:c r="AN137" s="12" t="str">
        <x:f>IF(AC137="deprecated","exclude",IF(AND(AG137="yes",AJ137="high"),"import_but_human_review_required",IF(AG137="yes","import_as_active","import_as_backlog")))</x:f>
        <x:v>import_as_backlog</x:v>
      </x:c>
      <x:c r="AO137" s="12" t="str">
        <x:f>IF(AND(AG137="yes",OR(P137="",Q137="",R137="",S137="")),"missing_required_mvp_fields",IF(AND(AC137="canonical",Y137=""),"missing_source_ref","ok"))</x:f>
        <x:v>ok</x:v>
      </x:c>
      <x:c r="AP137" s="12" t="str">
        <x:f>IF(AO137="ok","ready_for_codex_import","needs_review")</x:f>
        <x:v>ready_for_codex_import</x:v>
      </x:c>
      <x:c r="AQ137" s="12"/>
      <x:c r="AR137" s="12" t="str">
        <x:v>Added v2 operational fields. Review before classification activation.</x:v>
      </x:c>
    </x:row>
    <x:row r="138">
      <x:c r="A138" s="13" t="str">
        <x:v>relative_privation_implicit_premise</x:v>
      </x:c>
      <x:c r="B138" s="13" t="str">
        <x:v>relative_privation</x:v>
      </x:c>
      <x:c r="C138" s="13" t="str">
        <x:v>Relative privation</x:v>
      </x:c>
      <x:c r="D138" s="13" t="str">
        <x:v>کم‌اهمیت‌سازی با مقایسه</x:v>
      </x:c>
      <x:c r="E138" s="13" t="str">
        <x:v>Implicit-premise variant</x:v>
      </x:c>
      <x:c r="F138" s="13" t="str">
        <x:v>reasoning_failures</x:v>
      </x:c>
      <x:c r="G138" s="13" t="str">
        <x:v>operational_variant</x:v>
      </x:c>
      <x:c r="H138" s="13" t="str">
        <x:v>dialogue</x:v>
      </x:c>
      <x:c r="I138" s="13" t="str">
        <x:v>discourse_segment</x:v>
      </x:c>
      <x:c r="J138" s="13" t="str">
        <x:v>derived_operational_subtype</x:v>
      </x:c>
      <x:c r="K138" s="13" t="str">
        <x:v>derived_from_established_parent_review_required</x:v>
      </x:c>
      <x:c r="L138" s="13" t="str">
        <x:v>P3</x:v>
      </x:c>
      <x:c r="M138" s="13" t="str">
        <x:v>no</x:v>
      </x:c>
      <x:c r="N138" s="13" t="str">
        <x:v>Operational subtype under Relative privation: a crucial premise is implied rather than stated. Parent definition: Dismissing a problem because worse problems exist.</x:v>
      </x:c>
      <x:c r="O138" s="13" t="str">
        <x:v>Look for: explicit claim-level evidence; parent-family cues for Relative privation; variant cue: a crucial premise is implied rather than stated; avoid author-level inference.</x:v>
      </x:c>
      <x:c r="P138" s="13" t="str">
        <x:v>Exact evidence span in text plus claim-level reasoning link; for contextual/discourse entries, require surrounding context.</x:v>
      </x:c>
      <x:c r="Q138" s="13" t="str">
        <x:v>Do not label merely because topic is controversial, emotional, or wrong. Do not judge intent or personality. Require textual evidence and consider healthy-reasoning cues.</x:v>
      </x:c>
      <x:c r="R138" s="13" t="str">
        <x:v>Stub: A claim relies on a crucial premise is implied rather than stated to support a conclusion without adequate qualification.</x:v>
      </x:c>
      <x:c r="S138" s="13" t="str">
        <x:v>Stub: A claim discusses relative privation with caveats, balanced evidence, or no argumentative use of the pattern.</x:v>
      </x:c>
      <x:c r="T138" s="13" t="str">
        <x:v>Mild or ambiguous cue; do not classify without clear evidence span.</x:v>
      </x:c>
      <x:c r="U138" s="13" t="str">
        <x:v>Clear claim-level pattern with some argumentative impact.</x:v>
      </x:c>
      <x:c r="V138" s="13" t="str">
        <x:v>Strong pattern central to the conclusion and likely to materially distort reasoning.</x:v>
      </x:c>
      <x:c r="W138" s="13" t="str"/>
      <x:c r="X138" s="13" t="str">
        <x:v>sep_fallacies</x:v>
      </x:c>
      <x:c r="Y138" s="13" t="str">
        <x:v>https://plato.stanford.edu/entries/fallacies/</x:v>
      </x:c>
      <x:c r="Z138" s="13" t="str">
        <x:v>Review before enabling. This workbook is a living taxonomy scaffold, not a validated scientific benchmark.</x:v>
      </x:c>
      <x:c r="AA138" s="13" t="str">
        <x:v>0.1.0-draft</x:v>
      </x:c>
      <x:c r="AB138" s="12" t="str">
        <x:f>IF(ISNUMBER(SEARCH("healthy",F138)),"healthy_reasoning_patterns",IF(ISNUMBER(SEARCH("statistical",F138)),"statistical_reasoning",IF(ISNUMBER(SEARCH("causal",F138)),"causal_reasoning",IF(ISNUMBER(SEARCH("social",F138)),"social_influence",IF(ISNUMBER(SEARCH("rhetoric",F138)),"rhetoric_discourse",IF(ISNUMBER(SEARCH("behavior",F138)),"behavioural_economics",IF(ISNUMBER(SEARCH("cognitive",F138)),"cognitive_biases",IF(J138="protective_pattern","healthy_reasoning_patterns",IF(L138="P0","core_mvp","extended_fallacies")))))))))</x:f>
        <x:v>extended_fallacies</x:v>
      </x:c>
      <x:c r="AC138" s="12" t="str">
        <x:f>IF(ISNUMBER(SEARCH("operational",J138)),"operational",IF(ISNUMBER(SEARCH("deprecated",J138)),"deprecated",IF(L138="P0","canonical","recognized_subtype")))</x:f>
        <x:v>operational</x:v>
      </x:c>
      <x:c r="AD138" s="12" t="str">
        <x:f>IF(AC138="canonical","high",IF(AC138="recognized_subtype","medium",IF(AC138="operational","operational_only","debated")))</x:f>
        <x:v>operational_only</x:v>
      </x:c>
      <x:c r="AE138" s="12" t="str">
        <x:f>IF(AC138="deprecated","deprecated",IF(M138="yes","active",IF(M138="review","review_required","backlog")))</x:f>
        <x:v>backlog</x:v>
      </x:c>
      <x:c r="AF138" s="12" t="str">
        <x:f>IF(OR(AE138="active",AE138="review_required"),"yes","no")</x:f>
        <x:v>no</x:v>
      </x:c>
      <x:c r="AG138" s="12" t="str">
        <x:f>IF(AND(AE138="active",M138="yes",NOT(ISNUMBER(SEARCH("healthy",AB138)))),"yes","no")</x:f>
        <x:v>no</x:v>
      </x:c>
      <x:c r="AH138" s="12" t="str">
        <x:f>IF(OR(H138="contextual",H138="dialogue",H138="discourse",I138="claim+context",I138="discourse_segment"),"yes","no")</x:f>
        <x:v>yes</x:v>
      </x:c>
      <x:c r="AI138" s="12" t="str">
        <x:f>IF(OR(AH138="yes",AD138="debated",AC138="operational"),"yes","no")</x:f>
        <x:v>yes</x:v>
      </x:c>
      <x:c r="AJ138" s="12" t="str">
        <x:f>IF(OR(AH138="yes",AC138="operational",AD138="debated"),"high",IF(AND(AG138="yes",L138="P0"),"medium","low"))</x:f>
        <x:v>high</x:v>
      </x:c>
      <x:c r="AK138" s="12" t="str">
        <x:f>IF(ISNUMBER(SEARCH("healthy",AB138)),"yes","no")</x:f>
        <x:v>no</x:v>
      </x:c>
      <x:c r="AL138" s="12" t="str">
        <x:f>IF(AG138="yes","yes","candidate_only")</x:f>
        <x:v>candidate_only</x:v>
      </x:c>
      <x:c r="AM138" s="12" t="str">
        <x:f>IF(OR(AC138="canonical",AG138="yes"),"yes","recommended")</x:f>
        <x:v>recommended</x:v>
      </x:c>
      <x:c r="AN138" s="12" t="str">
        <x:f>IF(AC138="deprecated","exclude",IF(AND(AG138="yes",AJ138="high"),"import_but_human_review_required",IF(AG138="yes","import_as_active","import_as_backlog")))</x:f>
        <x:v>import_as_backlog</x:v>
      </x:c>
      <x:c r="AO138" s="12" t="str">
        <x:f>IF(AND(AG138="yes",OR(P138="",Q138="",R138="",S138="")),"missing_required_mvp_fields",IF(AND(AC138="canonical",Y138=""),"missing_source_ref","ok"))</x:f>
        <x:v>ok</x:v>
      </x:c>
      <x:c r="AP138" s="12" t="str">
        <x:f>IF(AO138="ok","ready_for_codex_import","needs_review")</x:f>
        <x:v>ready_for_codex_import</x:v>
      </x:c>
      <x:c r="AQ138" s="12"/>
      <x:c r="AR138" s="12" t="str">
        <x:v>Added v2 operational fields. Review before classification activation.</x:v>
      </x:c>
    </x:row>
    <x:row r="139">
      <x:c r="A139" s="13" t="str">
        <x:v>whataboutism_implicit_premise</x:v>
      </x:c>
      <x:c r="B139" s="13" t="str">
        <x:v>whataboutism</x:v>
      </x:c>
      <x:c r="C139" s="13" t="str">
        <x:v>Whataboutism</x:v>
      </x:c>
      <x:c r="D139" s="13" t="str">
        <x:v>چه‌درباره‌گرایی</x:v>
      </x:c>
      <x:c r="E139" s="13" t="str">
        <x:v>Implicit-premise variant</x:v>
      </x:c>
      <x:c r="F139" s="13" t="str">
        <x:v>reasoning_failures</x:v>
      </x:c>
      <x:c r="G139" s="13" t="str">
        <x:v>operational_variant</x:v>
      </x:c>
      <x:c r="H139" s="13" t="str">
        <x:v>dialogue</x:v>
      </x:c>
      <x:c r="I139" s="13" t="str">
        <x:v>discourse_segment</x:v>
      </x:c>
      <x:c r="J139" s="13" t="str">
        <x:v>derived_operational_subtype</x:v>
      </x:c>
      <x:c r="K139" s="13" t="str">
        <x:v>derived_from_established_parent_review_required</x:v>
      </x:c>
      <x:c r="L139" s="13" t="str">
        <x:v>P3</x:v>
      </x:c>
      <x:c r="M139" s="13" t="str">
        <x:v>no</x:v>
      </x:c>
      <x:c r="N139" s="13" t="str">
        <x:v>Operational subtype under Whataboutism: a crucial premise is implied rather than stated. Parent definition: Deflecting criticism by pointing to another issue.</x:v>
      </x:c>
      <x:c r="O139" s="13" t="str">
        <x:v>Look for: explicit claim-level evidence; parent-family cues for Whataboutism; variant cue: a crucial premise is implied rather than stated; avoid author-level inference.</x:v>
      </x:c>
      <x:c r="P139" s="13" t="str">
        <x:v>Exact evidence span in text plus claim-level reasoning link; for contextual/discourse entries, require surrounding context.</x:v>
      </x:c>
      <x:c r="Q139" s="13" t="str">
        <x:v>Do not label merely because topic is controversial, emotional, or wrong. Do not judge intent or personality. Require textual evidence and consider healthy-reasoning cues.</x:v>
      </x:c>
      <x:c r="R139" s="13" t="str">
        <x:v>Stub: A claim relies on a crucial premise is implied rather than stated to support a conclusion without adequate qualification.</x:v>
      </x:c>
      <x:c r="S139" s="13" t="str">
        <x:v>Stub: A claim discusses whataboutism with caveats, balanced evidence, or no argumentative use of the pattern.</x:v>
      </x:c>
      <x:c r="T139" s="13" t="str">
        <x:v>Mild or ambiguous cue; do not classify without clear evidence span.</x:v>
      </x:c>
      <x:c r="U139" s="13" t="str">
        <x:v>Clear claim-level pattern with some argumentative impact.</x:v>
      </x:c>
      <x:c r="V139" s="13" t="str">
        <x:v>Strong pattern central to the conclusion and likely to materially distort reasoning.</x:v>
      </x:c>
      <x:c r="W139" s="13" t="str"/>
      <x:c r="X139" s="13" t="str">
        <x:v>pragmadialectics</x:v>
      </x:c>
      <x:c r="Y139" s="13" t="str">
        <x:v>https://doi.org/10.1017/CBO9780511616389</x:v>
      </x:c>
      <x:c r="Z139" s="13" t="str">
        <x:v>Review before enabling. This workbook is a living taxonomy scaffold, not a validated scientific benchmark.</x:v>
      </x:c>
      <x:c r="AA139" s="13" t="str">
        <x:v>0.1.0-draft</x:v>
      </x:c>
      <x:c r="AB139" s="12" t="str">
        <x:f>IF(ISNUMBER(SEARCH("healthy",F139)),"healthy_reasoning_patterns",IF(ISNUMBER(SEARCH("statistical",F139)),"statistical_reasoning",IF(ISNUMBER(SEARCH("causal",F139)),"causal_reasoning",IF(ISNUMBER(SEARCH("social",F139)),"social_influence",IF(ISNUMBER(SEARCH("rhetoric",F139)),"rhetoric_discourse",IF(ISNUMBER(SEARCH("behavior",F139)),"behavioural_economics",IF(ISNUMBER(SEARCH("cognitive",F139)),"cognitive_biases",IF(J139="protective_pattern","healthy_reasoning_patterns",IF(L139="P0","core_mvp","extended_fallacies")))))))))</x:f>
        <x:v>extended_fallacies</x:v>
      </x:c>
      <x:c r="AC139" s="12" t="str">
        <x:f>IF(ISNUMBER(SEARCH("operational",J139)),"operational",IF(ISNUMBER(SEARCH("deprecated",J139)),"deprecated",IF(L139="P0","canonical","recognized_subtype")))</x:f>
        <x:v>operational</x:v>
      </x:c>
      <x:c r="AD139" s="12" t="str">
        <x:f>IF(AC139="canonical","high",IF(AC139="recognized_subtype","medium",IF(AC139="operational","operational_only","debated")))</x:f>
        <x:v>operational_only</x:v>
      </x:c>
      <x:c r="AE139" s="12" t="str">
        <x:f>IF(AC139="deprecated","deprecated",IF(M139="yes","active",IF(M139="review","review_required","backlog")))</x:f>
        <x:v>backlog</x:v>
      </x:c>
      <x:c r="AF139" s="12" t="str">
        <x:f>IF(OR(AE139="active",AE139="review_required"),"yes","no")</x:f>
        <x:v>no</x:v>
      </x:c>
      <x:c r="AG139" s="12" t="str">
        <x:f>IF(AND(AE139="active",M139="yes",NOT(ISNUMBER(SEARCH("healthy",AB139)))),"yes","no")</x:f>
        <x:v>no</x:v>
      </x:c>
      <x:c r="AH139" s="12" t="str">
        <x:f>IF(OR(H139="contextual",H139="dialogue",H139="discourse",I139="claim+context",I139="discourse_segment"),"yes","no")</x:f>
        <x:v>yes</x:v>
      </x:c>
      <x:c r="AI139" s="12" t="str">
        <x:f>IF(OR(AH139="yes",AD139="debated",AC139="operational"),"yes","no")</x:f>
        <x:v>yes</x:v>
      </x:c>
      <x:c r="AJ139" s="12" t="str">
        <x:f>IF(OR(AH139="yes",AC139="operational",AD139="debated"),"high",IF(AND(AG139="yes",L139="P0"),"medium","low"))</x:f>
        <x:v>high</x:v>
      </x:c>
      <x:c r="AK139" s="12" t="str">
        <x:f>IF(ISNUMBER(SEARCH("healthy",AB139)),"yes","no")</x:f>
        <x:v>no</x:v>
      </x:c>
      <x:c r="AL139" s="12" t="str">
        <x:f>IF(AG139="yes","yes","candidate_only")</x:f>
        <x:v>candidate_only</x:v>
      </x:c>
      <x:c r="AM139" s="12" t="str">
        <x:f>IF(OR(AC139="canonical",AG139="yes"),"yes","recommended")</x:f>
        <x:v>recommended</x:v>
      </x:c>
      <x:c r="AN139" s="12" t="str">
        <x:f>IF(AC139="deprecated","exclude",IF(AND(AG139="yes",AJ139="high"),"import_but_human_review_required",IF(AG139="yes","import_as_active","import_as_backlog")))</x:f>
        <x:v>import_as_backlog</x:v>
      </x:c>
      <x:c r="AO139" s="12" t="str">
        <x:f>IF(AND(AG139="yes",OR(P139="",Q139="",R139="",S139="")),"missing_required_mvp_fields",IF(AND(AC139="canonical",Y139=""),"missing_source_ref","ok"))</x:f>
        <x:v>ok</x:v>
      </x:c>
      <x:c r="AP139" s="12" t="str">
        <x:f>IF(AO139="ok","ready_for_codex_import","needs_review")</x:f>
        <x:v>ready_for_codex_import</x:v>
      </x:c>
      <x:c r="AQ139" s="12"/>
      <x:c r="AR139" s="12" t="str">
        <x:v>Added v2 operational fields. Review before classification activation.</x:v>
      </x:c>
    </x:row>
    <x:row r="140">
      <x:c r="A140" s="13" t="str">
        <x:v>straw_man_comparative_variant</x:v>
      </x:c>
      <x:c r="B140" s="13" t="str">
        <x:v>straw_man</x:v>
      </x:c>
      <x:c r="C140" s="13" t="str">
        <x:v>Straw man</x:v>
      </x:c>
      <x:c r="D140" s="13" t="str">
        <x:v>تحریف موضع مقابل</x:v>
      </x:c>
      <x:c r="E140" s="13" t="str">
        <x:v>Comparative variant</x:v>
      </x:c>
      <x:c r="F140" s="13" t="str">
        <x:v>reasoning_failures</x:v>
      </x:c>
      <x:c r="G140" s="13" t="str">
        <x:v>operational_variant</x:v>
      </x:c>
      <x:c r="H140" s="13" t="str">
        <x:v>structural</x:v>
      </x:c>
      <x:c r="I140" s="13" t="str">
        <x:v>claim</x:v>
      </x:c>
      <x:c r="J140" s="13" t="str">
        <x:v>derived_operational_subtype</x:v>
      </x:c>
      <x:c r="K140" s="13" t="str">
        <x:v>derived_from_established_parent_review_required</x:v>
      </x:c>
      <x:c r="L140" s="13" t="str">
        <x:v>P3</x:v>
      </x:c>
      <x:c r="M140" s="13" t="str">
        <x:v>no</x:v>
      </x:c>
      <x:c r="N140" s="13" t="str">
        <x:v>Operational subtype under Straw man: the pattern appears through comparison between cases. Parent definition: Misrepresenting an opponent's position to make it easier to refute.</x:v>
      </x:c>
      <x:c r="O140" s="13" t="str">
        <x:v>Look for: explicit claim-level evidence; parent-family cues for Straw man; variant cue: the pattern appears through comparison between cases; avoid author-level inference.</x:v>
      </x:c>
      <x:c r="P140" s="13" t="str">
        <x:v>Exact evidence span in text plus claim-level reasoning link; for contextual/discourse entries, require surrounding context.</x:v>
      </x:c>
      <x:c r="Q140" s="13" t="str">
        <x:v>Do not label merely because topic is controversial, emotional, or wrong. Do not judge intent or personality. Require textual evidence and consider healthy-reasoning cues.</x:v>
      </x:c>
      <x:c r="R140" s="13" t="str">
        <x:v>Stub: A claim relies on the pattern appears through comparison between cases to support a conclusion without adequate qualification.</x:v>
      </x:c>
      <x:c r="S140" s="13" t="str">
        <x:v>Stub: A claim discusses straw man with caveats, balanced evidence, or no argumentative use of the pattern.</x:v>
      </x:c>
      <x:c r="T140" s="13" t="str">
        <x:v>Mild or ambiguous cue; do not classify without clear evidence span.</x:v>
      </x:c>
      <x:c r="U140" s="13" t="str">
        <x:v>Clear claim-level pattern with some argumentative impact.</x:v>
      </x:c>
      <x:c r="V140" s="13" t="str">
        <x:v>Strong pattern central to the conclusion and likely to materially distort reasoning.</x:v>
      </x:c>
      <x:c r="W140" s="13" t="str"/>
      <x:c r="X140" s="13" t="str">
        <x:v>sep_fallacies</x:v>
      </x:c>
      <x:c r="Y140" s="13" t="str">
        <x:v>https://plato.stanford.edu/entries/fallacies/</x:v>
      </x:c>
      <x:c r="Z140" s="13" t="str">
        <x:v>Review before enabling. This workbook is a living taxonomy scaffold, not a validated scientific benchmark.</x:v>
      </x:c>
      <x:c r="AA140" s="13" t="str">
        <x:v>0.1.0-draft</x:v>
      </x:c>
      <x:c r="AB140" s="12" t="str">
        <x:f>IF(ISNUMBER(SEARCH("healthy",F140)),"healthy_reasoning_patterns",IF(ISNUMBER(SEARCH("statistical",F140)),"statistical_reasoning",IF(ISNUMBER(SEARCH("causal",F140)),"causal_reasoning",IF(ISNUMBER(SEARCH("social",F140)),"social_influence",IF(ISNUMBER(SEARCH("rhetoric",F140)),"rhetoric_discourse",IF(ISNUMBER(SEARCH("behavior",F140)),"behavioural_economics",IF(ISNUMBER(SEARCH("cognitive",F140)),"cognitive_biases",IF(J140="protective_pattern","healthy_reasoning_patterns",IF(L140="P0","core_mvp","extended_fallacies")))))))))</x:f>
        <x:v>extended_fallacies</x:v>
      </x:c>
      <x:c r="AC140" s="12" t="str">
        <x:f>IF(ISNUMBER(SEARCH("operational",J140)),"operational",IF(ISNUMBER(SEARCH("deprecated",J140)),"deprecated",IF(L140="P0","canonical","recognized_subtype")))</x:f>
        <x:v>operational</x:v>
      </x:c>
      <x:c r="AD140" s="12" t="str">
        <x:f>IF(AC140="canonical","high",IF(AC140="recognized_subtype","medium",IF(AC140="operational","operational_only","debated")))</x:f>
        <x:v>operational_only</x:v>
      </x:c>
      <x:c r="AE140" s="12" t="str">
        <x:f>IF(AC140="deprecated","deprecated",IF(M140="yes","active",IF(M140="review","review_required","backlog")))</x:f>
        <x:v>backlog</x:v>
      </x:c>
      <x:c r="AF140" s="12" t="str">
        <x:f>IF(OR(AE140="active",AE140="review_required"),"yes","no")</x:f>
        <x:v>no</x:v>
      </x:c>
      <x:c r="AG140" s="12" t="str">
        <x:f>IF(AND(AE140="active",M140="yes",NOT(ISNUMBER(SEARCH("healthy",AB140)))),"yes","no")</x:f>
        <x:v>no</x:v>
      </x:c>
      <x:c r="AH140" s="12" t="str">
        <x:f>IF(OR(H140="contextual",H140="dialogue",H140="discourse",I140="claim+context",I140="discourse_segment"),"yes","no")</x:f>
        <x:v>no</x:v>
      </x:c>
      <x:c r="AI140" s="12" t="str">
        <x:f>IF(OR(AH140="yes",AD140="debated",AC140="operational"),"yes","no")</x:f>
        <x:v>yes</x:v>
      </x:c>
      <x:c r="AJ140" s="12" t="str">
        <x:f>IF(OR(AH140="yes",AC140="operational",AD140="debated"),"high",IF(AND(AG140="yes",L140="P0"),"medium","low"))</x:f>
        <x:v>high</x:v>
      </x:c>
      <x:c r="AK140" s="12" t="str">
        <x:f>IF(ISNUMBER(SEARCH("healthy",AB140)),"yes","no")</x:f>
        <x:v>no</x:v>
      </x:c>
      <x:c r="AL140" s="12" t="str">
        <x:f>IF(AG140="yes","yes","candidate_only")</x:f>
        <x:v>candidate_only</x:v>
      </x:c>
      <x:c r="AM140" s="12" t="str">
        <x:f>IF(OR(AC140="canonical",AG140="yes"),"yes","recommended")</x:f>
        <x:v>recommended</x:v>
      </x:c>
      <x:c r="AN140" s="12" t="str">
        <x:f>IF(AC140="deprecated","exclude",IF(AND(AG140="yes",AJ140="high"),"import_but_human_review_required",IF(AG140="yes","import_as_active","import_as_backlog")))</x:f>
        <x:v>import_as_backlog</x:v>
      </x:c>
      <x:c r="AO140" s="12" t="str">
        <x:f>IF(AND(AG140="yes",OR(P140="",Q140="",R140="",S140="")),"missing_required_mvp_fields",IF(AND(AC140="canonical",Y140=""),"missing_source_ref","ok"))</x:f>
        <x:v>ok</x:v>
      </x:c>
      <x:c r="AP140" s="12" t="str">
        <x:f>IF(AO140="ok","ready_for_codex_import","needs_review")</x:f>
        <x:v>ready_for_codex_import</x:v>
      </x:c>
      <x:c r="AQ140" s="12"/>
      <x:c r="AR140" s="12" t="str">
        <x:v>Added v2 operational fields. Review before classification activation.</x:v>
      </x:c>
    </x:row>
    <x:row r="141">
      <x:c r="A141" s="13" t="str">
        <x:v>weak_man_comparative_variant</x:v>
      </x:c>
      <x:c r="B141" s="13" t="str">
        <x:v>weak_man</x:v>
      </x:c>
      <x:c r="C141" s="13" t="str">
        <x:v>Weak man</x:v>
      </x:c>
      <x:c r="D141" s="13" t="str">
        <x:v>انتخاب نسخه ضعیف استدلال مقابل</x:v>
      </x:c>
      <x:c r="E141" s="13" t="str">
        <x:v>Comparative variant</x:v>
      </x:c>
      <x:c r="F141" s="13" t="str">
        <x:v>reasoning_failures</x:v>
      </x:c>
      <x:c r="G141" s="13" t="str">
        <x:v>operational_variant</x:v>
      </x:c>
      <x:c r="H141" s="13" t="str">
        <x:v>structural</x:v>
      </x:c>
      <x:c r="I141" s="13" t="str">
        <x:v>claim</x:v>
      </x:c>
      <x:c r="J141" s="13" t="str">
        <x:v>derived_operational_subtype</x:v>
      </x:c>
      <x:c r="K141" s="13" t="str">
        <x:v>derived_from_established_parent_review_required</x:v>
      </x:c>
      <x:c r="L141" s="13" t="str">
        <x:v>P3</x:v>
      </x:c>
      <x:c r="M141" s="13" t="str">
        <x:v>no</x:v>
      </x:c>
      <x:c r="N141" s="13" t="str">
        <x:v>Operational subtype under Weak man: the pattern appears through comparison between cases. Parent definition: Targeting a weak version of a broader position rather than the strongest relevant version.</x:v>
      </x:c>
      <x:c r="O141" s="13" t="str">
        <x:v>Look for: explicit claim-level evidence; parent-family cues for Weak man; variant cue: the pattern appears through comparison between cases; avoid author-level inference.</x:v>
      </x:c>
      <x:c r="P141" s="13" t="str">
        <x:v>Exact evidence span in text plus claim-level reasoning link; for contextual/discourse entries, require surrounding context.</x:v>
      </x:c>
      <x:c r="Q141" s="13" t="str">
        <x:v>Do not label merely because topic is controversial, emotional, or wrong. Do not judge intent or personality. Require textual evidence and consider healthy-reasoning cues.</x:v>
      </x:c>
      <x:c r="R141" s="13" t="str">
        <x:v>Stub: A claim relies on the pattern appears through comparison between cases to support a conclusion without adequate qualification.</x:v>
      </x:c>
      <x:c r="S141" s="13" t="str">
        <x:v>Stub: A claim discusses weak man with caveats, balanced evidence, or no argumentative use of the pattern.</x:v>
      </x:c>
      <x:c r="T141" s="13" t="str">
        <x:v>Mild or ambiguous cue; do not classify without clear evidence span.</x:v>
      </x:c>
      <x:c r="U141" s="13" t="str">
        <x:v>Clear claim-level pattern with some argumentative impact.</x:v>
      </x:c>
      <x:c r="V141" s="13" t="str">
        <x:v>Strong pattern central to the conclusion and likely to materially distort reasoning.</x:v>
      </x:c>
      <x:c r="W141" s="13" t="str"/>
      <x:c r="X141" s="13" t="str">
        <x:v>sep_fallacies</x:v>
      </x:c>
      <x:c r="Y141" s="13" t="str">
        <x:v>https://plato.stanford.edu/entries/fallacies/</x:v>
      </x:c>
      <x:c r="Z141" s="13" t="str">
        <x:v>Review before enabling. This workbook is a living taxonomy scaffold, not a validated scientific benchmark.</x:v>
      </x:c>
      <x:c r="AA141" s="13" t="str">
        <x:v>0.1.0-draft</x:v>
      </x:c>
      <x:c r="AB141" s="12" t="str">
        <x:f>IF(ISNUMBER(SEARCH("healthy",F141)),"healthy_reasoning_patterns",IF(ISNUMBER(SEARCH("statistical",F141)),"statistical_reasoning",IF(ISNUMBER(SEARCH("causal",F141)),"causal_reasoning",IF(ISNUMBER(SEARCH("social",F141)),"social_influence",IF(ISNUMBER(SEARCH("rhetoric",F141)),"rhetoric_discourse",IF(ISNUMBER(SEARCH("behavior",F141)),"behavioural_economics",IF(ISNUMBER(SEARCH("cognitive",F141)),"cognitive_biases",IF(J141="protective_pattern","healthy_reasoning_patterns",IF(L141="P0","core_mvp","extended_fallacies")))))))))</x:f>
        <x:v>extended_fallacies</x:v>
      </x:c>
      <x:c r="AC141" s="12" t="str">
        <x:f>IF(ISNUMBER(SEARCH("operational",J141)),"operational",IF(ISNUMBER(SEARCH("deprecated",J141)),"deprecated",IF(L141="P0","canonical","recognized_subtype")))</x:f>
        <x:v>operational</x:v>
      </x:c>
      <x:c r="AD141" s="12" t="str">
        <x:f>IF(AC141="canonical","high",IF(AC141="recognized_subtype","medium",IF(AC141="operational","operational_only","debated")))</x:f>
        <x:v>operational_only</x:v>
      </x:c>
      <x:c r="AE141" s="12" t="str">
        <x:f>IF(AC141="deprecated","deprecated",IF(M141="yes","active",IF(M141="review","review_required","backlog")))</x:f>
        <x:v>backlog</x:v>
      </x:c>
      <x:c r="AF141" s="12" t="str">
        <x:f>IF(OR(AE141="active",AE141="review_required"),"yes","no")</x:f>
        <x:v>no</x:v>
      </x:c>
      <x:c r="AG141" s="12" t="str">
        <x:f>IF(AND(AE141="active",M141="yes",NOT(ISNUMBER(SEARCH("healthy",AB141)))),"yes","no")</x:f>
        <x:v>no</x:v>
      </x:c>
      <x:c r="AH141" s="12" t="str">
        <x:f>IF(OR(H141="contextual",H141="dialogue",H141="discourse",I141="claim+context",I141="discourse_segment"),"yes","no")</x:f>
        <x:v>no</x:v>
      </x:c>
      <x:c r="AI141" s="12" t="str">
        <x:f>IF(OR(AH141="yes",AD141="debated",AC141="operational"),"yes","no")</x:f>
        <x:v>yes</x:v>
      </x:c>
      <x:c r="AJ141" s="12" t="str">
        <x:f>IF(OR(AH141="yes",AC141="operational",AD141="debated"),"high",IF(AND(AG141="yes",L141="P0"),"medium","low"))</x:f>
        <x:v>high</x:v>
      </x:c>
      <x:c r="AK141" s="12" t="str">
        <x:f>IF(ISNUMBER(SEARCH("healthy",AB141)),"yes","no")</x:f>
        <x:v>no</x:v>
      </x:c>
      <x:c r="AL141" s="12" t="str">
        <x:f>IF(AG141="yes","yes","candidate_only")</x:f>
        <x:v>candidate_only</x:v>
      </x:c>
      <x:c r="AM141" s="12" t="str">
        <x:f>IF(OR(AC141="canonical",AG141="yes"),"yes","recommended")</x:f>
        <x:v>recommended</x:v>
      </x:c>
      <x:c r="AN141" s="12" t="str">
        <x:f>IF(AC141="deprecated","exclude",IF(AND(AG141="yes",AJ141="high"),"import_but_human_review_required",IF(AG141="yes","import_as_active","import_as_backlog")))</x:f>
        <x:v>import_as_backlog</x:v>
      </x:c>
      <x:c r="AO141" s="12" t="str">
        <x:f>IF(AND(AG141="yes",OR(P141="",Q141="",R141="",S141="")),"missing_required_mvp_fields",IF(AND(AC141="canonical",Y141=""),"missing_source_ref","ok"))</x:f>
        <x:v>ok</x:v>
      </x:c>
      <x:c r="AP141" s="12" t="str">
        <x:f>IF(AO141="ok","ready_for_codex_import","needs_review")</x:f>
        <x:v>ready_for_codex_import</x:v>
      </x:c>
      <x:c r="AQ141" s="12"/>
      <x:c r="AR141" s="12" t="str">
        <x:v>Added v2 operational fields. Review before classification activation.</x:v>
      </x:c>
    </x:row>
    <x:row r="142">
      <x:c r="A142" s="13" t="str">
        <x:v>ad_hominem_abusive_comparative_variant</x:v>
      </x:c>
      <x:c r="B142" s="13" t="str">
        <x:v>ad_hominem_abusive</x:v>
      </x:c>
      <x:c r="C142" s="13" t="str">
        <x:v>Abusive ad hominem</x:v>
      </x:c>
      <x:c r="D142" s="13" t="str">
        <x:v>حمله شخصی مستقیم</x:v>
      </x:c>
      <x:c r="E142" s="13" t="str">
        <x:v>Comparative variant</x:v>
      </x:c>
      <x:c r="F142" s="13" t="str">
        <x:v>reasoning_failures</x:v>
      </x:c>
      <x:c r="G142" s="13" t="str">
        <x:v>operational_variant</x:v>
      </x:c>
      <x:c r="H142" s="13" t="str">
        <x:v>structural</x:v>
      </x:c>
      <x:c r="I142" s="13" t="str">
        <x:v>claim</x:v>
      </x:c>
      <x:c r="J142" s="13" t="str">
        <x:v>derived_operational_subtype</x:v>
      </x:c>
      <x:c r="K142" s="13" t="str">
        <x:v>derived_from_established_parent_review_required</x:v>
      </x:c>
      <x:c r="L142" s="13" t="str">
        <x:v>P3</x:v>
      </x:c>
      <x:c r="M142" s="13" t="str">
        <x:v>no</x:v>
      </x:c>
      <x:c r="N142" s="13" t="str">
        <x:v>Operational subtype under Abusive ad hominem: the pattern appears through comparison between cases. Parent definition: Rejecting a claim by attacking a person rather than the claim-level reasons.</x:v>
      </x:c>
      <x:c r="O142" s="13" t="str">
        <x:v>Look for: explicit claim-level evidence; parent-family cues for Abusive ad hominem; variant cue: the pattern appears through comparison between cases; avoid author-level inference.</x:v>
      </x:c>
      <x:c r="P142" s="13" t="str">
        <x:v>Exact evidence span in text plus claim-level reasoning link; for contextual/discourse entries, require surrounding context.</x:v>
      </x:c>
      <x:c r="Q142" s="13" t="str">
        <x:v>Do not label merely because topic is controversial, emotional, or wrong. Do not judge intent or personality. Require textual evidence and consider healthy-reasoning cues.</x:v>
      </x:c>
      <x:c r="R142" s="13" t="str">
        <x:v>Stub: A claim relies on the pattern appears through comparison between cases to support a conclusion without adequate qualification.</x:v>
      </x:c>
      <x:c r="S142" s="13" t="str">
        <x:v>Stub: A claim discusses abusive ad hominem with caveats, balanced evidence, or no argumentative use of the pattern.</x:v>
      </x:c>
      <x:c r="T142" s="13" t="str">
        <x:v>Mild or ambiguous cue; do not classify without clear evidence span.</x:v>
      </x:c>
      <x:c r="U142" s="13" t="str">
        <x:v>Clear claim-level pattern with some argumentative impact.</x:v>
      </x:c>
      <x:c r="V142" s="13" t="str">
        <x:v>Strong pattern central to the conclusion and likely to materially distort reasoning.</x:v>
      </x:c>
      <x:c r="W142" s="13" t="str"/>
      <x:c r="X142" s="13" t="str">
        <x:v>sep_fallacies</x:v>
      </x:c>
      <x:c r="Y142" s="13" t="str">
        <x:v>https://plato.stanford.edu/entries/fallacies/</x:v>
      </x:c>
      <x:c r="Z142" s="13" t="str">
        <x:v>Review before enabling. This workbook is a living taxonomy scaffold, not a validated scientific benchmark.</x:v>
      </x:c>
      <x:c r="AA142" s="13" t="str">
        <x:v>0.1.0-draft</x:v>
      </x:c>
      <x:c r="AB142" s="12" t="str">
        <x:f>IF(ISNUMBER(SEARCH("healthy",F142)),"healthy_reasoning_patterns",IF(ISNUMBER(SEARCH("statistical",F142)),"statistical_reasoning",IF(ISNUMBER(SEARCH("causal",F142)),"causal_reasoning",IF(ISNUMBER(SEARCH("social",F142)),"social_influence",IF(ISNUMBER(SEARCH("rhetoric",F142)),"rhetoric_discourse",IF(ISNUMBER(SEARCH("behavior",F142)),"behavioural_economics",IF(ISNUMBER(SEARCH("cognitive",F142)),"cognitive_biases",IF(J142="protective_pattern","healthy_reasoning_patterns",IF(L142="P0","core_mvp","extended_fallacies")))))))))</x:f>
        <x:v>extended_fallacies</x:v>
      </x:c>
      <x:c r="AC142" s="12" t="str">
        <x:f>IF(ISNUMBER(SEARCH("operational",J142)),"operational",IF(ISNUMBER(SEARCH("deprecated",J142)),"deprecated",IF(L142="P0","canonical","recognized_subtype")))</x:f>
        <x:v>operational</x:v>
      </x:c>
      <x:c r="AD142" s="12" t="str">
        <x:f>IF(AC142="canonical","high",IF(AC142="recognized_subtype","medium",IF(AC142="operational","operational_only","debated")))</x:f>
        <x:v>operational_only</x:v>
      </x:c>
      <x:c r="AE142" s="12" t="str">
        <x:f>IF(AC142="deprecated","deprecated",IF(M142="yes","active",IF(M142="review","review_required","backlog")))</x:f>
        <x:v>backlog</x:v>
      </x:c>
      <x:c r="AF142" s="12" t="str">
        <x:f>IF(OR(AE142="active",AE142="review_required"),"yes","no")</x:f>
        <x:v>no</x:v>
      </x:c>
      <x:c r="AG142" s="12" t="str">
        <x:f>IF(AND(AE142="active",M142="yes",NOT(ISNUMBER(SEARCH("healthy",AB142)))),"yes","no")</x:f>
        <x:v>no</x:v>
      </x:c>
      <x:c r="AH142" s="12" t="str">
        <x:f>IF(OR(H142="contextual",H142="dialogue",H142="discourse",I142="claim+context",I142="discourse_segment"),"yes","no")</x:f>
        <x:v>no</x:v>
      </x:c>
      <x:c r="AI142" s="12" t="str">
        <x:f>IF(OR(AH142="yes",AD142="debated",AC142="operational"),"yes","no")</x:f>
        <x:v>yes</x:v>
      </x:c>
      <x:c r="AJ142" s="12" t="str">
        <x:f>IF(OR(AH142="yes",AC142="operational",AD142="debated"),"high",IF(AND(AG142="yes",L142="P0"),"medium","low"))</x:f>
        <x:v>high</x:v>
      </x:c>
      <x:c r="AK142" s="12" t="str">
        <x:f>IF(ISNUMBER(SEARCH("healthy",AB142)),"yes","no")</x:f>
        <x:v>no</x:v>
      </x:c>
      <x:c r="AL142" s="12" t="str">
        <x:f>IF(AG142="yes","yes","candidate_only")</x:f>
        <x:v>candidate_only</x:v>
      </x:c>
      <x:c r="AM142" s="12" t="str">
        <x:f>IF(OR(AC142="canonical",AG142="yes"),"yes","recommended")</x:f>
        <x:v>recommended</x:v>
      </x:c>
      <x:c r="AN142" s="12" t="str">
        <x:f>IF(AC142="deprecated","exclude",IF(AND(AG142="yes",AJ142="high"),"import_but_human_review_required",IF(AG142="yes","import_as_active","import_as_backlog")))</x:f>
        <x:v>import_as_backlog</x:v>
      </x:c>
      <x:c r="AO142" s="12" t="str">
        <x:f>IF(AND(AG142="yes",OR(P142="",Q142="",R142="",S142="")),"missing_required_mvp_fields",IF(AND(AC142="canonical",Y142=""),"missing_source_ref","ok"))</x:f>
        <x:v>ok</x:v>
      </x:c>
      <x:c r="AP142" s="12" t="str">
        <x:f>IF(AO142="ok","ready_for_codex_import","needs_review")</x:f>
        <x:v>ready_for_codex_import</x:v>
      </x:c>
      <x:c r="AQ142" s="12"/>
      <x:c r="AR142" s="12" t="str">
        <x:v>Added v2 operational fields. Review before classification activation.</x:v>
      </x:c>
    </x:row>
    <x:row r="143">
      <x:c r="A143" s="13" t="str">
        <x:v>ad_hominem_circumstantial_comparative_variant</x:v>
      </x:c>
      <x:c r="B143" s="13" t="str">
        <x:v>ad_hominem_circumstantial</x:v>
      </x:c>
      <x:c r="C143" s="13" t="str">
        <x:v>Circumstantial ad hominem</x:v>
      </x:c>
      <x:c r="D143" s="13" t="str">
        <x:v>حمله به شرایط شخص</x:v>
      </x:c>
      <x:c r="E143" s="13" t="str">
        <x:v>Comparative variant</x:v>
      </x:c>
      <x:c r="F143" s="13" t="str">
        <x:v>reasoning_failures</x:v>
      </x:c>
      <x:c r="G143" s="13" t="str">
        <x:v>operational_variant</x:v>
      </x:c>
      <x:c r="H143" s="13" t="str">
        <x:v>structural</x:v>
      </x:c>
      <x:c r="I143" s="13" t="str">
        <x:v>claim</x:v>
      </x:c>
      <x:c r="J143" s="13" t="str">
        <x:v>derived_operational_subtype</x:v>
      </x:c>
      <x:c r="K143" s="13" t="str">
        <x:v>derived_from_established_parent_review_required</x:v>
      </x:c>
      <x:c r="L143" s="13" t="str">
        <x:v>P3</x:v>
      </x:c>
      <x:c r="M143" s="13" t="str">
        <x:v>no</x:v>
      </x:c>
      <x:c r="N143" s="13" t="str">
        <x:v>Operational subtype under Circumstantial ad hominem: the pattern appears through comparison between cases. Parent definition: Treating a speaker's circumstances as decisive against their claim without claim-level evidence.</x:v>
      </x:c>
      <x:c r="O143" s="13" t="str">
        <x:v>Look for: explicit claim-level evidence; parent-family cues for Circumstantial ad hominem; variant cue: the pattern appears through comparison between cases; avoid author-level inference.</x:v>
      </x:c>
      <x:c r="P143" s="13" t="str">
        <x:v>Exact evidence span in text plus claim-level reasoning link; for contextual/discourse entries, require surrounding context.</x:v>
      </x:c>
      <x:c r="Q143" s="13" t="str">
        <x:v>Do not label merely because topic is controversial, emotional, or wrong. Do not judge intent or personality. Require textual evidence and consider healthy-reasoning cues.</x:v>
      </x:c>
      <x:c r="R143" s="13" t="str">
        <x:v>Stub: A claim relies on the pattern appears through comparison between cases to support a conclusion without adequate qualification.</x:v>
      </x:c>
      <x:c r="S143" s="13" t="str">
        <x:v>Stub: A claim discusses circumstantial ad hominem with caveats, balanced evidence, or no argumentative use of the pattern.</x:v>
      </x:c>
      <x:c r="T143" s="13" t="str">
        <x:v>Mild or ambiguous cue; do not classify without clear evidence span.</x:v>
      </x:c>
      <x:c r="U143" s="13" t="str">
        <x:v>Clear claim-level pattern with some argumentative impact.</x:v>
      </x:c>
      <x:c r="V143" s="13" t="str">
        <x:v>Strong pattern central to the conclusion and likely to materially distort reasoning.</x:v>
      </x:c>
      <x:c r="W143" s="13" t="str">
        <x:v>cherry_picking; missing_counterevidence; evidence_grading</x:v>
      </x:c>
      <x:c r="X143" s="13" t="str">
        <x:v>sep_fallacies</x:v>
      </x:c>
      <x:c r="Y143" s="13" t="str">
        <x:v>https://plato.stanford.edu/entries/fallacies/</x:v>
      </x:c>
      <x:c r="Z143" s="13" t="str">
        <x:v>Review before enabling. This workbook is a living taxonomy scaffold, not a validated scientific benchmark.</x:v>
      </x:c>
      <x:c r="AA143" s="13" t="str">
        <x:v>0.1.0-draft</x:v>
      </x:c>
      <x:c r="AB143" s="12" t="str">
        <x:f>IF(ISNUMBER(SEARCH("healthy",F143)),"healthy_reasoning_patterns",IF(ISNUMBER(SEARCH("statistical",F143)),"statistical_reasoning",IF(ISNUMBER(SEARCH("causal",F143)),"causal_reasoning",IF(ISNUMBER(SEARCH("social",F143)),"social_influence",IF(ISNUMBER(SEARCH("rhetoric",F143)),"rhetoric_discourse",IF(ISNUMBER(SEARCH("behavior",F143)),"behavioural_economics",IF(ISNUMBER(SEARCH("cognitive",F143)),"cognitive_biases",IF(J143="protective_pattern","healthy_reasoning_patterns",IF(L143="P0","core_mvp","extended_fallacies")))))))))</x:f>
        <x:v>extended_fallacies</x:v>
      </x:c>
      <x:c r="AC143" s="12" t="str">
        <x:f>IF(ISNUMBER(SEARCH("operational",J143)),"operational",IF(ISNUMBER(SEARCH("deprecated",J143)),"deprecated",IF(L143="P0","canonical","recognized_subtype")))</x:f>
        <x:v>operational</x:v>
      </x:c>
      <x:c r="AD143" s="12" t="str">
        <x:f>IF(AC143="canonical","high",IF(AC143="recognized_subtype","medium",IF(AC143="operational","operational_only","debated")))</x:f>
        <x:v>operational_only</x:v>
      </x:c>
      <x:c r="AE143" s="12" t="str">
        <x:f>IF(AC143="deprecated","deprecated",IF(M143="yes","active",IF(M143="review","review_required","backlog")))</x:f>
        <x:v>backlog</x:v>
      </x:c>
      <x:c r="AF143" s="12" t="str">
        <x:f>IF(OR(AE143="active",AE143="review_required"),"yes","no")</x:f>
        <x:v>no</x:v>
      </x:c>
      <x:c r="AG143" s="12" t="str">
        <x:f>IF(AND(AE143="active",M143="yes",NOT(ISNUMBER(SEARCH("healthy",AB143)))),"yes","no")</x:f>
        <x:v>no</x:v>
      </x:c>
      <x:c r="AH143" s="12" t="str">
        <x:f>IF(OR(H143="contextual",H143="dialogue",H143="discourse",I143="claim+context",I143="discourse_segment"),"yes","no")</x:f>
        <x:v>no</x:v>
      </x:c>
      <x:c r="AI143" s="12" t="str">
        <x:f>IF(OR(AH143="yes",AD143="debated",AC143="operational"),"yes","no")</x:f>
        <x:v>yes</x:v>
      </x:c>
      <x:c r="AJ143" s="12" t="str">
        <x:f>IF(OR(AH143="yes",AC143="operational",AD143="debated"),"high",IF(AND(AG143="yes",L143="P0"),"medium","low"))</x:f>
        <x:v>high</x:v>
      </x:c>
      <x:c r="AK143" s="12" t="str">
        <x:f>IF(ISNUMBER(SEARCH("healthy",AB143)),"yes","no")</x:f>
        <x:v>no</x:v>
      </x:c>
      <x:c r="AL143" s="12" t="str">
        <x:f>IF(AG143="yes","yes","candidate_only")</x:f>
        <x:v>candidate_only</x:v>
      </x:c>
      <x:c r="AM143" s="12" t="str">
        <x:f>IF(OR(AC143="canonical",AG143="yes"),"yes","recommended")</x:f>
        <x:v>recommended</x:v>
      </x:c>
      <x:c r="AN143" s="12" t="str">
        <x:f>IF(AC143="deprecated","exclude",IF(AND(AG143="yes",AJ143="high"),"import_but_human_review_required",IF(AG143="yes","import_as_active","import_as_backlog")))</x:f>
        <x:v>import_as_backlog</x:v>
      </x:c>
      <x:c r="AO143" s="12" t="str">
        <x:f>IF(AND(AG143="yes",OR(P143="",Q143="",R143="",S143="")),"missing_required_mvp_fields",IF(AND(AC143="canonical",Y143=""),"missing_source_ref","ok"))</x:f>
        <x:v>ok</x:v>
      </x:c>
      <x:c r="AP143" s="12" t="str">
        <x:f>IF(AO143="ok","ready_for_codex_import","needs_review")</x:f>
        <x:v>ready_for_codex_import</x:v>
      </x:c>
      <x:c r="AQ143" s="12"/>
      <x:c r="AR143" s="12" t="str">
        <x:v>Added v2 operational fields. Review before classification activation.</x:v>
      </x:c>
    </x:row>
    <x:row r="144">
      <x:c r="A144" s="13" t="str">
        <x:v>tu_quoque_comparative_variant</x:v>
      </x:c>
      <x:c r="B144" s="13" t="str">
        <x:v>tu_quoque</x:v>
      </x:c>
      <x:c r="C144" s="13" t="str">
        <x:v>Tu quoque</x:v>
      </x:c>
      <x:c r="D144" s="13" t="str">
        <x:v>تو هم همین‌طور</x:v>
      </x:c>
      <x:c r="E144" s="13" t="str">
        <x:v>Comparative variant</x:v>
      </x:c>
      <x:c r="F144" s="13" t="str">
        <x:v>reasoning_failures</x:v>
      </x:c>
      <x:c r="G144" s="13" t="str">
        <x:v>operational_variant</x:v>
      </x:c>
      <x:c r="H144" s="13" t="str">
        <x:v>dialogue</x:v>
      </x:c>
      <x:c r="I144" s="13" t="str">
        <x:v>discourse_segment</x:v>
      </x:c>
      <x:c r="J144" s="13" t="str">
        <x:v>derived_operational_subtype</x:v>
      </x:c>
      <x:c r="K144" s="13" t="str">
        <x:v>derived_from_established_parent_review_required</x:v>
      </x:c>
      <x:c r="L144" s="13" t="str">
        <x:v>P3</x:v>
      </x:c>
      <x:c r="M144" s="13" t="str">
        <x:v>no</x:v>
      </x:c>
      <x:c r="N144" s="13" t="str">
        <x:v>Operational subtype under Tu quoque: the pattern appears through comparison between cases. Parent definition: Deflecting criticism by alleging inconsistency in the critic rather than addressing the argument.</x:v>
      </x:c>
      <x:c r="O144" s="13" t="str">
        <x:v>Look for: explicit claim-level evidence; parent-family cues for Tu quoque; variant cue: the pattern appears through comparison between cases; avoid author-level inference.</x:v>
      </x:c>
      <x:c r="P144" s="13" t="str">
        <x:v>Exact evidence span in text plus claim-level reasoning link; for contextual/discourse entries, require surrounding context.</x:v>
      </x:c>
      <x:c r="Q144" s="13" t="str">
        <x:v>Do not label merely because topic is controversial, emotional, or wrong. Do not judge intent or personality. Require textual evidence and consider healthy-reasoning cues.</x:v>
      </x:c>
      <x:c r="R144" s="13" t="str">
        <x:v>Stub: A claim relies on the pattern appears through comparison between cases to support a conclusion without adequate qualification.</x:v>
      </x:c>
      <x:c r="S144" s="13" t="str">
        <x:v>Stub: A claim discusses tu quoque with caveats, balanced evidence, or no argumentative use of the pattern.</x:v>
      </x:c>
      <x:c r="T144" s="13" t="str">
        <x:v>Mild or ambiguous cue; do not classify without clear evidence span.</x:v>
      </x:c>
      <x:c r="U144" s="13" t="str">
        <x:v>Clear claim-level pattern with some argumentative impact.</x:v>
      </x:c>
      <x:c r="V144" s="13" t="str">
        <x:v>Strong pattern central to the conclusion and likely to materially distort reasoning.</x:v>
      </x:c>
      <x:c r="W144" s="13" t="str"/>
      <x:c r="X144" s="13" t="str">
        <x:v>sep_fallacies</x:v>
      </x:c>
      <x:c r="Y144" s="13" t="str">
        <x:v>https://plato.stanford.edu/entries/fallacies/</x:v>
      </x:c>
      <x:c r="Z144" s="13" t="str">
        <x:v>Review before enabling. This workbook is a living taxonomy scaffold, not a validated scientific benchmark.</x:v>
      </x:c>
      <x:c r="AA144" s="13" t="str">
        <x:v>0.1.0-draft</x:v>
      </x:c>
      <x:c r="AB144" s="12" t="str">
        <x:f>IF(ISNUMBER(SEARCH("healthy",F144)),"healthy_reasoning_patterns",IF(ISNUMBER(SEARCH("statistical",F144)),"statistical_reasoning",IF(ISNUMBER(SEARCH("causal",F144)),"causal_reasoning",IF(ISNUMBER(SEARCH("social",F144)),"social_influence",IF(ISNUMBER(SEARCH("rhetoric",F144)),"rhetoric_discourse",IF(ISNUMBER(SEARCH("behavior",F144)),"behavioural_economics",IF(ISNUMBER(SEARCH("cognitive",F144)),"cognitive_biases",IF(J144="protective_pattern","healthy_reasoning_patterns",IF(L144="P0","core_mvp","extended_fallacies")))))))))</x:f>
        <x:v>extended_fallacies</x:v>
      </x:c>
      <x:c r="AC144" s="12" t="str">
        <x:f>IF(ISNUMBER(SEARCH("operational",J144)),"operational",IF(ISNUMBER(SEARCH("deprecated",J144)),"deprecated",IF(L144="P0","canonical","recognized_subtype")))</x:f>
        <x:v>operational</x:v>
      </x:c>
      <x:c r="AD144" s="12" t="str">
        <x:f>IF(AC144="canonical","high",IF(AC144="recognized_subtype","medium",IF(AC144="operational","operational_only","debated")))</x:f>
        <x:v>operational_only</x:v>
      </x:c>
      <x:c r="AE144" s="12" t="str">
        <x:f>IF(AC144="deprecated","deprecated",IF(M144="yes","active",IF(M144="review","review_required","backlog")))</x:f>
        <x:v>backlog</x:v>
      </x:c>
      <x:c r="AF144" s="12" t="str">
        <x:f>IF(OR(AE144="active",AE144="review_required"),"yes","no")</x:f>
        <x:v>no</x:v>
      </x:c>
      <x:c r="AG144" s="12" t="str">
        <x:f>IF(AND(AE144="active",M144="yes",NOT(ISNUMBER(SEARCH("healthy",AB144)))),"yes","no")</x:f>
        <x:v>no</x:v>
      </x:c>
      <x:c r="AH144" s="12" t="str">
        <x:f>IF(OR(H144="contextual",H144="dialogue",H144="discourse",I144="claim+context",I144="discourse_segment"),"yes","no")</x:f>
        <x:v>yes</x:v>
      </x:c>
      <x:c r="AI144" s="12" t="str">
        <x:f>IF(OR(AH144="yes",AD144="debated",AC144="operational"),"yes","no")</x:f>
        <x:v>yes</x:v>
      </x:c>
      <x:c r="AJ144" s="12" t="str">
        <x:f>IF(OR(AH144="yes",AC144="operational",AD144="debated"),"high",IF(AND(AG144="yes",L144="P0"),"medium","low"))</x:f>
        <x:v>high</x:v>
      </x:c>
      <x:c r="AK144" s="12" t="str">
        <x:f>IF(ISNUMBER(SEARCH("healthy",AB144)),"yes","no")</x:f>
        <x:v>no</x:v>
      </x:c>
      <x:c r="AL144" s="12" t="str">
        <x:f>IF(AG144="yes","yes","candidate_only")</x:f>
        <x:v>candidate_only</x:v>
      </x:c>
      <x:c r="AM144" s="12" t="str">
        <x:f>IF(OR(AC144="canonical",AG144="yes"),"yes","recommended")</x:f>
        <x:v>recommended</x:v>
      </x:c>
      <x:c r="AN144" s="12" t="str">
        <x:f>IF(AC144="deprecated","exclude",IF(AND(AG144="yes",AJ144="high"),"import_but_human_review_required",IF(AG144="yes","import_as_active","import_as_backlog")))</x:f>
        <x:v>import_as_backlog</x:v>
      </x:c>
      <x:c r="AO144" s="12" t="str">
        <x:f>IF(AND(AG144="yes",OR(P144="",Q144="",R144="",S144="")),"missing_required_mvp_fields",IF(AND(AC144="canonical",Y144=""),"missing_source_ref","ok"))</x:f>
        <x:v>ok</x:v>
      </x:c>
      <x:c r="AP144" s="12" t="str">
        <x:f>IF(AO144="ok","ready_for_codex_import","needs_review")</x:f>
        <x:v>ready_for_codex_import</x:v>
      </x:c>
      <x:c r="AQ144" s="12"/>
      <x:c r="AR144" s="12" t="str">
        <x:v>Added v2 operational fields. Review before classification activation.</x:v>
      </x:c>
    </x:row>
    <x:row r="145">
      <x:c r="A145" s="13" t="str">
        <x:v>guilt_by_association_comparative_variant</x:v>
      </x:c>
      <x:c r="B145" s="13" t="str">
        <x:v>guilt_by_association</x:v>
      </x:c>
      <x:c r="C145" s="13" t="str">
        <x:v>Guilt by association</x:v>
      </x:c>
      <x:c r="D145" s="13" t="str">
        <x:v>بی‌اعتبارسازی با نسبت دادن ارتباط</x:v>
      </x:c>
      <x:c r="E145" s="13" t="str">
        <x:v>Comparative variant</x:v>
      </x:c>
      <x:c r="F145" s="13" t="str">
        <x:v>reasoning_failures</x:v>
      </x:c>
      <x:c r="G145" s="13" t="str">
        <x:v>operational_variant</x:v>
      </x:c>
      <x:c r="H145" s="13" t="str">
        <x:v>contextual</x:v>
      </x:c>
      <x:c r="I145" s="13" t="str">
        <x:v>claim+context</x:v>
      </x:c>
      <x:c r="J145" s="13" t="str">
        <x:v>derived_operational_subtype</x:v>
      </x:c>
      <x:c r="K145" s="13" t="str">
        <x:v>derived_from_established_parent_review_required</x:v>
      </x:c>
      <x:c r="L145" s="13" t="str">
        <x:v>P3</x:v>
      </x:c>
      <x:c r="M145" s="13" t="str">
        <x:v>no</x:v>
      </x:c>
      <x:c r="N145" s="13" t="str">
        <x:v>Operational subtype under Guilt by association: the pattern appears through comparison between cases. Parent definition: Rejecting a claim because its speaker is associated with a disliked person or group.</x:v>
      </x:c>
      <x:c r="O145" s="13" t="str">
        <x:v>Look for: explicit claim-level evidence; parent-family cues for Guilt by association; variant cue: the pattern appears through comparison between cases; avoid author-level inference.</x:v>
      </x:c>
      <x:c r="P145" s="13" t="str">
        <x:v>Exact evidence span in text plus claim-level reasoning link; for contextual/discourse entries, require surrounding context.</x:v>
      </x:c>
      <x:c r="Q145" s="13" t="str">
        <x:v>Do not label merely because topic is controversial, emotional, or wrong. Do not judge intent or personality. Require textual evidence and consider healthy-reasoning cues.</x:v>
      </x:c>
      <x:c r="R145" s="13" t="str">
        <x:v>Stub: A claim relies on the pattern appears through comparison between cases to support a conclusion without adequate qualification.</x:v>
      </x:c>
      <x:c r="S145" s="13" t="str">
        <x:v>Stub: A claim discusses guilt by association with caveats, balanced evidence, or no argumentative use of the pattern.</x:v>
      </x:c>
      <x:c r="T145" s="13" t="str">
        <x:v>Mild or ambiguous cue; do not classify without clear evidence span.</x:v>
      </x:c>
      <x:c r="U145" s="13" t="str">
        <x:v>Clear claim-level pattern with some argumentative impact.</x:v>
      </x:c>
      <x:c r="V145" s="13" t="str">
        <x:v>Strong pattern central to the conclusion and likely to materially distort reasoning.</x:v>
      </x:c>
      <x:c r="W145" s="13" t="str"/>
      <x:c r="X145" s="13" t="str">
        <x:v>sep_fallacies</x:v>
      </x:c>
      <x:c r="Y145" s="13" t="str">
        <x:v>https://plato.stanford.edu/entries/fallacies/</x:v>
      </x:c>
      <x:c r="Z145" s="13" t="str">
        <x:v>Review before enabling. This workbook is a living taxonomy scaffold, not a validated scientific benchmark.</x:v>
      </x:c>
      <x:c r="AA145" s="13" t="str">
        <x:v>0.1.0-draft</x:v>
      </x:c>
      <x:c r="AB145" s="12" t="str">
        <x:f>IF(ISNUMBER(SEARCH("healthy",F145)),"healthy_reasoning_patterns",IF(ISNUMBER(SEARCH("statistical",F145)),"statistical_reasoning",IF(ISNUMBER(SEARCH("causal",F145)),"causal_reasoning",IF(ISNUMBER(SEARCH("social",F145)),"social_influence",IF(ISNUMBER(SEARCH("rhetoric",F145)),"rhetoric_discourse",IF(ISNUMBER(SEARCH("behavior",F145)),"behavioural_economics",IF(ISNUMBER(SEARCH("cognitive",F145)),"cognitive_biases",IF(J145="protective_pattern","healthy_reasoning_patterns",IF(L145="P0","core_mvp","extended_fallacies")))))))))</x:f>
        <x:v>extended_fallacies</x:v>
      </x:c>
      <x:c r="AC145" s="12" t="str">
        <x:f>IF(ISNUMBER(SEARCH("operational",J145)),"operational",IF(ISNUMBER(SEARCH("deprecated",J145)),"deprecated",IF(L145="P0","canonical","recognized_subtype")))</x:f>
        <x:v>operational</x:v>
      </x:c>
      <x:c r="AD145" s="12" t="str">
        <x:f>IF(AC145="canonical","high",IF(AC145="recognized_subtype","medium",IF(AC145="operational","operational_only","debated")))</x:f>
        <x:v>operational_only</x:v>
      </x:c>
      <x:c r="AE145" s="12" t="str">
        <x:f>IF(AC145="deprecated","deprecated",IF(M145="yes","active",IF(M145="review","review_required","backlog")))</x:f>
        <x:v>backlog</x:v>
      </x:c>
      <x:c r="AF145" s="12" t="str">
        <x:f>IF(OR(AE145="active",AE145="review_required"),"yes","no")</x:f>
        <x:v>no</x:v>
      </x:c>
      <x:c r="AG145" s="12" t="str">
        <x:f>IF(AND(AE145="active",M145="yes",NOT(ISNUMBER(SEARCH("healthy",AB145)))),"yes","no")</x:f>
        <x:v>no</x:v>
      </x:c>
      <x:c r="AH145" s="12" t="str">
        <x:f>IF(OR(H145="contextual",H145="dialogue",H145="discourse",I145="claim+context",I145="discourse_segment"),"yes","no")</x:f>
        <x:v>yes</x:v>
      </x:c>
      <x:c r="AI145" s="12" t="str">
        <x:f>IF(OR(AH145="yes",AD145="debated",AC145="operational"),"yes","no")</x:f>
        <x:v>yes</x:v>
      </x:c>
      <x:c r="AJ145" s="12" t="str">
        <x:f>IF(OR(AH145="yes",AC145="operational",AD145="debated"),"high",IF(AND(AG145="yes",L145="P0"),"medium","low"))</x:f>
        <x:v>high</x:v>
      </x:c>
      <x:c r="AK145" s="12" t="str">
        <x:f>IF(ISNUMBER(SEARCH("healthy",AB145)),"yes","no")</x:f>
        <x:v>no</x:v>
      </x:c>
      <x:c r="AL145" s="12" t="str">
        <x:f>IF(AG145="yes","yes","candidate_only")</x:f>
        <x:v>candidate_only</x:v>
      </x:c>
      <x:c r="AM145" s="12" t="str">
        <x:f>IF(OR(AC145="canonical",AG145="yes"),"yes","recommended")</x:f>
        <x:v>recommended</x:v>
      </x:c>
      <x:c r="AN145" s="12" t="str">
        <x:f>IF(AC145="deprecated","exclude",IF(AND(AG145="yes",AJ145="high"),"import_but_human_review_required",IF(AG145="yes","import_as_active","import_as_backlog")))</x:f>
        <x:v>import_as_backlog</x:v>
      </x:c>
      <x:c r="AO145" s="12" t="str">
        <x:f>IF(AND(AG145="yes",OR(P145="",Q145="",R145="",S145="")),"missing_required_mvp_fields",IF(AND(AC145="canonical",Y145=""),"missing_source_ref","ok"))</x:f>
        <x:v>ok</x:v>
      </x:c>
      <x:c r="AP145" s="12" t="str">
        <x:f>IF(AO145="ok","ready_for_codex_import","needs_review")</x:f>
        <x:v>ready_for_codex_import</x:v>
      </x:c>
      <x:c r="AQ145" s="12"/>
      <x:c r="AR145" s="12" t="str">
        <x:v>Added v2 operational fields. Review before classification activation.</x:v>
      </x:c>
    </x:row>
    <x:row r="146">
      <x:c r="A146" s="13" t="str">
        <x:v>genetic_fallacy_comparative_variant</x:v>
      </x:c>
      <x:c r="B146" s="13" t="str">
        <x:v>genetic_fallacy</x:v>
      </x:c>
      <x:c r="C146" s="13" t="str">
        <x:v>Genetic fallacy</x:v>
      </x:c>
      <x:c r="D146" s="13" t="str">
        <x:v>مغالطه منشأ</x:v>
      </x:c>
      <x:c r="E146" s="13" t="str">
        <x:v>Comparative variant</x:v>
      </x:c>
      <x:c r="F146" s="13" t="str">
        <x:v>reasoning_failures</x:v>
      </x:c>
      <x:c r="G146" s="13" t="str">
        <x:v>operational_variant</x:v>
      </x:c>
      <x:c r="H146" s="13" t="str">
        <x:v>contextual</x:v>
      </x:c>
      <x:c r="I146" s="13" t="str">
        <x:v>claim+context</x:v>
      </x:c>
      <x:c r="J146" s="13" t="str">
        <x:v>derived_operational_subtype</x:v>
      </x:c>
      <x:c r="K146" s="13" t="str">
        <x:v>derived_from_established_parent_review_required</x:v>
      </x:c>
      <x:c r="L146" s="13" t="str">
        <x:v>P3</x:v>
      </x:c>
      <x:c r="M146" s="13" t="str">
        <x:v>no</x:v>
      </x:c>
      <x:c r="N146" s="13" t="str">
        <x:v>Operational subtype under Genetic fallacy: the pattern appears through comparison between cases. Parent definition: Judging a claim solely by its origin rather than its current evidence or reasoning.</x:v>
      </x:c>
      <x:c r="O146" s="13" t="str">
        <x:v>Look for: explicit claim-level evidence; parent-family cues for Genetic fallacy; variant cue: the pattern appears through comparison between cases; avoid author-level inference.</x:v>
      </x:c>
      <x:c r="P146" s="13" t="str">
        <x:v>Exact evidence span in text plus claim-level reasoning link; for contextual/discourse entries, require surrounding context.</x:v>
      </x:c>
      <x:c r="Q146" s="13" t="str">
        <x:v>Do not label merely because topic is controversial, emotional, or wrong. Do not judge intent or personality. Require textual evidence and consider healthy-reasoning cues.</x:v>
      </x:c>
      <x:c r="R146" s="13" t="str">
        <x:v>Stub: A claim relies on the pattern appears through comparison between cases to support a conclusion without adequate qualification.</x:v>
      </x:c>
      <x:c r="S146" s="13" t="str">
        <x:v>Stub: A claim discusses genetic fallacy with caveats, balanced evidence, or no argumentative use of the pattern.</x:v>
      </x:c>
      <x:c r="T146" s="13" t="str">
        <x:v>Mild or ambiguous cue; do not classify without clear evidence span.</x:v>
      </x:c>
      <x:c r="U146" s="13" t="str">
        <x:v>Clear claim-level pattern with some argumentative impact.</x:v>
      </x:c>
      <x:c r="V146" s="13" t="str">
        <x:v>Strong pattern central to the conclusion and likely to materially distort reasoning.</x:v>
      </x:c>
      <x:c r="W146" s="13" t="str">
        <x:v>cherry_picking; missing_counterevidence; evidence_grading</x:v>
      </x:c>
      <x:c r="X146" s="13" t="str">
        <x:v>sep_fallacies</x:v>
      </x:c>
      <x:c r="Y146" s="13" t="str">
        <x:v>https://plato.stanford.edu/entries/fallacies/</x:v>
      </x:c>
      <x:c r="Z146" s="13" t="str">
        <x:v>Review before enabling. This workbook is a living taxonomy scaffold, not a validated scientific benchmark.</x:v>
      </x:c>
      <x:c r="AA146" s="13" t="str">
        <x:v>0.1.0-draft</x:v>
      </x:c>
      <x:c r="AB146" s="12" t="str">
        <x:f>IF(ISNUMBER(SEARCH("healthy",F146)),"healthy_reasoning_patterns",IF(ISNUMBER(SEARCH("statistical",F146)),"statistical_reasoning",IF(ISNUMBER(SEARCH("causal",F146)),"causal_reasoning",IF(ISNUMBER(SEARCH("social",F146)),"social_influence",IF(ISNUMBER(SEARCH("rhetoric",F146)),"rhetoric_discourse",IF(ISNUMBER(SEARCH("behavior",F146)),"behavioural_economics",IF(ISNUMBER(SEARCH("cognitive",F146)),"cognitive_biases",IF(J146="protective_pattern","healthy_reasoning_patterns",IF(L146="P0","core_mvp","extended_fallacies")))))))))</x:f>
        <x:v>extended_fallacies</x:v>
      </x:c>
      <x:c r="AC146" s="12" t="str">
        <x:f>IF(ISNUMBER(SEARCH("operational",J146)),"operational",IF(ISNUMBER(SEARCH("deprecated",J146)),"deprecated",IF(L146="P0","canonical","recognized_subtype")))</x:f>
        <x:v>operational</x:v>
      </x:c>
      <x:c r="AD146" s="12" t="str">
        <x:f>IF(AC146="canonical","high",IF(AC146="recognized_subtype","medium",IF(AC146="operational","operational_only","debated")))</x:f>
        <x:v>operational_only</x:v>
      </x:c>
      <x:c r="AE146" s="12" t="str">
        <x:f>IF(AC146="deprecated","deprecated",IF(M146="yes","active",IF(M146="review","review_required","backlog")))</x:f>
        <x:v>backlog</x:v>
      </x:c>
      <x:c r="AF146" s="12" t="str">
        <x:f>IF(OR(AE146="active",AE146="review_required"),"yes","no")</x:f>
        <x:v>no</x:v>
      </x:c>
      <x:c r="AG146" s="12" t="str">
        <x:f>IF(AND(AE146="active",M146="yes",NOT(ISNUMBER(SEARCH("healthy",AB146)))),"yes","no")</x:f>
        <x:v>no</x:v>
      </x:c>
      <x:c r="AH146" s="12" t="str">
        <x:f>IF(OR(H146="contextual",H146="dialogue",H146="discourse",I146="claim+context",I146="discourse_segment"),"yes","no")</x:f>
        <x:v>yes</x:v>
      </x:c>
      <x:c r="AI146" s="12" t="str">
        <x:f>IF(OR(AH146="yes",AD146="debated",AC146="operational"),"yes","no")</x:f>
        <x:v>yes</x:v>
      </x:c>
      <x:c r="AJ146" s="12" t="str">
        <x:f>IF(OR(AH146="yes",AC146="operational",AD146="debated"),"high",IF(AND(AG146="yes",L146="P0"),"medium","low"))</x:f>
        <x:v>high</x:v>
      </x:c>
      <x:c r="AK146" s="12" t="str">
        <x:f>IF(ISNUMBER(SEARCH("healthy",AB146)),"yes","no")</x:f>
        <x:v>no</x:v>
      </x:c>
      <x:c r="AL146" s="12" t="str">
        <x:f>IF(AG146="yes","yes","candidate_only")</x:f>
        <x:v>candidate_only</x:v>
      </x:c>
      <x:c r="AM146" s="12" t="str">
        <x:f>IF(OR(AC146="canonical",AG146="yes"),"yes","recommended")</x:f>
        <x:v>recommended</x:v>
      </x:c>
      <x:c r="AN146" s="12" t="str">
        <x:f>IF(AC146="deprecated","exclude",IF(AND(AG146="yes",AJ146="high"),"import_but_human_review_required",IF(AG146="yes","import_as_active","import_as_backlog")))</x:f>
        <x:v>import_as_backlog</x:v>
      </x:c>
      <x:c r="AO146" s="12" t="str">
        <x:f>IF(AND(AG146="yes",OR(P146="",Q146="",R146="",S146="")),"missing_required_mvp_fields",IF(AND(AC146="canonical",Y146=""),"missing_source_ref","ok"))</x:f>
        <x:v>ok</x:v>
      </x:c>
      <x:c r="AP146" s="12" t="str">
        <x:f>IF(AO146="ok","ready_for_codex_import","needs_review")</x:f>
        <x:v>ready_for_codex_import</x:v>
      </x:c>
      <x:c r="AQ146" s="12"/>
      <x:c r="AR146" s="12" t="str">
        <x:v>Added v2 operational fields. Review before classification activation.</x:v>
      </x:c>
    </x:row>
    <x:row r="147">
      <x:c r="A147" s="13" t="str">
        <x:v>appeal_to_authority_misuse_comparative_variant</x:v>
      </x:c>
      <x:c r="B147" s="13" t="str">
        <x:v>appeal_to_authority_misuse</x:v>
      </x:c>
      <x:c r="C147" s="13" t="str">
        <x:v>Misused appeal to authority</x:v>
      </x:c>
      <x:c r="D147" s="13" t="str">
        <x:v>استناد ناموجه به مرجع</x:v>
      </x:c>
      <x:c r="E147" s="13" t="str">
        <x:v>Comparative variant</x:v>
      </x:c>
      <x:c r="F147" s="13" t="str">
        <x:v>reasoning_failures</x:v>
      </x:c>
      <x:c r="G147" s="13" t="str">
        <x:v>operational_variant</x:v>
      </x:c>
      <x:c r="H147" s="13" t="str">
        <x:v>contextual</x:v>
      </x:c>
      <x:c r="I147" s="13" t="str">
        <x:v>claim+context</x:v>
      </x:c>
      <x:c r="J147" s="13" t="str">
        <x:v>derived_operational_subtype</x:v>
      </x:c>
      <x:c r="K147" s="13" t="str">
        <x:v>derived_from_established_parent_review_required</x:v>
      </x:c>
      <x:c r="L147" s="13" t="str">
        <x:v>P3</x:v>
      </x:c>
      <x:c r="M147" s="13" t="str">
        <x:v>no</x:v>
      </x:c>
      <x:c r="N147" s="13" t="str">
        <x:v>Operational subtype under Misused appeal to authority: the pattern appears through comparison between cases. Parent definition: Using authority as a substitute for relevant evidence, especially outside the authority's domain.</x:v>
      </x:c>
      <x:c r="O147" s="13" t="str">
        <x:v>Look for: explicit claim-level evidence; parent-family cues for Misused appeal to authority; variant cue: the pattern appears through comparison between cases; avoid author-level inference.</x:v>
      </x:c>
      <x:c r="P147" s="13" t="str">
        <x:v>Exact evidence span in text plus claim-level reasoning link; for contextual/discourse entries, require surrounding context.</x:v>
      </x:c>
      <x:c r="Q147" s="13" t="str">
        <x:v>Do not label merely because topic is controversial, emotional, or wrong. Do not judge intent or personality. Require textual evidence and consider healthy-reasoning cues.</x:v>
      </x:c>
      <x:c r="R147" s="13" t="str">
        <x:v>Stub: A claim relies on the pattern appears through comparison between cases to support a conclusion without adequate qualification.</x:v>
      </x:c>
      <x:c r="S147" s="13" t="str">
        <x:v>Stub: A claim discusses misused appeal to authority with caveats, balanced evidence, or no argumentative use of the pattern.</x:v>
      </x:c>
      <x:c r="T147" s="13" t="str">
        <x:v>Mild or ambiguous cue; do not classify without clear evidence span.</x:v>
      </x:c>
      <x:c r="U147" s="13" t="str">
        <x:v>Clear claim-level pattern with some argumentative impact.</x:v>
      </x:c>
      <x:c r="V147" s="13" t="str">
        <x:v>Strong pattern central to the conclusion and likely to materially distort reasoning.</x:v>
      </x:c>
      <x:c r="W147" s="13" t="str">
        <x:v>authority_bias; appeal_to_authority_misuse; source_triangulation</x:v>
      </x:c>
      <x:c r="X147" s="13" t="str">
        <x:v>walton_argumentation_schemes</x:v>
      </x:c>
      <x:c r="Y147" s="13" t="str">
        <x:v>https://www.cambridge.org/core/books/argumentation-schemes/1D013BFA2695C72B14134F2C38B17B85</x:v>
      </x:c>
      <x:c r="Z147" s="13" t="str">
        <x:v>Review before enabling. This workbook is a living taxonomy scaffold, not a validated scientific benchmark.</x:v>
      </x:c>
      <x:c r="AA147" s="13" t="str">
        <x:v>0.1.0-draft</x:v>
      </x:c>
      <x:c r="AB147" s="12" t="str">
        <x:f>IF(ISNUMBER(SEARCH("healthy",F147)),"healthy_reasoning_patterns",IF(ISNUMBER(SEARCH("statistical",F147)),"statistical_reasoning",IF(ISNUMBER(SEARCH("causal",F147)),"causal_reasoning",IF(ISNUMBER(SEARCH("social",F147)),"social_influence",IF(ISNUMBER(SEARCH("rhetoric",F147)),"rhetoric_discourse",IF(ISNUMBER(SEARCH("behavior",F147)),"behavioural_economics",IF(ISNUMBER(SEARCH("cognitive",F147)),"cognitive_biases",IF(J147="protective_pattern","healthy_reasoning_patterns",IF(L147="P0","core_mvp","extended_fallacies")))))))))</x:f>
        <x:v>extended_fallacies</x:v>
      </x:c>
      <x:c r="AC147" s="12" t="str">
        <x:f>IF(ISNUMBER(SEARCH("operational",J147)),"operational",IF(ISNUMBER(SEARCH("deprecated",J147)),"deprecated",IF(L147="P0","canonical","recognized_subtype")))</x:f>
        <x:v>operational</x:v>
      </x:c>
      <x:c r="AD147" s="12" t="str">
        <x:f>IF(AC147="canonical","high",IF(AC147="recognized_subtype","medium",IF(AC147="operational","operational_only","debated")))</x:f>
        <x:v>operational_only</x:v>
      </x:c>
      <x:c r="AE147" s="12" t="str">
        <x:f>IF(AC147="deprecated","deprecated",IF(M147="yes","active",IF(M147="review","review_required","backlog")))</x:f>
        <x:v>backlog</x:v>
      </x:c>
      <x:c r="AF147" s="12" t="str">
        <x:f>IF(OR(AE147="active",AE147="review_required"),"yes","no")</x:f>
        <x:v>no</x:v>
      </x:c>
      <x:c r="AG147" s="12" t="str">
        <x:f>IF(AND(AE147="active",M147="yes",NOT(ISNUMBER(SEARCH("healthy",AB147)))),"yes","no")</x:f>
        <x:v>no</x:v>
      </x:c>
      <x:c r="AH147" s="12" t="str">
        <x:f>IF(OR(H147="contextual",H147="dialogue",H147="discourse",I147="claim+context",I147="discourse_segment"),"yes","no")</x:f>
        <x:v>yes</x:v>
      </x:c>
      <x:c r="AI147" s="12" t="str">
        <x:f>IF(OR(AH147="yes",AD147="debated",AC147="operational"),"yes","no")</x:f>
        <x:v>yes</x:v>
      </x:c>
      <x:c r="AJ147" s="12" t="str">
        <x:f>IF(OR(AH147="yes",AC147="operational",AD147="debated"),"high",IF(AND(AG147="yes",L147="P0"),"medium","low"))</x:f>
        <x:v>high</x:v>
      </x:c>
      <x:c r="AK147" s="12" t="str">
        <x:f>IF(ISNUMBER(SEARCH("healthy",AB147)),"yes","no")</x:f>
        <x:v>no</x:v>
      </x:c>
      <x:c r="AL147" s="12" t="str">
        <x:f>IF(AG147="yes","yes","candidate_only")</x:f>
        <x:v>candidate_only</x:v>
      </x:c>
      <x:c r="AM147" s="12" t="str">
        <x:f>IF(OR(AC147="canonical",AG147="yes"),"yes","recommended")</x:f>
        <x:v>recommended</x:v>
      </x:c>
      <x:c r="AN147" s="12" t="str">
        <x:f>IF(AC147="deprecated","exclude",IF(AND(AG147="yes",AJ147="high"),"import_but_human_review_required",IF(AG147="yes","import_as_active","import_as_backlog")))</x:f>
        <x:v>import_as_backlog</x:v>
      </x:c>
      <x:c r="AO147" s="12" t="str">
        <x:f>IF(AND(AG147="yes",OR(P147="",Q147="",R147="",S147="")),"missing_required_mvp_fields",IF(AND(AC147="canonical",Y147=""),"missing_source_ref","ok"))</x:f>
        <x:v>ok</x:v>
      </x:c>
      <x:c r="AP147" s="12" t="str">
        <x:f>IF(AO147="ok","ready_for_codex_import","needs_review")</x:f>
        <x:v>ready_for_codex_import</x:v>
      </x:c>
      <x:c r="AQ147" s="12"/>
      <x:c r="AR147" s="12" t="str">
        <x:v>Added v2 operational fields. Review before classification activation.</x:v>
      </x:c>
    </x:row>
    <x:row r="148">
      <x:c r="A148" s="13" t="str">
        <x:v>appeal_to_emotion_comparative_variant</x:v>
      </x:c>
      <x:c r="B148" s="13" t="str">
        <x:v>appeal_to_emotion</x:v>
      </x:c>
      <x:c r="C148" s="13" t="str">
        <x:v>Appeal to emotion</x:v>
      </x:c>
      <x:c r="D148" s="13" t="str">
        <x:v>استناد به احساسات</x:v>
      </x:c>
      <x:c r="E148" s="13" t="str">
        <x:v>Comparative variant</x:v>
      </x:c>
      <x:c r="F148" s="13" t="str">
        <x:v>reasoning_failures</x:v>
      </x:c>
      <x:c r="G148" s="13" t="str">
        <x:v>operational_variant</x:v>
      </x:c>
      <x:c r="H148" s="13" t="str">
        <x:v>discourse</x:v>
      </x:c>
      <x:c r="I148" s="13" t="str">
        <x:v>discourse_segment</x:v>
      </x:c>
      <x:c r="J148" s="13" t="str">
        <x:v>derived_operational_subtype</x:v>
      </x:c>
      <x:c r="K148" s="13" t="str">
        <x:v>derived_from_established_parent_review_required</x:v>
      </x:c>
      <x:c r="L148" s="13" t="str">
        <x:v>P3</x:v>
      </x:c>
      <x:c r="M148" s="13" t="str">
        <x:v>no</x:v>
      </x:c>
      <x:c r="N148" s="13" t="str">
        <x:v>Operational subtype under Appeal to emotion: the pattern appears through comparison between cases. Parent definition: Using emotion as the main support for a conclusion without adequate reasons.</x:v>
      </x:c>
      <x:c r="O148" s="13" t="str">
        <x:v>Look for: explicit claim-level evidence; parent-family cues for Appeal to emotion; variant cue: the pattern appears through comparison between cases; avoid author-level inference.</x:v>
      </x:c>
      <x:c r="P148" s="13" t="str">
        <x:v>Exact evidence span in text plus claim-level reasoning link; for contextual/discourse entries, require surrounding context.</x:v>
      </x:c>
      <x:c r="Q148" s="13" t="str">
        <x:v>Do not label merely because topic is controversial, emotional, or wrong. Do not judge intent or personality. Require textual evidence and consider healthy-reasoning cues.</x:v>
      </x:c>
      <x:c r="R148" s="13" t="str">
        <x:v>Stub: A claim relies on the pattern appears through comparison between cases to support a conclusion without adequate qualification.</x:v>
      </x:c>
      <x:c r="S148" s="13" t="str">
        <x:v>Stub: A claim discusses appeal to emotion with caveats, balanced evidence, or no argumentative use of the pattern.</x:v>
      </x:c>
      <x:c r="T148" s="13" t="str">
        <x:v>Mild or ambiguous cue; do not classify without clear evidence span.</x:v>
      </x:c>
      <x:c r="U148" s="13" t="str">
        <x:v>Clear claim-level pattern with some argumentative impact.</x:v>
      </x:c>
      <x:c r="V148" s="13" t="str">
        <x:v>Strong pattern central to the conclusion and likely to materially distort reasoning.</x:v>
      </x:c>
      <x:c r="W148" s="13" t="str"/>
      <x:c r="X148" s="13" t="str">
        <x:v>sep_fallacies</x:v>
      </x:c>
      <x:c r="Y148" s="13" t="str">
        <x:v>https://plato.stanford.edu/entries/fallacies/</x:v>
      </x:c>
      <x:c r="Z148" s="13" t="str">
        <x:v>Review before enabling. This workbook is a living taxonomy scaffold, not a validated scientific benchmark.</x:v>
      </x:c>
      <x:c r="AA148" s="13" t="str">
        <x:v>0.1.0-draft</x:v>
      </x:c>
      <x:c r="AB148" s="12" t="str">
        <x:f>IF(ISNUMBER(SEARCH("healthy",F148)),"healthy_reasoning_patterns",IF(ISNUMBER(SEARCH("statistical",F148)),"statistical_reasoning",IF(ISNUMBER(SEARCH("causal",F148)),"causal_reasoning",IF(ISNUMBER(SEARCH("social",F148)),"social_influence",IF(ISNUMBER(SEARCH("rhetoric",F148)),"rhetoric_discourse",IF(ISNUMBER(SEARCH("behavior",F148)),"behavioural_economics",IF(ISNUMBER(SEARCH("cognitive",F148)),"cognitive_biases",IF(J148="protective_pattern","healthy_reasoning_patterns",IF(L148="P0","core_mvp","extended_fallacies")))))))))</x:f>
        <x:v>extended_fallacies</x:v>
      </x:c>
      <x:c r="AC148" s="12" t="str">
        <x:f>IF(ISNUMBER(SEARCH("operational",J148)),"operational",IF(ISNUMBER(SEARCH("deprecated",J148)),"deprecated",IF(L148="P0","canonical","recognized_subtype")))</x:f>
        <x:v>operational</x:v>
      </x:c>
      <x:c r="AD148" s="12" t="str">
        <x:f>IF(AC148="canonical","high",IF(AC148="recognized_subtype","medium",IF(AC148="operational","operational_only","debated")))</x:f>
        <x:v>operational_only</x:v>
      </x:c>
      <x:c r="AE148" s="12" t="str">
        <x:f>IF(AC148="deprecated","deprecated",IF(M148="yes","active",IF(M148="review","review_required","backlog")))</x:f>
        <x:v>backlog</x:v>
      </x:c>
      <x:c r="AF148" s="12" t="str">
        <x:f>IF(OR(AE148="active",AE148="review_required"),"yes","no")</x:f>
        <x:v>no</x:v>
      </x:c>
      <x:c r="AG148" s="12" t="str">
        <x:f>IF(AND(AE148="active",M148="yes",NOT(ISNUMBER(SEARCH("healthy",AB148)))),"yes","no")</x:f>
        <x:v>no</x:v>
      </x:c>
      <x:c r="AH148" s="12" t="str">
        <x:f>IF(OR(H148="contextual",H148="dialogue",H148="discourse",I148="claim+context",I148="discourse_segment"),"yes","no")</x:f>
        <x:v>yes</x:v>
      </x:c>
      <x:c r="AI148" s="12" t="str">
        <x:f>IF(OR(AH148="yes",AD148="debated",AC148="operational"),"yes","no")</x:f>
        <x:v>yes</x:v>
      </x:c>
      <x:c r="AJ148" s="12" t="str">
        <x:f>IF(OR(AH148="yes",AC148="operational",AD148="debated"),"high",IF(AND(AG148="yes",L148="P0"),"medium","low"))</x:f>
        <x:v>high</x:v>
      </x:c>
      <x:c r="AK148" s="12" t="str">
        <x:f>IF(ISNUMBER(SEARCH("healthy",AB148)),"yes","no")</x:f>
        <x:v>no</x:v>
      </x:c>
      <x:c r="AL148" s="12" t="str">
        <x:f>IF(AG148="yes","yes","candidate_only")</x:f>
        <x:v>candidate_only</x:v>
      </x:c>
      <x:c r="AM148" s="12" t="str">
        <x:f>IF(OR(AC148="canonical",AG148="yes"),"yes","recommended")</x:f>
        <x:v>recommended</x:v>
      </x:c>
      <x:c r="AN148" s="12" t="str">
        <x:f>IF(AC148="deprecated","exclude",IF(AND(AG148="yes",AJ148="high"),"import_but_human_review_required",IF(AG148="yes","import_as_active","import_as_backlog")))</x:f>
        <x:v>import_as_backlog</x:v>
      </x:c>
      <x:c r="AO148" s="12" t="str">
        <x:f>IF(AND(AG148="yes",OR(P148="",Q148="",R148="",S148="")),"missing_required_mvp_fields",IF(AND(AC148="canonical",Y148=""),"missing_source_ref","ok"))</x:f>
        <x:v>ok</x:v>
      </x:c>
      <x:c r="AP148" s="12" t="str">
        <x:f>IF(AO148="ok","ready_for_codex_import","needs_review")</x:f>
        <x:v>ready_for_codex_import</x:v>
      </x:c>
      <x:c r="AQ148" s="12"/>
      <x:c r="AR148" s="12" t="str">
        <x:v>Added v2 operational fields. Review before classification activation.</x:v>
      </x:c>
    </x:row>
    <x:row r="149">
      <x:c r="A149" s="13" t="str">
        <x:v>appeal_to_fear_comparative_variant</x:v>
      </x:c>
      <x:c r="B149" s="13" t="str">
        <x:v>appeal_to_fear</x:v>
      </x:c>
      <x:c r="C149" s="13" t="str">
        <x:v>Appeal to fear</x:v>
      </x:c>
      <x:c r="D149" s="13" t="str">
        <x:v>استناد به ترس</x:v>
      </x:c>
      <x:c r="E149" s="13" t="str">
        <x:v>Comparative variant</x:v>
      </x:c>
      <x:c r="F149" s="13" t="str">
        <x:v>reasoning_failures</x:v>
      </x:c>
      <x:c r="G149" s="13" t="str">
        <x:v>operational_variant</x:v>
      </x:c>
      <x:c r="H149" s="13" t="str">
        <x:v>discourse</x:v>
      </x:c>
      <x:c r="I149" s="13" t="str">
        <x:v>discourse_segment</x:v>
      </x:c>
      <x:c r="J149" s="13" t="str">
        <x:v>derived_operational_subtype</x:v>
      </x:c>
      <x:c r="K149" s="13" t="str">
        <x:v>derived_from_established_parent_review_required</x:v>
      </x:c>
      <x:c r="L149" s="13" t="str">
        <x:v>P3</x:v>
      </x:c>
      <x:c r="M149" s="13" t="str">
        <x:v>no</x:v>
      </x:c>
      <x:c r="N149" s="13" t="str">
        <x:v>Operational subtype under Appeal to fear: the pattern appears through comparison between cases. Parent definition: Using fear or threat as decisive support for a claim or choice.</x:v>
      </x:c>
      <x:c r="O149" s="13" t="str">
        <x:v>Look for: explicit claim-level evidence; parent-family cues for Appeal to fear; variant cue: the pattern appears through comparison between cases; avoid author-level inference.</x:v>
      </x:c>
      <x:c r="P149" s="13" t="str">
        <x:v>Exact evidence span in text plus claim-level reasoning link; for contextual/discourse entries, require surrounding context.</x:v>
      </x:c>
      <x:c r="Q149" s="13" t="str">
        <x:v>Do not label merely because topic is controversial, emotional, or wrong. Do not judge intent or personality. Require textual evidence and consider healthy-reasoning cues.</x:v>
      </x:c>
      <x:c r="R149" s="13" t="str">
        <x:v>Stub: A claim relies on the pattern appears through comparison between cases to support a conclusion without adequate qualification.</x:v>
      </x:c>
      <x:c r="S149" s="13" t="str">
        <x:v>Stub: A claim discusses appeal to fear with caveats, balanced evidence, or no argumentative use of the pattern.</x:v>
      </x:c>
      <x:c r="T149" s="13" t="str">
        <x:v>Mild or ambiguous cue; do not classify without clear evidence span.</x:v>
      </x:c>
      <x:c r="U149" s="13" t="str">
        <x:v>Clear claim-level pattern with some argumentative impact.</x:v>
      </x:c>
      <x:c r="V149" s="13" t="str">
        <x:v>Strong pattern central to the conclusion and likely to materially distort reasoning.</x:v>
      </x:c>
      <x:c r="W149" s="13" t="str"/>
      <x:c r="X149" s="13" t="str">
        <x:v>sep_fallacies</x:v>
      </x:c>
      <x:c r="Y149" s="13" t="str">
        <x:v>https://plato.stanford.edu/entries/fallacies/</x:v>
      </x:c>
      <x:c r="Z149" s="13" t="str">
        <x:v>Review before enabling. This workbook is a living taxonomy scaffold, not a validated scientific benchmark.</x:v>
      </x:c>
      <x:c r="AA149" s="13" t="str">
        <x:v>0.1.0-draft</x:v>
      </x:c>
      <x:c r="AB149" s="12" t="str">
        <x:f>IF(ISNUMBER(SEARCH("healthy",F149)),"healthy_reasoning_patterns",IF(ISNUMBER(SEARCH("statistical",F149)),"statistical_reasoning",IF(ISNUMBER(SEARCH("causal",F149)),"causal_reasoning",IF(ISNUMBER(SEARCH("social",F149)),"social_influence",IF(ISNUMBER(SEARCH("rhetoric",F149)),"rhetoric_discourse",IF(ISNUMBER(SEARCH("behavior",F149)),"behavioural_economics",IF(ISNUMBER(SEARCH("cognitive",F149)),"cognitive_biases",IF(J149="protective_pattern","healthy_reasoning_patterns",IF(L149="P0","core_mvp","extended_fallacies")))))))))</x:f>
        <x:v>extended_fallacies</x:v>
      </x:c>
      <x:c r="AC149" s="12" t="str">
        <x:f>IF(ISNUMBER(SEARCH("operational",J149)),"operational",IF(ISNUMBER(SEARCH("deprecated",J149)),"deprecated",IF(L149="P0","canonical","recognized_subtype")))</x:f>
        <x:v>operational</x:v>
      </x:c>
      <x:c r="AD149" s="12" t="str">
        <x:f>IF(AC149="canonical","high",IF(AC149="recognized_subtype","medium",IF(AC149="operational","operational_only","debated")))</x:f>
        <x:v>operational_only</x:v>
      </x:c>
      <x:c r="AE149" s="12" t="str">
        <x:f>IF(AC149="deprecated","deprecated",IF(M149="yes","active",IF(M149="review","review_required","backlog")))</x:f>
        <x:v>backlog</x:v>
      </x:c>
      <x:c r="AF149" s="12" t="str">
        <x:f>IF(OR(AE149="active",AE149="review_required"),"yes","no")</x:f>
        <x:v>no</x:v>
      </x:c>
      <x:c r="AG149" s="12" t="str">
        <x:f>IF(AND(AE149="active",M149="yes",NOT(ISNUMBER(SEARCH("healthy",AB149)))),"yes","no")</x:f>
        <x:v>no</x:v>
      </x:c>
      <x:c r="AH149" s="12" t="str">
        <x:f>IF(OR(H149="contextual",H149="dialogue",H149="discourse",I149="claim+context",I149="discourse_segment"),"yes","no")</x:f>
        <x:v>yes</x:v>
      </x:c>
      <x:c r="AI149" s="12" t="str">
        <x:f>IF(OR(AH149="yes",AD149="debated",AC149="operational"),"yes","no")</x:f>
        <x:v>yes</x:v>
      </x:c>
      <x:c r="AJ149" s="12" t="str">
        <x:f>IF(OR(AH149="yes",AC149="operational",AD149="debated"),"high",IF(AND(AG149="yes",L149="P0"),"medium","low"))</x:f>
        <x:v>high</x:v>
      </x:c>
      <x:c r="AK149" s="12" t="str">
        <x:f>IF(ISNUMBER(SEARCH("healthy",AB149)),"yes","no")</x:f>
        <x:v>no</x:v>
      </x:c>
      <x:c r="AL149" s="12" t="str">
        <x:f>IF(AG149="yes","yes","candidate_only")</x:f>
        <x:v>candidate_only</x:v>
      </x:c>
      <x:c r="AM149" s="12" t="str">
        <x:f>IF(OR(AC149="canonical",AG149="yes"),"yes","recommended")</x:f>
        <x:v>recommended</x:v>
      </x:c>
      <x:c r="AN149" s="12" t="str">
        <x:f>IF(AC149="deprecated","exclude",IF(AND(AG149="yes",AJ149="high"),"import_but_human_review_required",IF(AG149="yes","import_as_active","import_as_backlog")))</x:f>
        <x:v>import_as_backlog</x:v>
      </x:c>
      <x:c r="AO149" s="12" t="str">
        <x:f>IF(AND(AG149="yes",OR(P149="",Q149="",R149="",S149="")),"missing_required_mvp_fields",IF(AND(AC149="canonical",Y149=""),"missing_source_ref","ok"))</x:f>
        <x:v>ok</x:v>
      </x:c>
      <x:c r="AP149" s="12" t="str">
        <x:f>IF(AO149="ok","ready_for_codex_import","needs_review")</x:f>
        <x:v>ready_for_codex_import</x:v>
      </x:c>
      <x:c r="AQ149" s="12"/>
      <x:c r="AR149" s="12" t="str">
        <x:v>Added v2 operational fields. Review before classification activation.</x:v>
      </x:c>
    </x:row>
    <x:row r="150">
      <x:c r="A150" s="13" t="str">
        <x:v>appeal_to_pity_comparative_variant</x:v>
      </x:c>
      <x:c r="B150" s="13" t="str">
        <x:v>appeal_to_pity</x:v>
      </x:c>
      <x:c r="C150" s="13" t="str">
        <x:v>Appeal to pity</x:v>
      </x:c>
      <x:c r="D150" s="13" t="str">
        <x:v>استناد به ترحم</x:v>
      </x:c>
      <x:c r="E150" s="13" t="str">
        <x:v>Comparative variant</x:v>
      </x:c>
      <x:c r="F150" s="13" t="str">
        <x:v>reasoning_failures</x:v>
      </x:c>
      <x:c r="G150" s="13" t="str">
        <x:v>operational_variant</x:v>
      </x:c>
      <x:c r="H150" s="13" t="str">
        <x:v>discourse</x:v>
      </x:c>
      <x:c r="I150" s="13" t="str">
        <x:v>discourse_segment</x:v>
      </x:c>
      <x:c r="J150" s="13" t="str">
        <x:v>derived_operational_subtype</x:v>
      </x:c>
      <x:c r="K150" s="13" t="str">
        <x:v>derived_from_established_parent_review_required</x:v>
      </x:c>
      <x:c r="L150" s="13" t="str">
        <x:v>P3</x:v>
      </x:c>
      <x:c r="M150" s="13" t="str">
        <x:v>no</x:v>
      </x:c>
      <x:c r="N150" s="13" t="str">
        <x:v>Operational subtype under Appeal to pity: the pattern appears through comparison between cases. Parent definition: Substituting pity or sympathy for relevant evidence.</x:v>
      </x:c>
      <x:c r="O150" s="13" t="str">
        <x:v>Look for: explicit claim-level evidence; parent-family cues for Appeal to pity; variant cue: the pattern appears through comparison between cases; avoid author-level inference.</x:v>
      </x:c>
      <x:c r="P150" s="13" t="str">
        <x:v>Exact evidence span in text plus claim-level reasoning link; for contextual/discourse entries, require surrounding context.</x:v>
      </x:c>
      <x:c r="Q150" s="13" t="str">
        <x:v>Do not label merely because topic is controversial, emotional, or wrong. Do not judge intent or personality. Require textual evidence and consider healthy-reasoning cues.</x:v>
      </x:c>
      <x:c r="R150" s="13" t="str">
        <x:v>Stub: A claim relies on the pattern appears through comparison between cases to support a conclusion without adequate qualification.</x:v>
      </x:c>
      <x:c r="S150" s="13" t="str">
        <x:v>Stub: A claim discusses appeal to pity with caveats, balanced evidence, or no argumentative use of the pattern.</x:v>
      </x:c>
      <x:c r="T150" s="13" t="str">
        <x:v>Mild or ambiguous cue; do not classify without clear evidence span.</x:v>
      </x:c>
      <x:c r="U150" s="13" t="str">
        <x:v>Clear claim-level pattern with some argumentative impact.</x:v>
      </x:c>
      <x:c r="V150" s="13" t="str">
        <x:v>Strong pattern central to the conclusion and likely to materially distort reasoning.</x:v>
      </x:c>
      <x:c r="W150" s="13" t="str">
        <x:v>cherry_picking; missing_counterevidence; evidence_grading</x:v>
      </x:c>
      <x:c r="X150" s="13" t="str">
        <x:v>sep_fallacies</x:v>
      </x:c>
      <x:c r="Y150" s="13" t="str">
        <x:v>https://plato.stanford.edu/entries/fallacies/</x:v>
      </x:c>
      <x:c r="Z150" s="13" t="str">
        <x:v>Review before enabling. This workbook is a living taxonomy scaffold, not a validated scientific benchmark.</x:v>
      </x:c>
      <x:c r="AA150" s="13" t="str">
        <x:v>0.1.0-draft</x:v>
      </x:c>
      <x:c r="AB150" s="12" t="str">
        <x:f>IF(ISNUMBER(SEARCH("healthy",F150)),"healthy_reasoning_patterns",IF(ISNUMBER(SEARCH("statistical",F150)),"statistical_reasoning",IF(ISNUMBER(SEARCH("causal",F150)),"causal_reasoning",IF(ISNUMBER(SEARCH("social",F150)),"social_influence",IF(ISNUMBER(SEARCH("rhetoric",F150)),"rhetoric_discourse",IF(ISNUMBER(SEARCH("behavior",F150)),"behavioural_economics",IF(ISNUMBER(SEARCH("cognitive",F150)),"cognitive_biases",IF(J150="protective_pattern","healthy_reasoning_patterns",IF(L150="P0","core_mvp","extended_fallacies")))))))))</x:f>
        <x:v>extended_fallacies</x:v>
      </x:c>
      <x:c r="AC150" s="12" t="str">
        <x:f>IF(ISNUMBER(SEARCH("operational",J150)),"operational",IF(ISNUMBER(SEARCH("deprecated",J150)),"deprecated",IF(L150="P0","canonical","recognized_subtype")))</x:f>
        <x:v>operational</x:v>
      </x:c>
      <x:c r="AD150" s="12" t="str">
        <x:f>IF(AC150="canonical","high",IF(AC150="recognized_subtype","medium",IF(AC150="operational","operational_only","debated")))</x:f>
        <x:v>operational_only</x:v>
      </x:c>
      <x:c r="AE150" s="12" t="str">
        <x:f>IF(AC150="deprecated","deprecated",IF(M150="yes","active",IF(M150="review","review_required","backlog")))</x:f>
        <x:v>backlog</x:v>
      </x:c>
      <x:c r="AF150" s="12" t="str">
        <x:f>IF(OR(AE150="active",AE150="review_required"),"yes","no")</x:f>
        <x:v>no</x:v>
      </x:c>
      <x:c r="AG150" s="12" t="str">
        <x:f>IF(AND(AE150="active",M150="yes",NOT(ISNUMBER(SEARCH("healthy",AB150)))),"yes","no")</x:f>
        <x:v>no</x:v>
      </x:c>
      <x:c r="AH150" s="12" t="str">
        <x:f>IF(OR(H150="contextual",H150="dialogue",H150="discourse",I150="claim+context",I150="discourse_segment"),"yes","no")</x:f>
        <x:v>yes</x:v>
      </x:c>
      <x:c r="AI150" s="12" t="str">
        <x:f>IF(OR(AH150="yes",AD150="debated",AC150="operational"),"yes","no")</x:f>
        <x:v>yes</x:v>
      </x:c>
      <x:c r="AJ150" s="12" t="str">
        <x:f>IF(OR(AH150="yes",AC150="operational",AD150="debated"),"high",IF(AND(AG150="yes",L150="P0"),"medium","low"))</x:f>
        <x:v>high</x:v>
      </x:c>
      <x:c r="AK150" s="12" t="str">
        <x:f>IF(ISNUMBER(SEARCH("healthy",AB150)),"yes","no")</x:f>
        <x:v>no</x:v>
      </x:c>
      <x:c r="AL150" s="12" t="str">
        <x:f>IF(AG150="yes","yes","candidate_only")</x:f>
        <x:v>candidate_only</x:v>
      </x:c>
      <x:c r="AM150" s="12" t="str">
        <x:f>IF(OR(AC150="canonical",AG150="yes"),"yes","recommended")</x:f>
        <x:v>recommended</x:v>
      </x:c>
      <x:c r="AN150" s="12" t="str">
        <x:f>IF(AC150="deprecated","exclude",IF(AND(AG150="yes",AJ150="high"),"import_but_human_review_required",IF(AG150="yes","import_as_active","import_as_backlog")))</x:f>
        <x:v>import_as_backlog</x:v>
      </x:c>
      <x:c r="AO150" s="12" t="str">
        <x:f>IF(AND(AG150="yes",OR(P150="",Q150="",R150="",S150="")),"missing_required_mvp_fields",IF(AND(AC150="canonical",Y150=""),"missing_source_ref","ok"))</x:f>
        <x:v>ok</x:v>
      </x:c>
      <x:c r="AP150" s="12" t="str">
        <x:f>IF(AO150="ok","ready_for_codex_import","needs_review")</x:f>
        <x:v>ready_for_codex_import</x:v>
      </x:c>
      <x:c r="AQ150" s="12"/>
      <x:c r="AR150" s="12" t="str">
        <x:v>Added v2 operational fields. Review before classification activation.</x:v>
      </x:c>
    </x:row>
    <x:row r="151">
      <x:c r="A151" s="13" t="str">
        <x:v>appeal_to_force_comparative_variant</x:v>
      </x:c>
      <x:c r="B151" s="13" t="str">
        <x:v>appeal_to_force</x:v>
      </x:c>
      <x:c r="C151" s="13" t="str">
        <x:v>Appeal to force</x:v>
      </x:c>
      <x:c r="D151" s="13" t="str">
        <x:v>استناد به اجبار</x:v>
      </x:c>
      <x:c r="E151" s="13" t="str">
        <x:v>Comparative variant</x:v>
      </x:c>
      <x:c r="F151" s="13" t="str">
        <x:v>reasoning_failures</x:v>
      </x:c>
      <x:c r="G151" s="13" t="str">
        <x:v>operational_variant</x:v>
      </x:c>
      <x:c r="H151" s="13" t="str">
        <x:v>dialogue</x:v>
      </x:c>
      <x:c r="I151" s="13" t="str">
        <x:v>discourse_segment</x:v>
      </x:c>
      <x:c r="J151" s="13" t="str">
        <x:v>derived_operational_subtype</x:v>
      </x:c>
      <x:c r="K151" s="13" t="str">
        <x:v>derived_from_established_parent_review_required</x:v>
      </x:c>
      <x:c r="L151" s="13" t="str">
        <x:v>P3</x:v>
      </x:c>
      <x:c r="M151" s="13" t="str">
        <x:v>no</x:v>
      </x:c>
      <x:c r="N151" s="13" t="str">
        <x:v>Operational subtype under Appeal to force: the pattern appears through comparison between cases. Parent definition: Relying on threat or coercion rather than reasons.</x:v>
      </x:c>
      <x:c r="O151" s="13" t="str">
        <x:v>Look for: explicit claim-level evidence; parent-family cues for Appeal to force; variant cue: the pattern appears through comparison between cases; avoid author-level inference.</x:v>
      </x:c>
      <x:c r="P151" s="13" t="str">
        <x:v>Exact evidence span in text plus claim-level reasoning link; for contextual/discourse entries, require surrounding context.</x:v>
      </x:c>
      <x:c r="Q151" s="13" t="str">
        <x:v>Do not label merely because topic is controversial, emotional, or wrong. Do not judge intent or personality. Require textual evidence and consider healthy-reasoning cues.</x:v>
      </x:c>
      <x:c r="R151" s="13" t="str">
        <x:v>Stub: A claim relies on the pattern appears through comparison between cases to support a conclusion without adequate qualification.</x:v>
      </x:c>
      <x:c r="S151" s="13" t="str">
        <x:v>Stub: A claim discusses appeal to force with caveats, balanced evidence, or no argumentative use of the pattern.</x:v>
      </x:c>
      <x:c r="T151" s="13" t="str">
        <x:v>Mild or ambiguous cue; do not classify without clear evidence span.</x:v>
      </x:c>
      <x:c r="U151" s="13" t="str">
        <x:v>Clear claim-level pattern with some argumentative impact.</x:v>
      </x:c>
      <x:c r="V151" s="13" t="str">
        <x:v>Strong pattern central to the conclusion and likely to materially distort reasoning.</x:v>
      </x:c>
      <x:c r="W151" s="13" t="str"/>
      <x:c r="X151" s="13" t="str">
        <x:v>sep_fallacies</x:v>
      </x:c>
      <x:c r="Y151" s="13" t="str">
        <x:v>https://plato.stanford.edu/entries/fallacies/</x:v>
      </x:c>
      <x:c r="Z151" s="13" t="str">
        <x:v>Review before enabling. This workbook is a living taxonomy scaffold, not a validated scientific benchmark.</x:v>
      </x:c>
      <x:c r="AA151" s="13" t="str">
        <x:v>0.1.0-draft</x:v>
      </x:c>
      <x:c r="AB151" s="12" t="str">
        <x:f>IF(ISNUMBER(SEARCH("healthy",F151)),"healthy_reasoning_patterns",IF(ISNUMBER(SEARCH("statistical",F151)),"statistical_reasoning",IF(ISNUMBER(SEARCH("causal",F151)),"causal_reasoning",IF(ISNUMBER(SEARCH("social",F151)),"social_influence",IF(ISNUMBER(SEARCH("rhetoric",F151)),"rhetoric_discourse",IF(ISNUMBER(SEARCH("behavior",F151)),"behavioural_economics",IF(ISNUMBER(SEARCH("cognitive",F151)),"cognitive_biases",IF(J151="protective_pattern","healthy_reasoning_patterns",IF(L151="P0","core_mvp","extended_fallacies")))))))))</x:f>
        <x:v>extended_fallacies</x:v>
      </x:c>
      <x:c r="AC151" s="12" t="str">
        <x:f>IF(ISNUMBER(SEARCH("operational",J151)),"operational",IF(ISNUMBER(SEARCH("deprecated",J151)),"deprecated",IF(L151="P0","canonical","recognized_subtype")))</x:f>
        <x:v>operational</x:v>
      </x:c>
      <x:c r="AD151" s="12" t="str">
        <x:f>IF(AC151="canonical","high",IF(AC151="recognized_subtype","medium",IF(AC151="operational","operational_only","debated")))</x:f>
        <x:v>operational_only</x:v>
      </x:c>
      <x:c r="AE151" s="12" t="str">
        <x:f>IF(AC151="deprecated","deprecated",IF(M151="yes","active",IF(M151="review","review_required","backlog")))</x:f>
        <x:v>backlog</x:v>
      </x:c>
      <x:c r="AF151" s="12" t="str">
        <x:f>IF(OR(AE151="active",AE151="review_required"),"yes","no")</x:f>
        <x:v>no</x:v>
      </x:c>
      <x:c r="AG151" s="12" t="str">
        <x:f>IF(AND(AE151="active",M151="yes",NOT(ISNUMBER(SEARCH("healthy",AB151)))),"yes","no")</x:f>
        <x:v>no</x:v>
      </x:c>
      <x:c r="AH151" s="12" t="str">
        <x:f>IF(OR(H151="contextual",H151="dialogue",H151="discourse",I151="claim+context",I151="discourse_segment"),"yes","no")</x:f>
        <x:v>yes</x:v>
      </x:c>
      <x:c r="AI151" s="12" t="str">
        <x:f>IF(OR(AH151="yes",AD151="debated",AC151="operational"),"yes","no")</x:f>
        <x:v>yes</x:v>
      </x:c>
      <x:c r="AJ151" s="12" t="str">
        <x:f>IF(OR(AH151="yes",AC151="operational",AD151="debated"),"high",IF(AND(AG151="yes",L151="P0"),"medium","low"))</x:f>
        <x:v>high</x:v>
      </x:c>
      <x:c r="AK151" s="12" t="str">
        <x:f>IF(ISNUMBER(SEARCH("healthy",AB151)),"yes","no")</x:f>
        <x:v>no</x:v>
      </x:c>
      <x:c r="AL151" s="12" t="str">
        <x:f>IF(AG151="yes","yes","candidate_only")</x:f>
        <x:v>candidate_only</x:v>
      </x:c>
      <x:c r="AM151" s="12" t="str">
        <x:f>IF(OR(AC151="canonical",AG151="yes"),"yes","recommended")</x:f>
        <x:v>recommended</x:v>
      </x:c>
      <x:c r="AN151" s="12" t="str">
        <x:f>IF(AC151="deprecated","exclude",IF(AND(AG151="yes",AJ151="high"),"import_but_human_review_required",IF(AG151="yes","import_as_active","import_as_backlog")))</x:f>
        <x:v>import_as_backlog</x:v>
      </x:c>
      <x:c r="AO151" s="12" t="str">
        <x:f>IF(AND(AG151="yes",OR(P151="",Q151="",R151="",S151="")),"missing_required_mvp_fields",IF(AND(AC151="canonical",Y151=""),"missing_source_ref","ok"))</x:f>
        <x:v>ok</x:v>
      </x:c>
      <x:c r="AP151" s="12" t="str">
        <x:f>IF(AO151="ok","ready_for_codex_import","needs_review")</x:f>
        <x:v>ready_for_codex_import</x:v>
      </x:c>
      <x:c r="AQ151" s="12"/>
      <x:c r="AR151" s="12" t="str">
        <x:v>Added v2 operational fields. Review before classification activation.</x:v>
      </x:c>
    </x:row>
    <x:row r="152">
      <x:c r="A152" s="13" t="str">
        <x:v>cherry_picking_canonical</x:v>
      </x:c>
      <x:c r="B152" s="13" t="str">
        <x:v>cherry_picking</x:v>
      </x:c>
      <x:c r="C152" s="13" t="str">
        <x:v>Cherry picking</x:v>
      </x:c>
      <x:c r="D152" s="13" t="str">
        <x:v>انتخاب گزینشی شواهد</x:v>
      </x:c>
      <x:c r="E152" s="13" t="str">
        <x:v>Canonical form</x:v>
      </x:c>
      <x:c r="F152" s="13" t="str">
        <x:v>evidence_failures</x:v>
      </x:c>
      <x:c r="G152" s="13" t="str">
        <x:v>canonical</x:v>
      </x:c>
      <x:c r="H152" s="13" t="str">
        <x:v>contextual</x:v>
      </x:c>
      <x:c r="I152" s="13" t="str">
        <x:v>claim+context</x:v>
      </x:c>
      <x:c r="J152" s="13" t="str">
        <x:v>core_named_candidate</x:v>
      </x:c>
      <x:c r="K152" s="13" t="str">
        <x:v>established_parent_needs_row_review</x:v>
      </x:c>
      <x:c r="L152" s="13" t="str">
        <x:v>P1</x:v>
      </x:c>
      <x:c r="M152" s="13" t="str">
        <x:v>review</x:v>
      </x:c>
      <x:c r="N152" s="13" t="str">
        <x:v>Operational subtype under Cherry picking: evidence is mishandled in a standard recognizable way. Parent definition: Selecting supportive evidence while ignoring relevant counterevidence.</x:v>
      </x:c>
      <x:c r="O152" s="13" t="str">
        <x:v>Look for: explicit claim-level evidence; parent-family cues for Cherry picking; variant cue: evidence is mishandled in a standard recognizable way; avoid author-level inference.</x:v>
      </x:c>
      <x:c r="P152" s="13" t="str">
        <x:v>Exact evidence span in text plus claim-level reasoning link; for contextual/discourse entries, require surrounding context.</x:v>
      </x:c>
      <x:c r="Q152" s="13" t="str">
        <x:v>Do not label merely because topic is controversial, emotional, or wrong. Do not judge intent or personality. Require textual evidence and consider healthy-reasoning cues.</x:v>
      </x:c>
      <x:c r="R152" s="13" t="str">
        <x:v>Stub: A claim relies on evidence is mishandled in a standard recognizable way to support a conclusion without adequate qualification.</x:v>
      </x:c>
      <x:c r="S152" s="13" t="str">
        <x:v>Stub: A claim discusses cherry picking with caveats, balanced evidence, or no argumentative use of the pattern.</x:v>
      </x:c>
      <x:c r="T152" s="13" t="str">
        <x:v>Mild or ambiguous cue; do not classify without clear evidence span.</x:v>
      </x:c>
      <x:c r="U152" s="13" t="str">
        <x:v>Clear claim-level pattern with some argumentative impact.</x:v>
      </x:c>
      <x:c r="V152" s="13" t="str">
        <x:v>Strong pattern central to the conclusion and likely to materially distort reasoning.</x:v>
      </x:c>
      <x:c r="W152" s="13" t="str">
        <x:v>cherry_picking; missing_counterevidence; evidence_grading</x:v>
      </x:c>
      <x:c r="X152" s="13" t="str">
        <x:v>sep_informal_logic</x:v>
      </x:c>
      <x:c r="Y152" s="13" t="str">
        <x:v>https://plato.stanford.edu/entries/logic-informal/</x:v>
      </x:c>
      <x:c r="Z152" s="13" t="str">
        <x:v>Review before enabling. This workbook is a living taxonomy scaffold, not a validated scientific benchmark.</x:v>
      </x:c>
      <x:c r="AA152" s="13" t="str">
        <x:v>0.1.0-draft</x:v>
      </x:c>
      <x:c r="AB152" s="12" t="str">
        <x:f>IF(ISNUMBER(SEARCH("healthy",F152)),"healthy_reasoning_patterns",IF(ISNUMBER(SEARCH("statistical",F152)),"statistical_reasoning",IF(ISNUMBER(SEARCH("causal",F152)),"causal_reasoning",IF(ISNUMBER(SEARCH("social",F152)),"social_influence",IF(ISNUMBER(SEARCH("rhetoric",F152)),"rhetoric_discourse",IF(ISNUMBER(SEARCH("behavior",F152)),"behavioural_economics",IF(ISNUMBER(SEARCH("cognitive",F152)),"cognitive_biases",IF(J152="protective_pattern","healthy_reasoning_patterns",IF(L152="P0","core_mvp","extended_fallacies")))))))))</x:f>
        <x:v>extended_fallacies</x:v>
      </x:c>
      <x:c r="AC152" s="12" t="str">
        <x:f>IF(ISNUMBER(SEARCH("operational",J152)),"operational",IF(ISNUMBER(SEARCH("deprecated",J152)),"deprecated",IF(L152="P0","canonical","recognized_subtype")))</x:f>
        <x:v>recognized_subtype</x:v>
      </x:c>
      <x:c r="AD152" s="12" t="str">
        <x:f>IF(AC152="canonical","high",IF(AC152="recognized_subtype","medium",IF(AC152="operational","operational_only","debated")))</x:f>
        <x:v>medium</x:v>
      </x:c>
      <x:c r="AE152" s="12" t="str">
        <x:f>IF(AC152="deprecated","deprecated",IF(M152="yes","active",IF(M152="review","review_required","backlog")))</x:f>
        <x:v>review_required</x:v>
      </x:c>
      <x:c r="AF152" s="12" t="str">
        <x:f>IF(OR(AE152="active",AE152="review_required"),"yes","no")</x:f>
        <x:v>yes</x:v>
      </x:c>
      <x:c r="AG152" s="12" t="str">
        <x:f>IF(AND(AE152="active",M152="yes",NOT(ISNUMBER(SEARCH("healthy",AB152)))),"yes","no")</x:f>
        <x:v>no</x:v>
      </x:c>
      <x:c r="AH152" s="12" t="str">
        <x:f>IF(OR(H152="contextual",H152="dialogue",H152="discourse",I152="claim+context",I152="discourse_segment"),"yes","no")</x:f>
        <x:v>yes</x:v>
      </x:c>
      <x:c r="AI152" s="12" t="str">
        <x:f>IF(OR(AH152="yes",AD152="debated",AC152="operational"),"yes","no")</x:f>
        <x:v>yes</x:v>
      </x:c>
      <x:c r="AJ152" s="12" t="str">
        <x:f>IF(OR(AH152="yes",AC152="operational",AD152="debated"),"high",IF(AND(AG152="yes",L152="P0"),"medium","low"))</x:f>
        <x:v>high</x:v>
      </x:c>
      <x:c r="AK152" s="12" t="str">
        <x:f>IF(ISNUMBER(SEARCH("healthy",AB152)),"yes","no")</x:f>
        <x:v>no</x:v>
      </x:c>
      <x:c r="AL152" s="12" t="str">
        <x:f>IF(AG152="yes","yes","candidate_only")</x:f>
        <x:v>candidate_only</x:v>
      </x:c>
      <x:c r="AM152" s="12" t="str">
        <x:f>IF(OR(AC152="canonical",AG152="yes"),"yes","recommended")</x:f>
        <x:v>recommended</x:v>
      </x:c>
      <x:c r="AN152" s="12" t="str">
        <x:f>IF(AC152="deprecated","exclude",IF(AND(AG152="yes",AJ152="high"),"import_but_human_review_required",IF(AG152="yes","import_as_active","import_as_backlog")))</x:f>
        <x:v>import_as_backlog</x:v>
      </x:c>
      <x:c r="AO152" s="12" t="str">
        <x:f>IF(AND(AG152="yes",OR(P152="",Q152="",R152="",S152="")),"missing_required_mvp_fields",IF(AND(AC152="canonical",Y152=""),"missing_source_ref","ok"))</x:f>
        <x:v>ok</x:v>
      </x:c>
      <x:c r="AP152" s="12" t="str">
        <x:f>IF(AO152="ok","ready_for_codex_import","needs_review")</x:f>
        <x:v>ready_for_codex_import</x:v>
      </x:c>
      <x:c r="AQ152" s="12"/>
      <x:c r="AR152" s="12" t="str">
        <x:v>Added v2 operational fields. Review before classification activation.</x:v>
      </x:c>
    </x:row>
    <x:row r="153">
      <x:c r="A153" s="13" t="str">
        <x:v>suppressed_evidence_canonical</x:v>
      </x:c>
      <x:c r="B153" s="13" t="str">
        <x:v>suppressed_evidence</x:v>
      </x:c>
      <x:c r="C153" s="13" t="str">
        <x:v>Suppressed evidence</x:v>
      </x:c>
      <x:c r="D153" s="13" t="str">
        <x:v>حذف شواهد مهم</x:v>
      </x:c>
      <x:c r="E153" s="13" t="str">
        <x:v>Canonical form</x:v>
      </x:c>
      <x:c r="F153" s="13" t="str">
        <x:v>evidence_failures</x:v>
      </x:c>
      <x:c r="G153" s="13" t="str">
        <x:v>canonical</x:v>
      </x:c>
      <x:c r="H153" s="13" t="str">
        <x:v>contextual</x:v>
      </x:c>
      <x:c r="I153" s="13" t="str">
        <x:v>claim+context</x:v>
      </x:c>
      <x:c r="J153" s="13" t="str">
        <x:v>core_named_candidate</x:v>
      </x:c>
      <x:c r="K153" s="13" t="str">
        <x:v>established_parent_needs_row_review</x:v>
      </x:c>
      <x:c r="L153" s="13" t="str">
        <x:v>P1</x:v>
      </x:c>
      <x:c r="M153" s="13" t="str">
        <x:v>review</x:v>
      </x:c>
      <x:c r="N153" s="13" t="str">
        <x:v>Operational subtype under Suppressed evidence: evidence is mishandled in a standard recognizable way. Parent definition: Omitting relevant evidence that would materially change the conclusion.</x:v>
      </x:c>
      <x:c r="O153" s="13" t="str">
        <x:v>Look for: explicit claim-level evidence; parent-family cues for Suppressed evidence; variant cue: evidence is mishandled in a standard recognizable way; avoid author-level inference.</x:v>
      </x:c>
      <x:c r="P153" s="13" t="str">
        <x:v>Exact evidence span in text plus claim-level reasoning link; for contextual/discourse entries, require surrounding context.</x:v>
      </x:c>
      <x:c r="Q153" s="13" t="str">
        <x:v>Do not label merely because topic is controversial, emotional, or wrong. Do not judge intent or personality. Require textual evidence and consider healthy-reasoning cues.</x:v>
      </x:c>
      <x:c r="R153" s="13" t="str">
        <x:v>Stub: A claim relies on evidence is mishandled in a standard recognizable way to support a conclusion without adequate qualification.</x:v>
      </x:c>
      <x:c r="S153" s="13" t="str">
        <x:v>Stub: A claim discusses suppressed evidence with caveats, balanced evidence, or no argumentative use of the pattern.</x:v>
      </x:c>
      <x:c r="T153" s="13" t="str">
        <x:v>Mild or ambiguous cue; do not classify without clear evidence span.</x:v>
      </x:c>
      <x:c r="U153" s="13" t="str">
        <x:v>Clear claim-level pattern with some argumentative impact.</x:v>
      </x:c>
      <x:c r="V153" s="13" t="str">
        <x:v>Strong pattern central to the conclusion and likely to materially distort reasoning.</x:v>
      </x:c>
      <x:c r="W153" s="13" t="str">
        <x:v>cherry_picking; missing_counterevidence; evidence_grading</x:v>
      </x:c>
      <x:c r="X153" s="13" t="str">
        <x:v>sep_informal_logic</x:v>
      </x:c>
      <x:c r="Y153" s="13" t="str">
        <x:v>https://plato.stanford.edu/entries/logic-informal/</x:v>
      </x:c>
      <x:c r="Z153" s="13" t="str">
        <x:v>Review before enabling. This workbook is a living taxonomy scaffold, not a validated scientific benchmark.</x:v>
      </x:c>
      <x:c r="AA153" s="13" t="str">
        <x:v>0.1.0-draft</x:v>
      </x:c>
      <x:c r="AB153" s="12" t="str">
        <x:f>IF(ISNUMBER(SEARCH("healthy",F153)),"healthy_reasoning_patterns",IF(ISNUMBER(SEARCH("statistical",F153)),"statistical_reasoning",IF(ISNUMBER(SEARCH("causal",F153)),"causal_reasoning",IF(ISNUMBER(SEARCH("social",F153)),"social_influence",IF(ISNUMBER(SEARCH("rhetoric",F153)),"rhetoric_discourse",IF(ISNUMBER(SEARCH("behavior",F153)),"behavioural_economics",IF(ISNUMBER(SEARCH("cognitive",F153)),"cognitive_biases",IF(J153="protective_pattern","healthy_reasoning_patterns",IF(L153="P0","core_mvp","extended_fallacies")))))))))</x:f>
        <x:v>extended_fallacies</x:v>
      </x:c>
      <x:c r="AC153" s="12" t="str">
        <x:f>IF(ISNUMBER(SEARCH("operational",J153)),"operational",IF(ISNUMBER(SEARCH("deprecated",J153)),"deprecated",IF(L153="P0","canonical","recognized_subtype")))</x:f>
        <x:v>recognized_subtype</x:v>
      </x:c>
      <x:c r="AD153" s="12" t="str">
        <x:f>IF(AC153="canonical","high",IF(AC153="recognized_subtype","medium",IF(AC153="operational","operational_only","debated")))</x:f>
        <x:v>medium</x:v>
      </x:c>
      <x:c r="AE153" s="12" t="str">
        <x:f>IF(AC153="deprecated","deprecated",IF(M153="yes","active",IF(M153="review","review_required","backlog")))</x:f>
        <x:v>review_required</x:v>
      </x:c>
      <x:c r="AF153" s="12" t="str">
        <x:f>IF(OR(AE153="active",AE153="review_required"),"yes","no")</x:f>
        <x:v>yes</x:v>
      </x:c>
      <x:c r="AG153" s="12" t="str">
        <x:f>IF(AND(AE153="active",M153="yes",NOT(ISNUMBER(SEARCH("healthy",AB153)))),"yes","no")</x:f>
        <x:v>no</x:v>
      </x:c>
      <x:c r="AH153" s="12" t="str">
        <x:f>IF(OR(H153="contextual",H153="dialogue",H153="discourse",I153="claim+context",I153="discourse_segment"),"yes","no")</x:f>
        <x:v>yes</x:v>
      </x:c>
      <x:c r="AI153" s="12" t="str">
        <x:f>IF(OR(AH153="yes",AD153="debated",AC153="operational"),"yes","no")</x:f>
        <x:v>yes</x:v>
      </x:c>
      <x:c r="AJ153" s="12" t="str">
        <x:f>IF(OR(AH153="yes",AC153="operational",AD153="debated"),"high",IF(AND(AG153="yes",L153="P0"),"medium","low"))</x:f>
        <x:v>high</x:v>
      </x:c>
      <x:c r="AK153" s="12" t="str">
        <x:f>IF(ISNUMBER(SEARCH("healthy",AB153)),"yes","no")</x:f>
        <x:v>no</x:v>
      </x:c>
      <x:c r="AL153" s="12" t="str">
        <x:f>IF(AG153="yes","yes","candidate_only")</x:f>
        <x:v>candidate_only</x:v>
      </x:c>
      <x:c r="AM153" s="12" t="str">
        <x:f>IF(OR(AC153="canonical",AG153="yes"),"yes","recommended")</x:f>
        <x:v>recommended</x:v>
      </x:c>
      <x:c r="AN153" s="12" t="str">
        <x:f>IF(AC153="deprecated","exclude",IF(AND(AG153="yes",AJ153="high"),"import_but_human_review_required",IF(AG153="yes","import_as_active","import_as_backlog")))</x:f>
        <x:v>import_as_backlog</x:v>
      </x:c>
      <x:c r="AO153" s="12" t="str">
        <x:f>IF(AND(AG153="yes",OR(P153="",Q153="",R153="",S153="")),"missing_required_mvp_fields",IF(AND(AC153="canonical",Y153=""),"missing_source_ref","ok"))</x:f>
        <x:v>ok</x:v>
      </x:c>
      <x:c r="AP153" s="12" t="str">
        <x:f>IF(AO153="ok","ready_for_codex_import","needs_review")</x:f>
        <x:v>ready_for_codex_import</x:v>
      </x:c>
      <x:c r="AQ153" s="12"/>
      <x:c r="AR153" s="12" t="str">
        <x:v>Added v2 operational fields. Review before classification activation.</x:v>
      </x:c>
    </x:row>
    <x:row r="154">
      <x:c r="A154" s="13" t="str">
        <x:v>anecdotal_evidence_canonical</x:v>
      </x:c>
      <x:c r="B154" s="13" t="str">
        <x:v>anecdotal_evidence</x:v>
      </x:c>
      <x:c r="C154" s="13" t="str">
        <x:v>Anecdotal evidence</x:v>
      </x:c>
      <x:c r="D154" s="13" t="str">
        <x:v>اتکای بیش از حد به روایت فردی</x:v>
      </x:c>
      <x:c r="E154" s="13" t="str">
        <x:v>Canonical form</x:v>
      </x:c>
      <x:c r="F154" s="13" t="str">
        <x:v>evidence_failures</x:v>
      </x:c>
      <x:c r="G154" s="13" t="str">
        <x:v>canonical</x:v>
      </x:c>
      <x:c r="H154" s="13" t="str">
        <x:v>contextual</x:v>
      </x:c>
      <x:c r="I154" s="13" t="str">
        <x:v>claim+context</x:v>
      </x:c>
      <x:c r="J154" s="13" t="str">
        <x:v>core_named_candidate</x:v>
      </x:c>
      <x:c r="K154" s="13" t="str">
        <x:v>established_parent_needs_row_review</x:v>
      </x:c>
      <x:c r="L154" s="13" t="str">
        <x:v>P1</x:v>
      </x:c>
      <x:c r="M154" s="13" t="str">
        <x:v>review</x:v>
      </x:c>
      <x:c r="N154" s="13" t="str">
        <x:v>Operational subtype under Anecdotal evidence: evidence is mishandled in a standard recognizable way. Parent definition: Using isolated stories as if they establish a general claim.</x:v>
      </x:c>
      <x:c r="O154" s="13" t="str">
        <x:v>Look for: explicit claim-level evidence; parent-family cues for Anecdotal evidence; variant cue: evidence is mishandled in a standard recognizable way; avoid author-level inference.</x:v>
      </x:c>
      <x:c r="P154" s="13" t="str">
        <x:v>Exact evidence span in text plus claim-level reasoning link; for contextual/discourse entries, require surrounding context.</x:v>
      </x:c>
      <x:c r="Q154" s="13" t="str">
        <x:v>Do not label merely because topic is controversial, emotional, or wrong. Do not judge intent or personality. Require textual evidence and consider healthy-reasoning cues.</x:v>
      </x:c>
      <x:c r="R154" s="13" t="str">
        <x:v>Stub: A claim relies on evidence is mishandled in a standard recognizable way to support a conclusion without adequate qualification.</x:v>
      </x:c>
      <x:c r="S154" s="13" t="str">
        <x:v>Stub: A claim discusses anecdotal evidence with caveats, balanced evidence, or no argumentative use of the pattern.</x:v>
      </x:c>
      <x:c r="T154" s="13" t="str">
        <x:v>Mild or ambiguous cue; do not classify without clear evidence span.</x:v>
      </x:c>
      <x:c r="U154" s="13" t="str">
        <x:v>Clear claim-level pattern with some argumentative impact.</x:v>
      </x:c>
      <x:c r="V154" s="13" t="str">
        <x:v>Strong pattern central to the conclusion and likely to materially distort reasoning.</x:v>
      </x:c>
      <x:c r="W154" s="13" t="str"/>
      <x:c r="X154" s="13" t="str">
        <x:v>sep_informal_logic</x:v>
      </x:c>
      <x:c r="Y154" s="13" t="str">
        <x:v>https://plato.stanford.edu/entries/logic-informal/</x:v>
      </x:c>
      <x:c r="Z154" s="13" t="str">
        <x:v>Review before enabling. This workbook is a living taxonomy scaffold, not a validated scientific benchmark.</x:v>
      </x:c>
      <x:c r="AA154" s="13" t="str">
        <x:v>0.1.0-draft</x:v>
      </x:c>
      <x:c r="AB154" s="12" t="str">
        <x:f>IF(ISNUMBER(SEARCH("healthy",F154)),"healthy_reasoning_patterns",IF(ISNUMBER(SEARCH("statistical",F154)),"statistical_reasoning",IF(ISNUMBER(SEARCH("causal",F154)),"causal_reasoning",IF(ISNUMBER(SEARCH("social",F154)),"social_influence",IF(ISNUMBER(SEARCH("rhetoric",F154)),"rhetoric_discourse",IF(ISNUMBER(SEARCH("behavior",F154)),"behavioural_economics",IF(ISNUMBER(SEARCH("cognitive",F154)),"cognitive_biases",IF(J154="protective_pattern","healthy_reasoning_patterns",IF(L154="P0","core_mvp","extended_fallacies")))))))))</x:f>
        <x:v>extended_fallacies</x:v>
      </x:c>
      <x:c r="AC154" s="12" t="str">
        <x:f>IF(ISNUMBER(SEARCH("operational",J154)),"operational",IF(ISNUMBER(SEARCH("deprecated",J154)),"deprecated",IF(L154="P0","canonical","recognized_subtype")))</x:f>
        <x:v>recognized_subtype</x:v>
      </x:c>
      <x:c r="AD154" s="12" t="str">
        <x:f>IF(AC154="canonical","high",IF(AC154="recognized_subtype","medium",IF(AC154="operational","operational_only","debated")))</x:f>
        <x:v>medium</x:v>
      </x:c>
      <x:c r="AE154" s="12" t="str">
        <x:f>IF(AC154="deprecated","deprecated",IF(M154="yes","active",IF(M154="review","review_required","backlog")))</x:f>
        <x:v>review_required</x:v>
      </x:c>
      <x:c r="AF154" s="12" t="str">
        <x:f>IF(OR(AE154="active",AE154="review_required"),"yes","no")</x:f>
        <x:v>yes</x:v>
      </x:c>
      <x:c r="AG154" s="12" t="str">
        <x:f>IF(AND(AE154="active",M154="yes",NOT(ISNUMBER(SEARCH("healthy",AB154)))),"yes","no")</x:f>
        <x:v>no</x:v>
      </x:c>
      <x:c r="AH154" s="12" t="str">
        <x:f>IF(OR(H154="contextual",H154="dialogue",H154="discourse",I154="claim+context",I154="discourse_segment"),"yes","no")</x:f>
        <x:v>yes</x:v>
      </x:c>
      <x:c r="AI154" s="12" t="str">
        <x:f>IF(OR(AH154="yes",AD154="debated",AC154="operational"),"yes","no")</x:f>
        <x:v>yes</x:v>
      </x:c>
      <x:c r="AJ154" s="12" t="str">
        <x:f>IF(OR(AH154="yes",AC154="operational",AD154="debated"),"high",IF(AND(AG154="yes",L154="P0"),"medium","low"))</x:f>
        <x:v>high</x:v>
      </x:c>
      <x:c r="AK154" s="12" t="str">
        <x:f>IF(ISNUMBER(SEARCH("healthy",AB154)),"yes","no")</x:f>
        <x:v>no</x:v>
      </x:c>
      <x:c r="AL154" s="12" t="str">
        <x:f>IF(AG154="yes","yes","candidate_only")</x:f>
        <x:v>candidate_only</x:v>
      </x:c>
      <x:c r="AM154" s="12" t="str">
        <x:f>IF(OR(AC154="canonical",AG154="yes"),"yes","recommended")</x:f>
        <x:v>recommended</x:v>
      </x:c>
      <x:c r="AN154" s="12" t="str">
        <x:f>IF(AC154="deprecated","exclude",IF(AND(AG154="yes",AJ154="high"),"import_but_human_review_required",IF(AG154="yes","import_as_active","import_as_backlog")))</x:f>
        <x:v>import_as_backlog</x:v>
      </x:c>
      <x:c r="AO154" s="12" t="str">
        <x:f>IF(AND(AG154="yes",OR(P154="",Q154="",R154="",S154="")),"missing_required_mvp_fields",IF(AND(AC154="canonical",Y154=""),"missing_source_ref","ok"))</x:f>
        <x:v>ok</x:v>
      </x:c>
      <x:c r="AP154" s="12" t="str">
        <x:f>IF(AO154="ok","ready_for_codex_import","needs_review")</x:f>
        <x:v>ready_for_codex_import</x:v>
      </x:c>
      <x:c r="AQ154" s="12"/>
      <x:c r="AR154" s="12" t="str">
        <x:v>Added v2 operational fields. Review before classification activation.</x:v>
      </x:c>
    </x:row>
    <x:row r="155">
      <x:c r="A155" s="13" t="str">
        <x:v>selection_bias_argument_canonical</x:v>
      </x:c>
      <x:c r="B155" s="13" t="str">
        <x:v>selection_bias_argument</x:v>
      </x:c>
      <x:c r="C155" s="13" t="str">
        <x:v>Selection bias in argument</x:v>
      </x:c>
      <x:c r="D155" s="13" t="str">
        <x:v>سوگیری انتخاب نمونه</x:v>
      </x:c>
      <x:c r="E155" s="13" t="str">
        <x:v>Canonical form</x:v>
      </x:c>
      <x:c r="F155" s="13" t="str">
        <x:v>evidence_failures</x:v>
      </x:c>
      <x:c r="G155" s="13" t="str">
        <x:v>canonical</x:v>
      </x:c>
      <x:c r="H155" s="13" t="str">
        <x:v>contextual</x:v>
      </x:c>
      <x:c r="I155" s="13" t="str">
        <x:v>claim+context</x:v>
      </x:c>
      <x:c r="J155" s="13" t="str">
        <x:v>core_named_candidate</x:v>
      </x:c>
      <x:c r="K155" s="13" t="str">
        <x:v>established_parent_needs_row_review</x:v>
      </x:c>
      <x:c r="L155" s="13" t="str">
        <x:v>P1</x:v>
      </x:c>
      <x:c r="M155" s="13" t="str">
        <x:v>review</x:v>
      </x:c>
      <x:c r="N155" s="13" t="str">
        <x:v>Operational subtype under Selection bias in argument: evidence is mishandled in a standard recognizable way. Parent definition: Basing a conclusion on a sample selected in a systematically distorted way.</x:v>
      </x:c>
      <x:c r="O155" s="13" t="str">
        <x:v>Look for: explicit claim-level evidence; parent-family cues for Selection bias in argument; variant cue: evidence is mishandled in a standard recognizable way; avoid author-level inference.</x:v>
      </x:c>
      <x:c r="P155" s="13" t="str">
        <x:v>Exact evidence span in text plus claim-level reasoning link; for contextual/discourse entries, require surrounding context.</x:v>
      </x:c>
      <x:c r="Q155" s="13" t="str">
        <x:v>Do not label merely because topic is controversial, emotional, or wrong. Do not judge intent or personality. Require textual evidence and consider healthy-reasoning cues.</x:v>
      </x:c>
      <x:c r="R155" s="13" t="str">
        <x:v>Stub: A claim relies on evidence is mishandled in a standard recognizable way to support a conclusion without adequate qualification.</x:v>
      </x:c>
      <x:c r="S155" s="13" t="str">
        <x:v>Stub: A claim discusses selection bias in argument with caveats, balanced evidence, or no argumentative use of the pattern.</x:v>
      </x:c>
      <x:c r="T155" s="13" t="str">
        <x:v>Mild or ambiguous cue; do not classify without clear evidence span.</x:v>
      </x:c>
      <x:c r="U155" s="13" t="str">
        <x:v>Clear claim-level pattern with some argumentative impact.</x:v>
      </x:c>
      <x:c r="V155" s="13" t="str">
        <x:v>Strong pattern central to the conclusion and likely to materially distort reasoning.</x:v>
      </x:c>
      <x:c r="W155" s="13" t="str"/>
      <x:c r="X155" s="13" t="str">
        <x:v>sep_informal_logic</x:v>
      </x:c>
      <x:c r="Y155" s="13" t="str">
        <x:v>https://plato.stanford.edu/entries/logic-informal/</x:v>
      </x:c>
      <x:c r="Z155" s="13" t="str">
        <x:v>Review before enabling. This workbook is a living taxonomy scaffold, not a validated scientific benchmark.</x:v>
      </x:c>
      <x:c r="AA155" s="13" t="str">
        <x:v>0.1.0-draft</x:v>
      </x:c>
      <x:c r="AB155" s="12" t="str">
        <x:f>IF(ISNUMBER(SEARCH("healthy",F155)),"healthy_reasoning_patterns",IF(ISNUMBER(SEARCH("statistical",F155)),"statistical_reasoning",IF(ISNUMBER(SEARCH("causal",F155)),"causal_reasoning",IF(ISNUMBER(SEARCH("social",F155)),"social_influence",IF(ISNUMBER(SEARCH("rhetoric",F155)),"rhetoric_discourse",IF(ISNUMBER(SEARCH("behavior",F155)),"behavioural_economics",IF(ISNUMBER(SEARCH("cognitive",F155)),"cognitive_biases",IF(J155="protective_pattern","healthy_reasoning_patterns",IF(L155="P0","core_mvp","extended_fallacies")))))))))</x:f>
        <x:v>extended_fallacies</x:v>
      </x:c>
      <x:c r="AC155" s="12" t="str">
        <x:f>IF(ISNUMBER(SEARCH("operational",J155)),"operational",IF(ISNUMBER(SEARCH("deprecated",J155)),"deprecated",IF(L155="P0","canonical","recognized_subtype")))</x:f>
        <x:v>recognized_subtype</x:v>
      </x:c>
      <x:c r="AD155" s="12" t="str">
        <x:f>IF(AC155="canonical","high",IF(AC155="recognized_subtype","medium",IF(AC155="operational","operational_only","debated")))</x:f>
        <x:v>medium</x:v>
      </x:c>
      <x:c r="AE155" s="12" t="str">
        <x:f>IF(AC155="deprecated","deprecated",IF(M155="yes","active",IF(M155="review","review_required","backlog")))</x:f>
        <x:v>review_required</x:v>
      </x:c>
      <x:c r="AF155" s="12" t="str">
        <x:f>IF(OR(AE155="active",AE155="review_required"),"yes","no")</x:f>
        <x:v>yes</x:v>
      </x:c>
      <x:c r="AG155" s="12" t="str">
        <x:f>IF(AND(AE155="active",M155="yes",NOT(ISNUMBER(SEARCH("healthy",AB155)))),"yes","no")</x:f>
        <x:v>no</x:v>
      </x:c>
      <x:c r="AH155" s="12" t="str">
        <x:f>IF(OR(H155="contextual",H155="dialogue",H155="discourse",I155="claim+context",I155="discourse_segment"),"yes","no")</x:f>
        <x:v>yes</x:v>
      </x:c>
      <x:c r="AI155" s="12" t="str">
        <x:f>IF(OR(AH155="yes",AD155="debated",AC155="operational"),"yes","no")</x:f>
        <x:v>yes</x:v>
      </x:c>
      <x:c r="AJ155" s="12" t="str">
        <x:f>IF(OR(AH155="yes",AC155="operational",AD155="debated"),"high",IF(AND(AG155="yes",L155="P0"),"medium","low"))</x:f>
        <x:v>high</x:v>
      </x:c>
      <x:c r="AK155" s="12" t="str">
        <x:f>IF(ISNUMBER(SEARCH("healthy",AB155)),"yes","no")</x:f>
        <x:v>no</x:v>
      </x:c>
      <x:c r="AL155" s="12" t="str">
        <x:f>IF(AG155="yes","yes","candidate_only")</x:f>
        <x:v>candidate_only</x:v>
      </x:c>
      <x:c r="AM155" s="12" t="str">
        <x:f>IF(OR(AC155="canonical",AG155="yes"),"yes","recommended")</x:f>
        <x:v>recommended</x:v>
      </x:c>
      <x:c r="AN155" s="12" t="str">
        <x:f>IF(AC155="deprecated","exclude",IF(AND(AG155="yes",AJ155="high"),"import_but_human_review_required",IF(AG155="yes","import_as_active","import_as_backlog")))</x:f>
        <x:v>import_as_backlog</x:v>
      </x:c>
      <x:c r="AO155" s="12" t="str">
        <x:f>IF(AND(AG155="yes",OR(P155="",Q155="",R155="",S155="")),"missing_required_mvp_fields",IF(AND(AC155="canonical",Y155=""),"missing_source_ref","ok"))</x:f>
        <x:v>ok</x:v>
      </x:c>
      <x:c r="AP155" s="12" t="str">
        <x:f>IF(AO155="ok","ready_for_codex_import","needs_review")</x:f>
        <x:v>ready_for_codex_import</x:v>
      </x:c>
      <x:c r="AQ155" s="12"/>
      <x:c r="AR155" s="12" t="str">
        <x:v>Added v2 operational fields. Review before classification activation.</x:v>
      </x:c>
    </x:row>
    <x:row r="156">
      <x:c r="A156" s="13" t="str">
        <x:v>sample_size_neglect_canonical</x:v>
      </x:c>
      <x:c r="B156" s="13" t="str">
        <x:v>sample_size_neglect</x:v>
      </x:c>
      <x:c r="C156" s="13" t="str">
        <x:v>Sample size neglect</x:v>
      </x:c>
      <x:c r="D156" s="13" t="str">
        <x:v>نادیده‌گرفتن اندازه نمونه</x:v>
      </x:c>
      <x:c r="E156" s="13" t="str">
        <x:v>Canonical form</x:v>
      </x:c>
      <x:c r="F156" s="13" t="str">
        <x:v>evidence_failures</x:v>
      </x:c>
      <x:c r="G156" s="13" t="str">
        <x:v>canonical</x:v>
      </x:c>
      <x:c r="H156" s="13" t="str">
        <x:v>contextual</x:v>
      </x:c>
      <x:c r="I156" s="13" t="str">
        <x:v>claim+context</x:v>
      </x:c>
      <x:c r="J156" s="13" t="str">
        <x:v>core_named_candidate</x:v>
      </x:c>
      <x:c r="K156" s="13" t="str">
        <x:v>established_parent_needs_row_review</x:v>
      </x:c>
      <x:c r="L156" s="13" t="str">
        <x:v>P1</x:v>
      </x:c>
      <x:c r="M156" s="13" t="str">
        <x:v>review</x:v>
      </x:c>
      <x:c r="N156" s="13" t="str">
        <x:v>Operational subtype under Sample size neglect: evidence is mishandled in a standard recognizable way. Parent definition: Ignoring whether the amount of evidence is sufficient for the inference.</x:v>
      </x:c>
      <x:c r="O156" s="13" t="str">
        <x:v>Look for: explicit claim-level evidence; parent-family cues for Sample size neglect; variant cue: evidence is mishandled in a standard recognizable way; avoid author-level inference.</x:v>
      </x:c>
      <x:c r="P156" s="13" t="str">
        <x:v>Exact evidence span in text plus claim-level reasoning link; for contextual/discourse entries, require surrounding context.</x:v>
      </x:c>
      <x:c r="Q156" s="13" t="str">
        <x:v>Do not label merely because topic is controversial, emotional, or wrong. Do not judge intent or personality. Require textual evidence and consider healthy-reasoning cues.</x:v>
      </x:c>
      <x:c r="R156" s="13" t="str">
        <x:v>Stub: A claim relies on evidence is mishandled in a standard recognizable way to support a conclusion without adequate qualification.</x:v>
      </x:c>
      <x:c r="S156" s="13" t="str">
        <x:v>Stub: A claim discusses sample size neglect with caveats, balanced evidence, or no argumentative use of the pattern.</x:v>
      </x:c>
      <x:c r="T156" s="13" t="str">
        <x:v>Mild or ambiguous cue; do not classify without clear evidence span.</x:v>
      </x:c>
      <x:c r="U156" s="13" t="str">
        <x:v>Clear claim-level pattern with some argumentative impact.</x:v>
      </x:c>
      <x:c r="V156" s="13" t="str">
        <x:v>Strong pattern central to the conclusion and likely to materially distort reasoning.</x:v>
      </x:c>
      <x:c r="W156" s="13" t="str">
        <x:v>cherry_picking; missing_counterevidence; evidence_grading</x:v>
      </x:c>
      <x:c r="X156" s="13" t="str">
        <x:v>kahneman_tversky_heuristics_1974</x:v>
      </x:c>
      <x:c r="Y156" s="13" t="str">
        <x:v>https://doi.org/10.1126/science.185.4157.1124</x:v>
      </x:c>
      <x:c r="Z156" s="13" t="str">
        <x:v>Review before enabling. This workbook is a living taxonomy scaffold, not a validated scientific benchmark.</x:v>
      </x:c>
      <x:c r="AA156" s="13" t="str">
        <x:v>0.1.0-draft</x:v>
      </x:c>
      <x:c r="AB156" s="12" t="str">
        <x:f>IF(ISNUMBER(SEARCH("healthy",F156)),"healthy_reasoning_patterns",IF(ISNUMBER(SEARCH("statistical",F156)),"statistical_reasoning",IF(ISNUMBER(SEARCH("causal",F156)),"causal_reasoning",IF(ISNUMBER(SEARCH("social",F156)),"social_influence",IF(ISNUMBER(SEARCH("rhetoric",F156)),"rhetoric_discourse",IF(ISNUMBER(SEARCH("behavior",F156)),"behavioural_economics",IF(ISNUMBER(SEARCH("cognitive",F156)),"cognitive_biases",IF(J156="protective_pattern","healthy_reasoning_patterns",IF(L156="P0","core_mvp","extended_fallacies")))))))))</x:f>
        <x:v>extended_fallacies</x:v>
      </x:c>
      <x:c r="AC156" s="12" t="str">
        <x:f>IF(ISNUMBER(SEARCH("operational",J156)),"operational",IF(ISNUMBER(SEARCH("deprecated",J156)),"deprecated",IF(L156="P0","canonical","recognized_subtype")))</x:f>
        <x:v>recognized_subtype</x:v>
      </x:c>
      <x:c r="AD156" s="12" t="str">
        <x:f>IF(AC156="canonical","high",IF(AC156="recognized_subtype","medium",IF(AC156="operational","operational_only","debated")))</x:f>
        <x:v>medium</x:v>
      </x:c>
      <x:c r="AE156" s="12" t="str">
        <x:f>IF(AC156="deprecated","deprecated",IF(M156="yes","active",IF(M156="review","review_required","backlog")))</x:f>
        <x:v>review_required</x:v>
      </x:c>
      <x:c r="AF156" s="12" t="str">
        <x:f>IF(OR(AE156="active",AE156="review_required"),"yes","no")</x:f>
        <x:v>yes</x:v>
      </x:c>
      <x:c r="AG156" s="12" t="str">
        <x:f>IF(AND(AE156="active",M156="yes",NOT(ISNUMBER(SEARCH("healthy",AB156)))),"yes","no")</x:f>
        <x:v>no</x:v>
      </x:c>
      <x:c r="AH156" s="12" t="str">
        <x:f>IF(OR(H156="contextual",H156="dialogue",H156="discourse",I156="claim+context",I156="discourse_segment"),"yes","no")</x:f>
        <x:v>yes</x:v>
      </x:c>
      <x:c r="AI156" s="12" t="str">
        <x:f>IF(OR(AH156="yes",AD156="debated",AC156="operational"),"yes","no")</x:f>
        <x:v>yes</x:v>
      </x:c>
      <x:c r="AJ156" s="12" t="str">
        <x:f>IF(OR(AH156="yes",AC156="operational",AD156="debated"),"high",IF(AND(AG156="yes",L156="P0"),"medium","low"))</x:f>
        <x:v>high</x:v>
      </x:c>
      <x:c r="AK156" s="12" t="str">
        <x:f>IF(ISNUMBER(SEARCH("healthy",AB156)),"yes","no")</x:f>
        <x:v>no</x:v>
      </x:c>
      <x:c r="AL156" s="12" t="str">
        <x:f>IF(AG156="yes","yes","candidate_only")</x:f>
        <x:v>candidate_only</x:v>
      </x:c>
      <x:c r="AM156" s="12" t="str">
        <x:f>IF(OR(AC156="canonical",AG156="yes"),"yes","recommended")</x:f>
        <x:v>recommended</x:v>
      </x:c>
      <x:c r="AN156" s="12" t="str">
        <x:f>IF(AC156="deprecated","exclude",IF(AND(AG156="yes",AJ156="high"),"import_but_human_review_required",IF(AG156="yes","import_as_active","import_as_backlog")))</x:f>
        <x:v>import_as_backlog</x:v>
      </x:c>
      <x:c r="AO156" s="12" t="str">
        <x:f>IF(AND(AG156="yes",OR(P156="",Q156="",R156="",S156="")),"missing_required_mvp_fields",IF(AND(AC156="canonical",Y156=""),"missing_source_ref","ok"))</x:f>
        <x:v>ok</x:v>
      </x:c>
      <x:c r="AP156" s="12" t="str">
        <x:f>IF(AO156="ok","ready_for_codex_import","needs_review")</x:f>
        <x:v>ready_for_codex_import</x:v>
      </x:c>
      <x:c r="AQ156" s="12"/>
      <x:c r="AR156" s="12" t="str">
        <x:v>Added v2 operational fields. Review before classification activation.</x:v>
      </x:c>
    </x:row>
    <x:row r="157">
      <x:c r="A157" s="13" t="str">
        <x:v>unrepresentative_sample_canonical</x:v>
      </x:c>
      <x:c r="B157" s="13" t="str">
        <x:v>unrepresentative_sample</x:v>
      </x:c>
      <x:c r="C157" s="13" t="str">
        <x:v>Unrepresentative sample</x:v>
      </x:c>
      <x:c r="D157" s="13" t="str">
        <x:v>نمونه نامعرف</x:v>
      </x:c>
      <x:c r="E157" s="13" t="str">
        <x:v>Canonical form</x:v>
      </x:c>
      <x:c r="F157" s="13" t="str">
        <x:v>evidence_failures</x:v>
      </x:c>
      <x:c r="G157" s="13" t="str">
        <x:v>canonical</x:v>
      </x:c>
      <x:c r="H157" s="13" t="str">
        <x:v>contextual</x:v>
      </x:c>
      <x:c r="I157" s="13" t="str">
        <x:v>claim+context</x:v>
      </x:c>
      <x:c r="J157" s="13" t="str">
        <x:v>core_named_candidate</x:v>
      </x:c>
      <x:c r="K157" s="13" t="str">
        <x:v>established_parent_needs_row_review</x:v>
      </x:c>
      <x:c r="L157" s="13" t="str">
        <x:v>P1</x:v>
      </x:c>
      <x:c r="M157" s="13" t="str">
        <x:v>review</x:v>
      </x:c>
      <x:c r="N157" s="13" t="str">
        <x:v>Operational subtype under Unrepresentative sample: evidence is mishandled in a standard recognizable way. Parent definition: Using a sample that does not plausibly represent the target population.</x:v>
      </x:c>
      <x:c r="O157" s="13" t="str">
        <x:v>Look for: explicit claim-level evidence; parent-family cues for Unrepresentative sample; variant cue: evidence is mishandled in a standard recognizable way; avoid author-level inference.</x:v>
      </x:c>
      <x:c r="P157" s="13" t="str">
        <x:v>Exact evidence span in text plus claim-level reasoning link; for contextual/discourse entries, require surrounding context.</x:v>
      </x:c>
      <x:c r="Q157" s="13" t="str">
        <x:v>Do not label merely because topic is controversial, emotional, or wrong. Do not judge intent or personality. Require textual evidence and consider healthy-reasoning cues.</x:v>
      </x:c>
      <x:c r="R157" s="13" t="str">
        <x:v>Stub: A claim relies on evidence is mishandled in a standard recognizable way to support a conclusion without adequate qualification.</x:v>
      </x:c>
      <x:c r="S157" s="13" t="str">
        <x:v>Stub: A claim discusses unrepresentative sample with caveats, balanced evidence, or no argumentative use of the pattern.</x:v>
      </x:c>
      <x:c r="T157" s="13" t="str">
        <x:v>Mild or ambiguous cue; do not classify without clear evidence span.</x:v>
      </x:c>
      <x:c r="U157" s="13" t="str">
        <x:v>Clear claim-level pattern with some argumentative impact.</x:v>
      </x:c>
      <x:c r="V157" s="13" t="str">
        <x:v>Strong pattern central to the conclusion and likely to materially distort reasoning.</x:v>
      </x:c>
      <x:c r="W157" s="13" t="str"/>
      <x:c r="X157" s="13" t="str">
        <x:v>sep_informal_logic</x:v>
      </x:c>
      <x:c r="Y157" s="13" t="str">
        <x:v>https://plato.stanford.edu/entries/logic-informal/</x:v>
      </x:c>
      <x:c r="Z157" s="13" t="str">
        <x:v>Review before enabling. This workbook is a living taxonomy scaffold, not a validated scientific benchmark.</x:v>
      </x:c>
      <x:c r="AA157" s="13" t="str">
        <x:v>0.1.0-draft</x:v>
      </x:c>
      <x:c r="AB157" s="12" t="str">
        <x:f>IF(ISNUMBER(SEARCH("healthy",F157)),"healthy_reasoning_patterns",IF(ISNUMBER(SEARCH("statistical",F157)),"statistical_reasoning",IF(ISNUMBER(SEARCH("causal",F157)),"causal_reasoning",IF(ISNUMBER(SEARCH("social",F157)),"social_influence",IF(ISNUMBER(SEARCH("rhetoric",F157)),"rhetoric_discourse",IF(ISNUMBER(SEARCH("behavior",F157)),"behavioural_economics",IF(ISNUMBER(SEARCH("cognitive",F157)),"cognitive_biases",IF(J157="protective_pattern","healthy_reasoning_patterns",IF(L157="P0","core_mvp","extended_fallacies")))))))))</x:f>
        <x:v>extended_fallacies</x:v>
      </x:c>
      <x:c r="AC157" s="12" t="str">
        <x:f>IF(ISNUMBER(SEARCH("operational",J157)),"operational",IF(ISNUMBER(SEARCH("deprecated",J157)),"deprecated",IF(L157="P0","canonical","recognized_subtype")))</x:f>
        <x:v>recognized_subtype</x:v>
      </x:c>
      <x:c r="AD157" s="12" t="str">
        <x:f>IF(AC157="canonical","high",IF(AC157="recognized_subtype","medium",IF(AC157="operational","operational_only","debated")))</x:f>
        <x:v>medium</x:v>
      </x:c>
      <x:c r="AE157" s="12" t="str">
        <x:f>IF(AC157="deprecated","deprecated",IF(M157="yes","active",IF(M157="review","review_required","backlog")))</x:f>
        <x:v>review_required</x:v>
      </x:c>
      <x:c r="AF157" s="12" t="str">
        <x:f>IF(OR(AE157="active",AE157="review_required"),"yes","no")</x:f>
        <x:v>yes</x:v>
      </x:c>
      <x:c r="AG157" s="12" t="str">
        <x:f>IF(AND(AE157="active",M157="yes",NOT(ISNUMBER(SEARCH("healthy",AB157)))),"yes","no")</x:f>
        <x:v>no</x:v>
      </x:c>
      <x:c r="AH157" s="12" t="str">
        <x:f>IF(OR(H157="contextual",H157="dialogue",H157="discourse",I157="claim+context",I157="discourse_segment"),"yes","no")</x:f>
        <x:v>yes</x:v>
      </x:c>
      <x:c r="AI157" s="12" t="str">
        <x:f>IF(OR(AH157="yes",AD157="debated",AC157="operational"),"yes","no")</x:f>
        <x:v>yes</x:v>
      </x:c>
      <x:c r="AJ157" s="12" t="str">
        <x:f>IF(OR(AH157="yes",AC157="operational",AD157="debated"),"high",IF(AND(AG157="yes",L157="P0"),"medium","low"))</x:f>
        <x:v>high</x:v>
      </x:c>
      <x:c r="AK157" s="12" t="str">
        <x:f>IF(ISNUMBER(SEARCH("healthy",AB157)),"yes","no")</x:f>
        <x:v>no</x:v>
      </x:c>
      <x:c r="AL157" s="12" t="str">
        <x:f>IF(AG157="yes","yes","candidate_only")</x:f>
        <x:v>candidate_only</x:v>
      </x:c>
      <x:c r="AM157" s="12" t="str">
        <x:f>IF(OR(AC157="canonical",AG157="yes"),"yes","recommended")</x:f>
        <x:v>recommended</x:v>
      </x:c>
      <x:c r="AN157" s="12" t="str">
        <x:f>IF(AC157="deprecated","exclude",IF(AND(AG157="yes",AJ157="high"),"import_but_human_review_required",IF(AG157="yes","import_as_active","import_as_backlog")))</x:f>
        <x:v>import_as_backlog</x:v>
      </x:c>
      <x:c r="AO157" s="12" t="str">
        <x:f>IF(AND(AG157="yes",OR(P157="",Q157="",R157="",S157="")),"missing_required_mvp_fields",IF(AND(AC157="canonical",Y157=""),"missing_source_ref","ok"))</x:f>
        <x:v>ok</x:v>
      </x:c>
      <x:c r="AP157" s="12" t="str">
        <x:f>IF(AO157="ok","ready_for_codex_import","needs_review")</x:f>
        <x:v>ready_for_codex_import</x:v>
      </x:c>
      <x:c r="AQ157" s="12"/>
      <x:c r="AR157" s="12" t="str">
        <x:v>Added v2 operational fields. Review before classification activation.</x:v>
      </x:c>
    </x:row>
    <x:row r="158">
      <x:c r="A158" s="13" t="str">
        <x:v>survivorship_bias_canonical</x:v>
      </x:c>
      <x:c r="B158" s="13" t="str">
        <x:v>survivorship_bias</x:v>
      </x:c>
      <x:c r="C158" s="13" t="str">
        <x:v>Survivorship bias</x:v>
      </x:c>
      <x:c r="D158" s="13" t="str">
        <x:v>سوگیری بازماندگان</x:v>
      </x:c>
      <x:c r="E158" s="13" t="str">
        <x:v>Canonical form</x:v>
      </x:c>
      <x:c r="F158" s="13" t="str">
        <x:v>evidence_failures</x:v>
      </x:c>
      <x:c r="G158" s="13" t="str">
        <x:v>canonical</x:v>
      </x:c>
      <x:c r="H158" s="13" t="str">
        <x:v>contextual</x:v>
      </x:c>
      <x:c r="I158" s="13" t="str">
        <x:v>claim+context</x:v>
      </x:c>
      <x:c r="J158" s="13" t="str">
        <x:v>core_named_candidate</x:v>
      </x:c>
      <x:c r="K158" s="13" t="str">
        <x:v>established_parent_needs_row_review</x:v>
      </x:c>
      <x:c r="L158" s="13" t="str">
        <x:v>P1</x:v>
      </x:c>
      <x:c r="M158" s="13" t="str">
        <x:v>review</x:v>
      </x:c>
      <x:c r="N158" s="13" t="str">
        <x:v>Operational subtype under Survivorship bias: evidence is mishandled in a standard recognizable way. Parent definition: Focusing on visible successes or survivors while ignoring missing failures.</x:v>
      </x:c>
      <x:c r="O158" s="13" t="str">
        <x:v>Look for: explicit claim-level evidence; parent-family cues for Survivorship bias; variant cue: evidence is mishandled in a standard recognizable way; avoid author-level inference.</x:v>
      </x:c>
      <x:c r="P158" s="13" t="str">
        <x:v>Exact evidence span in text plus claim-level reasoning link; for contextual/discourse entries, require surrounding context.</x:v>
      </x:c>
      <x:c r="Q158" s="13" t="str">
        <x:v>Do not label merely because topic is controversial, emotional, or wrong. Do not judge intent or personality. Require textual evidence and consider healthy-reasoning cues.</x:v>
      </x:c>
      <x:c r="R158" s="13" t="str">
        <x:v>Stub: A claim relies on evidence is mishandled in a standard recognizable way to support a conclusion without adequate qualification.</x:v>
      </x:c>
      <x:c r="S158" s="13" t="str">
        <x:v>Stub: A claim discusses survivorship bias with caveats, balanced evidence, or no argumentative use of the pattern.</x:v>
      </x:c>
      <x:c r="T158" s="13" t="str">
        <x:v>Mild or ambiguous cue; do not classify without clear evidence span.</x:v>
      </x:c>
      <x:c r="U158" s="13" t="str">
        <x:v>Clear claim-level pattern with some argumentative impact.</x:v>
      </x:c>
      <x:c r="V158" s="13" t="str">
        <x:v>Strong pattern central to the conclusion and likely to materially distort reasoning.</x:v>
      </x:c>
      <x:c r="W158" s="13" t="str"/>
      <x:c r="X158" s="13" t="str">
        <x:v>gilovich_heuristics_biases</x:v>
      </x:c>
      <x:c r="Y158" s="13" t="str">
        <x:v>https://www.cambridge.org/core/books/heuristics-and-biases/3C30D3B05D2F190C3B8BE5E2531EFD24</x:v>
      </x:c>
      <x:c r="Z158" s="13" t="str">
        <x:v>Review before enabling. This workbook is a living taxonomy scaffold, not a validated scientific benchmark.</x:v>
      </x:c>
      <x:c r="AA158" s="13" t="str">
        <x:v>0.1.0-draft</x:v>
      </x:c>
      <x:c r="AB158" s="12" t="str">
        <x:f>IF(ISNUMBER(SEARCH("healthy",F158)),"healthy_reasoning_patterns",IF(ISNUMBER(SEARCH("statistical",F158)),"statistical_reasoning",IF(ISNUMBER(SEARCH("causal",F158)),"causal_reasoning",IF(ISNUMBER(SEARCH("social",F158)),"social_influence",IF(ISNUMBER(SEARCH("rhetoric",F158)),"rhetoric_discourse",IF(ISNUMBER(SEARCH("behavior",F158)),"behavioural_economics",IF(ISNUMBER(SEARCH("cognitive",F158)),"cognitive_biases",IF(J158="protective_pattern","healthy_reasoning_patterns",IF(L158="P0","core_mvp","extended_fallacies")))))))))</x:f>
        <x:v>extended_fallacies</x:v>
      </x:c>
      <x:c r="AC158" s="12" t="str">
        <x:f>IF(ISNUMBER(SEARCH("operational",J158)),"operational",IF(ISNUMBER(SEARCH("deprecated",J158)),"deprecated",IF(L158="P0","canonical","recognized_subtype")))</x:f>
        <x:v>recognized_subtype</x:v>
      </x:c>
      <x:c r="AD158" s="12" t="str">
        <x:f>IF(AC158="canonical","high",IF(AC158="recognized_subtype","medium",IF(AC158="operational","operational_only","debated")))</x:f>
        <x:v>medium</x:v>
      </x:c>
      <x:c r="AE158" s="12" t="str">
        <x:f>IF(AC158="deprecated","deprecated",IF(M158="yes","active",IF(M158="review","review_required","backlog")))</x:f>
        <x:v>review_required</x:v>
      </x:c>
      <x:c r="AF158" s="12" t="str">
        <x:f>IF(OR(AE158="active",AE158="review_required"),"yes","no")</x:f>
        <x:v>yes</x:v>
      </x:c>
      <x:c r="AG158" s="12" t="str">
        <x:f>IF(AND(AE158="active",M158="yes",NOT(ISNUMBER(SEARCH("healthy",AB158)))),"yes","no")</x:f>
        <x:v>no</x:v>
      </x:c>
      <x:c r="AH158" s="12" t="str">
        <x:f>IF(OR(H158="contextual",H158="dialogue",H158="discourse",I158="claim+context",I158="discourse_segment"),"yes","no")</x:f>
        <x:v>yes</x:v>
      </x:c>
      <x:c r="AI158" s="12" t="str">
        <x:f>IF(OR(AH158="yes",AD158="debated",AC158="operational"),"yes","no")</x:f>
        <x:v>yes</x:v>
      </x:c>
      <x:c r="AJ158" s="12" t="str">
        <x:f>IF(OR(AH158="yes",AC158="operational",AD158="debated"),"high",IF(AND(AG158="yes",L158="P0"),"medium","low"))</x:f>
        <x:v>high</x:v>
      </x:c>
      <x:c r="AK158" s="12" t="str">
        <x:f>IF(ISNUMBER(SEARCH("healthy",AB158)),"yes","no")</x:f>
        <x:v>no</x:v>
      </x:c>
      <x:c r="AL158" s="12" t="str">
        <x:f>IF(AG158="yes","yes","candidate_only")</x:f>
        <x:v>candidate_only</x:v>
      </x:c>
      <x:c r="AM158" s="12" t="str">
        <x:f>IF(OR(AC158="canonical",AG158="yes"),"yes","recommended")</x:f>
        <x:v>recommended</x:v>
      </x:c>
      <x:c r="AN158" s="12" t="str">
        <x:f>IF(AC158="deprecated","exclude",IF(AND(AG158="yes",AJ158="high"),"import_but_human_review_required",IF(AG158="yes","import_as_active","import_as_backlog")))</x:f>
        <x:v>import_as_backlog</x:v>
      </x:c>
      <x:c r="AO158" s="12" t="str">
        <x:f>IF(AND(AG158="yes",OR(P158="",Q158="",R158="",S158="")),"missing_required_mvp_fields",IF(AND(AC158="canonical",Y158=""),"missing_source_ref","ok"))</x:f>
        <x:v>ok</x:v>
      </x:c>
      <x:c r="AP158" s="12" t="str">
        <x:f>IF(AO158="ok","ready_for_codex_import","needs_review")</x:f>
        <x:v>ready_for_codex_import</x:v>
      </x:c>
      <x:c r="AQ158" s="12"/>
      <x:c r="AR158" s="12" t="str">
        <x:v>Added v2 operational fields. Review before classification activation.</x:v>
      </x:c>
    </x:row>
    <x:row r="159">
      <x:c r="A159" s="13" t="str">
        <x:v>publication_bias_argument_canonical</x:v>
      </x:c>
      <x:c r="B159" s="13" t="str">
        <x:v>publication_bias_argument</x:v>
      </x:c>
      <x:c r="C159" s="13" t="str">
        <x:v>Publication bias as evidence issue</x:v>
      </x:c>
      <x:c r="D159" s="13" t="str">
        <x:v>سوگیری انتشار در استدلال</x:v>
      </x:c>
      <x:c r="E159" s="13" t="str">
        <x:v>Canonical form</x:v>
      </x:c>
      <x:c r="F159" s="13" t="str">
        <x:v>evidence_failures</x:v>
      </x:c>
      <x:c r="G159" s="13" t="str">
        <x:v>canonical</x:v>
      </x:c>
      <x:c r="H159" s="13" t="str">
        <x:v>contextual</x:v>
      </x:c>
      <x:c r="I159" s="13" t="str">
        <x:v>claim+context</x:v>
      </x:c>
      <x:c r="J159" s="13" t="str">
        <x:v>core_named_candidate</x:v>
      </x:c>
      <x:c r="K159" s="13" t="str">
        <x:v>established_parent_needs_row_review</x:v>
      </x:c>
      <x:c r="L159" s="13" t="str">
        <x:v>P1</x:v>
      </x:c>
      <x:c r="M159" s="13" t="str">
        <x:v>review</x:v>
      </x:c>
      <x:c r="N159" s="13" t="str">
        <x:v>Operational subtype under Publication bias as evidence issue: evidence is mishandled in a standard recognizable way. Parent definition: Relying on published evidence without considering selective publication.</x:v>
      </x:c>
      <x:c r="O159" s="13" t="str">
        <x:v>Look for: explicit claim-level evidence; parent-family cues for Publication bias as evidence issue; variant cue: evidence is mishandled in a standard recognizable way; avoid author-level inference.</x:v>
      </x:c>
      <x:c r="P159" s="13" t="str">
        <x:v>Exact evidence span in text plus claim-level reasoning link; for contextual/discourse entries, require surrounding context.</x:v>
      </x:c>
      <x:c r="Q159" s="13" t="str">
        <x:v>Do not label merely because topic is controversial, emotional, or wrong. Do not judge intent or personality. Require textual evidence and consider healthy-reasoning cues.</x:v>
      </x:c>
      <x:c r="R159" s="13" t="str">
        <x:v>Stub: A claim relies on evidence is mishandled in a standard recognizable way to support a conclusion without adequate qualification.</x:v>
      </x:c>
      <x:c r="S159" s="13" t="str">
        <x:v>Stub: A claim discusses publication bias as evidence issue with caveats, balanced evidence, or no argumentative use of the pattern.</x:v>
      </x:c>
      <x:c r="T159" s="13" t="str">
        <x:v>Mild or ambiguous cue; do not classify without clear evidence span.</x:v>
      </x:c>
      <x:c r="U159" s="13" t="str">
        <x:v>Clear claim-level pattern with some argumentative impact.</x:v>
      </x:c>
      <x:c r="V159" s="13" t="str">
        <x:v>Strong pattern central to the conclusion and likely to materially distort reasoning.</x:v>
      </x:c>
      <x:c r="W159" s="13" t="str">
        <x:v>cherry_picking; missing_counterevidence; evidence_grading</x:v>
      </x:c>
      <x:c r="X159" s="13" t="str">
        <x:v>sep_informal_logic</x:v>
      </x:c>
      <x:c r="Y159" s="13" t="str">
        <x:v>https://plato.stanford.edu/entries/logic-informal/</x:v>
      </x:c>
      <x:c r="Z159" s="13" t="str">
        <x:v>Review before enabling. This workbook is a living taxonomy scaffold, not a validated scientific benchmark.</x:v>
      </x:c>
      <x:c r="AA159" s="13" t="str">
        <x:v>0.1.0-draft</x:v>
      </x:c>
      <x:c r="AB159" s="12" t="str">
        <x:f>IF(ISNUMBER(SEARCH("healthy",F159)),"healthy_reasoning_patterns",IF(ISNUMBER(SEARCH("statistical",F159)),"statistical_reasoning",IF(ISNUMBER(SEARCH("causal",F159)),"causal_reasoning",IF(ISNUMBER(SEARCH("social",F159)),"social_influence",IF(ISNUMBER(SEARCH("rhetoric",F159)),"rhetoric_discourse",IF(ISNUMBER(SEARCH("behavior",F159)),"behavioural_economics",IF(ISNUMBER(SEARCH("cognitive",F159)),"cognitive_biases",IF(J159="protective_pattern","healthy_reasoning_patterns",IF(L159="P0","core_mvp","extended_fallacies")))))))))</x:f>
        <x:v>extended_fallacies</x:v>
      </x:c>
      <x:c r="AC159" s="12" t="str">
        <x:f>IF(ISNUMBER(SEARCH("operational",J159)),"operational",IF(ISNUMBER(SEARCH("deprecated",J159)),"deprecated",IF(L159="P0","canonical","recognized_subtype")))</x:f>
        <x:v>recognized_subtype</x:v>
      </x:c>
      <x:c r="AD159" s="12" t="str">
        <x:f>IF(AC159="canonical","high",IF(AC159="recognized_subtype","medium",IF(AC159="operational","operational_only","debated")))</x:f>
        <x:v>medium</x:v>
      </x:c>
      <x:c r="AE159" s="12" t="str">
        <x:f>IF(AC159="deprecated","deprecated",IF(M159="yes","active",IF(M159="review","review_required","backlog")))</x:f>
        <x:v>review_required</x:v>
      </x:c>
      <x:c r="AF159" s="12" t="str">
        <x:f>IF(OR(AE159="active",AE159="review_required"),"yes","no")</x:f>
        <x:v>yes</x:v>
      </x:c>
      <x:c r="AG159" s="12" t="str">
        <x:f>IF(AND(AE159="active",M159="yes",NOT(ISNUMBER(SEARCH("healthy",AB159)))),"yes","no")</x:f>
        <x:v>no</x:v>
      </x:c>
      <x:c r="AH159" s="12" t="str">
        <x:f>IF(OR(H159="contextual",H159="dialogue",H159="discourse",I159="claim+context",I159="discourse_segment"),"yes","no")</x:f>
        <x:v>yes</x:v>
      </x:c>
      <x:c r="AI159" s="12" t="str">
        <x:f>IF(OR(AH159="yes",AD159="debated",AC159="operational"),"yes","no")</x:f>
        <x:v>yes</x:v>
      </x:c>
      <x:c r="AJ159" s="12" t="str">
        <x:f>IF(OR(AH159="yes",AC159="operational",AD159="debated"),"high",IF(AND(AG159="yes",L159="P0"),"medium","low"))</x:f>
        <x:v>high</x:v>
      </x:c>
      <x:c r="AK159" s="12" t="str">
        <x:f>IF(ISNUMBER(SEARCH("healthy",AB159)),"yes","no")</x:f>
        <x:v>no</x:v>
      </x:c>
      <x:c r="AL159" s="12" t="str">
        <x:f>IF(AG159="yes","yes","candidate_only")</x:f>
        <x:v>candidate_only</x:v>
      </x:c>
      <x:c r="AM159" s="12" t="str">
        <x:f>IF(OR(AC159="canonical",AG159="yes"),"yes","recommended")</x:f>
        <x:v>recommended</x:v>
      </x:c>
      <x:c r="AN159" s="12" t="str">
        <x:f>IF(AC159="deprecated","exclude",IF(AND(AG159="yes",AJ159="high"),"import_but_human_review_required",IF(AG159="yes","import_as_active","import_as_backlog")))</x:f>
        <x:v>import_as_backlog</x:v>
      </x:c>
      <x:c r="AO159" s="12" t="str">
        <x:f>IF(AND(AG159="yes",OR(P159="",Q159="",R159="",S159="")),"missing_required_mvp_fields",IF(AND(AC159="canonical",Y159=""),"missing_source_ref","ok"))</x:f>
        <x:v>ok</x:v>
      </x:c>
      <x:c r="AP159" s="12" t="str">
        <x:f>IF(AO159="ok","ready_for_codex_import","needs_review")</x:f>
        <x:v>ready_for_codex_import</x:v>
      </x:c>
      <x:c r="AQ159" s="12"/>
      <x:c r="AR159" s="12" t="str">
        <x:v>Added v2 operational fields. Review before classification activation.</x:v>
      </x:c>
    </x:row>
    <x:row r="160">
      <x:c r="A160" s="13" t="str">
        <x:v>missing_counterevidence_canonical</x:v>
      </x:c>
      <x:c r="B160" s="13" t="str">
        <x:v>missing_counterevidence</x:v>
      </x:c>
      <x:c r="C160" s="13" t="str">
        <x:v>Missing counterevidence</x:v>
      </x:c>
      <x:c r="D160" s="13" t="str">
        <x:v>نبود شواهد مخالف</x:v>
      </x:c>
      <x:c r="E160" s="13" t="str">
        <x:v>Canonical form</x:v>
      </x:c>
      <x:c r="F160" s="13" t="str">
        <x:v>evidence_failures</x:v>
      </x:c>
      <x:c r="G160" s="13" t="str">
        <x:v>canonical</x:v>
      </x:c>
      <x:c r="H160" s="13" t="str">
        <x:v>contextual</x:v>
      </x:c>
      <x:c r="I160" s="13" t="str">
        <x:v>claim+context</x:v>
      </x:c>
      <x:c r="J160" s="13" t="str">
        <x:v>core_named_candidate</x:v>
      </x:c>
      <x:c r="K160" s="13" t="str">
        <x:v>established_parent_needs_row_review</x:v>
      </x:c>
      <x:c r="L160" s="13" t="str">
        <x:v>P1</x:v>
      </x:c>
      <x:c r="M160" s="13" t="str">
        <x:v>review</x:v>
      </x:c>
      <x:c r="N160" s="13" t="str">
        <x:v>Operational subtype under Missing counterevidence: evidence is mishandled in a standard recognizable way. Parent definition: Presenting a conclusion without acknowledging known counterarguments.</x:v>
      </x:c>
      <x:c r="O160" s="13" t="str">
        <x:v>Look for: explicit claim-level evidence; parent-family cues for Missing counterevidence; variant cue: evidence is mishandled in a standard recognizable way; avoid author-level inference.</x:v>
      </x:c>
      <x:c r="P160" s="13" t="str">
        <x:v>Exact evidence span in text plus claim-level reasoning link; for contextual/discourse entries, require surrounding context.</x:v>
      </x:c>
      <x:c r="Q160" s="13" t="str">
        <x:v>Do not label merely because topic is controversial, emotional, or wrong. Do not judge intent or personality. Require textual evidence and consider healthy-reasoning cues.</x:v>
      </x:c>
      <x:c r="R160" s="13" t="str">
        <x:v>Stub: A claim relies on evidence is mishandled in a standard recognizable way to support a conclusion without adequate qualification.</x:v>
      </x:c>
      <x:c r="S160" s="13" t="str">
        <x:v>Stub: A claim discusses missing counterevidence with caveats, balanced evidence, or no argumentative use of the pattern.</x:v>
      </x:c>
      <x:c r="T160" s="13" t="str">
        <x:v>Mild or ambiguous cue; do not classify without clear evidence span.</x:v>
      </x:c>
      <x:c r="U160" s="13" t="str">
        <x:v>Clear claim-level pattern with some argumentative impact.</x:v>
      </x:c>
      <x:c r="V160" s="13" t="str">
        <x:v>Strong pattern central to the conclusion and likely to materially distort reasoning.</x:v>
      </x:c>
      <x:c r="W160" s="13" t="str"/>
      <x:c r="X160" s="13" t="str">
        <x:v>toulmin_uses_argument</x:v>
      </x:c>
      <x:c r="Y160" s="13" t="str">
        <x:v>https://doi.org/10.1017/CBO9780511840005</x:v>
      </x:c>
      <x:c r="Z160" s="13" t="str">
        <x:v>Review before enabling. This workbook is a living taxonomy scaffold, not a validated scientific benchmark.</x:v>
      </x:c>
      <x:c r="AA160" s="13" t="str">
        <x:v>0.1.0-draft</x:v>
      </x:c>
      <x:c r="AB160" s="12" t="str">
        <x:f>IF(ISNUMBER(SEARCH("healthy",F160)),"healthy_reasoning_patterns",IF(ISNUMBER(SEARCH("statistical",F160)),"statistical_reasoning",IF(ISNUMBER(SEARCH("causal",F160)),"causal_reasoning",IF(ISNUMBER(SEARCH("social",F160)),"social_influence",IF(ISNUMBER(SEARCH("rhetoric",F160)),"rhetoric_discourse",IF(ISNUMBER(SEARCH("behavior",F160)),"behavioural_economics",IF(ISNUMBER(SEARCH("cognitive",F160)),"cognitive_biases",IF(J160="protective_pattern","healthy_reasoning_patterns",IF(L160="P0","core_mvp","extended_fallacies")))))))))</x:f>
        <x:v>extended_fallacies</x:v>
      </x:c>
      <x:c r="AC160" s="12" t="str">
        <x:f>IF(ISNUMBER(SEARCH("operational",J160)),"operational",IF(ISNUMBER(SEARCH("deprecated",J160)),"deprecated",IF(L160="P0","canonical","recognized_subtype")))</x:f>
        <x:v>recognized_subtype</x:v>
      </x:c>
      <x:c r="AD160" s="12" t="str">
        <x:f>IF(AC160="canonical","high",IF(AC160="recognized_subtype","medium",IF(AC160="operational","operational_only","debated")))</x:f>
        <x:v>medium</x:v>
      </x:c>
      <x:c r="AE160" s="12" t="str">
        <x:f>IF(AC160="deprecated","deprecated",IF(M160="yes","active",IF(M160="review","review_required","backlog")))</x:f>
        <x:v>review_required</x:v>
      </x:c>
      <x:c r="AF160" s="12" t="str">
        <x:f>IF(OR(AE160="active",AE160="review_required"),"yes","no")</x:f>
        <x:v>yes</x:v>
      </x:c>
      <x:c r="AG160" s="12" t="str">
        <x:f>IF(AND(AE160="active",M160="yes",NOT(ISNUMBER(SEARCH("healthy",AB160)))),"yes","no")</x:f>
        <x:v>no</x:v>
      </x:c>
      <x:c r="AH160" s="12" t="str">
        <x:f>IF(OR(H160="contextual",H160="dialogue",H160="discourse",I160="claim+context",I160="discourse_segment"),"yes","no")</x:f>
        <x:v>yes</x:v>
      </x:c>
      <x:c r="AI160" s="12" t="str">
        <x:f>IF(OR(AH160="yes",AD160="debated",AC160="operational"),"yes","no")</x:f>
        <x:v>yes</x:v>
      </x:c>
      <x:c r="AJ160" s="12" t="str">
        <x:f>IF(OR(AH160="yes",AC160="operational",AD160="debated"),"high",IF(AND(AG160="yes",L160="P0"),"medium","low"))</x:f>
        <x:v>high</x:v>
      </x:c>
      <x:c r="AK160" s="12" t="str">
        <x:f>IF(ISNUMBER(SEARCH("healthy",AB160)),"yes","no")</x:f>
        <x:v>no</x:v>
      </x:c>
      <x:c r="AL160" s="12" t="str">
        <x:f>IF(AG160="yes","yes","candidate_only")</x:f>
        <x:v>candidate_only</x:v>
      </x:c>
      <x:c r="AM160" s="12" t="str">
        <x:f>IF(OR(AC160="canonical",AG160="yes"),"yes","recommended")</x:f>
        <x:v>recommended</x:v>
      </x:c>
      <x:c r="AN160" s="12" t="str">
        <x:f>IF(AC160="deprecated","exclude",IF(AND(AG160="yes",AJ160="high"),"import_but_human_review_required",IF(AG160="yes","import_as_active","import_as_backlog")))</x:f>
        <x:v>import_as_backlog</x:v>
      </x:c>
      <x:c r="AO160" s="12" t="str">
        <x:f>IF(AND(AG160="yes",OR(P160="",Q160="",R160="",S160="")),"missing_required_mvp_fields",IF(AND(AC160="canonical",Y160=""),"missing_source_ref","ok"))</x:f>
        <x:v>ok</x:v>
      </x:c>
      <x:c r="AP160" s="12" t="str">
        <x:f>IF(AO160="ok","ready_for_codex_import","needs_review")</x:f>
        <x:v>ready_for_codex_import</x:v>
      </x:c>
      <x:c r="AQ160" s="12"/>
      <x:c r="AR160" s="12" t="str">
        <x:v>Added v2 operational fields. Review before classification activation.</x:v>
      </x:c>
    </x:row>
    <x:row r="161">
      <x:c r="A161" s="13" t="str">
        <x:v>one_sided_evidence_canonical</x:v>
      </x:c>
      <x:c r="B161" s="13" t="str">
        <x:v>one_sided_evidence</x:v>
      </x:c>
      <x:c r="C161" s="13" t="str">
        <x:v>One-sided evidence</x:v>
      </x:c>
      <x:c r="D161" s="13" t="str">
        <x:v>شواهد یک‌طرفه</x:v>
      </x:c>
      <x:c r="E161" s="13" t="str">
        <x:v>Canonical form</x:v>
      </x:c>
      <x:c r="F161" s="13" t="str">
        <x:v>evidence_failures</x:v>
      </x:c>
      <x:c r="G161" s="13" t="str">
        <x:v>canonical</x:v>
      </x:c>
      <x:c r="H161" s="13" t="str">
        <x:v>contextual</x:v>
      </x:c>
      <x:c r="I161" s="13" t="str">
        <x:v>claim+context</x:v>
      </x:c>
      <x:c r="J161" s="13" t="str">
        <x:v>core_named_candidate</x:v>
      </x:c>
      <x:c r="K161" s="13" t="str">
        <x:v>established_parent_needs_row_review</x:v>
      </x:c>
      <x:c r="L161" s="13" t="str">
        <x:v>P1</x:v>
      </x:c>
      <x:c r="M161" s="13" t="str">
        <x:v>review</x:v>
      </x:c>
      <x:c r="N161" s="13" t="str">
        <x:v>Operational subtype under One-sided evidence: evidence is mishandled in a standard recognizable way. Parent definition: Presenting evidence from only one side while implying completeness.</x:v>
      </x:c>
      <x:c r="O161" s="13" t="str">
        <x:v>Look for: explicit claim-level evidence; parent-family cues for One-sided evidence; variant cue: evidence is mishandled in a standard recognizable way; avoid author-level inference.</x:v>
      </x:c>
      <x:c r="P161" s="13" t="str">
        <x:v>Exact evidence span in text plus claim-level reasoning link; for contextual/discourse entries, require surrounding context.</x:v>
      </x:c>
      <x:c r="Q161" s="13" t="str">
        <x:v>Do not label merely because topic is controversial, emotional, or wrong. Do not judge intent or personality. Require textual evidence and consider healthy-reasoning cues.</x:v>
      </x:c>
      <x:c r="R161" s="13" t="str">
        <x:v>Stub: A claim relies on evidence is mishandled in a standard recognizable way to support a conclusion without adequate qualification.</x:v>
      </x:c>
      <x:c r="S161" s="13" t="str">
        <x:v>Stub: A claim discusses one-sided evidence with caveats, balanced evidence, or no argumentative use of the pattern.</x:v>
      </x:c>
      <x:c r="T161" s="13" t="str">
        <x:v>Mild or ambiguous cue; do not classify without clear evidence span.</x:v>
      </x:c>
      <x:c r="U161" s="13" t="str">
        <x:v>Clear claim-level pattern with some argumentative impact.</x:v>
      </x:c>
      <x:c r="V161" s="13" t="str">
        <x:v>Strong pattern central to the conclusion and likely to materially distort reasoning.</x:v>
      </x:c>
      <x:c r="W161" s="13" t="str">
        <x:v>cherry_picking; missing_counterevidence; evidence_grading</x:v>
      </x:c>
      <x:c r="X161" s="13" t="str">
        <x:v>sep_informal_logic</x:v>
      </x:c>
      <x:c r="Y161" s="13" t="str">
        <x:v>https://plato.stanford.edu/entries/logic-informal/</x:v>
      </x:c>
      <x:c r="Z161" s="13" t="str">
        <x:v>Review before enabling. This workbook is a living taxonomy scaffold, not a validated scientific benchmark.</x:v>
      </x:c>
      <x:c r="AA161" s="13" t="str">
        <x:v>0.1.0-draft</x:v>
      </x:c>
      <x:c r="AB161" s="12" t="str">
        <x:f>IF(ISNUMBER(SEARCH("healthy",F161)),"healthy_reasoning_patterns",IF(ISNUMBER(SEARCH("statistical",F161)),"statistical_reasoning",IF(ISNUMBER(SEARCH("causal",F161)),"causal_reasoning",IF(ISNUMBER(SEARCH("social",F161)),"social_influence",IF(ISNUMBER(SEARCH("rhetoric",F161)),"rhetoric_discourse",IF(ISNUMBER(SEARCH("behavior",F161)),"behavioural_economics",IF(ISNUMBER(SEARCH("cognitive",F161)),"cognitive_biases",IF(J161="protective_pattern","healthy_reasoning_patterns",IF(L161="P0","core_mvp","extended_fallacies")))))))))</x:f>
        <x:v>extended_fallacies</x:v>
      </x:c>
      <x:c r="AC161" s="12" t="str">
        <x:f>IF(ISNUMBER(SEARCH("operational",J161)),"operational",IF(ISNUMBER(SEARCH("deprecated",J161)),"deprecated",IF(L161="P0","canonical","recognized_subtype")))</x:f>
        <x:v>recognized_subtype</x:v>
      </x:c>
      <x:c r="AD161" s="12" t="str">
        <x:f>IF(AC161="canonical","high",IF(AC161="recognized_subtype","medium",IF(AC161="operational","operational_only","debated")))</x:f>
        <x:v>medium</x:v>
      </x:c>
      <x:c r="AE161" s="12" t="str">
        <x:f>IF(AC161="deprecated","deprecated",IF(M161="yes","active",IF(M161="review","review_required","backlog")))</x:f>
        <x:v>review_required</x:v>
      </x:c>
      <x:c r="AF161" s="12" t="str">
        <x:f>IF(OR(AE161="active",AE161="review_required"),"yes","no")</x:f>
        <x:v>yes</x:v>
      </x:c>
      <x:c r="AG161" s="12" t="str">
        <x:f>IF(AND(AE161="active",M161="yes",NOT(ISNUMBER(SEARCH("healthy",AB161)))),"yes","no")</x:f>
        <x:v>no</x:v>
      </x:c>
      <x:c r="AH161" s="12" t="str">
        <x:f>IF(OR(H161="contextual",H161="dialogue",H161="discourse",I161="claim+context",I161="discourse_segment"),"yes","no")</x:f>
        <x:v>yes</x:v>
      </x:c>
      <x:c r="AI161" s="12" t="str">
        <x:f>IF(OR(AH161="yes",AD161="debated",AC161="operational"),"yes","no")</x:f>
        <x:v>yes</x:v>
      </x:c>
      <x:c r="AJ161" s="12" t="str">
        <x:f>IF(OR(AH161="yes",AC161="operational",AD161="debated"),"high",IF(AND(AG161="yes",L161="P0"),"medium","low"))</x:f>
        <x:v>high</x:v>
      </x:c>
      <x:c r="AK161" s="12" t="str">
        <x:f>IF(ISNUMBER(SEARCH("healthy",AB161)),"yes","no")</x:f>
        <x:v>no</x:v>
      </x:c>
      <x:c r="AL161" s="12" t="str">
        <x:f>IF(AG161="yes","yes","candidate_only")</x:f>
        <x:v>candidate_only</x:v>
      </x:c>
      <x:c r="AM161" s="12" t="str">
        <x:f>IF(OR(AC161="canonical",AG161="yes"),"yes","recommended")</x:f>
        <x:v>recommended</x:v>
      </x:c>
      <x:c r="AN161" s="12" t="str">
        <x:f>IF(AC161="deprecated","exclude",IF(AND(AG161="yes",AJ161="high"),"import_but_human_review_required",IF(AG161="yes","import_as_active","import_as_backlog")))</x:f>
        <x:v>import_as_backlog</x:v>
      </x:c>
      <x:c r="AO161" s="12" t="str">
        <x:f>IF(AND(AG161="yes",OR(P161="",Q161="",R161="",S161="")),"missing_required_mvp_fields",IF(AND(AC161="canonical",Y161=""),"missing_source_ref","ok"))</x:f>
        <x:v>ok</x:v>
      </x:c>
      <x:c r="AP161" s="12" t="str">
        <x:f>IF(AO161="ok","ready_for_codex_import","needs_review")</x:f>
        <x:v>ready_for_codex_import</x:v>
      </x:c>
      <x:c r="AQ161" s="12"/>
      <x:c r="AR161" s="12" t="str">
        <x:v>Added v2 operational fields. Review before classification activation.</x:v>
      </x:c>
    </x:row>
    <x:row r="162">
      <x:c r="A162" s="13" t="str">
        <x:v>misleading_precision_canonical</x:v>
      </x:c>
      <x:c r="B162" s="13" t="str">
        <x:v>misleading_precision</x:v>
      </x:c>
      <x:c r="C162" s="13" t="str">
        <x:v>Misleading precision</x:v>
      </x:c>
      <x:c r="D162" s="13" t="str">
        <x:v>دقت ظاهری گمراه‌کننده</x:v>
      </x:c>
      <x:c r="E162" s="13" t="str">
        <x:v>Canonical form</x:v>
      </x:c>
      <x:c r="F162" s="13" t="str">
        <x:v>evidence_failures</x:v>
      </x:c>
      <x:c r="G162" s="13" t="str">
        <x:v>canonical</x:v>
      </x:c>
      <x:c r="H162" s="13" t="str">
        <x:v>lexical</x:v>
      </x:c>
      <x:c r="I162" s="13" t="str">
        <x:v>claim</x:v>
      </x:c>
      <x:c r="J162" s="13" t="str">
        <x:v>core_named_candidate</x:v>
      </x:c>
      <x:c r="K162" s="13" t="str">
        <x:v>established_parent_needs_row_review</x:v>
      </x:c>
      <x:c r="L162" s="13" t="str">
        <x:v>P1</x:v>
      </x:c>
      <x:c r="M162" s="13" t="str">
        <x:v>review</x:v>
      </x:c>
      <x:c r="N162" s="13" t="str">
        <x:v>Operational subtype under Misleading precision: evidence is mishandled in a standard recognizable way. Parent definition: Using overly precise numbers that imply certainty not supported by evidence.</x:v>
      </x:c>
      <x:c r="O162" s="13" t="str">
        <x:v>Look for: explicit claim-level evidence; parent-family cues for Misleading precision; variant cue: evidence is mishandled in a standard recognizable way; avoid author-level inference.</x:v>
      </x:c>
      <x:c r="P162" s="13" t="str">
        <x:v>Exact evidence span in text plus claim-level reasoning link; for contextual/discourse entries, require surrounding context.</x:v>
      </x:c>
      <x:c r="Q162" s="13" t="str">
        <x:v>Do not label merely because topic is controversial, emotional, or wrong. Do not judge intent or personality. Require textual evidence and consider healthy-reasoning cues.</x:v>
      </x:c>
      <x:c r="R162" s="13" t="str">
        <x:v>Stub: A claim relies on evidence is mishandled in a standard recognizable way to support a conclusion without adequate qualification.</x:v>
      </x:c>
      <x:c r="S162" s="13" t="str">
        <x:v>Stub: A claim discusses misleading precision with caveats, balanced evidence, or no argumentative use of the pattern.</x:v>
      </x:c>
      <x:c r="T162" s="13" t="str">
        <x:v>Mild or ambiguous cue; do not classify without clear evidence span.</x:v>
      </x:c>
      <x:c r="U162" s="13" t="str">
        <x:v>Clear claim-level pattern with some argumentative impact.</x:v>
      </x:c>
      <x:c r="V162" s="13" t="str">
        <x:v>Strong pattern central to the conclusion and likely to materially distort reasoning.</x:v>
      </x:c>
      <x:c r="W162" s="13" t="str">
        <x:v>cherry_picking; missing_counterevidence; evidence_grading</x:v>
      </x:c>
      <x:c r="X162" s="13" t="str">
        <x:v>stanovich_dual_process</x:v>
      </x:c>
      <x:c r="Y162" s="13" t="str">
        <x:v>https://global.oup.com/academic/product/rationality-and-the-reflective-mind-9780195341140</x:v>
      </x:c>
      <x:c r="Z162" s="13" t="str">
        <x:v>Review before enabling. This workbook is a living taxonomy scaffold, not a validated scientific benchmark.</x:v>
      </x:c>
      <x:c r="AA162" s="13" t="str">
        <x:v>0.1.0-draft</x:v>
      </x:c>
      <x:c r="AB162" s="12" t="str">
        <x:f>IF(ISNUMBER(SEARCH("healthy",F162)),"healthy_reasoning_patterns",IF(ISNUMBER(SEARCH("statistical",F162)),"statistical_reasoning",IF(ISNUMBER(SEARCH("causal",F162)),"causal_reasoning",IF(ISNUMBER(SEARCH("social",F162)),"social_influence",IF(ISNUMBER(SEARCH("rhetoric",F162)),"rhetoric_discourse",IF(ISNUMBER(SEARCH("behavior",F162)),"behavioural_economics",IF(ISNUMBER(SEARCH("cognitive",F162)),"cognitive_biases",IF(J162="protective_pattern","healthy_reasoning_patterns",IF(L162="P0","core_mvp","extended_fallacies")))))))))</x:f>
        <x:v>extended_fallacies</x:v>
      </x:c>
      <x:c r="AC162" s="12" t="str">
        <x:f>IF(ISNUMBER(SEARCH("operational",J162)),"operational",IF(ISNUMBER(SEARCH("deprecated",J162)),"deprecated",IF(L162="P0","canonical","recognized_subtype")))</x:f>
        <x:v>recognized_subtype</x:v>
      </x:c>
      <x:c r="AD162" s="12" t="str">
        <x:f>IF(AC162="canonical","high",IF(AC162="recognized_subtype","medium",IF(AC162="operational","operational_only","debated")))</x:f>
        <x:v>medium</x:v>
      </x:c>
      <x:c r="AE162" s="12" t="str">
        <x:f>IF(AC162="deprecated","deprecated",IF(M162="yes","active",IF(M162="review","review_required","backlog")))</x:f>
        <x:v>review_required</x:v>
      </x:c>
      <x:c r="AF162" s="12" t="str">
        <x:f>IF(OR(AE162="active",AE162="review_required"),"yes","no")</x:f>
        <x:v>yes</x:v>
      </x:c>
      <x:c r="AG162" s="12" t="str">
        <x:f>IF(AND(AE162="active",M162="yes",NOT(ISNUMBER(SEARCH("healthy",AB162)))),"yes","no")</x:f>
        <x:v>no</x:v>
      </x:c>
      <x:c r="AH162" s="12" t="str">
        <x:f>IF(OR(H162="contextual",H162="dialogue",H162="discourse",I162="claim+context",I162="discourse_segment"),"yes","no")</x:f>
        <x:v>no</x:v>
      </x:c>
      <x:c r="AI162" s="12" t="str">
        <x:f>IF(OR(AH162="yes",AD162="debated",AC162="operational"),"yes","no")</x:f>
        <x:v>no</x:v>
      </x:c>
      <x:c r="AJ162" s="12" t="str">
        <x:f>IF(OR(AH162="yes",AC162="operational",AD162="debated"),"high",IF(AND(AG162="yes",L162="P0"),"medium","low"))</x:f>
        <x:v>low</x:v>
      </x:c>
      <x:c r="AK162" s="12" t="str">
        <x:f>IF(ISNUMBER(SEARCH("healthy",AB162)),"yes","no")</x:f>
        <x:v>no</x:v>
      </x:c>
      <x:c r="AL162" s="12" t="str">
        <x:f>IF(AG162="yes","yes","candidate_only")</x:f>
        <x:v>candidate_only</x:v>
      </x:c>
      <x:c r="AM162" s="12" t="str">
        <x:f>IF(OR(AC162="canonical",AG162="yes"),"yes","recommended")</x:f>
        <x:v>recommended</x:v>
      </x:c>
      <x:c r="AN162" s="12" t="str">
        <x:f>IF(AC162="deprecated","exclude",IF(AND(AG162="yes",AJ162="high"),"import_but_human_review_required",IF(AG162="yes","import_as_active","import_as_backlog")))</x:f>
        <x:v>import_as_backlog</x:v>
      </x:c>
      <x:c r="AO162" s="12" t="str">
        <x:f>IF(AND(AG162="yes",OR(P162="",Q162="",R162="",S162="")),"missing_required_mvp_fields",IF(AND(AC162="canonical",Y162=""),"missing_source_ref","ok"))</x:f>
        <x:v>ok</x:v>
      </x:c>
      <x:c r="AP162" s="12" t="str">
        <x:f>IF(AO162="ok","ready_for_codex_import","needs_review")</x:f>
        <x:v>ready_for_codex_import</x:v>
      </x:c>
      <x:c r="AQ162" s="12"/>
      <x:c r="AR162" s="12" t="str">
        <x:v>Added v2 operational fields. Review before classification activation.</x:v>
      </x:c>
    </x:row>
    <x:row r="163">
      <x:c r="A163" s="13" t="str">
        <x:v>measurement_validity_gap_canonical</x:v>
      </x:c>
      <x:c r="B163" s="13" t="str">
        <x:v>measurement_validity_gap</x:v>
      </x:c>
      <x:c r="C163" s="13" t="str">
        <x:v>Measurement validity gap</x:v>
      </x:c>
      <x:c r="D163" s="13" t="str">
        <x:v>شکاف اعتبار سنجه</x:v>
      </x:c>
      <x:c r="E163" s="13" t="str">
        <x:v>Canonical form</x:v>
      </x:c>
      <x:c r="F163" s="13" t="str">
        <x:v>evidence_failures</x:v>
      </x:c>
      <x:c r="G163" s="13" t="str">
        <x:v>canonical</x:v>
      </x:c>
      <x:c r="H163" s="13" t="str">
        <x:v>contextual</x:v>
      </x:c>
      <x:c r="I163" s="13" t="str">
        <x:v>claim+context</x:v>
      </x:c>
      <x:c r="J163" s="13" t="str">
        <x:v>core_named_candidate</x:v>
      </x:c>
      <x:c r="K163" s="13" t="str">
        <x:v>established_parent_needs_row_review</x:v>
      </x:c>
      <x:c r="L163" s="13" t="str">
        <x:v>P1</x:v>
      </x:c>
      <x:c r="M163" s="13" t="str">
        <x:v>review</x:v>
      </x:c>
      <x:c r="N163" s="13" t="str">
        <x:v>Operational subtype under Measurement validity gap: evidence is mishandled in a standard recognizable way. Parent definition: Treating a weak measure as if it directly captures the intended construct.</x:v>
      </x:c>
      <x:c r="O163" s="13" t="str">
        <x:v>Look for: explicit claim-level evidence; parent-family cues for Measurement validity gap; variant cue: evidence is mishandled in a standard recognizable way; avoid author-level inference.</x:v>
      </x:c>
      <x:c r="P163" s="13" t="str">
        <x:v>Exact evidence span in text plus claim-level reasoning link; for contextual/discourse entries, require surrounding context.</x:v>
      </x:c>
      <x:c r="Q163" s="13" t="str">
        <x:v>Do not label merely because topic is controversial, emotional, or wrong. Do not judge intent or personality. Require textual evidence and consider healthy-reasoning cues.</x:v>
      </x:c>
      <x:c r="R163" s="13" t="str">
        <x:v>Stub: A claim relies on evidence is mishandled in a standard recognizable way to support a conclusion without adequate qualification.</x:v>
      </x:c>
      <x:c r="S163" s="13" t="str">
        <x:v>Stub: A claim discusses measurement validity gap with caveats, balanced evidence, or no argumentative use of the pattern.</x:v>
      </x:c>
      <x:c r="T163" s="13" t="str">
        <x:v>Mild or ambiguous cue; do not classify without clear evidence span.</x:v>
      </x:c>
      <x:c r="U163" s="13" t="str">
        <x:v>Clear claim-level pattern with some argumentative impact.</x:v>
      </x:c>
      <x:c r="V163" s="13" t="str">
        <x:v>Strong pattern central to the conclusion and likely to materially distort reasoning.</x:v>
      </x:c>
      <x:c r="W163" s="13" t="str"/>
      <x:c r="X163" s="13" t="str">
        <x:v>toulmin_uses_argument</x:v>
      </x:c>
      <x:c r="Y163" s="13" t="str">
        <x:v>https://doi.org/10.1017/CBO9780511840005</x:v>
      </x:c>
      <x:c r="Z163" s="13" t="str">
        <x:v>Review before enabling. This workbook is a living taxonomy scaffold, not a validated scientific benchmark.</x:v>
      </x:c>
      <x:c r="AA163" s="13" t="str">
        <x:v>0.1.0-draft</x:v>
      </x:c>
      <x:c r="AB163" s="12" t="str">
        <x:f>IF(ISNUMBER(SEARCH("healthy",F163)),"healthy_reasoning_patterns",IF(ISNUMBER(SEARCH("statistical",F163)),"statistical_reasoning",IF(ISNUMBER(SEARCH("causal",F163)),"causal_reasoning",IF(ISNUMBER(SEARCH("social",F163)),"social_influence",IF(ISNUMBER(SEARCH("rhetoric",F163)),"rhetoric_discourse",IF(ISNUMBER(SEARCH("behavior",F163)),"behavioural_economics",IF(ISNUMBER(SEARCH("cognitive",F163)),"cognitive_biases",IF(J163="protective_pattern","healthy_reasoning_patterns",IF(L163="P0","core_mvp","extended_fallacies")))))))))</x:f>
        <x:v>extended_fallacies</x:v>
      </x:c>
      <x:c r="AC163" s="12" t="str">
        <x:f>IF(ISNUMBER(SEARCH("operational",J163)),"operational",IF(ISNUMBER(SEARCH("deprecated",J163)),"deprecated",IF(L163="P0","canonical","recognized_subtype")))</x:f>
        <x:v>recognized_subtype</x:v>
      </x:c>
      <x:c r="AD163" s="12" t="str">
        <x:f>IF(AC163="canonical","high",IF(AC163="recognized_subtype","medium",IF(AC163="operational","operational_only","debated")))</x:f>
        <x:v>medium</x:v>
      </x:c>
      <x:c r="AE163" s="12" t="str">
        <x:f>IF(AC163="deprecated","deprecated",IF(M163="yes","active",IF(M163="review","review_required","backlog")))</x:f>
        <x:v>review_required</x:v>
      </x:c>
      <x:c r="AF163" s="12" t="str">
        <x:f>IF(OR(AE163="active",AE163="review_required"),"yes","no")</x:f>
        <x:v>yes</x:v>
      </x:c>
      <x:c r="AG163" s="12" t="str">
        <x:f>IF(AND(AE163="active",M163="yes",NOT(ISNUMBER(SEARCH("healthy",AB163)))),"yes","no")</x:f>
        <x:v>no</x:v>
      </x:c>
      <x:c r="AH163" s="12" t="str">
        <x:f>IF(OR(H163="contextual",H163="dialogue",H163="discourse",I163="claim+context",I163="discourse_segment"),"yes","no")</x:f>
        <x:v>yes</x:v>
      </x:c>
      <x:c r="AI163" s="12" t="str">
        <x:f>IF(OR(AH163="yes",AD163="debated",AC163="operational"),"yes","no")</x:f>
        <x:v>yes</x:v>
      </x:c>
      <x:c r="AJ163" s="12" t="str">
        <x:f>IF(OR(AH163="yes",AC163="operational",AD163="debated"),"high",IF(AND(AG163="yes",L163="P0"),"medium","low"))</x:f>
        <x:v>high</x:v>
      </x:c>
      <x:c r="AK163" s="12" t="str">
        <x:f>IF(ISNUMBER(SEARCH("healthy",AB163)),"yes","no")</x:f>
        <x:v>no</x:v>
      </x:c>
      <x:c r="AL163" s="12" t="str">
        <x:f>IF(AG163="yes","yes","candidate_only")</x:f>
        <x:v>candidate_only</x:v>
      </x:c>
      <x:c r="AM163" s="12" t="str">
        <x:f>IF(OR(AC163="canonical",AG163="yes"),"yes","recommended")</x:f>
        <x:v>recommended</x:v>
      </x:c>
      <x:c r="AN163" s="12" t="str">
        <x:f>IF(AC163="deprecated","exclude",IF(AND(AG163="yes",AJ163="high"),"import_but_human_review_required",IF(AG163="yes","import_as_active","import_as_backlog")))</x:f>
        <x:v>import_as_backlog</x:v>
      </x:c>
      <x:c r="AO163" s="12" t="str">
        <x:f>IF(AND(AG163="yes",OR(P163="",Q163="",R163="",S163="")),"missing_required_mvp_fields",IF(AND(AC163="canonical",Y163=""),"missing_source_ref","ok"))</x:f>
        <x:v>ok</x:v>
      </x:c>
      <x:c r="AP163" s="12" t="str">
        <x:f>IF(AO163="ok","ready_for_codex_import","needs_review")</x:f>
        <x:v>ready_for_codex_import</x:v>
      </x:c>
      <x:c r="AQ163" s="12"/>
      <x:c r="AR163" s="12" t="str">
        <x:v>Added v2 operational fields. Review before classification activation.</x:v>
      </x:c>
    </x:row>
    <x:row r="164">
      <x:c r="A164" s="13" t="str">
        <x:v>proxy_mismatch_canonical</x:v>
      </x:c>
      <x:c r="B164" s="13" t="str">
        <x:v>proxy_mismatch</x:v>
      </x:c>
      <x:c r="C164" s="13" t="str">
        <x:v>Proxy mismatch</x:v>
      </x:c>
      <x:c r="D164" s="13" t="str">
        <x:v>جایگزین نامتناسب برای سنجه</x:v>
      </x:c>
      <x:c r="E164" s="13" t="str">
        <x:v>Canonical form</x:v>
      </x:c>
      <x:c r="F164" s="13" t="str">
        <x:v>evidence_failures</x:v>
      </x:c>
      <x:c r="G164" s="13" t="str">
        <x:v>canonical</x:v>
      </x:c>
      <x:c r="H164" s="13" t="str">
        <x:v>contextual</x:v>
      </x:c>
      <x:c r="I164" s="13" t="str">
        <x:v>claim+context</x:v>
      </x:c>
      <x:c r="J164" s="13" t="str">
        <x:v>core_named_candidate</x:v>
      </x:c>
      <x:c r="K164" s="13" t="str">
        <x:v>established_parent_needs_row_review</x:v>
      </x:c>
      <x:c r="L164" s="13" t="str">
        <x:v>P1</x:v>
      </x:c>
      <x:c r="M164" s="13" t="str">
        <x:v>review</x:v>
      </x:c>
      <x:c r="N164" s="13" t="str">
        <x:v>Operational subtype under Proxy mismatch: evidence is mishandled in a standard recognizable way. Parent definition: Using a proxy variable while overstating its relevance to the claim.</x:v>
      </x:c>
      <x:c r="O164" s="13" t="str">
        <x:v>Look for: explicit claim-level evidence; parent-family cues for Proxy mismatch; variant cue: evidence is mishandled in a standard recognizable way; avoid author-level inference.</x:v>
      </x:c>
      <x:c r="P164" s="13" t="str">
        <x:v>Exact evidence span in text plus claim-level reasoning link; for contextual/discourse entries, require surrounding context.</x:v>
      </x:c>
      <x:c r="Q164" s="13" t="str">
        <x:v>Do not label merely because topic is controversial, emotional, or wrong. Do not judge intent or personality. Require textual evidence and consider healthy-reasoning cues.</x:v>
      </x:c>
      <x:c r="R164" s="13" t="str">
        <x:v>Stub: A claim relies on evidence is mishandled in a standard recognizable way to support a conclusion without adequate qualification.</x:v>
      </x:c>
      <x:c r="S164" s="13" t="str">
        <x:v>Stub: A claim discusses proxy mismatch with caveats, balanced evidence, or no argumentative use of the pattern.</x:v>
      </x:c>
      <x:c r="T164" s="13" t="str">
        <x:v>Mild or ambiguous cue; do not classify without clear evidence span.</x:v>
      </x:c>
      <x:c r="U164" s="13" t="str">
        <x:v>Clear claim-level pattern with some argumentative impact.</x:v>
      </x:c>
      <x:c r="V164" s="13" t="str">
        <x:v>Strong pattern central to the conclusion and likely to materially distort reasoning.</x:v>
      </x:c>
      <x:c r="W164" s="13" t="str"/>
      <x:c r="X164" s="13" t="str">
        <x:v>toulmin_uses_argument</x:v>
      </x:c>
      <x:c r="Y164" s="13" t="str">
        <x:v>https://doi.org/10.1017/CBO9780511840005</x:v>
      </x:c>
      <x:c r="Z164" s="13" t="str">
        <x:v>Review before enabling. This workbook is a living taxonomy scaffold, not a validated scientific benchmark.</x:v>
      </x:c>
      <x:c r="AA164" s="13" t="str">
        <x:v>0.1.0-draft</x:v>
      </x:c>
      <x:c r="AB164" s="12" t="str">
        <x:f>IF(ISNUMBER(SEARCH("healthy",F164)),"healthy_reasoning_patterns",IF(ISNUMBER(SEARCH("statistical",F164)),"statistical_reasoning",IF(ISNUMBER(SEARCH("causal",F164)),"causal_reasoning",IF(ISNUMBER(SEARCH("social",F164)),"social_influence",IF(ISNUMBER(SEARCH("rhetoric",F164)),"rhetoric_discourse",IF(ISNUMBER(SEARCH("behavior",F164)),"behavioural_economics",IF(ISNUMBER(SEARCH("cognitive",F164)),"cognitive_biases",IF(J164="protective_pattern","healthy_reasoning_patterns",IF(L164="P0","core_mvp","extended_fallacies")))))))))</x:f>
        <x:v>extended_fallacies</x:v>
      </x:c>
      <x:c r="AC164" s="12" t="str">
        <x:f>IF(ISNUMBER(SEARCH("operational",J164)),"operational",IF(ISNUMBER(SEARCH("deprecated",J164)),"deprecated",IF(L164="P0","canonical","recognized_subtype")))</x:f>
        <x:v>recognized_subtype</x:v>
      </x:c>
      <x:c r="AD164" s="12" t="str">
        <x:f>IF(AC164="canonical","high",IF(AC164="recognized_subtype","medium",IF(AC164="operational","operational_only","debated")))</x:f>
        <x:v>medium</x:v>
      </x:c>
      <x:c r="AE164" s="12" t="str">
        <x:f>IF(AC164="deprecated","deprecated",IF(M164="yes","active",IF(M164="review","review_required","backlog")))</x:f>
        <x:v>review_required</x:v>
      </x:c>
      <x:c r="AF164" s="12" t="str">
        <x:f>IF(OR(AE164="active",AE164="review_required"),"yes","no")</x:f>
        <x:v>yes</x:v>
      </x:c>
      <x:c r="AG164" s="12" t="str">
        <x:f>IF(AND(AE164="active",M164="yes",NOT(ISNUMBER(SEARCH("healthy",AB164)))),"yes","no")</x:f>
        <x:v>no</x:v>
      </x:c>
      <x:c r="AH164" s="12" t="str">
        <x:f>IF(OR(H164="contextual",H164="dialogue",H164="discourse",I164="claim+context",I164="discourse_segment"),"yes","no")</x:f>
        <x:v>yes</x:v>
      </x:c>
      <x:c r="AI164" s="12" t="str">
        <x:f>IF(OR(AH164="yes",AD164="debated",AC164="operational"),"yes","no")</x:f>
        <x:v>yes</x:v>
      </x:c>
      <x:c r="AJ164" s="12" t="str">
        <x:f>IF(OR(AH164="yes",AC164="operational",AD164="debated"),"high",IF(AND(AG164="yes",L164="P0"),"medium","low"))</x:f>
        <x:v>high</x:v>
      </x:c>
      <x:c r="AK164" s="12" t="str">
        <x:f>IF(ISNUMBER(SEARCH("healthy",AB164)),"yes","no")</x:f>
        <x:v>no</x:v>
      </x:c>
      <x:c r="AL164" s="12" t="str">
        <x:f>IF(AG164="yes","yes","candidate_only")</x:f>
        <x:v>candidate_only</x:v>
      </x:c>
      <x:c r="AM164" s="12" t="str">
        <x:f>IF(OR(AC164="canonical",AG164="yes"),"yes","recommended")</x:f>
        <x:v>recommended</x:v>
      </x:c>
      <x:c r="AN164" s="12" t="str">
        <x:f>IF(AC164="deprecated","exclude",IF(AND(AG164="yes",AJ164="high"),"import_but_human_review_required",IF(AG164="yes","import_as_active","import_as_backlog")))</x:f>
        <x:v>import_as_backlog</x:v>
      </x:c>
      <x:c r="AO164" s="12" t="str">
        <x:f>IF(AND(AG164="yes",OR(P164="",Q164="",R164="",S164="")),"missing_required_mvp_fields",IF(AND(AC164="canonical",Y164=""),"missing_source_ref","ok"))</x:f>
        <x:v>ok</x:v>
      </x:c>
      <x:c r="AP164" s="12" t="str">
        <x:f>IF(AO164="ok","ready_for_codex_import","needs_review")</x:f>
        <x:v>ready_for_codex_import</x:v>
      </x:c>
      <x:c r="AQ164" s="12"/>
      <x:c r="AR164" s="12" t="str">
        <x:v>Added v2 operational fields. Review before classification activation.</x:v>
      </x:c>
    </x:row>
    <x:row r="165">
      <x:c r="A165" s="13" t="str">
        <x:v>construct_validity_gap_canonical</x:v>
      </x:c>
      <x:c r="B165" s="13" t="str">
        <x:v>construct_validity_gap</x:v>
      </x:c>
      <x:c r="C165" s="13" t="str">
        <x:v>Construct validity gap</x:v>
      </x:c>
      <x:c r="D165" s="13" t="str">
        <x:v>شکاف اعتبار سازه</x:v>
      </x:c>
      <x:c r="E165" s="13" t="str">
        <x:v>Canonical form</x:v>
      </x:c>
      <x:c r="F165" s="13" t="str">
        <x:v>evidence_failures</x:v>
      </x:c>
      <x:c r="G165" s="13" t="str">
        <x:v>canonical</x:v>
      </x:c>
      <x:c r="H165" s="13" t="str">
        <x:v>contextual</x:v>
      </x:c>
      <x:c r="I165" s="13" t="str">
        <x:v>claim+context</x:v>
      </x:c>
      <x:c r="J165" s="13" t="str">
        <x:v>core_named_candidate</x:v>
      </x:c>
      <x:c r="K165" s="13" t="str">
        <x:v>established_parent_needs_row_review</x:v>
      </x:c>
      <x:c r="L165" s="13" t="str">
        <x:v>P1</x:v>
      </x:c>
      <x:c r="M165" s="13" t="str">
        <x:v>review</x:v>
      </x:c>
      <x:c r="N165" s="13" t="str">
        <x:v>Operational subtype under Construct validity gap: evidence is mishandled in a standard recognizable way. Parent definition: Drawing conclusions about a construct not adequately measured by the evidence.</x:v>
      </x:c>
      <x:c r="O165" s="13" t="str">
        <x:v>Look for: explicit claim-level evidence; parent-family cues for Construct validity gap; variant cue: evidence is mishandled in a standard recognizable way; avoid author-level inference.</x:v>
      </x:c>
      <x:c r="P165" s="13" t="str">
        <x:v>Exact evidence span in text plus claim-level reasoning link; for contextual/discourse entries, require surrounding context.</x:v>
      </x:c>
      <x:c r="Q165" s="13" t="str">
        <x:v>Do not label merely because topic is controversial, emotional, or wrong. Do not judge intent or personality. Require textual evidence and consider healthy-reasoning cues.</x:v>
      </x:c>
      <x:c r="R165" s="13" t="str">
        <x:v>Stub: A claim relies on evidence is mishandled in a standard recognizable way to support a conclusion without adequate qualification.</x:v>
      </x:c>
      <x:c r="S165" s="13" t="str">
        <x:v>Stub: A claim discusses construct validity gap with caveats, balanced evidence, or no argumentative use of the pattern.</x:v>
      </x:c>
      <x:c r="T165" s="13" t="str">
        <x:v>Mild or ambiguous cue; do not classify without clear evidence span.</x:v>
      </x:c>
      <x:c r="U165" s="13" t="str">
        <x:v>Clear claim-level pattern with some argumentative impact.</x:v>
      </x:c>
      <x:c r="V165" s="13" t="str">
        <x:v>Strong pattern central to the conclusion and likely to materially distort reasoning.</x:v>
      </x:c>
      <x:c r="W165" s="13" t="str">
        <x:v>cherry_picking; missing_counterevidence; evidence_grading</x:v>
      </x:c>
      <x:c r="X165" s="13" t="str">
        <x:v>toulmin_uses_argument</x:v>
      </x:c>
      <x:c r="Y165" s="13" t="str">
        <x:v>https://doi.org/10.1017/CBO9780511840005</x:v>
      </x:c>
      <x:c r="Z165" s="13" t="str">
        <x:v>Review before enabling. This workbook is a living taxonomy scaffold, not a validated scientific benchmark.</x:v>
      </x:c>
      <x:c r="AA165" s="13" t="str">
        <x:v>0.1.0-draft</x:v>
      </x:c>
      <x:c r="AB165" s="12" t="str">
        <x:f>IF(ISNUMBER(SEARCH("healthy",F165)),"healthy_reasoning_patterns",IF(ISNUMBER(SEARCH("statistical",F165)),"statistical_reasoning",IF(ISNUMBER(SEARCH("causal",F165)),"causal_reasoning",IF(ISNUMBER(SEARCH("social",F165)),"social_influence",IF(ISNUMBER(SEARCH("rhetoric",F165)),"rhetoric_discourse",IF(ISNUMBER(SEARCH("behavior",F165)),"behavioural_economics",IF(ISNUMBER(SEARCH("cognitive",F165)),"cognitive_biases",IF(J165="protective_pattern","healthy_reasoning_patterns",IF(L165="P0","core_mvp","extended_fallacies")))))))))</x:f>
        <x:v>extended_fallacies</x:v>
      </x:c>
      <x:c r="AC165" s="12" t="str">
        <x:f>IF(ISNUMBER(SEARCH("operational",J165)),"operational",IF(ISNUMBER(SEARCH("deprecated",J165)),"deprecated",IF(L165="P0","canonical","recognized_subtype")))</x:f>
        <x:v>recognized_subtype</x:v>
      </x:c>
      <x:c r="AD165" s="12" t="str">
        <x:f>IF(AC165="canonical","high",IF(AC165="recognized_subtype","medium",IF(AC165="operational","operational_only","debated")))</x:f>
        <x:v>medium</x:v>
      </x:c>
      <x:c r="AE165" s="12" t="str">
        <x:f>IF(AC165="deprecated","deprecated",IF(M165="yes","active",IF(M165="review","review_required","backlog")))</x:f>
        <x:v>review_required</x:v>
      </x:c>
      <x:c r="AF165" s="12" t="str">
        <x:f>IF(OR(AE165="active",AE165="review_required"),"yes","no")</x:f>
        <x:v>yes</x:v>
      </x:c>
      <x:c r="AG165" s="12" t="str">
        <x:f>IF(AND(AE165="active",M165="yes",NOT(ISNUMBER(SEARCH("healthy",AB165)))),"yes","no")</x:f>
        <x:v>no</x:v>
      </x:c>
      <x:c r="AH165" s="12" t="str">
        <x:f>IF(OR(H165="contextual",H165="dialogue",H165="discourse",I165="claim+context",I165="discourse_segment"),"yes","no")</x:f>
        <x:v>yes</x:v>
      </x:c>
      <x:c r="AI165" s="12" t="str">
        <x:f>IF(OR(AH165="yes",AD165="debated",AC165="operational"),"yes","no")</x:f>
        <x:v>yes</x:v>
      </x:c>
      <x:c r="AJ165" s="12" t="str">
        <x:f>IF(OR(AH165="yes",AC165="operational",AD165="debated"),"high",IF(AND(AG165="yes",L165="P0"),"medium","low"))</x:f>
        <x:v>high</x:v>
      </x:c>
      <x:c r="AK165" s="12" t="str">
        <x:f>IF(ISNUMBER(SEARCH("healthy",AB165)),"yes","no")</x:f>
        <x:v>no</x:v>
      </x:c>
      <x:c r="AL165" s="12" t="str">
        <x:f>IF(AG165="yes","yes","candidate_only")</x:f>
        <x:v>candidate_only</x:v>
      </x:c>
      <x:c r="AM165" s="12" t="str">
        <x:f>IF(OR(AC165="canonical",AG165="yes"),"yes","recommended")</x:f>
        <x:v>recommended</x:v>
      </x:c>
      <x:c r="AN165" s="12" t="str">
        <x:f>IF(AC165="deprecated","exclude",IF(AND(AG165="yes",AJ165="high"),"import_but_human_review_required",IF(AG165="yes","import_as_active","import_as_backlog")))</x:f>
        <x:v>import_as_backlog</x:v>
      </x:c>
      <x:c r="AO165" s="12" t="str">
        <x:f>IF(AND(AG165="yes",OR(P165="",Q165="",R165="",S165="")),"missing_required_mvp_fields",IF(AND(AC165="canonical",Y165=""),"missing_source_ref","ok"))</x:f>
        <x:v>ok</x:v>
      </x:c>
      <x:c r="AP165" s="12" t="str">
        <x:f>IF(AO165="ok","ready_for_codex_import","needs_review")</x:f>
        <x:v>ready_for_codex_import</x:v>
      </x:c>
      <x:c r="AQ165" s="12"/>
      <x:c r="AR165" s="12" t="str">
        <x:v>Added v2 operational fields. Review before classification activation.</x:v>
      </x:c>
    </x:row>
    <x:row r="166">
      <x:c r="A166" s="13" t="str">
        <x:v>ecological_fallacy_canonical</x:v>
      </x:c>
      <x:c r="B166" s="13" t="str">
        <x:v>ecological_fallacy</x:v>
      </x:c>
      <x:c r="C166" s="13" t="str">
        <x:v>Ecological fallacy</x:v>
      </x:c>
      <x:c r="D166" s="13" t="str">
        <x:v>مغالطه بوم‌شناختی</x:v>
      </x:c>
      <x:c r="E166" s="13" t="str">
        <x:v>Canonical form</x:v>
      </x:c>
      <x:c r="F166" s="13" t="str">
        <x:v>evidence_failures</x:v>
      </x:c>
      <x:c r="G166" s="13" t="str">
        <x:v>canonical</x:v>
      </x:c>
      <x:c r="H166" s="13" t="str">
        <x:v>contextual</x:v>
      </x:c>
      <x:c r="I166" s="13" t="str">
        <x:v>claim+context</x:v>
      </x:c>
      <x:c r="J166" s="13" t="str">
        <x:v>core_named_candidate</x:v>
      </x:c>
      <x:c r="K166" s="13" t="str">
        <x:v>established_parent_needs_row_review</x:v>
      </x:c>
      <x:c r="L166" s="13" t="str">
        <x:v>P1</x:v>
      </x:c>
      <x:c r="M166" s="13" t="str">
        <x:v>review</x:v>
      </x:c>
      <x:c r="N166" s="13" t="str">
        <x:v>Operational subtype under Ecological fallacy: evidence is mishandled in a standard recognizable way. Parent definition: Inferring individual-level conclusions from aggregate-level data.</x:v>
      </x:c>
      <x:c r="O166" s="13" t="str">
        <x:v>Look for: explicit claim-level evidence; parent-family cues for Ecological fallacy; variant cue: evidence is mishandled in a standard recognizable way; avoid author-level inference.</x:v>
      </x:c>
      <x:c r="P166" s="13" t="str">
        <x:v>Exact evidence span in text plus claim-level reasoning link; for contextual/discourse entries, require surrounding context.</x:v>
      </x:c>
      <x:c r="Q166" s="13" t="str">
        <x:v>Do not label merely because topic is controversial, emotional, or wrong. Do not judge intent or personality. Require textual evidence and consider healthy-reasoning cues.</x:v>
      </x:c>
      <x:c r="R166" s="13" t="str">
        <x:v>Stub: A claim relies on evidence is mishandled in a standard recognizable way to support a conclusion without adequate qualification.</x:v>
      </x:c>
      <x:c r="S166" s="13" t="str">
        <x:v>Stub: A claim discusses ecological fallacy with caveats, balanced evidence, or no argumentative use of the pattern.</x:v>
      </x:c>
      <x:c r="T166" s="13" t="str">
        <x:v>Mild or ambiguous cue; do not classify without clear evidence span.</x:v>
      </x:c>
      <x:c r="U166" s="13" t="str">
        <x:v>Clear claim-level pattern with some argumentative impact.</x:v>
      </x:c>
      <x:c r="V166" s="13" t="str">
        <x:v>Strong pattern central to the conclusion and likely to materially distort reasoning.</x:v>
      </x:c>
      <x:c r="W166" s="13" t="str"/>
      <x:c r="X166" s="13" t="str">
        <x:v>sep_informal_logic</x:v>
      </x:c>
      <x:c r="Y166" s="13" t="str">
        <x:v>https://plato.stanford.edu/entries/logic-informal/</x:v>
      </x:c>
      <x:c r="Z166" s="13" t="str">
        <x:v>Review before enabling. This workbook is a living taxonomy scaffold, not a validated scientific benchmark.</x:v>
      </x:c>
      <x:c r="AA166" s="13" t="str">
        <x:v>0.1.0-draft</x:v>
      </x:c>
      <x:c r="AB166" s="12" t="str">
        <x:f>IF(ISNUMBER(SEARCH("healthy",F166)),"healthy_reasoning_patterns",IF(ISNUMBER(SEARCH("statistical",F166)),"statistical_reasoning",IF(ISNUMBER(SEARCH("causal",F166)),"causal_reasoning",IF(ISNUMBER(SEARCH("social",F166)),"social_influence",IF(ISNUMBER(SEARCH("rhetoric",F166)),"rhetoric_discourse",IF(ISNUMBER(SEARCH("behavior",F166)),"behavioural_economics",IF(ISNUMBER(SEARCH("cognitive",F166)),"cognitive_biases",IF(J166="protective_pattern","healthy_reasoning_patterns",IF(L166="P0","core_mvp","extended_fallacies")))))))))</x:f>
        <x:v>extended_fallacies</x:v>
      </x:c>
      <x:c r="AC166" s="12" t="str">
        <x:f>IF(ISNUMBER(SEARCH("operational",J166)),"operational",IF(ISNUMBER(SEARCH("deprecated",J166)),"deprecated",IF(L166="P0","canonical","recognized_subtype")))</x:f>
        <x:v>recognized_subtype</x:v>
      </x:c>
      <x:c r="AD166" s="12" t="str">
        <x:f>IF(AC166="canonical","high",IF(AC166="recognized_subtype","medium",IF(AC166="operational","operational_only","debated")))</x:f>
        <x:v>medium</x:v>
      </x:c>
      <x:c r="AE166" s="12" t="str">
        <x:f>IF(AC166="deprecated","deprecated",IF(M166="yes","active",IF(M166="review","review_required","backlog")))</x:f>
        <x:v>review_required</x:v>
      </x:c>
      <x:c r="AF166" s="12" t="str">
        <x:f>IF(OR(AE166="active",AE166="review_required"),"yes","no")</x:f>
        <x:v>yes</x:v>
      </x:c>
      <x:c r="AG166" s="12" t="str">
        <x:f>IF(AND(AE166="active",M166="yes",NOT(ISNUMBER(SEARCH("healthy",AB166)))),"yes","no")</x:f>
        <x:v>no</x:v>
      </x:c>
      <x:c r="AH166" s="12" t="str">
        <x:f>IF(OR(H166="contextual",H166="dialogue",H166="discourse",I166="claim+context",I166="discourse_segment"),"yes","no")</x:f>
        <x:v>yes</x:v>
      </x:c>
      <x:c r="AI166" s="12" t="str">
        <x:f>IF(OR(AH166="yes",AD166="debated",AC166="operational"),"yes","no")</x:f>
        <x:v>yes</x:v>
      </x:c>
      <x:c r="AJ166" s="12" t="str">
        <x:f>IF(OR(AH166="yes",AC166="operational",AD166="debated"),"high",IF(AND(AG166="yes",L166="P0"),"medium","low"))</x:f>
        <x:v>high</x:v>
      </x:c>
      <x:c r="AK166" s="12" t="str">
        <x:f>IF(ISNUMBER(SEARCH("healthy",AB166)),"yes","no")</x:f>
        <x:v>no</x:v>
      </x:c>
      <x:c r="AL166" s="12" t="str">
        <x:f>IF(AG166="yes","yes","candidate_only")</x:f>
        <x:v>candidate_only</x:v>
      </x:c>
      <x:c r="AM166" s="12" t="str">
        <x:f>IF(OR(AC166="canonical",AG166="yes"),"yes","recommended")</x:f>
        <x:v>recommended</x:v>
      </x:c>
      <x:c r="AN166" s="12" t="str">
        <x:f>IF(AC166="deprecated","exclude",IF(AND(AG166="yes",AJ166="high"),"import_but_human_review_required",IF(AG166="yes","import_as_active","import_as_backlog")))</x:f>
        <x:v>import_as_backlog</x:v>
      </x:c>
      <x:c r="AO166" s="12" t="str">
        <x:f>IF(AND(AG166="yes",OR(P166="",Q166="",R166="",S166="")),"missing_required_mvp_fields",IF(AND(AC166="canonical",Y166=""),"missing_source_ref","ok"))</x:f>
        <x:v>ok</x:v>
      </x:c>
      <x:c r="AP166" s="12" t="str">
        <x:f>IF(AO166="ok","ready_for_codex_import","needs_review")</x:f>
        <x:v>ready_for_codex_import</x:v>
      </x:c>
      <x:c r="AQ166" s="12"/>
      <x:c r="AR166" s="12" t="str">
        <x:v>Added v2 operational fields. Review before classification activation.</x:v>
      </x:c>
    </x:row>
    <x:row r="167">
      <x:c r="A167" s="13" t="str">
        <x:v>atomistic_fallacy_canonical</x:v>
      </x:c>
      <x:c r="B167" s="13" t="str">
        <x:v>atomistic_fallacy</x:v>
      </x:c>
      <x:c r="C167" s="13" t="str">
        <x:v>Atomistic fallacy</x:v>
      </x:c>
      <x:c r="D167" s="13" t="str">
        <x:v>مغالطه فردانگارانه</x:v>
      </x:c>
      <x:c r="E167" s="13" t="str">
        <x:v>Canonical form</x:v>
      </x:c>
      <x:c r="F167" s="13" t="str">
        <x:v>evidence_failures</x:v>
      </x:c>
      <x:c r="G167" s="13" t="str">
        <x:v>canonical</x:v>
      </x:c>
      <x:c r="H167" s="13" t="str">
        <x:v>contextual</x:v>
      </x:c>
      <x:c r="I167" s="13" t="str">
        <x:v>claim+context</x:v>
      </x:c>
      <x:c r="J167" s="13" t="str">
        <x:v>core_named_candidate</x:v>
      </x:c>
      <x:c r="K167" s="13" t="str">
        <x:v>established_parent_needs_row_review</x:v>
      </x:c>
      <x:c r="L167" s="13" t="str">
        <x:v>P1</x:v>
      </x:c>
      <x:c r="M167" s="13" t="str">
        <x:v>review</x:v>
      </x:c>
      <x:c r="N167" s="13" t="str">
        <x:v>Operational subtype under Atomistic fallacy: evidence is mishandled in a standard recognizable way. Parent definition: Inferring group-level conclusions from individual-level observations.</x:v>
      </x:c>
      <x:c r="O167" s="13" t="str">
        <x:v>Look for: explicit claim-level evidence; parent-family cues for Atomistic fallacy; variant cue: evidence is mishandled in a standard recognizable way; avoid author-level inference.</x:v>
      </x:c>
      <x:c r="P167" s="13" t="str">
        <x:v>Exact evidence span in text plus claim-level reasoning link; for contextual/discourse entries, require surrounding context.</x:v>
      </x:c>
      <x:c r="Q167" s="13" t="str">
        <x:v>Do not label merely because topic is controversial, emotional, or wrong. Do not judge intent or personality. Require textual evidence and consider healthy-reasoning cues.</x:v>
      </x:c>
      <x:c r="R167" s="13" t="str">
        <x:v>Stub: A claim relies on evidence is mishandled in a standard recognizable way to support a conclusion without adequate qualification.</x:v>
      </x:c>
      <x:c r="S167" s="13" t="str">
        <x:v>Stub: A claim discusses atomistic fallacy with caveats, balanced evidence, or no argumentative use of the pattern.</x:v>
      </x:c>
      <x:c r="T167" s="13" t="str">
        <x:v>Mild or ambiguous cue; do not classify without clear evidence span.</x:v>
      </x:c>
      <x:c r="U167" s="13" t="str">
        <x:v>Clear claim-level pattern with some argumentative impact.</x:v>
      </x:c>
      <x:c r="V167" s="13" t="str">
        <x:v>Strong pattern central to the conclusion and likely to materially distort reasoning.</x:v>
      </x:c>
      <x:c r="W167" s="13" t="str"/>
      <x:c r="X167" s="13" t="str">
        <x:v>sep_informal_logic</x:v>
      </x:c>
      <x:c r="Y167" s="13" t="str">
        <x:v>https://plato.stanford.edu/entries/logic-informal/</x:v>
      </x:c>
      <x:c r="Z167" s="13" t="str">
        <x:v>Review before enabling. This workbook is a living taxonomy scaffold, not a validated scientific benchmark.</x:v>
      </x:c>
      <x:c r="AA167" s="13" t="str">
        <x:v>0.1.0-draft</x:v>
      </x:c>
      <x:c r="AB167" s="12" t="str">
        <x:f>IF(ISNUMBER(SEARCH("healthy",F167)),"healthy_reasoning_patterns",IF(ISNUMBER(SEARCH("statistical",F167)),"statistical_reasoning",IF(ISNUMBER(SEARCH("causal",F167)),"causal_reasoning",IF(ISNUMBER(SEARCH("social",F167)),"social_influence",IF(ISNUMBER(SEARCH("rhetoric",F167)),"rhetoric_discourse",IF(ISNUMBER(SEARCH("behavior",F167)),"behavioural_economics",IF(ISNUMBER(SEARCH("cognitive",F167)),"cognitive_biases",IF(J167="protective_pattern","healthy_reasoning_patterns",IF(L167="P0","core_mvp","extended_fallacies")))))))))</x:f>
        <x:v>extended_fallacies</x:v>
      </x:c>
      <x:c r="AC167" s="12" t="str">
        <x:f>IF(ISNUMBER(SEARCH("operational",J167)),"operational",IF(ISNUMBER(SEARCH("deprecated",J167)),"deprecated",IF(L167="P0","canonical","recognized_subtype")))</x:f>
        <x:v>recognized_subtype</x:v>
      </x:c>
      <x:c r="AD167" s="12" t="str">
        <x:f>IF(AC167="canonical","high",IF(AC167="recognized_subtype","medium",IF(AC167="operational","operational_only","debated")))</x:f>
        <x:v>medium</x:v>
      </x:c>
      <x:c r="AE167" s="12" t="str">
        <x:f>IF(AC167="deprecated","deprecated",IF(M167="yes","active",IF(M167="review","review_required","backlog")))</x:f>
        <x:v>review_required</x:v>
      </x:c>
      <x:c r="AF167" s="12" t="str">
        <x:f>IF(OR(AE167="active",AE167="review_required"),"yes","no")</x:f>
        <x:v>yes</x:v>
      </x:c>
      <x:c r="AG167" s="12" t="str">
        <x:f>IF(AND(AE167="active",M167="yes",NOT(ISNUMBER(SEARCH("healthy",AB167)))),"yes","no")</x:f>
        <x:v>no</x:v>
      </x:c>
      <x:c r="AH167" s="12" t="str">
        <x:f>IF(OR(H167="contextual",H167="dialogue",H167="discourse",I167="claim+context",I167="discourse_segment"),"yes","no")</x:f>
        <x:v>yes</x:v>
      </x:c>
      <x:c r="AI167" s="12" t="str">
        <x:f>IF(OR(AH167="yes",AD167="debated",AC167="operational"),"yes","no")</x:f>
        <x:v>yes</x:v>
      </x:c>
      <x:c r="AJ167" s="12" t="str">
        <x:f>IF(OR(AH167="yes",AC167="operational",AD167="debated"),"high",IF(AND(AG167="yes",L167="P0"),"medium","low"))</x:f>
        <x:v>high</x:v>
      </x:c>
      <x:c r="AK167" s="12" t="str">
        <x:f>IF(ISNUMBER(SEARCH("healthy",AB167)),"yes","no")</x:f>
        <x:v>no</x:v>
      </x:c>
      <x:c r="AL167" s="12" t="str">
        <x:f>IF(AG167="yes","yes","candidate_only")</x:f>
        <x:v>candidate_only</x:v>
      </x:c>
      <x:c r="AM167" s="12" t="str">
        <x:f>IF(OR(AC167="canonical",AG167="yes"),"yes","recommended")</x:f>
        <x:v>recommended</x:v>
      </x:c>
      <x:c r="AN167" s="12" t="str">
        <x:f>IF(AC167="deprecated","exclude",IF(AND(AG167="yes",AJ167="high"),"import_but_human_review_required",IF(AG167="yes","import_as_active","import_as_backlog")))</x:f>
        <x:v>import_as_backlog</x:v>
      </x:c>
      <x:c r="AO167" s="12" t="str">
        <x:f>IF(AND(AG167="yes",OR(P167="",Q167="",R167="",S167="")),"missing_required_mvp_fields",IF(AND(AC167="canonical",Y167=""),"missing_source_ref","ok"))</x:f>
        <x:v>ok</x:v>
      </x:c>
      <x:c r="AP167" s="12" t="str">
        <x:f>IF(AO167="ok","ready_for_codex_import","needs_review")</x:f>
        <x:v>ready_for_codex_import</x:v>
      </x:c>
      <x:c r="AQ167" s="12"/>
      <x:c r="AR167" s="12" t="str">
        <x:v>Added v2 operational fields. Review before classification activation.</x:v>
      </x:c>
    </x:row>
    <x:row r="168">
      <x:c r="A168" s="13" t="str">
        <x:v>omitted_variable_bias_argument_canonical</x:v>
      </x:c>
      <x:c r="B168" s="13" t="str">
        <x:v>omitted_variable_bias_argument</x:v>
      </x:c>
      <x:c r="C168" s="13" t="str">
        <x:v>Omitted-variable reasoning gap</x:v>
      </x:c>
      <x:c r="D168" s="13" t="str">
        <x:v>نادیده‌گرفتن متغیرهای مخدوشگر</x:v>
      </x:c>
      <x:c r="E168" s="13" t="str">
        <x:v>Canonical form</x:v>
      </x:c>
      <x:c r="F168" s="13" t="str">
        <x:v>evidence_failures</x:v>
      </x:c>
      <x:c r="G168" s="13" t="str">
        <x:v>canonical</x:v>
      </x:c>
      <x:c r="H168" s="13" t="str">
        <x:v>contextual</x:v>
      </x:c>
      <x:c r="I168" s="13" t="str">
        <x:v>claim+context</x:v>
      </x:c>
      <x:c r="J168" s="13" t="str">
        <x:v>core_named_candidate</x:v>
      </x:c>
      <x:c r="K168" s="13" t="str">
        <x:v>established_parent_needs_row_review</x:v>
      </x:c>
      <x:c r="L168" s="13" t="str">
        <x:v>P1</x:v>
      </x:c>
      <x:c r="M168" s="13" t="str">
        <x:v>review</x:v>
      </x:c>
      <x:c r="N168" s="13" t="str">
        <x:v>Operational subtype under Omitted-variable reasoning gap: evidence is mishandled in a standard recognizable way. Parent definition: Ignoring plausible omitted factors that could explain the observed pattern.</x:v>
      </x:c>
      <x:c r="O168" s="13" t="str">
        <x:v>Look for: explicit claim-level evidence; parent-family cues for Omitted-variable reasoning gap; variant cue: evidence is mishandled in a standard recognizable way; avoid author-level inference.</x:v>
      </x:c>
      <x:c r="P168" s="13" t="str">
        <x:v>Exact evidence span in text plus claim-level reasoning link; for contextual/discourse entries, require surrounding context.</x:v>
      </x:c>
      <x:c r="Q168" s="13" t="str">
        <x:v>Do not label merely because topic is controversial, emotional, or wrong. Do not judge intent or personality. Require textual evidence and consider healthy-reasoning cues.</x:v>
      </x:c>
      <x:c r="R168" s="13" t="str">
        <x:v>Stub: A claim relies on evidence is mishandled in a standard recognizable way to support a conclusion without adequate qualification.</x:v>
      </x:c>
      <x:c r="S168" s="13" t="str">
        <x:v>Stub: A claim discusses omitted-variable reasoning gap with caveats, balanced evidence, or no argumentative use of the pattern.</x:v>
      </x:c>
      <x:c r="T168" s="13" t="str">
        <x:v>Mild or ambiguous cue; do not classify without clear evidence span.</x:v>
      </x:c>
      <x:c r="U168" s="13" t="str">
        <x:v>Clear claim-level pattern with some argumentative impact.</x:v>
      </x:c>
      <x:c r="V168" s="13" t="str">
        <x:v>Strong pattern central to the conclusion and likely to materially distort reasoning.</x:v>
      </x:c>
      <x:c r="W168" s="13" t="str"/>
      <x:c r="X168" s="13" t="str">
        <x:v>sep_informal_logic</x:v>
      </x:c>
      <x:c r="Y168" s="13" t="str">
        <x:v>https://plato.stanford.edu/entries/logic-informal/</x:v>
      </x:c>
      <x:c r="Z168" s="13" t="str">
        <x:v>Review before enabling. This workbook is a living taxonomy scaffold, not a validated scientific benchmark.</x:v>
      </x:c>
      <x:c r="AA168" s="13" t="str">
        <x:v>0.1.0-draft</x:v>
      </x:c>
      <x:c r="AB168" s="12" t="str">
        <x:f>IF(ISNUMBER(SEARCH("healthy",F168)),"healthy_reasoning_patterns",IF(ISNUMBER(SEARCH("statistical",F168)),"statistical_reasoning",IF(ISNUMBER(SEARCH("causal",F168)),"causal_reasoning",IF(ISNUMBER(SEARCH("social",F168)),"social_influence",IF(ISNUMBER(SEARCH("rhetoric",F168)),"rhetoric_discourse",IF(ISNUMBER(SEARCH("behavior",F168)),"behavioural_economics",IF(ISNUMBER(SEARCH("cognitive",F168)),"cognitive_biases",IF(J168="protective_pattern","healthy_reasoning_patterns",IF(L168="P0","core_mvp","extended_fallacies")))))))))</x:f>
        <x:v>extended_fallacies</x:v>
      </x:c>
      <x:c r="AC168" s="12" t="str">
        <x:f>IF(ISNUMBER(SEARCH("operational",J168)),"operational",IF(ISNUMBER(SEARCH("deprecated",J168)),"deprecated",IF(L168="P0","canonical","recognized_subtype")))</x:f>
        <x:v>recognized_subtype</x:v>
      </x:c>
      <x:c r="AD168" s="12" t="str">
        <x:f>IF(AC168="canonical","high",IF(AC168="recognized_subtype","medium",IF(AC168="operational","operational_only","debated")))</x:f>
        <x:v>medium</x:v>
      </x:c>
      <x:c r="AE168" s="12" t="str">
        <x:f>IF(AC168="deprecated","deprecated",IF(M168="yes","active",IF(M168="review","review_required","backlog")))</x:f>
        <x:v>review_required</x:v>
      </x:c>
      <x:c r="AF168" s="12" t="str">
        <x:f>IF(OR(AE168="active",AE168="review_required"),"yes","no")</x:f>
        <x:v>yes</x:v>
      </x:c>
      <x:c r="AG168" s="12" t="str">
        <x:f>IF(AND(AE168="active",M168="yes",NOT(ISNUMBER(SEARCH("healthy",AB168)))),"yes","no")</x:f>
        <x:v>no</x:v>
      </x:c>
      <x:c r="AH168" s="12" t="str">
        <x:f>IF(OR(H168="contextual",H168="dialogue",H168="discourse",I168="claim+context",I168="discourse_segment"),"yes","no")</x:f>
        <x:v>yes</x:v>
      </x:c>
      <x:c r="AI168" s="12" t="str">
        <x:f>IF(OR(AH168="yes",AD168="debated",AC168="operational"),"yes","no")</x:f>
        <x:v>yes</x:v>
      </x:c>
      <x:c r="AJ168" s="12" t="str">
        <x:f>IF(OR(AH168="yes",AC168="operational",AD168="debated"),"high",IF(AND(AG168="yes",L168="P0"),"medium","low"))</x:f>
        <x:v>high</x:v>
      </x:c>
      <x:c r="AK168" s="12" t="str">
        <x:f>IF(ISNUMBER(SEARCH("healthy",AB168)),"yes","no")</x:f>
        <x:v>no</x:v>
      </x:c>
      <x:c r="AL168" s="12" t="str">
        <x:f>IF(AG168="yes","yes","candidate_only")</x:f>
        <x:v>candidate_only</x:v>
      </x:c>
      <x:c r="AM168" s="12" t="str">
        <x:f>IF(OR(AC168="canonical",AG168="yes"),"yes","recommended")</x:f>
        <x:v>recommended</x:v>
      </x:c>
      <x:c r="AN168" s="12" t="str">
        <x:f>IF(AC168="deprecated","exclude",IF(AND(AG168="yes",AJ168="high"),"import_but_human_review_required",IF(AG168="yes","import_as_active","import_as_backlog")))</x:f>
        <x:v>import_as_backlog</x:v>
      </x:c>
      <x:c r="AO168" s="12" t="str">
        <x:f>IF(AND(AG168="yes",OR(P168="",Q168="",R168="",S168="")),"missing_required_mvp_fields",IF(AND(AC168="canonical",Y168=""),"missing_source_ref","ok"))</x:f>
        <x:v>ok</x:v>
      </x:c>
      <x:c r="AP168" s="12" t="str">
        <x:f>IF(AO168="ok","ready_for_codex_import","needs_review")</x:f>
        <x:v>ready_for_codex_import</x:v>
      </x:c>
      <x:c r="AQ168" s="12"/>
      <x:c r="AR168" s="12" t="str">
        <x:v>Added v2 operational fields. Review before classification activation.</x:v>
      </x:c>
    </x:row>
    <x:row r="169">
      <x:c r="A169" s="13" t="str">
        <x:v>confounding_ignored_canonical</x:v>
      </x:c>
      <x:c r="B169" s="13" t="str">
        <x:v>confounding_ignored</x:v>
      </x:c>
      <x:c r="C169" s="13" t="str">
        <x:v>Ignored confounding</x:v>
      </x:c>
      <x:c r="D169" s="13" t="str">
        <x:v>نادیده‌گرفتن مخدوشگر</x:v>
      </x:c>
      <x:c r="E169" s="13" t="str">
        <x:v>Canonical form</x:v>
      </x:c>
      <x:c r="F169" s="13" t="str">
        <x:v>evidence_failures</x:v>
      </x:c>
      <x:c r="G169" s="13" t="str">
        <x:v>canonical</x:v>
      </x:c>
      <x:c r="H169" s="13" t="str">
        <x:v>contextual</x:v>
      </x:c>
      <x:c r="I169" s="13" t="str">
        <x:v>claim+context</x:v>
      </x:c>
      <x:c r="J169" s="13" t="str">
        <x:v>core_named_candidate</x:v>
      </x:c>
      <x:c r="K169" s="13" t="str">
        <x:v>established_parent_needs_row_review</x:v>
      </x:c>
      <x:c r="L169" s="13" t="str">
        <x:v>P1</x:v>
      </x:c>
      <x:c r="M169" s="13" t="str">
        <x:v>review</x:v>
      </x:c>
      <x:c r="N169" s="13" t="str">
        <x:v>Operational subtype under Ignored confounding: evidence is mishandled in a standard recognizable way. Parent definition: Treating an association as direct while ignoring confounding factors.</x:v>
      </x:c>
      <x:c r="O169" s="13" t="str">
        <x:v>Look for: explicit claim-level evidence; parent-family cues for Ignored confounding; variant cue: evidence is mishandled in a standard recognizable way; avoid author-level inference.</x:v>
      </x:c>
      <x:c r="P169" s="13" t="str">
        <x:v>Exact evidence span in text plus claim-level reasoning link; for contextual/discourse entries, require surrounding context.</x:v>
      </x:c>
      <x:c r="Q169" s="13" t="str">
        <x:v>Do not label merely because topic is controversial, emotional, or wrong. Do not judge intent or personality. Require textual evidence and consider healthy-reasoning cues.</x:v>
      </x:c>
      <x:c r="R169" s="13" t="str">
        <x:v>Stub: A claim relies on evidence is mishandled in a standard recognizable way to support a conclusion without adequate qualification.</x:v>
      </x:c>
      <x:c r="S169" s="13" t="str">
        <x:v>Stub: A claim discusses ignored confounding with caveats, balanced evidence, or no argumentative use of the pattern.</x:v>
      </x:c>
      <x:c r="T169" s="13" t="str">
        <x:v>Mild or ambiguous cue; do not classify without clear evidence span.</x:v>
      </x:c>
      <x:c r="U169" s="13" t="str">
        <x:v>Clear claim-level pattern with some argumentative impact.</x:v>
      </x:c>
      <x:c r="V169" s="13" t="str">
        <x:v>Strong pattern central to the conclusion and likely to materially distort reasoning.</x:v>
      </x:c>
      <x:c r="W169" s="13" t="str"/>
      <x:c r="X169" s="13" t="str">
        <x:v>sep_informal_logic</x:v>
      </x:c>
      <x:c r="Y169" s="13" t="str">
        <x:v>https://plato.stanford.edu/entries/logic-informal/</x:v>
      </x:c>
      <x:c r="Z169" s="13" t="str">
        <x:v>Review before enabling. This workbook is a living taxonomy scaffold, not a validated scientific benchmark.</x:v>
      </x:c>
      <x:c r="AA169" s="13" t="str">
        <x:v>0.1.0-draft</x:v>
      </x:c>
      <x:c r="AB169" s="12" t="str">
        <x:f>IF(ISNUMBER(SEARCH("healthy",F169)),"healthy_reasoning_patterns",IF(ISNUMBER(SEARCH("statistical",F169)),"statistical_reasoning",IF(ISNUMBER(SEARCH("causal",F169)),"causal_reasoning",IF(ISNUMBER(SEARCH("social",F169)),"social_influence",IF(ISNUMBER(SEARCH("rhetoric",F169)),"rhetoric_discourse",IF(ISNUMBER(SEARCH("behavior",F169)),"behavioural_economics",IF(ISNUMBER(SEARCH("cognitive",F169)),"cognitive_biases",IF(J169="protective_pattern","healthy_reasoning_patterns",IF(L169="P0","core_mvp","extended_fallacies")))))))))</x:f>
        <x:v>extended_fallacies</x:v>
      </x:c>
      <x:c r="AC169" s="12" t="str">
        <x:f>IF(ISNUMBER(SEARCH("operational",J169)),"operational",IF(ISNUMBER(SEARCH("deprecated",J169)),"deprecated",IF(L169="P0","canonical","recognized_subtype")))</x:f>
        <x:v>recognized_subtype</x:v>
      </x:c>
      <x:c r="AD169" s="12" t="str">
        <x:f>IF(AC169="canonical","high",IF(AC169="recognized_subtype","medium",IF(AC169="operational","operational_only","debated")))</x:f>
        <x:v>medium</x:v>
      </x:c>
      <x:c r="AE169" s="12" t="str">
        <x:f>IF(AC169="deprecated","deprecated",IF(M169="yes","active",IF(M169="review","review_required","backlog")))</x:f>
        <x:v>review_required</x:v>
      </x:c>
      <x:c r="AF169" s="12" t="str">
        <x:f>IF(OR(AE169="active",AE169="review_required"),"yes","no")</x:f>
        <x:v>yes</x:v>
      </x:c>
      <x:c r="AG169" s="12" t="str">
        <x:f>IF(AND(AE169="active",M169="yes",NOT(ISNUMBER(SEARCH("healthy",AB169)))),"yes","no")</x:f>
        <x:v>no</x:v>
      </x:c>
      <x:c r="AH169" s="12" t="str">
        <x:f>IF(OR(H169="contextual",H169="dialogue",H169="discourse",I169="claim+context",I169="discourse_segment"),"yes","no")</x:f>
        <x:v>yes</x:v>
      </x:c>
      <x:c r="AI169" s="12" t="str">
        <x:f>IF(OR(AH169="yes",AD169="debated",AC169="operational"),"yes","no")</x:f>
        <x:v>yes</x:v>
      </x:c>
      <x:c r="AJ169" s="12" t="str">
        <x:f>IF(OR(AH169="yes",AC169="operational",AD169="debated"),"high",IF(AND(AG169="yes",L169="P0"),"medium","low"))</x:f>
        <x:v>high</x:v>
      </x:c>
      <x:c r="AK169" s="12" t="str">
        <x:f>IF(ISNUMBER(SEARCH("healthy",AB169)),"yes","no")</x:f>
        <x:v>no</x:v>
      </x:c>
      <x:c r="AL169" s="12" t="str">
        <x:f>IF(AG169="yes","yes","candidate_only")</x:f>
        <x:v>candidate_only</x:v>
      </x:c>
      <x:c r="AM169" s="12" t="str">
        <x:f>IF(OR(AC169="canonical",AG169="yes"),"yes","recommended")</x:f>
        <x:v>recommended</x:v>
      </x:c>
      <x:c r="AN169" s="12" t="str">
        <x:f>IF(AC169="deprecated","exclude",IF(AND(AG169="yes",AJ169="high"),"import_but_human_review_required",IF(AG169="yes","import_as_active","import_as_backlog")))</x:f>
        <x:v>import_as_backlog</x:v>
      </x:c>
      <x:c r="AO169" s="12" t="str">
        <x:f>IF(AND(AG169="yes",OR(P169="",Q169="",R169="",S169="")),"missing_required_mvp_fields",IF(AND(AC169="canonical",Y169=""),"missing_source_ref","ok"))</x:f>
        <x:v>ok</x:v>
      </x:c>
      <x:c r="AP169" s="12" t="str">
        <x:f>IF(AO169="ok","ready_for_codex_import","needs_review")</x:f>
        <x:v>ready_for_codex_import</x:v>
      </x:c>
      <x:c r="AQ169" s="12"/>
      <x:c r="AR169" s="12" t="str">
        <x:v>Added v2 operational fields. Review before classification activation.</x:v>
      </x:c>
    </x:row>
    <x:row r="170">
      <x:c r="A170" s="13" t="str">
        <x:v>noncomparable_groups_canonical</x:v>
      </x:c>
      <x:c r="B170" s="13" t="str">
        <x:v>noncomparable_groups</x:v>
      </x:c>
      <x:c r="C170" s="13" t="str">
        <x:v>Non-comparable groups</x:v>
      </x:c>
      <x:c r="D170" s="13" t="str">
        <x:v>گروه‌های غیرقابل‌مقایسه</x:v>
      </x:c>
      <x:c r="E170" s="13" t="str">
        <x:v>Canonical form</x:v>
      </x:c>
      <x:c r="F170" s="13" t="str">
        <x:v>evidence_failures</x:v>
      </x:c>
      <x:c r="G170" s="13" t="str">
        <x:v>canonical</x:v>
      </x:c>
      <x:c r="H170" s="13" t="str">
        <x:v>contextual</x:v>
      </x:c>
      <x:c r="I170" s="13" t="str">
        <x:v>claim+context</x:v>
      </x:c>
      <x:c r="J170" s="13" t="str">
        <x:v>core_named_candidate</x:v>
      </x:c>
      <x:c r="K170" s="13" t="str">
        <x:v>established_parent_needs_row_review</x:v>
      </x:c>
      <x:c r="L170" s="13" t="str">
        <x:v>P1</x:v>
      </x:c>
      <x:c r="M170" s="13" t="str">
        <x:v>review</x:v>
      </x:c>
      <x:c r="N170" s="13" t="str">
        <x:v>Operational subtype under Non-comparable groups: evidence is mishandled in a standard recognizable way. Parent definition: Comparing groups that differ in ways relevant to the claim.</x:v>
      </x:c>
      <x:c r="O170" s="13" t="str">
        <x:v>Look for: explicit claim-level evidence; parent-family cues for Non-comparable groups; variant cue: evidence is mishandled in a standard recognizable way; avoid author-level inference.</x:v>
      </x:c>
      <x:c r="P170" s="13" t="str">
        <x:v>Exact evidence span in text plus claim-level reasoning link; for contextual/discourse entries, require surrounding context.</x:v>
      </x:c>
      <x:c r="Q170" s="13" t="str">
        <x:v>Do not label merely because topic is controversial, emotional, or wrong. Do not judge intent or personality. Require textual evidence and consider healthy-reasoning cues.</x:v>
      </x:c>
      <x:c r="R170" s="13" t="str">
        <x:v>Stub: A claim relies on evidence is mishandled in a standard recognizable way to support a conclusion without adequate qualification.</x:v>
      </x:c>
      <x:c r="S170" s="13" t="str">
        <x:v>Stub: A claim discusses non-comparable groups with caveats, balanced evidence, or no argumentative use of the pattern.</x:v>
      </x:c>
      <x:c r="T170" s="13" t="str">
        <x:v>Mild or ambiguous cue; do not classify without clear evidence span.</x:v>
      </x:c>
      <x:c r="U170" s="13" t="str">
        <x:v>Clear claim-level pattern with some argumentative impact.</x:v>
      </x:c>
      <x:c r="V170" s="13" t="str">
        <x:v>Strong pattern central to the conclusion and likely to materially distort reasoning.</x:v>
      </x:c>
      <x:c r="W170" s="13" t="str"/>
      <x:c r="X170" s="13" t="str">
        <x:v>toulmin_uses_argument</x:v>
      </x:c>
      <x:c r="Y170" s="13" t="str">
        <x:v>https://doi.org/10.1017/CBO9780511840005</x:v>
      </x:c>
      <x:c r="Z170" s="13" t="str">
        <x:v>Review before enabling. This workbook is a living taxonomy scaffold, not a validated scientific benchmark.</x:v>
      </x:c>
      <x:c r="AA170" s="13" t="str">
        <x:v>0.1.0-draft</x:v>
      </x:c>
      <x:c r="AB170" s="12" t="str">
        <x:f>IF(ISNUMBER(SEARCH("healthy",F170)),"healthy_reasoning_patterns",IF(ISNUMBER(SEARCH("statistical",F170)),"statistical_reasoning",IF(ISNUMBER(SEARCH("causal",F170)),"causal_reasoning",IF(ISNUMBER(SEARCH("social",F170)),"social_influence",IF(ISNUMBER(SEARCH("rhetoric",F170)),"rhetoric_discourse",IF(ISNUMBER(SEARCH("behavior",F170)),"behavioural_economics",IF(ISNUMBER(SEARCH("cognitive",F170)),"cognitive_biases",IF(J170="protective_pattern","healthy_reasoning_patterns",IF(L170="P0","core_mvp","extended_fallacies")))))))))</x:f>
        <x:v>extended_fallacies</x:v>
      </x:c>
      <x:c r="AC170" s="12" t="str">
        <x:f>IF(ISNUMBER(SEARCH("operational",J170)),"operational",IF(ISNUMBER(SEARCH("deprecated",J170)),"deprecated",IF(L170="P0","canonical","recognized_subtype")))</x:f>
        <x:v>recognized_subtype</x:v>
      </x:c>
      <x:c r="AD170" s="12" t="str">
        <x:f>IF(AC170="canonical","high",IF(AC170="recognized_subtype","medium",IF(AC170="operational","operational_only","debated")))</x:f>
        <x:v>medium</x:v>
      </x:c>
      <x:c r="AE170" s="12" t="str">
        <x:f>IF(AC170="deprecated","deprecated",IF(M170="yes","active",IF(M170="review","review_required","backlog")))</x:f>
        <x:v>review_required</x:v>
      </x:c>
      <x:c r="AF170" s="12" t="str">
        <x:f>IF(OR(AE170="active",AE170="review_required"),"yes","no")</x:f>
        <x:v>yes</x:v>
      </x:c>
      <x:c r="AG170" s="12" t="str">
        <x:f>IF(AND(AE170="active",M170="yes",NOT(ISNUMBER(SEARCH("healthy",AB170)))),"yes","no")</x:f>
        <x:v>no</x:v>
      </x:c>
      <x:c r="AH170" s="12" t="str">
        <x:f>IF(OR(H170="contextual",H170="dialogue",H170="discourse",I170="claim+context",I170="discourse_segment"),"yes","no")</x:f>
        <x:v>yes</x:v>
      </x:c>
      <x:c r="AI170" s="12" t="str">
        <x:f>IF(OR(AH170="yes",AD170="debated",AC170="operational"),"yes","no")</x:f>
        <x:v>yes</x:v>
      </x:c>
      <x:c r="AJ170" s="12" t="str">
        <x:f>IF(OR(AH170="yes",AC170="operational",AD170="debated"),"high",IF(AND(AG170="yes",L170="P0"),"medium","low"))</x:f>
        <x:v>high</x:v>
      </x:c>
      <x:c r="AK170" s="12" t="str">
        <x:f>IF(ISNUMBER(SEARCH("healthy",AB170)),"yes","no")</x:f>
        <x:v>no</x:v>
      </x:c>
      <x:c r="AL170" s="12" t="str">
        <x:f>IF(AG170="yes","yes","candidate_only")</x:f>
        <x:v>candidate_only</x:v>
      </x:c>
      <x:c r="AM170" s="12" t="str">
        <x:f>IF(OR(AC170="canonical",AG170="yes"),"yes","recommended")</x:f>
        <x:v>recommended</x:v>
      </x:c>
      <x:c r="AN170" s="12" t="str">
        <x:f>IF(AC170="deprecated","exclude",IF(AND(AG170="yes",AJ170="high"),"import_but_human_review_required",IF(AG170="yes","import_as_active","import_as_backlog")))</x:f>
        <x:v>import_as_backlog</x:v>
      </x:c>
      <x:c r="AO170" s="12" t="str">
        <x:f>IF(AND(AG170="yes",OR(P170="",Q170="",R170="",S170="")),"missing_required_mvp_fields",IF(AND(AC170="canonical",Y170=""),"missing_source_ref","ok"))</x:f>
        <x:v>ok</x:v>
      </x:c>
      <x:c r="AP170" s="12" t="str">
        <x:f>IF(AO170="ok","ready_for_codex_import","needs_review")</x:f>
        <x:v>ready_for_codex_import</x:v>
      </x:c>
      <x:c r="AQ170" s="12"/>
      <x:c r="AR170" s="12" t="str">
        <x:v>Added v2 operational fields. Review before classification activation.</x:v>
      </x:c>
    </x:row>
    <x:row r="171">
      <x:c r="A171" s="13" t="str">
        <x:v>uncontrolled_comparison_canonical</x:v>
      </x:c>
      <x:c r="B171" s="13" t="str">
        <x:v>uncontrolled_comparison</x:v>
      </x:c>
      <x:c r="C171" s="13" t="str">
        <x:v>Uncontrolled comparison</x:v>
      </x:c>
      <x:c r="D171" s="13" t="str">
        <x:v>مقایسه بدون کنترل</x:v>
      </x:c>
      <x:c r="E171" s="13" t="str">
        <x:v>Canonical form</x:v>
      </x:c>
      <x:c r="F171" s="13" t="str">
        <x:v>evidence_failures</x:v>
      </x:c>
      <x:c r="G171" s="13" t="str">
        <x:v>canonical</x:v>
      </x:c>
      <x:c r="H171" s="13" t="str">
        <x:v>contextual</x:v>
      </x:c>
      <x:c r="I171" s="13" t="str">
        <x:v>claim+context</x:v>
      </x:c>
      <x:c r="J171" s="13" t="str">
        <x:v>core_named_candidate</x:v>
      </x:c>
      <x:c r="K171" s="13" t="str">
        <x:v>established_parent_needs_row_review</x:v>
      </x:c>
      <x:c r="L171" s="13" t="str">
        <x:v>P1</x:v>
      </x:c>
      <x:c r="M171" s="13" t="str">
        <x:v>review</x:v>
      </x:c>
      <x:c r="N171" s="13" t="str">
        <x:v>Operational subtype under Uncontrolled comparison: evidence is mishandled in a standard recognizable way. Parent definition: Drawing a strong conclusion from comparisons without controls or caveats.</x:v>
      </x:c>
      <x:c r="O171" s="13" t="str">
        <x:v>Look for: explicit claim-level evidence; parent-family cues for Uncontrolled comparison; variant cue: evidence is mishandled in a standard recognizable way; avoid author-level inference.</x:v>
      </x:c>
      <x:c r="P171" s="13" t="str">
        <x:v>Exact evidence span in text plus claim-level reasoning link; for contextual/discourse entries, require surrounding context.</x:v>
      </x:c>
      <x:c r="Q171" s="13" t="str">
        <x:v>Do not label merely because topic is controversial, emotional, or wrong. Do not judge intent or personality. Require textual evidence and consider healthy-reasoning cues.</x:v>
      </x:c>
      <x:c r="R171" s="13" t="str">
        <x:v>Stub: A claim relies on evidence is mishandled in a standard recognizable way to support a conclusion without adequate qualification.</x:v>
      </x:c>
      <x:c r="S171" s="13" t="str">
        <x:v>Stub: A claim discusses uncontrolled comparison with caveats, balanced evidence, or no argumentative use of the pattern.</x:v>
      </x:c>
      <x:c r="T171" s="13" t="str">
        <x:v>Mild or ambiguous cue; do not classify without clear evidence span.</x:v>
      </x:c>
      <x:c r="U171" s="13" t="str">
        <x:v>Clear claim-level pattern with some argumentative impact.</x:v>
      </x:c>
      <x:c r="V171" s="13" t="str">
        <x:v>Strong pattern central to the conclusion and likely to materially distort reasoning.</x:v>
      </x:c>
      <x:c r="W171" s="13" t="str"/>
      <x:c r="X171" s="13" t="str">
        <x:v>toulmin_uses_argument</x:v>
      </x:c>
      <x:c r="Y171" s="13" t="str">
        <x:v>https://doi.org/10.1017/CBO9780511840005</x:v>
      </x:c>
      <x:c r="Z171" s="13" t="str">
        <x:v>Review before enabling. This workbook is a living taxonomy scaffold, not a validated scientific benchmark.</x:v>
      </x:c>
      <x:c r="AA171" s="13" t="str">
        <x:v>0.1.0-draft</x:v>
      </x:c>
      <x:c r="AB171" s="12" t="str">
        <x:f>IF(ISNUMBER(SEARCH("healthy",F171)),"healthy_reasoning_patterns",IF(ISNUMBER(SEARCH("statistical",F171)),"statistical_reasoning",IF(ISNUMBER(SEARCH("causal",F171)),"causal_reasoning",IF(ISNUMBER(SEARCH("social",F171)),"social_influence",IF(ISNUMBER(SEARCH("rhetoric",F171)),"rhetoric_discourse",IF(ISNUMBER(SEARCH("behavior",F171)),"behavioural_economics",IF(ISNUMBER(SEARCH("cognitive",F171)),"cognitive_biases",IF(J171="protective_pattern","healthy_reasoning_patterns",IF(L171="P0","core_mvp","extended_fallacies")))))))))</x:f>
        <x:v>extended_fallacies</x:v>
      </x:c>
      <x:c r="AC171" s="12" t="str">
        <x:f>IF(ISNUMBER(SEARCH("operational",J171)),"operational",IF(ISNUMBER(SEARCH("deprecated",J171)),"deprecated",IF(L171="P0","canonical","recognized_subtype")))</x:f>
        <x:v>recognized_subtype</x:v>
      </x:c>
      <x:c r="AD171" s="12" t="str">
        <x:f>IF(AC171="canonical","high",IF(AC171="recognized_subtype","medium",IF(AC171="operational","operational_only","debated")))</x:f>
        <x:v>medium</x:v>
      </x:c>
      <x:c r="AE171" s="12" t="str">
        <x:f>IF(AC171="deprecated","deprecated",IF(M171="yes","active",IF(M171="review","review_required","backlog")))</x:f>
        <x:v>review_required</x:v>
      </x:c>
      <x:c r="AF171" s="12" t="str">
        <x:f>IF(OR(AE171="active",AE171="review_required"),"yes","no")</x:f>
        <x:v>yes</x:v>
      </x:c>
      <x:c r="AG171" s="12" t="str">
        <x:f>IF(AND(AE171="active",M171="yes",NOT(ISNUMBER(SEARCH("healthy",AB171)))),"yes","no")</x:f>
        <x:v>no</x:v>
      </x:c>
      <x:c r="AH171" s="12" t="str">
        <x:f>IF(OR(H171="contextual",H171="dialogue",H171="discourse",I171="claim+context",I171="discourse_segment"),"yes","no")</x:f>
        <x:v>yes</x:v>
      </x:c>
      <x:c r="AI171" s="12" t="str">
        <x:f>IF(OR(AH171="yes",AD171="debated",AC171="operational"),"yes","no")</x:f>
        <x:v>yes</x:v>
      </x:c>
      <x:c r="AJ171" s="12" t="str">
        <x:f>IF(OR(AH171="yes",AC171="operational",AD171="debated"),"high",IF(AND(AG171="yes",L171="P0"),"medium","low"))</x:f>
        <x:v>high</x:v>
      </x:c>
      <x:c r="AK171" s="12" t="str">
        <x:f>IF(ISNUMBER(SEARCH("healthy",AB171)),"yes","no")</x:f>
        <x:v>no</x:v>
      </x:c>
      <x:c r="AL171" s="12" t="str">
        <x:f>IF(AG171="yes","yes","candidate_only")</x:f>
        <x:v>candidate_only</x:v>
      </x:c>
      <x:c r="AM171" s="12" t="str">
        <x:f>IF(OR(AC171="canonical",AG171="yes"),"yes","recommended")</x:f>
        <x:v>recommended</x:v>
      </x:c>
      <x:c r="AN171" s="12" t="str">
        <x:f>IF(AC171="deprecated","exclude",IF(AND(AG171="yes",AJ171="high"),"import_but_human_review_required",IF(AG171="yes","import_as_active","import_as_backlog")))</x:f>
        <x:v>import_as_backlog</x:v>
      </x:c>
      <x:c r="AO171" s="12" t="str">
        <x:f>IF(AND(AG171="yes",OR(P171="",Q171="",R171="",S171="")),"missing_required_mvp_fields",IF(AND(AC171="canonical",Y171=""),"missing_source_ref","ok"))</x:f>
        <x:v>ok</x:v>
      </x:c>
      <x:c r="AP171" s="12" t="str">
        <x:f>IF(AO171="ok","ready_for_codex_import","needs_review")</x:f>
        <x:v>ready_for_codex_import</x:v>
      </x:c>
      <x:c r="AQ171" s="12"/>
      <x:c r="AR171" s="12" t="str">
        <x:v>Added v2 operational fields. Review before classification activation.</x:v>
      </x:c>
    </x:row>
    <x:row r="172">
      <x:c r="A172" s="13" t="str">
        <x:v>causality_without_design_canonical</x:v>
      </x:c>
      <x:c r="B172" s="13" t="str">
        <x:v>causality_without_design</x:v>
      </x:c>
      <x:c r="C172" s="13" t="str">
        <x:v>Causal claim without causal design</x:v>
      </x:c>
      <x:c r="D172" s="13" t="str">
        <x:v>ادعای علی بدون طراحی علی</x:v>
      </x:c>
      <x:c r="E172" s="13" t="str">
        <x:v>Canonical form</x:v>
      </x:c>
      <x:c r="F172" s="13" t="str">
        <x:v>evidence_failures</x:v>
      </x:c>
      <x:c r="G172" s="13" t="str">
        <x:v>canonical</x:v>
      </x:c>
      <x:c r="H172" s="13" t="str">
        <x:v>contextual</x:v>
      </x:c>
      <x:c r="I172" s="13" t="str">
        <x:v>claim+context</x:v>
      </x:c>
      <x:c r="J172" s="13" t="str">
        <x:v>core_named_candidate</x:v>
      </x:c>
      <x:c r="K172" s="13" t="str">
        <x:v>established_parent_needs_row_review</x:v>
      </x:c>
      <x:c r="L172" s="13" t="str">
        <x:v>P1</x:v>
      </x:c>
      <x:c r="M172" s="13" t="str">
        <x:v>review</x:v>
      </x:c>
      <x:c r="N172" s="13" t="str">
        <x:v>Operational subtype under Causal claim without causal design: evidence is mishandled in a standard recognizable way. Parent definition: Making causal claims without design or evidence suited to causal inference.</x:v>
      </x:c>
      <x:c r="O172" s="13" t="str">
        <x:v>Look for: explicit claim-level evidence; parent-family cues for Causal claim without causal design; variant cue: evidence is mishandled in a standard recognizable way; avoid author-level inference.</x:v>
      </x:c>
      <x:c r="P172" s="13" t="str">
        <x:v>Exact evidence span in text plus claim-level reasoning link; for contextual/discourse entries, require surrounding context.</x:v>
      </x:c>
      <x:c r="Q172" s="13" t="str">
        <x:v>Do not label merely because topic is controversial, emotional, or wrong. Do not judge intent or personality. Require textual evidence and consider healthy-reasoning cues.</x:v>
      </x:c>
      <x:c r="R172" s="13" t="str">
        <x:v>Stub: A claim relies on evidence is mishandled in a standard recognizable way to support a conclusion without adequate qualification.</x:v>
      </x:c>
      <x:c r="S172" s="13" t="str">
        <x:v>Stub: A claim discusses causal claim without causal design with caveats, balanced evidence, or no argumentative use of the pattern.</x:v>
      </x:c>
      <x:c r="T172" s="13" t="str">
        <x:v>Mild or ambiguous cue; do not classify without clear evidence span.</x:v>
      </x:c>
      <x:c r="U172" s="13" t="str">
        <x:v>Clear claim-level pattern with some argumentative impact.</x:v>
      </x:c>
      <x:c r="V172" s="13" t="str">
        <x:v>Strong pattern central to the conclusion and likely to materially distort reasoning.</x:v>
      </x:c>
      <x:c r="W172" s="13" t="str">
        <x:v>post_hoc; cum_hoc; alternative_explanation_neglect</x:v>
      </x:c>
      <x:c r="X172" s="13" t="str">
        <x:v>toulmin_uses_argument</x:v>
      </x:c>
      <x:c r="Y172" s="13" t="str">
        <x:v>https://doi.org/10.1017/CBO9780511840005</x:v>
      </x:c>
      <x:c r="Z172" s="13" t="str">
        <x:v>Review before enabling. This workbook is a living taxonomy scaffold, not a validated scientific benchmark.</x:v>
      </x:c>
      <x:c r="AA172" s="13" t="str">
        <x:v>0.1.0-draft</x:v>
      </x:c>
      <x:c r="AB172" s="12" t="str">
        <x:f>IF(ISNUMBER(SEARCH("healthy",F172)),"healthy_reasoning_patterns",IF(ISNUMBER(SEARCH("statistical",F172)),"statistical_reasoning",IF(ISNUMBER(SEARCH("causal",F172)),"causal_reasoning",IF(ISNUMBER(SEARCH("social",F172)),"social_influence",IF(ISNUMBER(SEARCH("rhetoric",F172)),"rhetoric_discourse",IF(ISNUMBER(SEARCH("behavior",F172)),"behavioural_economics",IF(ISNUMBER(SEARCH("cognitive",F172)),"cognitive_biases",IF(J172="protective_pattern","healthy_reasoning_patterns",IF(L172="P0","core_mvp","extended_fallacies")))))))))</x:f>
        <x:v>extended_fallacies</x:v>
      </x:c>
      <x:c r="AC172" s="12" t="str">
        <x:f>IF(ISNUMBER(SEARCH("operational",J172)),"operational",IF(ISNUMBER(SEARCH("deprecated",J172)),"deprecated",IF(L172="P0","canonical","recognized_subtype")))</x:f>
        <x:v>recognized_subtype</x:v>
      </x:c>
      <x:c r="AD172" s="12" t="str">
        <x:f>IF(AC172="canonical","high",IF(AC172="recognized_subtype","medium",IF(AC172="operational","operational_only","debated")))</x:f>
        <x:v>medium</x:v>
      </x:c>
      <x:c r="AE172" s="12" t="str">
        <x:f>IF(AC172="deprecated","deprecated",IF(M172="yes","active",IF(M172="review","review_required","backlog")))</x:f>
        <x:v>review_required</x:v>
      </x:c>
      <x:c r="AF172" s="12" t="str">
        <x:f>IF(OR(AE172="active",AE172="review_required"),"yes","no")</x:f>
        <x:v>yes</x:v>
      </x:c>
      <x:c r="AG172" s="12" t="str">
        <x:f>IF(AND(AE172="active",M172="yes",NOT(ISNUMBER(SEARCH("healthy",AB172)))),"yes","no")</x:f>
        <x:v>no</x:v>
      </x:c>
      <x:c r="AH172" s="12" t="str">
        <x:f>IF(OR(H172="contextual",H172="dialogue",H172="discourse",I172="claim+context",I172="discourse_segment"),"yes","no")</x:f>
        <x:v>yes</x:v>
      </x:c>
      <x:c r="AI172" s="12" t="str">
        <x:f>IF(OR(AH172="yes",AD172="debated",AC172="operational"),"yes","no")</x:f>
        <x:v>yes</x:v>
      </x:c>
      <x:c r="AJ172" s="12" t="str">
        <x:f>IF(OR(AH172="yes",AC172="operational",AD172="debated"),"high",IF(AND(AG172="yes",L172="P0"),"medium","low"))</x:f>
        <x:v>high</x:v>
      </x:c>
      <x:c r="AK172" s="12" t="str">
        <x:f>IF(ISNUMBER(SEARCH("healthy",AB172)),"yes","no")</x:f>
        <x:v>no</x:v>
      </x:c>
      <x:c r="AL172" s="12" t="str">
        <x:f>IF(AG172="yes","yes","candidate_only")</x:f>
        <x:v>candidate_only</x:v>
      </x:c>
      <x:c r="AM172" s="12" t="str">
        <x:f>IF(OR(AC172="canonical",AG172="yes"),"yes","recommended")</x:f>
        <x:v>recommended</x:v>
      </x:c>
      <x:c r="AN172" s="12" t="str">
        <x:f>IF(AC172="deprecated","exclude",IF(AND(AG172="yes",AJ172="high"),"import_but_human_review_required",IF(AG172="yes","import_as_active","import_as_backlog")))</x:f>
        <x:v>import_as_backlog</x:v>
      </x:c>
      <x:c r="AO172" s="12" t="str">
        <x:f>IF(AND(AG172="yes",OR(P172="",Q172="",R172="",S172="")),"missing_required_mvp_fields",IF(AND(AC172="canonical",Y172=""),"missing_source_ref","ok"))</x:f>
        <x:v>ok</x:v>
      </x:c>
      <x:c r="AP172" s="12" t="str">
        <x:f>IF(AO172="ok","ready_for_codex_import","needs_review")</x:f>
        <x:v>ready_for_codex_import</x:v>
      </x:c>
      <x:c r="AQ172" s="12"/>
      <x:c r="AR172" s="12" t="str">
        <x:v>Added v2 operational fields. Review before classification activation.</x:v>
      </x:c>
    </x:row>
    <x:row r="173">
      <x:c r="A173" s="13" t="str">
        <x:v>temporal_misalignment_canonical</x:v>
      </x:c>
      <x:c r="B173" s="13" t="str">
        <x:v>temporal_misalignment</x:v>
      </x:c>
      <x:c r="C173" s="13" t="str">
        <x:v>Temporal misalignment</x:v>
      </x:c>
      <x:c r="D173" s="13" t="str">
        <x:v>ناهماهنگی زمانی داده و ادعا</x:v>
      </x:c>
      <x:c r="E173" s="13" t="str">
        <x:v>Canonical form</x:v>
      </x:c>
      <x:c r="F173" s="13" t="str">
        <x:v>evidence_failures</x:v>
      </x:c>
      <x:c r="G173" s="13" t="str">
        <x:v>canonical</x:v>
      </x:c>
      <x:c r="H173" s="13" t="str">
        <x:v>contextual</x:v>
      </x:c>
      <x:c r="I173" s="13" t="str">
        <x:v>claim+context</x:v>
      </x:c>
      <x:c r="J173" s="13" t="str">
        <x:v>core_named_candidate</x:v>
      </x:c>
      <x:c r="K173" s="13" t="str">
        <x:v>established_parent_needs_row_review</x:v>
      </x:c>
      <x:c r="L173" s="13" t="str">
        <x:v>P1</x:v>
      </x:c>
      <x:c r="M173" s="13" t="str">
        <x:v>review</x:v>
      </x:c>
      <x:c r="N173" s="13" t="str">
        <x:v>Operational subtype under Temporal misalignment: evidence is mishandled in a standard recognizable way. Parent definition: Using evidence from a time frame that does not match the claim.</x:v>
      </x:c>
      <x:c r="O173" s="13" t="str">
        <x:v>Look for: explicit claim-level evidence; parent-family cues for Temporal misalignment; variant cue: evidence is mishandled in a standard recognizable way; avoid author-level inference.</x:v>
      </x:c>
      <x:c r="P173" s="13" t="str">
        <x:v>Exact evidence span in text plus claim-level reasoning link; for contextual/discourse entries, require surrounding context.</x:v>
      </x:c>
      <x:c r="Q173" s="13" t="str">
        <x:v>Do not label merely because topic is controversial, emotional, or wrong. Do not judge intent or personality. Require textual evidence and consider healthy-reasoning cues.</x:v>
      </x:c>
      <x:c r="R173" s="13" t="str">
        <x:v>Stub: A claim relies on evidence is mishandled in a standard recognizable way to support a conclusion without adequate qualification.</x:v>
      </x:c>
      <x:c r="S173" s="13" t="str">
        <x:v>Stub: A claim discusses temporal misalignment with caveats, balanced evidence, or no argumentative use of the pattern.</x:v>
      </x:c>
      <x:c r="T173" s="13" t="str">
        <x:v>Mild or ambiguous cue; do not classify without clear evidence span.</x:v>
      </x:c>
      <x:c r="U173" s="13" t="str">
        <x:v>Clear claim-level pattern with some argumentative impact.</x:v>
      </x:c>
      <x:c r="V173" s="13" t="str">
        <x:v>Strong pattern central to the conclusion and likely to materially distort reasoning.</x:v>
      </x:c>
      <x:c r="W173" s="13" t="str">
        <x:v>cherry_picking; missing_counterevidence; evidence_grading</x:v>
      </x:c>
      <x:c r="X173" s="13" t="str">
        <x:v>toulmin_uses_argument</x:v>
      </x:c>
      <x:c r="Y173" s="13" t="str">
        <x:v>https://doi.org/10.1017/CBO9780511840005</x:v>
      </x:c>
      <x:c r="Z173" s="13" t="str">
        <x:v>Review before enabling. This workbook is a living taxonomy scaffold, not a validated scientific benchmark.</x:v>
      </x:c>
      <x:c r="AA173" s="13" t="str">
        <x:v>0.1.0-draft</x:v>
      </x:c>
      <x:c r="AB173" s="12" t="str">
        <x:f>IF(ISNUMBER(SEARCH("healthy",F173)),"healthy_reasoning_patterns",IF(ISNUMBER(SEARCH("statistical",F173)),"statistical_reasoning",IF(ISNUMBER(SEARCH("causal",F173)),"causal_reasoning",IF(ISNUMBER(SEARCH("social",F173)),"social_influence",IF(ISNUMBER(SEARCH("rhetoric",F173)),"rhetoric_discourse",IF(ISNUMBER(SEARCH("behavior",F173)),"behavioural_economics",IF(ISNUMBER(SEARCH("cognitive",F173)),"cognitive_biases",IF(J173="protective_pattern","healthy_reasoning_patterns",IF(L173="P0","core_mvp","extended_fallacies")))))))))</x:f>
        <x:v>extended_fallacies</x:v>
      </x:c>
      <x:c r="AC173" s="12" t="str">
        <x:f>IF(ISNUMBER(SEARCH("operational",J173)),"operational",IF(ISNUMBER(SEARCH("deprecated",J173)),"deprecated",IF(L173="P0","canonical","recognized_subtype")))</x:f>
        <x:v>recognized_subtype</x:v>
      </x:c>
      <x:c r="AD173" s="12" t="str">
        <x:f>IF(AC173="canonical","high",IF(AC173="recognized_subtype","medium",IF(AC173="operational","operational_only","debated")))</x:f>
        <x:v>medium</x:v>
      </x:c>
      <x:c r="AE173" s="12" t="str">
        <x:f>IF(AC173="deprecated","deprecated",IF(M173="yes","active",IF(M173="review","review_required","backlog")))</x:f>
        <x:v>review_required</x:v>
      </x:c>
      <x:c r="AF173" s="12" t="str">
        <x:f>IF(OR(AE173="active",AE173="review_required"),"yes","no")</x:f>
        <x:v>yes</x:v>
      </x:c>
      <x:c r="AG173" s="12" t="str">
        <x:f>IF(AND(AE173="active",M173="yes",NOT(ISNUMBER(SEARCH("healthy",AB173)))),"yes","no")</x:f>
        <x:v>no</x:v>
      </x:c>
      <x:c r="AH173" s="12" t="str">
        <x:f>IF(OR(H173="contextual",H173="dialogue",H173="discourse",I173="claim+context",I173="discourse_segment"),"yes","no")</x:f>
        <x:v>yes</x:v>
      </x:c>
      <x:c r="AI173" s="12" t="str">
        <x:f>IF(OR(AH173="yes",AD173="debated",AC173="operational"),"yes","no")</x:f>
        <x:v>yes</x:v>
      </x:c>
      <x:c r="AJ173" s="12" t="str">
        <x:f>IF(OR(AH173="yes",AC173="operational",AD173="debated"),"high",IF(AND(AG173="yes",L173="P0"),"medium","low"))</x:f>
        <x:v>high</x:v>
      </x:c>
      <x:c r="AK173" s="12" t="str">
        <x:f>IF(ISNUMBER(SEARCH("healthy",AB173)),"yes","no")</x:f>
        <x:v>no</x:v>
      </x:c>
      <x:c r="AL173" s="12" t="str">
        <x:f>IF(AG173="yes","yes","candidate_only")</x:f>
        <x:v>candidate_only</x:v>
      </x:c>
      <x:c r="AM173" s="12" t="str">
        <x:f>IF(OR(AC173="canonical",AG173="yes"),"yes","recommended")</x:f>
        <x:v>recommended</x:v>
      </x:c>
      <x:c r="AN173" s="12" t="str">
        <x:f>IF(AC173="deprecated","exclude",IF(AND(AG173="yes",AJ173="high"),"import_but_human_review_required",IF(AG173="yes","import_as_active","import_as_backlog")))</x:f>
        <x:v>import_as_backlog</x:v>
      </x:c>
      <x:c r="AO173" s="12" t="str">
        <x:f>IF(AND(AG173="yes",OR(P173="",Q173="",R173="",S173="")),"missing_required_mvp_fields",IF(AND(AC173="canonical",Y173=""),"missing_source_ref","ok"))</x:f>
        <x:v>ok</x:v>
      </x:c>
      <x:c r="AP173" s="12" t="str">
        <x:f>IF(AO173="ok","ready_for_codex_import","needs_review")</x:f>
        <x:v>ready_for_codex_import</x:v>
      </x:c>
      <x:c r="AQ173" s="12"/>
      <x:c r="AR173" s="12" t="str">
        <x:v>Added v2 operational fields. Review before classification activation.</x:v>
      </x:c>
    </x:row>
    <x:row r="174">
      <x:c r="A174" s="13" t="str">
        <x:v>data_dredging_canonical</x:v>
      </x:c>
      <x:c r="B174" s="13" t="str">
        <x:v>data_dredging</x:v>
      </x:c>
      <x:c r="C174" s="13" t="str">
        <x:v>Data dredging</x:v>
      </x:c>
      <x:c r="D174" s="13" t="str">
        <x:v>داده‌کاوی بی‌قاعده</x:v>
      </x:c>
      <x:c r="E174" s="13" t="str">
        <x:v>Canonical form</x:v>
      </x:c>
      <x:c r="F174" s="13" t="str">
        <x:v>evidence_failures</x:v>
      </x:c>
      <x:c r="G174" s="13" t="str">
        <x:v>canonical</x:v>
      </x:c>
      <x:c r="H174" s="13" t="str">
        <x:v>contextual</x:v>
      </x:c>
      <x:c r="I174" s="13" t="str">
        <x:v>claim+context</x:v>
      </x:c>
      <x:c r="J174" s="13" t="str">
        <x:v>core_named_candidate</x:v>
      </x:c>
      <x:c r="K174" s="13" t="str">
        <x:v>established_parent_needs_row_review</x:v>
      </x:c>
      <x:c r="L174" s="13" t="str">
        <x:v>P1</x:v>
      </x:c>
      <x:c r="M174" s="13" t="str">
        <x:v>review</x:v>
      </x:c>
      <x:c r="N174" s="13" t="str">
        <x:v>Operational subtype under Data dredging: evidence is mishandled in a standard recognizable way. Parent definition: Searching many patterns and presenting selected ones as planned evidence.</x:v>
      </x:c>
      <x:c r="O174" s="13" t="str">
        <x:v>Look for: explicit claim-level evidence; parent-family cues for Data dredging; variant cue: evidence is mishandled in a standard recognizable way; avoid author-level inference.</x:v>
      </x:c>
      <x:c r="P174" s="13" t="str">
        <x:v>Exact evidence span in text plus claim-level reasoning link; for contextual/discourse entries, require surrounding context.</x:v>
      </x:c>
      <x:c r="Q174" s="13" t="str">
        <x:v>Do not label merely because topic is controversial, emotional, or wrong. Do not judge intent or personality. Require textual evidence and consider healthy-reasoning cues.</x:v>
      </x:c>
      <x:c r="R174" s="13" t="str">
        <x:v>Stub: A claim relies on evidence is mishandled in a standard recognizable way to support a conclusion without adequate qualification.</x:v>
      </x:c>
      <x:c r="S174" s="13" t="str">
        <x:v>Stub: A claim discusses data dredging with caveats, balanced evidence, or no argumentative use of the pattern.</x:v>
      </x:c>
      <x:c r="T174" s="13" t="str">
        <x:v>Mild or ambiguous cue; do not classify without clear evidence span.</x:v>
      </x:c>
      <x:c r="U174" s="13" t="str">
        <x:v>Clear claim-level pattern with some argumentative impact.</x:v>
      </x:c>
      <x:c r="V174" s="13" t="str">
        <x:v>Strong pattern central to the conclusion and likely to materially distort reasoning.</x:v>
      </x:c>
      <x:c r="W174" s="13" t="str">
        <x:v>cherry_picking; missing_counterevidence; evidence_grading</x:v>
      </x:c>
      <x:c r="X174" s="13" t="str">
        <x:v>stanovich_dual_process</x:v>
      </x:c>
      <x:c r="Y174" s="13" t="str">
        <x:v>https://global.oup.com/academic/product/rationality-and-the-reflective-mind-9780195341140</x:v>
      </x:c>
      <x:c r="Z174" s="13" t="str">
        <x:v>Review before enabling. This workbook is a living taxonomy scaffold, not a validated scientific benchmark.</x:v>
      </x:c>
      <x:c r="AA174" s="13" t="str">
        <x:v>0.1.0-draft</x:v>
      </x:c>
      <x:c r="AB174" s="12" t="str">
        <x:f>IF(ISNUMBER(SEARCH("healthy",F174)),"healthy_reasoning_patterns",IF(ISNUMBER(SEARCH("statistical",F174)),"statistical_reasoning",IF(ISNUMBER(SEARCH("causal",F174)),"causal_reasoning",IF(ISNUMBER(SEARCH("social",F174)),"social_influence",IF(ISNUMBER(SEARCH("rhetoric",F174)),"rhetoric_discourse",IF(ISNUMBER(SEARCH("behavior",F174)),"behavioural_economics",IF(ISNUMBER(SEARCH("cognitive",F174)),"cognitive_biases",IF(J174="protective_pattern","healthy_reasoning_patterns",IF(L174="P0","core_mvp","extended_fallacies")))))))))</x:f>
        <x:v>extended_fallacies</x:v>
      </x:c>
      <x:c r="AC174" s="12" t="str">
        <x:f>IF(ISNUMBER(SEARCH("operational",J174)),"operational",IF(ISNUMBER(SEARCH("deprecated",J174)),"deprecated",IF(L174="P0","canonical","recognized_subtype")))</x:f>
        <x:v>recognized_subtype</x:v>
      </x:c>
      <x:c r="AD174" s="12" t="str">
        <x:f>IF(AC174="canonical","high",IF(AC174="recognized_subtype","medium",IF(AC174="operational","operational_only","debated")))</x:f>
        <x:v>medium</x:v>
      </x:c>
      <x:c r="AE174" s="12" t="str">
        <x:f>IF(AC174="deprecated","deprecated",IF(M174="yes","active",IF(M174="review","review_required","backlog")))</x:f>
        <x:v>review_required</x:v>
      </x:c>
      <x:c r="AF174" s="12" t="str">
        <x:f>IF(OR(AE174="active",AE174="review_required"),"yes","no")</x:f>
        <x:v>yes</x:v>
      </x:c>
      <x:c r="AG174" s="12" t="str">
        <x:f>IF(AND(AE174="active",M174="yes",NOT(ISNUMBER(SEARCH("healthy",AB174)))),"yes","no")</x:f>
        <x:v>no</x:v>
      </x:c>
      <x:c r="AH174" s="12" t="str">
        <x:f>IF(OR(H174="contextual",H174="dialogue",H174="discourse",I174="claim+context",I174="discourse_segment"),"yes","no")</x:f>
        <x:v>yes</x:v>
      </x:c>
      <x:c r="AI174" s="12" t="str">
        <x:f>IF(OR(AH174="yes",AD174="debated",AC174="operational"),"yes","no")</x:f>
        <x:v>yes</x:v>
      </x:c>
      <x:c r="AJ174" s="12" t="str">
        <x:f>IF(OR(AH174="yes",AC174="operational",AD174="debated"),"high",IF(AND(AG174="yes",L174="P0"),"medium","low"))</x:f>
        <x:v>high</x:v>
      </x:c>
      <x:c r="AK174" s="12" t="str">
        <x:f>IF(ISNUMBER(SEARCH("healthy",AB174)),"yes","no")</x:f>
        <x:v>no</x:v>
      </x:c>
      <x:c r="AL174" s="12" t="str">
        <x:f>IF(AG174="yes","yes","candidate_only")</x:f>
        <x:v>candidate_only</x:v>
      </x:c>
      <x:c r="AM174" s="12" t="str">
        <x:f>IF(OR(AC174="canonical",AG174="yes"),"yes","recommended")</x:f>
        <x:v>recommended</x:v>
      </x:c>
      <x:c r="AN174" s="12" t="str">
        <x:f>IF(AC174="deprecated","exclude",IF(AND(AG174="yes",AJ174="high"),"import_but_human_review_required",IF(AG174="yes","import_as_active","import_as_backlog")))</x:f>
        <x:v>import_as_backlog</x:v>
      </x:c>
      <x:c r="AO174" s="12" t="str">
        <x:f>IF(AND(AG174="yes",OR(P174="",Q174="",R174="",S174="")),"missing_required_mvp_fields",IF(AND(AC174="canonical",Y174=""),"missing_source_ref","ok"))</x:f>
        <x:v>ok</x:v>
      </x:c>
      <x:c r="AP174" s="12" t="str">
        <x:f>IF(AO174="ok","ready_for_codex_import","needs_review")</x:f>
        <x:v>ready_for_codex_import</x:v>
      </x:c>
      <x:c r="AQ174" s="12"/>
      <x:c r="AR174" s="12" t="str">
        <x:v>Added v2 operational fields. Review before classification activation.</x:v>
      </x:c>
    </x:row>
    <x:row r="175">
      <x:c r="A175" s="13" t="str">
        <x:v>multiple_comparisons_ignored_canonical</x:v>
      </x:c>
      <x:c r="B175" s="13" t="str">
        <x:v>multiple_comparisons_ignored</x:v>
      </x:c>
      <x:c r="C175" s="13" t="str">
        <x:v>Multiple comparisons ignored</x:v>
      </x:c>
      <x:c r="D175" s="13" t="str">
        <x:v>نادیده‌گرفتن مقایسه‌های متعدد</x:v>
      </x:c>
      <x:c r="E175" s="13" t="str">
        <x:v>Canonical form</x:v>
      </x:c>
      <x:c r="F175" s="13" t="str">
        <x:v>evidence_failures</x:v>
      </x:c>
      <x:c r="G175" s="13" t="str">
        <x:v>canonical</x:v>
      </x:c>
      <x:c r="H175" s="13" t="str">
        <x:v>contextual</x:v>
      </x:c>
      <x:c r="I175" s="13" t="str">
        <x:v>claim+context</x:v>
      </x:c>
      <x:c r="J175" s="13" t="str">
        <x:v>core_named_candidate</x:v>
      </x:c>
      <x:c r="K175" s="13" t="str">
        <x:v>established_parent_needs_row_review</x:v>
      </x:c>
      <x:c r="L175" s="13" t="str">
        <x:v>P1</x:v>
      </x:c>
      <x:c r="M175" s="13" t="str">
        <x:v>review</x:v>
      </x:c>
      <x:c r="N175" s="13" t="str">
        <x:v>Operational subtype under Multiple comparisons ignored: evidence is mishandled in a standard recognizable way. Parent definition: Drawing a conclusion from many tested comparisons without adjustment or caveat.</x:v>
      </x:c>
      <x:c r="O175" s="13" t="str">
        <x:v>Look for: explicit claim-level evidence; parent-family cues for Multiple comparisons ignored; variant cue: evidence is mishandled in a standard recognizable way; avoid author-level inference.</x:v>
      </x:c>
      <x:c r="P175" s="13" t="str">
        <x:v>Exact evidence span in text plus claim-level reasoning link; for contextual/discourse entries, require surrounding context.</x:v>
      </x:c>
      <x:c r="Q175" s="13" t="str">
        <x:v>Do not label merely because topic is controversial, emotional, or wrong. Do not judge intent or personality. Require textual evidence and consider healthy-reasoning cues.</x:v>
      </x:c>
      <x:c r="R175" s="13" t="str">
        <x:v>Stub: A claim relies on evidence is mishandled in a standard recognizable way to support a conclusion without adequate qualification.</x:v>
      </x:c>
      <x:c r="S175" s="13" t="str">
        <x:v>Stub: A claim discusses multiple comparisons ignored with caveats, balanced evidence, or no argumentative use of the pattern.</x:v>
      </x:c>
      <x:c r="T175" s="13" t="str">
        <x:v>Mild or ambiguous cue; do not classify without clear evidence span.</x:v>
      </x:c>
      <x:c r="U175" s="13" t="str">
        <x:v>Clear claim-level pattern with some argumentative impact.</x:v>
      </x:c>
      <x:c r="V175" s="13" t="str">
        <x:v>Strong pattern central to the conclusion and likely to materially distort reasoning.</x:v>
      </x:c>
      <x:c r="W175" s="13" t="str"/>
      <x:c r="X175" s="13" t="str">
        <x:v>stanovich_dual_process</x:v>
      </x:c>
      <x:c r="Y175" s="13" t="str">
        <x:v>https://global.oup.com/academic/product/rationality-and-the-reflective-mind-9780195341140</x:v>
      </x:c>
      <x:c r="Z175" s="13" t="str">
        <x:v>Review before enabling. This workbook is a living taxonomy scaffold, not a validated scientific benchmark.</x:v>
      </x:c>
      <x:c r="AA175" s="13" t="str">
        <x:v>0.1.0-draft</x:v>
      </x:c>
      <x:c r="AB175" s="12" t="str">
        <x:f>IF(ISNUMBER(SEARCH("healthy",F175)),"healthy_reasoning_patterns",IF(ISNUMBER(SEARCH("statistical",F175)),"statistical_reasoning",IF(ISNUMBER(SEARCH("causal",F175)),"causal_reasoning",IF(ISNUMBER(SEARCH("social",F175)),"social_influence",IF(ISNUMBER(SEARCH("rhetoric",F175)),"rhetoric_discourse",IF(ISNUMBER(SEARCH("behavior",F175)),"behavioural_economics",IF(ISNUMBER(SEARCH("cognitive",F175)),"cognitive_biases",IF(J175="protective_pattern","healthy_reasoning_patterns",IF(L175="P0","core_mvp","extended_fallacies")))))))))</x:f>
        <x:v>extended_fallacies</x:v>
      </x:c>
      <x:c r="AC175" s="12" t="str">
        <x:f>IF(ISNUMBER(SEARCH("operational",J175)),"operational",IF(ISNUMBER(SEARCH("deprecated",J175)),"deprecated",IF(L175="P0","canonical","recognized_subtype")))</x:f>
        <x:v>recognized_subtype</x:v>
      </x:c>
      <x:c r="AD175" s="12" t="str">
        <x:f>IF(AC175="canonical","high",IF(AC175="recognized_subtype","medium",IF(AC175="operational","operational_only","debated")))</x:f>
        <x:v>medium</x:v>
      </x:c>
      <x:c r="AE175" s="12" t="str">
        <x:f>IF(AC175="deprecated","deprecated",IF(M175="yes","active",IF(M175="review","review_required","backlog")))</x:f>
        <x:v>review_required</x:v>
      </x:c>
      <x:c r="AF175" s="12" t="str">
        <x:f>IF(OR(AE175="active",AE175="review_required"),"yes","no")</x:f>
        <x:v>yes</x:v>
      </x:c>
      <x:c r="AG175" s="12" t="str">
        <x:f>IF(AND(AE175="active",M175="yes",NOT(ISNUMBER(SEARCH("healthy",AB175)))),"yes","no")</x:f>
        <x:v>no</x:v>
      </x:c>
      <x:c r="AH175" s="12" t="str">
        <x:f>IF(OR(H175="contextual",H175="dialogue",H175="discourse",I175="claim+context",I175="discourse_segment"),"yes","no")</x:f>
        <x:v>yes</x:v>
      </x:c>
      <x:c r="AI175" s="12" t="str">
        <x:f>IF(OR(AH175="yes",AD175="debated",AC175="operational"),"yes","no")</x:f>
        <x:v>yes</x:v>
      </x:c>
      <x:c r="AJ175" s="12" t="str">
        <x:f>IF(OR(AH175="yes",AC175="operational",AD175="debated"),"high",IF(AND(AG175="yes",L175="P0"),"medium","low"))</x:f>
        <x:v>high</x:v>
      </x:c>
      <x:c r="AK175" s="12" t="str">
        <x:f>IF(ISNUMBER(SEARCH("healthy",AB175)),"yes","no")</x:f>
        <x:v>no</x:v>
      </x:c>
      <x:c r="AL175" s="12" t="str">
        <x:f>IF(AG175="yes","yes","candidate_only")</x:f>
        <x:v>candidate_only</x:v>
      </x:c>
      <x:c r="AM175" s="12" t="str">
        <x:f>IF(OR(AC175="canonical",AG175="yes"),"yes","recommended")</x:f>
        <x:v>recommended</x:v>
      </x:c>
      <x:c r="AN175" s="12" t="str">
        <x:f>IF(AC175="deprecated","exclude",IF(AND(AG175="yes",AJ175="high"),"import_but_human_review_required",IF(AG175="yes","import_as_active","import_as_backlog")))</x:f>
        <x:v>import_as_backlog</x:v>
      </x:c>
      <x:c r="AO175" s="12" t="str">
        <x:f>IF(AND(AG175="yes",OR(P175="",Q175="",R175="",S175="")),"missing_required_mvp_fields",IF(AND(AC175="canonical",Y175=""),"missing_source_ref","ok"))</x:f>
        <x:v>ok</x:v>
      </x:c>
      <x:c r="AP175" s="12" t="str">
        <x:f>IF(AO175="ok","ready_for_codex_import","needs_review")</x:f>
        <x:v>ready_for_codex_import</x:v>
      </x:c>
      <x:c r="AQ175" s="12"/>
      <x:c r="AR175" s="12" t="str">
        <x:v>Added v2 operational fields. Review before classification activation.</x:v>
      </x:c>
    </x:row>
    <x:row r="176">
      <x:c r="A176" s="13" t="str">
        <x:v>outlier_overweighting_canonical</x:v>
      </x:c>
      <x:c r="B176" s="13" t="str">
        <x:v>outlier_overweighting</x:v>
      </x:c>
      <x:c r="C176" s="13" t="str">
        <x:v>Outlier overweighting</x:v>
      </x:c>
      <x:c r="D176" s="13" t="str">
        <x:v>وزن‌دهی افراطی به نقاط پرت</x:v>
      </x:c>
      <x:c r="E176" s="13" t="str">
        <x:v>Canonical form</x:v>
      </x:c>
      <x:c r="F176" s="13" t="str">
        <x:v>evidence_failures</x:v>
      </x:c>
      <x:c r="G176" s="13" t="str">
        <x:v>canonical</x:v>
      </x:c>
      <x:c r="H176" s="13" t="str">
        <x:v>contextual</x:v>
      </x:c>
      <x:c r="I176" s="13" t="str">
        <x:v>claim+context</x:v>
      </x:c>
      <x:c r="J176" s="13" t="str">
        <x:v>core_named_candidate</x:v>
      </x:c>
      <x:c r="K176" s="13" t="str">
        <x:v>established_parent_needs_row_review</x:v>
      </x:c>
      <x:c r="L176" s="13" t="str">
        <x:v>P1</x:v>
      </x:c>
      <x:c r="M176" s="13" t="str">
        <x:v>review</x:v>
      </x:c>
      <x:c r="N176" s="13" t="str">
        <x:v>Operational subtype under Outlier overweighting: evidence is mishandled in a standard recognizable way. Parent definition: Treating exceptional observations as representative without justification.</x:v>
      </x:c>
      <x:c r="O176" s="13" t="str">
        <x:v>Look for: explicit claim-level evidence; parent-family cues for Outlier overweighting; variant cue: evidence is mishandled in a standard recognizable way; avoid author-level inference.</x:v>
      </x:c>
      <x:c r="P176" s="13" t="str">
        <x:v>Exact evidence span in text plus claim-level reasoning link; for contextual/discourse entries, require surrounding context.</x:v>
      </x:c>
      <x:c r="Q176" s="13" t="str">
        <x:v>Do not label merely because topic is controversial, emotional, or wrong. Do not judge intent or personality. Require textual evidence and consider healthy-reasoning cues.</x:v>
      </x:c>
      <x:c r="R176" s="13" t="str">
        <x:v>Stub: A claim relies on evidence is mishandled in a standard recognizable way to support a conclusion without adequate qualification.</x:v>
      </x:c>
      <x:c r="S176" s="13" t="str">
        <x:v>Stub: A claim discusses outlier overweighting with caveats, balanced evidence, or no argumentative use of the pattern.</x:v>
      </x:c>
      <x:c r="T176" s="13" t="str">
        <x:v>Mild or ambiguous cue; do not classify without clear evidence span.</x:v>
      </x:c>
      <x:c r="U176" s="13" t="str">
        <x:v>Clear claim-level pattern with some argumentative impact.</x:v>
      </x:c>
      <x:c r="V176" s="13" t="str">
        <x:v>Strong pattern central to the conclusion and likely to materially distort reasoning.</x:v>
      </x:c>
      <x:c r="W176" s="13" t="str"/>
      <x:c r="X176" s="13" t="str">
        <x:v>gilovich_heuristics_biases</x:v>
      </x:c>
      <x:c r="Y176" s="13" t="str">
        <x:v>https://www.cambridge.org/core/books/heuristics-and-biases/3C30D3B05D2F190C3B8BE5E2531EFD24</x:v>
      </x:c>
      <x:c r="Z176" s="13" t="str">
        <x:v>Review before enabling. This workbook is a living taxonomy scaffold, not a validated scientific benchmark.</x:v>
      </x:c>
      <x:c r="AA176" s="13" t="str">
        <x:v>0.1.0-draft</x:v>
      </x:c>
      <x:c r="AB176" s="12" t="str">
        <x:f>IF(ISNUMBER(SEARCH("healthy",F176)),"healthy_reasoning_patterns",IF(ISNUMBER(SEARCH("statistical",F176)),"statistical_reasoning",IF(ISNUMBER(SEARCH("causal",F176)),"causal_reasoning",IF(ISNUMBER(SEARCH("social",F176)),"social_influence",IF(ISNUMBER(SEARCH("rhetoric",F176)),"rhetoric_discourse",IF(ISNUMBER(SEARCH("behavior",F176)),"behavioural_economics",IF(ISNUMBER(SEARCH("cognitive",F176)),"cognitive_biases",IF(J176="protective_pattern","healthy_reasoning_patterns",IF(L176="P0","core_mvp","extended_fallacies")))))))))</x:f>
        <x:v>extended_fallacies</x:v>
      </x:c>
      <x:c r="AC176" s="12" t="str">
        <x:f>IF(ISNUMBER(SEARCH("operational",J176)),"operational",IF(ISNUMBER(SEARCH("deprecated",J176)),"deprecated",IF(L176="P0","canonical","recognized_subtype")))</x:f>
        <x:v>recognized_subtype</x:v>
      </x:c>
      <x:c r="AD176" s="12" t="str">
        <x:f>IF(AC176="canonical","high",IF(AC176="recognized_subtype","medium",IF(AC176="operational","operational_only","debated")))</x:f>
        <x:v>medium</x:v>
      </x:c>
      <x:c r="AE176" s="12" t="str">
        <x:f>IF(AC176="deprecated","deprecated",IF(M176="yes","active",IF(M176="review","review_required","backlog")))</x:f>
        <x:v>review_required</x:v>
      </x:c>
      <x:c r="AF176" s="12" t="str">
        <x:f>IF(OR(AE176="active",AE176="review_required"),"yes","no")</x:f>
        <x:v>yes</x:v>
      </x:c>
      <x:c r="AG176" s="12" t="str">
        <x:f>IF(AND(AE176="active",M176="yes",NOT(ISNUMBER(SEARCH("healthy",AB176)))),"yes","no")</x:f>
        <x:v>no</x:v>
      </x:c>
      <x:c r="AH176" s="12" t="str">
        <x:f>IF(OR(H176="contextual",H176="dialogue",H176="discourse",I176="claim+context",I176="discourse_segment"),"yes","no")</x:f>
        <x:v>yes</x:v>
      </x:c>
      <x:c r="AI176" s="12" t="str">
        <x:f>IF(OR(AH176="yes",AD176="debated",AC176="operational"),"yes","no")</x:f>
        <x:v>yes</x:v>
      </x:c>
      <x:c r="AJ176" s="12" t="str">
        <x:f>IF(OR(AH176="yes",AC176="operational",AD176="debated"),"high",IF(AND(AG176="yes",L176="P0"),"medium","low"))</x:f>
        <x:v>high</x:v>
      </x:c>
      <x:c r="AK176" s="12" t="str">
        <x:f>IF(ISNUMBER(SEARCH("healthy",AB176)),"yes","no")</x:f>
        <x:v>no</x:v>
      </x:c>
      <x:c r="AL176" s="12" t="str">
        <x:f>IF(AG176="yes","yes","candidate_only")</x:f>
        <x:v>candidate_only</x:v>
      </x:c>
      <x:c r="AM176" s="12" t="str">
        <x:f>IF(OR(AC176="canonical",AG176="yes"),"yes","recommended")</x:f>
        <x:v>recommended</x:v>
      </x:c>
      <x:c r="AN176" s="12" t="str">
        <x:f>IF(AC176="deprecated","exclude",IF(AND(AG176="yes",AJ176="high"),"import_but_human_review_required",IF(AG176="yes","import_as_active","import_as_backlog")))</x:f>
        <x:v>import_as_backlog</x:v>
      </x:c>
      <x:c r="AO176" s="12" t="str">
        <x:f>IF(AND(AG176="yes",OR(P176="",Q176="",R176="",S176="")),"missing_required_mvp_fields",IF(AND(AC176="canonical",Y176=""),"missing_source_ref","ok"))</x:f>
        <x:v>ok</x:v>
      </x:c>
      <x:c r="AP176" s="12" t="str">
        <x:f>IF(AO176="ok","ready_for_codex_import","needs_review")</x:f>
        <x:v>ready_for_codex_import</x:v>
      </x:c>
      <x:c r="AQ176" s="12"/>
      <x:c r="AR176" s="12" t="str">
        <x:v>Added v2 operational fields. Review before classification activation.</x:v>
      </x:c>
    </x:row>
    <x:row r="177">
      <x:c r="A177" s="13" t="str">
        <x:v>availability_of_evidence_bias_canonical</x:v>
      </x:c>
      <x:c r="B177" s="13" t="str">
        <x:v>availability_of_evidence_bias</x:v>
      </x:c>
      <x:c r="C177" s="13" t="str">
        <x:v>Availability of evidence bias</x:v>
      </x:c>
      <x:c r="D177" s="13" t="str">
        <x:v>دسترسی‌پذیری شواهد</x:v>
      </x:c>
      <x:c r="E177" s="13" t="str">
        <x:v>Canonical form</x:v>
      </x:c>
      <x:c r="F177" s="13" t="str">
        <x:v>evidence_failures</x:v>
      </x:c>
      <x:c r="G177" s="13" t="str">
        <x:v>canonical</x:v>
      </x:c>
      <x:c r="H177" s="13" t="str">
        <x:v>contextual</x:v>
      </x:c>
      <x:c r="I177" s="13" t="str">
        <x:v>claim+context</x:v>
      </x:c>
      <x:c r="J177" s="13" t="str">
        <x:v>core_named_candidate</x:v>
      </x:c>
      <x:c r="K177" s="13" t="str">
        <x:v>established_parent_needs_row_review</x:v>
      </x:c>
      <x:c r="L177" s="13" t="str">
        <x:v>P1</x:v>
      </x:c>
      <x:c r="M177" s="13" t="str">
        <x:v>review</x:v>
      </x:c>
      <x:c r="N177" s="13" t="str">
        <x:v>Operational subtype under Availability of evidence bias: evidence is mishandled in a standard recognizable way. Parent definition: Treating easy-to-find evidence as if it were complete evidence.</x:v>
      </x:c>
      <x:c r="O177" s="13" t="str">
        <x:v>Look for: explicit claim-level evidence; parent-family cues for Availability of evidence bias; variant cue: evidence is mishandled in a standard recognizable way; avoid author-level inference.</x:v>
      </x:c>
      <x:c r="P177" s="13" t="str">
        <x:v>Exact evidence span in text plus claim-level reasoning link; for contextual/discourse entries, require surrounding context.</x:v>
      </x:c>
      <x:c r="Q177" s="13" t="str">
        <x:v>Do not label merely because topic is controversial, emotional, or wrong. Do not judge intent or personality. Require textual evidence and consider healthy-reasoning cues.</x:v>
      </x:c>
      <x:c r="R177" s="13" t="str">
        <x:v>Stub: A claim relies on evidence is mishandled in a standard recognizable way to support a conclusion without adequate qualification.</x:v>
      </x:c>
      <x:c r="S177" s="13" t="str">
        <x:v>Stub: A claim discusses availability of evidence bias with caveats, balanced evidence, or no argumentative use of the pattern.</x:v>
      </x:c>
      <x:c r="T177" s="13" t="str">
        <x:v>Mild or ambiguous cue; do not classify without clear evidence span.</x:v>
      </x:c>
      <x:c r="U177" s="13" t="str">
        <x:v>Clear claim-level pattern with some argumentative impact.</x:v>
      </x:c>
      <x:c r="V177" s="13" t="str">
        <x:v>Strong pattern central to the conclusion and likely to materially distort reasoning.</x:v>
      </x:c>
      <x:c r="W177" s="13" t="str">
        <x:v>cherry_picking; missing_counterevidence; evidence_grading</x:v>
      </x:c>
      <x:c r="X177" s="13" t="str">
        <x:v>gilovich_heuristics_biases</x:v>
      </x:c>
      <x:c r="Y177" s="13" t="str">
        <x:v>https://www.cambridge.org/core/books/heuristics-and-biases/3C30D3B05D2F190C3B8BE5E2531EFD24</x:v>
      </x:c>
      <x:c r="Z177" s="13" t="str">
        <x:v>Review before enabling. This workbook is a living taxonomy scaffold, not a validated scientific benchmark.</x:v>
      </x:c>
      <x:c r="AA177" s="13" t="str">
        <x:v>0.1.0-draft</x:v>
      </x:c>
      <x:c r="AB177" s="12" t="str">
        <x:f>IF(ISNUMBER(SEARCH("healthy",F177)),"healthy_reasoning_patterns",IF(ISNUMBER(SEARCH("statistical",F177)),"statistical_reasoning",IF(ISNUMBER(SEARCH("causal",F177)),"causal_reasoning",IF(ISNUMBER(SEARCH("social",F177)),"social_influence",IF(ISNUMBER(SEARCH("rhetoric",F177)),"rhetoric_discourse",IF(ISNUMBER(SEARCH("behavior",F177)),"behavioural_economics",IF(ISNUMBER(SEARCH("cognitive",F177)),"cognitive_biases",IF(J177="protective_pattern","healthy_reasoning_patterns",IF(L177="P0","core_mvp","extended_fallacies")))))))))</x:f>
        <x:v>extended_fallacies</x:v>
      </x:c>
      <x:c r="AC177" s="12" t="str">
        <x:f>IF(ISNUMBER(SEARCH("operational",J177)),"operational",IF(ISNUMBER(SEARCH("deprecated",J177)),"deprecated",IF(L177="P0","canonical","recognized_subtype")))</x:f>
        <x:v>recognized_subtype</x:v>
      </x:c>
      <x:c r="AD177" s="12" t="str">
        <x:f>IF(AC177="canonical","high",IF(AC177="recognized_subtype","medium",IF(AC177="operational","operational_only","debated")))</x:f>
        <x:v>medium</x:v>
      </x:c>
      <x:c r="AE177" s="12" t="str">
        <x:f>IF(AC177="deprecated","deprecated",IF(M177="yes","active",IF(M177="review","review_required","backlog")))</x:f>
        <x:v>review_required</x:v>
      </x:c>
      <x:c r="AF177" s="12" t="str">
        <x:f>IF(OR(AE177="active",AE177="review_required"),"yes","no")</x:f>
        <x:v>yes</x:v>
      </x:c>
      <x:c r="AG177" s="12" t="str">
        <x:f>IF(AND(AE177="active",M177="yes",NOT(ISNUMBER(SEARCH("healthy",AB177)))),"yes","no")</x:f>
        <x:v>no</x:v>
      </x:c>
      <x:c r="AH177" s="12" t="str">
        <x:f>IF(OR(H177="contextual",H177="dialogue",H177="discourse",I177="claim+context",I177="discourse_segment"),"yes","no")</x:f>
        <x:v>yes</x:v>
      </x:c>
      <x:c r="AI177" s="12" t="str">
        <x:f>IF(OR(AH177="yes",AD177="debated",AC177="operational"),"yes","no")</x:f>
        <x:v>yes</x:v>
      </x:c>
      <x:c r="AJ177" s="12" t="str">
        <x:f>IF(OR(AH177="yes",AC177="operational",AD177="debated"),"high",IF(AND(AG177="yes",L177="P0"),"medium","low"))</x:f>
        <x:v>high</x:v>
      </x:c>
      <x:c r="AK177" s="12" t="str">
        <x:f>IF(ISNUMBER(SEARCH("healthy",AB177)),"yes","no")</x:f>
        <x:v>no</x:v>
      </x:c>
      <x:c r="AL177" s="12" t="str">
        <x:f>IF(AG177="yes","yes","candidate_only")</x:f>
        <x:v>candidate_only</x:v>
      </x:c>
      <x:c r="AM177" s="12" t="str">
        <x:f>IF(OR(AC177="canonical",AG177="yes"),"yes","recommended")</x:f>
        <x:v>recommended</x:v>
      </x:c>
      <x:c r="AN177" s="12" t="str">
        <x:f>IF(AC177="deprecated","exclude",IF(AND(AG177="yes",AJ177="high"),"import_but_human_review_required",IF(AG177="yes","import_as_active","import_as_backlog")))</x:f>
        <x:v>import_as_backlog</x:v>
      </x:c>
      <x:c r="AO177" s="12" t="str">
        <x:f>IF(AND(AG177="yes",OR(P177="",Q177="",R177="",S177="")),"missing_required_mvp_fields",IF(AND(AC177="canonical",Y177=""),"missing_source_ref","ok"))</x:f>
        <x:v>ok</x:v>
      </x:c>
      <x:c r="AP177" s="12" t="str">
        <x:f>IF(AO177="ok","ready_for_codex_import","needs_review")</x:f>
        <x:v>ready_for_codex_import</x:v>
      </x:c>
      <x:c r="AQ177" s="12"/>
      <x:c r="AR177" s="12" t="str">
        <x:v>Added v2 operational fields. Review before classification activation.</x:v>
      </x:c>
    </x:row>
    <x:row r="178">
      <x:c r="A178" s="13" t="str">
        <x:v>citation_without_relevance_canonical</x:v>
      </x:c>
      <x:c r="B178" s="13" t="str">
        <x:v>citation_without_relevance</x:v>
      </x:c>
      <x:c r="C178" s="13" t="str">
        <x:v>Citation without relevance</x:v>
      </x:c>
      <x:c r="D178" s="13" t="str">
        <x:v>ارجاع نامرتبط</x:v>
      </x:c>
      <x:c r="E178" s="13" t="str">
        <x:v>Canonical form</x:v>
      </x:c>
      <x:c r="F178" s="13" t="str">
        <x:v>evidence_failures</x:v>
      </x:c>
      <x:c r="G178" s="13" t="str">
        <x:v>canonical</x:v>
      </x:c>
      <x:c r="H178" s="13" t="str">
        <x:v>contextual</x:v>
      </x:c>
      <x:c r="I178" s="13" t="str">
        <x:v>claim+context</x:v>
      </x:c>
      <x:c r="J178" s="13" t="str">
        <x:v>core_named_candidate</x:v>
      </x:c>
      <x:c r="K178" s="13" t="str">
        <x:v>established_parent_needs_row_review</x:v>
      </x:c>
      <x:c r="L178" s="13" t="str">
        <x:v>P1</x:v>
      </x:c>
      <x:c r="M178" s="13" t="str">
        <x:v>review</x:v>
      </x:c>
      <x:c r="N178" s="13" t="str">
        <x:v>Operational subtype under Citation without relevance: evidence is mishandled in a standard recognizable way. Parent definition: Citing a source that does not support the specific claim made.</x:v>
      </x:c>
      <x:c r="O178" s="13" t="str">
        <x:v>Look for: explicit claim-level evidence; parent-family cues for Citation without relevance; variant cue: evidence is mishandled in a standard recognizable way; avoid author-level inference.</x:v>
      </x:c>
      <x:c r="P178" s="13" t="str">
        <x:v>Exact evidence span in text plus claim-level reasoning link; for contextual/discourse entries, require surrounding context.</x:v>
      </x:c>
      <x:c r="Q178" s="13" t="str">
        <x:v>Do not label merely because topic is controversial, emotional, or wrong. Do not judge intent or personality. Require textual evidence and consider healthy-reasoning cues.</x:v>
      </x:c>
      <x:c r="R178" s="13" t="str">
        <x:v>Stub: A claim relies on evidence is mishandled in a standard recognizable way to support a conclusion without adequate qualification.</x:v>
      </x:c>
      <x:c r="S178" s="13" t="str">
        <x:v>Stub: A claim discusses citation without relevance with caveats, balanced evidence, or no argumentative use of the pattern.</x:v>
      </x:c>
      <x:c r="T178" s="13" t="str">
        <x:v>Mild or ambiguous cue; do not classify without clear evidence span.</x:v>
      </x:c>
      <x:c r="U178" s="13" t="str">
        <x:v>Clear claim-level pattern with some argumentative impact.</x:v>
      </x:c>
      <x:c r="V178" s="13" t="str">
        <x:v>Strong pattern central to the conclusion and likely to materially distort reasoning.</x:v>
      </x:c>
      <x:c r="W178" s="13" t="str"/>
      <x:c r="X178" s="13" t="str">
        <x:v>toulmin_uses_argument</x:v>
      </x:c>
      <x:c r="Y178" s="13" t="str">
        <x:v>https://doi.org/10.1017/CBO9780511840005</x:v>
      </x:c>
      <x:c r="Z178" s="13" t="str">
        <x:v>Review before enabling. This workbook is a living taxonomy scaffold, not a validated scientific benchmark.</x:v>
      </x:c>
      <x:c r="AA178" s="13" t="str">
        <x:v>0.1.0-draft</x:v>
      </x:c>
      <x:c r="AB178" s="12" t="str">
        <x:f>IF(ISNUMBER(SEARCH("healthy",F178)),"healthy_reasoning_patterns",IF(ISNUMBER(SEARCH("statistical",F178)),"statistical_reasoning",IF(ISNUMBER(SEARCH("causal",F178)),"causal_reasoning",IF(ISNUMBER(SEARCH("social",F178)),"social_influence",IF(ISNUMBER(SEARCH("rhetoric",F178)),"rhetoric_discourse",IF(ISNUMBER(SEARCH("behavior",F178)),"behavioural_economics",IF(ISNUMBER(SEARCH("cognitive",F178)),"cognitive_biases",IF(J178="protective_pattern","healthy_reasoning_patterns",IF(L178="P0","core_mvp","extended_fallacies")))))))))</x:f>
        <x:v>extended_fallacies</x:v>
      </x:c>
      <x:c r="AC178" s="12" t="str">
        <x:f>IF(ISNUMBER(SEARCH("operational",J178)),"operational",IF(ISNUMBER(SEARCH("deprecated",J178)),"deprecated",IF(L178="P0","canonical","recognized_subtype")))</x:f>
        <x:v>recognized_subtype</x:v>
      </x:c>
      <x:c r="AD178" s="12" t="str">
        <x:f>IF(AC178="canonical","high",IF(AC178="recognized_subtype","medium",IF(AC178="operational","operational_only","debated")))</x:f>
        <x:v>medium</x:v>
      </x:c>
      <x:c r="AE178" s="12" t="str">
        <x:f>IF(AC178="deprecated","deprecated",IF(M178="yes","active",IF(M178="review","review_required","backlog")))</x:f>
        <x:v>review_required</x:v>
      </x:c>
      <x:c r="AF178" s="12" t="str">
        <x:f>IF(OR(AE178="active",AE178="review_required"),"yes","no")</x:f>
        <x:v>yes</x:v>
      </x:c>
      <x:c r="AG178" s="12" t="str">
        <x:f>IF(AND(AE178="active",M178="yes",NOT(ISNUMBER(SEARCH("healthy",AB178)))),"yes","no")</x:f>
        <x:v>no</x:v>
      </x:c>
      <x:c r="AH178" s="12" t="str">
        <x:f>IF(OR(H178="contextual",H178="dialogue",H178="discourse",I178="claim+context",I178="discourse_segment"),"yes","no")</x:f>
        <x:v>yes</x:v>
      </x:c>
      <x:c r="AI178" s="12" t="str">
        <x:f>IF(OR(AH178="yes",AD178="debated",AC178="operational"),"yes","no")</x:f>
        <x:v>yes</x:v>
      </x:c>
      <x:c r="AJ178" s="12" t="str">
        <x:f>IF(OR(AH178="yes",AC178="operational",AD178="debated"),"high",IF(AND(AG178="yes",L178="P0"),"medium","low"))</x:f>
        <x:v>high</x:v>
      </x:c>
      <x:c r="AK178" s="12" t="str">
        <x:f>IF(ISNUMBER(SEARCH("healthy",AB178)),"yes","no")</x:f>
        <x:v>no</x:v>
      </x:c>
      <x:c r="AL178" s="12" t="str">
        <x:f>IF(AG178="yes","yes","candidate_only")</x:f>
        <x:v>candidate_only</x:v>
      </x:c>
      <x:c r="AM178" s="12" t="str">
        <x:f>IF(OR(AC178="canonical",AG178="yes"),"yes","recommended")</x:f>
        <x:v>recommended</x:v>
      </x:c>
      <x:c r="AN178" s="12" t="str">
        <x:f>IF(AC178="deprecated","exclude",IF(AND(AG178="yes",AJ178="high"),"import_but_human_review_required",IF(AG178="yes","import_as_active","import_as_backlog")))</x:f>
        <x:v>import_as_backlog</x:v>
      </x:c>
      <x:c r="AO178" s="12" t="str">
        <x:f>IF(AND(AG178="yes",OR(P178="",Q178="",R178="",S178="")),"missing_required_mvp_fields",IF(AND(AC178="canonical",Y178=""),"missing_source_ref","ok"))</x:f>
        <x:v>ok</x:v>
      </x:c>
      <x:c r="AP178" s="12" t="str">
        <x:f>IF(AO178="ok","ready_for_codex_import","needs_review")</x:f>
        <x:v>ready_for_codex_import</x:v>
      </x:c>
      <x:c r="AQ178" s="12"/>
      <x:c r="AR178" s="12" t="str">
        <x:v>Added v2 operational fields. Review before classification activation.</x:v>
      </x:c>
    </x:row>
    <x:row r="179">
      <x:c r="A179" s="13" t="str">
        <x:v>quote_mining_evidence_canonical</x:v>
      </x:c>
      <x:c r="B179" s="13" t="str">
        <x:v>quote_mining_evidence</x:v>
      </x:c>
      <x:c r="C179" s="13" t="str">
        <x:v>Quote mining as evidence failure</x:v>
      </x:c>
      <x:c r="D179" s="13" t="str">
        <x:v>نقل‌قول گزینشی</x:v>
      </x:c>
      <x:c r="E179" s="13" t="str">
        <x:v>Canonical form</x:v>
      </x:c>
      <x:c r="F179" s="13" t="str">
        <x:v>evidence_failures</x:v>
      </x:c>
      <x:c r="G179" s="13" t="str">
        <x:v>canonical</x:v>
      </x:c>
      <x:c r="H179" s="13" t="str">
        <x:v>contextual</x:v>
      </x:c>
      <x:c r="I179" s="13" t="str">
        <x:v>claim+context</x:v>
      </x:c>
      <x:c r="J179" s="13" t="str">
        <x:v>core_named_candidate</x:v>
      </x:c>
      <x:c r="K179" s="13" t="str">
        <x:v>established_parent_needs_row_review</x:v>
      </x:c>
      <x:c r="L179" s="13" t="str">
        <x:v>P1</x:v>
      </x:c>
      <x:c r="M179" s="13" t="str">
        <x:v>review</x:v>
      </x:c>
      <x:c r="N179" s="13" t="str">
        <x:v>Operational subtype under Quote mining as evidence failure: evidence is mishandled in a standard recognizable way. Parent definition: Extracting a quote in a way that changes its evidential meaning.</x:v>
      </x:c>
      <x:c r="O179" s="13" t="str">
        <x:v>Look for: explicit claim-level evidence; parent-family cues for Quote mining as evidence failure; variant cue: evidence is mishandled in a standard recognizable way; avoid author-level inference.</x:v>
      </x:c>
      <x:c r="P179" s="13" t="str">
        <x:v>Exact evidence span in text plus claim-level reasoning link; for contextual/discourse entries, require surrounding context.</x:v>
      </x:c>
      <x:c r="Q179" s="13" t="str">
        <x:v>Do not label merely because topic is controversial, emotional, or wrong. Do not judge intent or personality. Require textual evidence and consider healthy-reasoning cues.</x:v>
      </x:c>
      <x:c r="R179" s="13" t="str">
        <x:v>Stub: A claim relies on evidence is mishandled in a standard recognizable way to support a conclusion without adequate qualification.</x:v>
      </x:c>
      <x:c r="S179" s="13" t="str">
        <x:v>Stub: A claim discusses quote mining as evidence failure with caveats, balanced evidence, or no argumentative use of the pattern.</x:v>
      </x:c>
      <x:c r="T179" s="13" t="str">
        <x:v>Mild or ambiguous cue; do not classify without clear evidence span.</x:v>
      </x:c>
      <x:c r="U179" s="13" t="str">
        <x:v>Clear claim-level pattern with some argumentative impact.</x:v>
      </x:c>
      <x:c r="V179" s="13" t="str">
        <x:v>Strong pattern central to the conclusion and likely to materially distort reasoning.</x:v>
      </x:c>
      <x:c r="W179" s="13" t="str"/>
      <x:c r="X179" s="13" t="str">
        <x:v>sep_informal_logic</x:v>
      </x:c>
      <x:c r="Y179" s="13" t="str">
        <x:v>https://plato.stanford.edu/entries/logic-informal/</x:v>
      </x:c>
      <x:c r="Z179" s="13" t="str">
        <x:v>Review before enabling. This workbook is a living taxonomy scaffold, not a validated scientific benchmark.</x:v>
      </x:c>
      <x:c r="AA179" s="13" t="str">
        <x:v>0.1.0-draft</x:v>
      </x:c>
      <x:c r="AB179" s="12" t="str">
        <x:f>IF(ISNUMBER(SEARCH("healthy",F179)),"healthy_reasoning_patterns",IF(ISNUMBER(SEARCH("statistical",F179)),"statistical_reasoning",IF(ISNUMBER(SEARCH("causal",F179)),"causal_reasoning",IF(ISNUMBER(SEARCH("social",F179)),"social_influence",IF(ISNUMBER(SEARCH("rhetoric",F179)),"rhetoric_discourse",IF(ISNUMBER(SEARCH("behavior",F179)),"behavioural_economics",IF(ISNUMBER(SEARCH("cognitive",F179)),"cognitive_biases",IF(J179="protective_pattern","healthy_reasoning_patterns",IF(L179="P0","core_mvp","extended_fallacies")))))))))</x:f>
        <x:v>extended_fallacies</x:v>
      </x:c>
      <x:c r="AC179" s="12" t="str">
        <x:f>IF(ISNUMBER(SEARCH("operational",J179)),"operational",IF(ISNUMBER(SEARCH("deprecated",J179)),"deprecated",IF(L179="P0","canonical","recognized_subtype")))</x:f>
        <x:v>recognized_subtype</x:v>
      </x:c>
      <x:c r="AD179" s="12" t="str">
        <x:f>IF(AC179="canonical","high",IF(AC179="recognized_subtype","medium",IF(AC179="operational","operational_only","debated")))</x:f>
        <x:v>medium</x:v>
      </x:c>
      <x:c r="AE179" s="12" t="str">
        <x:f>IF(AC179="deprecated","deprecated",IF(M179="yes","active",IF(M179="review","review_required","backlog")))</x:f>
        <x:v>review_required</x:v>
      </x:c>
      <x:c r="AF179" s="12" t="str">
        <x:f>IF(OR(AE179="active",AE179="review_required"),"yes","no")</x:f>
        <x:v>yes</x:v>
      </x:c>
      <x:c r="AG179" s="12" t="str">
        <x:f>IF(AND(AE179="active",M179="yes",NOT(ISNUMBER(SEARCH("healthy",AB179)))),"yes","no")</x:f>
        <x:v>no</x:v>
      </x:c>
      <x:c r="AH179" s="12" t="str">
        <x:f>IF(OR(H179="contextual",H179="dialogue",H179="discourse",I179="claim+context",I179="discourse_segment"),"yes","no")</x:f>
        <x:v>yes</x:v>
      </x:c>
      <x:c r="AI179" s="12" t="str">
        <x:f>IF(OR(AH179="yes",AD179="debated",AC179="operational"),"yes","no")</x:f>
        <x:v>yes</x:v>
      </x:c>
      <x:c r="AJ179" s="12" t="str">
        <x:f>IF(OR(AH179="yes",AC179="operational",AD179="debated"),"high",IF(AND(AG179="yes",L179="P0"),"medium","low"))</x:f>
        <x:v>high</x:v>
      </x:c>
      <x:c r="AK179" s="12" t="str">
        <x:f>IF(ISNUMBER(SEARCH("healthy",AB179)),"yes","no")</x:f>
        <x:v>no</x:v>
      </x:c>
      <x:c r="AL179" s="12" t="str">
        <x:f>IF(AG179="yes","yes","candidate_only")</x:f>
        <x:v>candidate_only</x:v>
      </x:c>
      <x:c r="AM179" s="12" t="str">
        <x:f>IF(OR(AC179="canonical",AG179="yes"),"yes","recommended")</x:f>
        <x:v>recommended</x:v>
      </x:c>
      <x:c r="AN179" s="12" t="str">
        <x:f>IF(AC179="deprecated","exclude",IF(AND(AG179="yes",AJ179="high"),"import_but_human_review_required",IF(AG179="yes","import_as_active","import_as_backlog")))</x:f>
        <x:v>import_as_backlog</x:v>
      </x:c>
      <x:c r="AO179" s="12" t="str">
        <x:f>IF(AND(AG179="yes",OR(P179="",Q179="",R179="",S179="")),"missing_required_mvp_fields",IF(AND(AC179="canonical",Y179=""),"missing_source_ref","ok"))</x:f>
        <x:v>ok</x:v>
      </x:c>
      <x:c r="AP179" s="12" t="str">
        <x:f>IF(AO179="ok","ready_for_codex_import","needs_review")</x:f>
        <x:v>ready_for_codex_import</x:v>
      </x:c>
      <x:c r="AQ179" s="12"/>
      <x:c r="AR179" s="12" t="str">
        <x:v>Added v2 operational fields. Review before classification activation.</x:v>
      </x:c>
    </x:row>
    <x:row r="180">
      <x:c r="A180" s="13" t="str">
        <x:v>evidence_quality_mismatch_canonical</x:v>
      </x:c>
      <x:c r="B180" s="13" t="str">
        <x:v>evidence_quality_mismatch</x:v>
      </x:c>
      <x:c r="C180" s="13" t="str">
        <x:v>Evidence-quality mismatch</x:v>
      </x:c>
      <x:c r="D180" s="13" t="str">
        <x:v>ناسازگاری کیفیت شواهد و نتیجه</x:v>
      </x:c>
      <x:c r="E180" s="13" t="str">
        <x:v>Canonical form</x:v>
      </x:c>
      <x:c r="F180" s="13" t="str">
        <x:v>evidence_failures</x:v>
      </x:c>
      <x:c r="G180" s="13" t="str">
        <x:v>canonical</x:v>
      </x:c>
      <x:c r="H180" s="13" t="str">
        <x:v>contextual</x:v>
      </x:c>
      <x:c r="I180" s="13" t="str">
        <x:v>claim+context</x:v>
      </x:c>
      <x:c r="J180" s="13" t="str">
        <x:v>core_named_candidate</x:v>
      </x:c>
      <x:c r="K180" s="13" t="str">
        <x:v>established_parent_needs_row_review</x:v>
      </x:c>
      <x:c r="L180" s="13" t="str">
        <x:v>P1</x:v>
      </x:c>
      <x:c r="M180" s="13" t="str">
        <x:v>review</x:v>
      </x:c>
      <x:c r="N180" s="13" t="str">
        <x:v>Operational subtype under Evidence-quality mismatch: evidence is mishandled in a standard recognizable way. Parent definition: Drawing high-strength conclusions from low-strength evidence.</x:v>
      </x:c>
      <x:c r="O180" s="13" t="str">
        <x:v>Look for: explicit claim-level evidence; parent-family cues for Evidence-quality mismatch; variant cue: evidence is mishandled in a standard recognizable way; avoid author-level inference.</x:v>
      </x:c>
      <x:c r="P180" s="13" t="str">
        <x:v>Exact evidence span in text plus claim-level reasoning link; for contextual/discourse entries, require surrounding context.</x:v>
      </x:c>
      <x:c r="Q180" s="13" t="str">
        <x:v>Do not label merely because topic is controversial, emotional, or wrong. Do not judge intent or personality. Require textual evidence and consider healthy-reasoning cues.</x:v>
      </x:c>
      <x:c r="R180" s="13" t="str">
        <x:v>Stub: A claim relies on evidence is mishandled in a standard recognizable way to support a conclusion without adequate qualification.</x:v>
      </x:c>
      <x:c r="S180" s="13" t="str">
        <x:v>Stub: A claim discusses evidence-quality mismatch with caveats, balanced evidence, or no argumentative use of the pattern.</x:v>
      </x:c>
      <x:c r="T180" s="13" t="str">
        <x:v>Mild or ambiguous cue; do not classify without clear evidence span.</x:v>
      </x:c>
      <x:c r="U180" s="13" t="str">
        <x:v>Clear claim-level pattern with some argumentative impact.</x:v>
      </x:c>
      <x:c r="V180" s="13" t="str">
        <x:v>Strong pattern central to the conclusion and likely to materially distort reasoning.</x:v>
      </x:c>
      <x:c r="W180" s="13" t="str">
        <x:v>cherry_picking; missing_counterevidence; evidence_grading</x:v>
      </x:c>
      <x:c r="X180" s="13" t="str">
        <x:v>toulmin_uses_argument</x:v>
      </x:c>
      <x:c r="Y180" s="13" t="str">
        <x:v>https://doi.org/10.1017/CBO9780511840005</x:v>
      </x:c>
      <x:c r="Z180" s="13" t="str">
        <x:v>Review before enabling. This workbook is a living taxonomy scaffold, not a validated scientific benchmark.</x:v>
      </x:c>
      <x:c r="AA180" s="13" t="str">
        <x:v>0.1.0-draft</x:v>
      </x:c>
      <x:c r="AB180" s="12" t="str">
        <x:f>IF(ISNUMBER(SEARCH("healthy",F180)),"healthy_reasoning_patterns",IF(ISNUMBER(SEARCH("statistical",F180)),"statistical_reasoning",IF(ISNUMBER(SEARCH("causal",F180)),"causal_reasoning",IF(ISNUMBER(SEARCH("social",F180)),"social_influence",IF(ISNUMBER(SEARCH("rhetoric",F180)),"rhetoric_discourse",IF(ISNUMBER(SEARCH("behavior",F180)),"behavioural_economics",IF(ISNUMBER(SEARCH("cognitive",F180)),"cognitive_biases",IF(J180="protective_pattern","healthy_reasoning_patterns",IF(L180="P0","core_mvp","extended_fallacies")))))))))</x:f>
        <x:v>extended_fallacies</x:v>
      </x:c>
      <x:c r="AC180" s="12" t="str">
        <x:f>IF(ISNUMBER(SEARCH("operational",J180)),"operational",IF(ISNUMBER(SEARCH("deprecated",J180)),"deprecated",IF(L180="P0","canonical","recognized_subtype")))</x:f>
        <x:v>recognized_subtype</x:v>
      </x:c>
      <x:c r="AD180" s="12" t="str">
        <x:f>IF(AC180="canonical","high",IF(AC180="recognized_subtype","medium",IF(AC180="operational","operational_only","debated")))</x:f>
        <x:v>medium</x:v>
      </x:c>
      <x:c r="AE180" s="12" t="str">
        <x:f>IF(AC180="deprecated","deprecated",IF(M180="yes","active",IF(M180="review","review_required","backlog")))</x:f>
        <x:v>review_required</x:v>
      </x:c>
      <x:c r="AF180" s="12" t="str">
        <x:f>IF(OR(AE180="active",AE180="review_required"),"yes","no")</x:f>
        <x:v>yes</x:v>
      </x:c>
      <x:c r="AG180" s="12" t="str">
        <x:f>IF(AND(AE180="active",M180="yes",NOT(ISNUMBER(SEARCH("healthy",AB180)))),"yes","no")</x:f>
        <x:v>no</x:v>
      </x:c>
      <x:c r="AH180" s="12" t="str">
        <x:f>IF(OR(H180="contextual",H180="dialogue",H180="discourse",I180="claim+context",I180="discourse_segment"),"yes","no")</x:f>
        <x:v>yes</x:v>
      </x:c>
      <x:c r="AI180" s="12" t="str">
        <x:f>IF(OR(AH180="yes",AD180="debated",AC180="operational"),"yes","no")</x:f>
        <x:v>yes</x:v>
      </x:c>
      <x:c r="AJ180" s="12" t="str">
        <x:f>IF(OR(AH180="yes",AC180="operational",AD180="debated"),"high",IF(AND(AG180="yes",L180="P0"),"medium","low"))</x:f>
        <x:v>high</x:v>
      </x:c>
      <x:c r="AK180" s="12" t="str">
        <x:f>IF(ISNUMBER(SEARCH("healthy",AB180)),"yes","no")</x:f>
        <x:v>no</x:v>
      </x:c>
      <x:c r="AL180" s="12" t="str">
        <x:f>IF(AG180="yes","yes","candidate_only")</x:f>
        <x:v>candidate_only</x:v>
      </x:c>
      <x:c r="AM180" s="12" t="str">
        <x:f>IF(OR(AC180="canonical",AG180="yes"),"yes","recommended")</x:f>
        <x:v>recommended</x:v>
      </x:c>
      <x:c r="AN180" s="12" t="str">
        <x:f>IF(AC180="deprecated","exclude",IF(AND(AG180="yes",AJ180="high"),"import_but_human_review_required",IF(AG180="yes","import_as_active","import_as_backlog")))</x:f>
        <x:v>import_as_backlog</x:v>
      </x:c>
      <x:c r="AO180" s="12" t="str">
        <x:f>IF(AND(AG180="yes",OR(P180="",Q180="",R180="",S180="")),"missing_required_mvp_fields",IF(AND(AC180="canonical",Y180=""),"missing_source_ref","ok"))</x:f>
        <x:v>ok</x:v>
      </x:c>
      <x:c r="AP180" s="12" t="str">
        <x:f>IF(AO180="ok","ready_for_codex_import","needs_review")</x:f>
        <x:v>ready_for_codex_import</x:v>
      </x:c>
      <x:c r="AQ180" s="12"/>
      <x:c r="AR180" s="12" t="str">
        <x:v>Added v2 operational fields. Review before classification activation.</x:v>
      </x:c>
    </x:row>
    <x:row r="181">
      <x:c r="A181" s="13" t="str">
        <x:v>cherry_picking_missing_context</x:v>
      </x:c>
      <x:c r="B181" s="13" t="str">
        <x:v>cherry_picking</x:v>
      </x:c>
      <x:c r="C181" s="13" t="str">
        <x:v>Cherry picking</x:v>
      </x:c>
      <x:c r="D181" s="13" t="str">
        <x:v>انتخاب گزینشی شواهد</x:v>
      </x:c>
      <x:c r="E181" s="13" t="str">
        <x:v>Missing-context variant</x:v>
      </x:c>
      <x:c r="F181" s="13" t="str">
        <x:v>evidence_failures</x:v>
      </x:c>
      <x:c r="G181" s="13" t="str">
        <x:v>operational_variant</x:v>
      </x:c>
      <x:c r="H181" s="13" t="str">
        <x:v>contextual</x:v>
      </x:c>
      <x:c r="I181" s="13" t="str">
        <x:v>claim+context</x:v>
      </x:c>
      <x:c r="J181" s="13" t="str">
        <x:v>derived_operational_subtype</x:v>
      </x:c>
      <x:c r="K181" s="13" t="str">
        <x:v>derived_from_established_parent_review_required</x:v>
      </x:c>
      <x:c r="L181" s="13" t="str">
        <x:v>P2</x:v>
      </x:c>
      <x:c r="M181" s="13" t="str">
        <x:v>no</x:v>
      </x:c>
      <x:c r="N181" s="13" t="str">
        <x:v>Operational subtype under Cherry picking: context needed to evaluate the evidence is absent. Parent definition: Selecting supportive evidence while ignoring relevant counterevidence.</x:v>
      </x:c>
      <x:c r="O181" s="13" t="str">
        <x:v>Look for: explicit claim-level evidence; parent-family cues for Cherry picking; variant cue: context needed to evaluate the evidence is absent; avoid author-level inference.</x:v>
      </x:c>
      <x:c r="P181" s="13" t="str">
        <x:v>Exact evidence span in text plus claim-level reasoning link; for contextual/discourse entries, require surrounding context.</x:v>
      </x:c>
      <x:c r="Q181" s="13" t="str">
        <x:v>Do not label merely because topic is controversial, emotional, or wrong. Do not judge intent or personality. Require textual evidence and consider healthy-reasoning cues.</x:v>
      </x:c>
      <x:c r="R181" s="13" t="str">
        <x:v>Stub: A claim relies on context needed to evaluate the evidence is absent to support a conclusion without adequate qualification.</x:v>
      </x:c>
      <x:c r="S181" s="13" t="str">
        <x:v>Stub: A claim discusses cherry picking with caveats, balanced evidence, or no argumentative use of the pattern.</x:v>
      </x:c>
      <x:c r="T181" s="13" t="str">
        <x:v>Mild or ambiguous cue; do not classify without clear evidence span.</x:v>
      </x:c>
      <x:c r="U181" s="13" t="str">
        <x:v>Clear claim-level pattern with some argumentative impact.</x:v>
      </x:c>
      <x:c r="V181" s="13" t="str">
        <x:v>Strong pattern central to the conclusion and likely to materially distort reasoning.</x:v>
      </x:c>
      <x:c r="W181" s="13" t="str">
        <x:v>cherry_picking; missing_counterevidence; evidence_grading</x:v>
      </x:c>
      <x:c r="X181" s="13" t="str">
        <x:v>sep_informal_logic</x:v>
      </x:c>
      <x:c r="Y181" s="13" t="str">
        <x:v>https://plato.stanford.edu/entries/logic-informal/</x:v>
      </x:c>
      <x:c r="Z181" s="13" t="str">
        <x:v>Review before enabling. This workbook is a living taxonomy scaffold, not a validated scientific benchmark.</x:v>
      </x:c>
      <x:c r="AA181" s="13" t="str">
        <x:v>0.1.0-draft</x:v>
      </x:c>
      <x:c r="AB181" s="12" t="str">
        <x:f>IF(ISNUMBER(SEARCH("healthy",F181)),"healthy_reasoning_patterns",IF(ISNUMBER(SEARCH("statistical",F181)),"statistical_reasoning",IF(ISNUMBER(SEARCH("causal",F181)),"causal_reasoning",IF(ISNUMBER(SEARCH("social",F181)),"social_influence",IF(ISNUMBER(SEARCH("rhetoric",F181)),"rhetoric_discourse",IF(ISNUMBER(SEARCH("behavior",F181)),"behavioural_economics",IF(ISNUMBER(SEARCH("cognitive",F181)),"cognitive_biases",IF(J181="protective_pattern","healthy_reasoning_patterns",IF(L181="P0","core_mvp","extended_fallacies")))))))))</x:f>
        <x:v>extended_fallacies</x:v>
      </x:c>
      <x:c r="AC181" s="12" t="str">
        <x:f>IF(ISNUMBER(SEARCH("operational",J181)),"operational",IF(ISNUMBER(SEARCH("deprecated",J181)),"deprecated",IF(L181="P0","canonical","recognized_subtype")))</x:f>
        <x:v>operational</x:v>
      </x:c>
      <x:c r="AD181" s="12" t="str">
        <x:f>IF(AC181="canonical","high",IF(AC181="recognized_subtype","medium",IF(AC181="operational","operational_only","debated")))</x:f>
        <x:v>operational_only</x:v>
      </x:c>
      <x:c r="AE181" s="12" t="str">
        <x:f>IF(AC181="deprecated","deprecated",IF(M181="yes","active",IF(M181="review","review_required","backlog")))</x:f>
        <x:v>backlog</x:v>
      </x:c>
      <x:c r="AF181" s="12" t="str">
        <x:f>IF(OR(AE181="active",AE181="review_required"),"yes","no")</x:f>
        <x:v>no</x:v>
      </x:c>
      <x:c r="AG181" s="12" t="str">
        <x:f>IF(AND(AE181="active",M181="yes",NOT(ISNUMBER(SEARCH("healthy",AB181)))),"yes","no")</x:f>
        <x:v>no</x:v>
      </x:c>
      <x:c r="AH181" s="12" t="str">
        <x:f>IF(OR(H181="contextual",H181="dialogue",H181="discourse",I181="claim+context",I181="discourse_segment"),"yes","no")</x:f>
        <x:v>yes</x:v>
      </x:c>
      <x:c r="AI181" s="12" t="str">
        <x:f>IF(OR(AH181="yes",AD181="debated",AC181="operational"),"yes","no")</x:f>
        <x:v>yes</x:v>
      </x:c>
      <x:c r="AJ181" s="12" t="str">
        <x:f>IF(OR(AH181="yes",AC181="operational",AD181="debated"),"high",IF(AND(AG181="yes",L181="P0"),"medium","low"))</x:f>
        <x:v>high</x:v>
      </x:c>
      <x:c r="AK181" s="12" t="str">
        <x:f>IF(ISNUMBER(SEARCH("healthy",AB181)),"yes","no")</x:f>
        <x:v>no</x:v>
      </x:c>
      <x:c r="AL181" s="12" t="str">
        <x:f>IF(AG181="yes","yes","candidate_only")</x:f>
        <x:v>candidate_only</x:v>
      </x:c>
      <x:c r="AM181" s="12" t="str">
        <x:f>IF(OR(AC181="canonical",AG181="yes"),"yes","recommended")</x:f>
        <x:v>recommended</x:v>
      </x:c>
      <x:c r="AN181" s="12" t="str">
        <x:f>IF(AC181="deprecated","exclude",IF(AND(AG181="yes",AJ181="high"),"import_but_human_review_required",IF(AG181="yes","import_as_active","import_as_backlog")))</x:f>
        <x:v>import_as_backlog</x:v>
      </x:c>
      <x:c r="AO181" s="12" t="str">
        <x:f>IF(AND(AG181="yes",OR(P181="",Q181="",R181="",S181="")),"missing_required_mvp_fields",IF(AND(AC181="canonical",Y181=""),"missing_source_ref","ok"))</x:f>
        <x:v>ok</x:v>
      </x:c>
      <x:c r="AP181" s="12" t="str">
        <x:f>IF(AO181="ok","ready_for_codex_import","needs_review")</x:f>
        <x:v>ready_for_codex_import</x:v>
      </x:c>
      <x:c r="AQ181" s="12"/>
      <x:c r="AR181" s="12" t="str">
        <x:v>Added v2 operational fields. Review before classification activation.</x:v>
      </x:c>
    </x:row>
    <x:row r="182">
      <x:c r="A182" s="13" t="str">
        <x:v>suppressed_evidence_missing_context</x:v>
      </x:c>
      <x:c r="B182" s="13" t="str">
        <x:v>suppressed_evidence</x:v>
      </x:c>
      <x:c r="C182" s="13" t="str">
        <x:v>Suppressed evidence</x:v>
      </x:c>
      <x:c r="D182" s="13" t="str">
        <x:v>حذف شواهد مهم</x:v>
      </x:c>
      <x:c r="E182" s="13" t="str">
        <x:v>Missing-context variant</x:v>
      </x:c>
      <x:c r="F182" s="13" t="str">
        <x:v>evidence_failures</x:v>
      </x:c>
      <x:c r="G182" s="13" t="str">
        <x:v>operational_variant</x:v>
      </x:c>
      <x:c r="H182" s="13" t="str">
        <x:v>contextual</x:v>
      </x:c>
      <x:c r="I182" s="13" t="str">
        <x:v>claim+context</x:v>
      </x:c>
      <x:c r="J182" s="13" t="str">
        <x:v>derived_operational_subtype</x:v>
      </x:c>
      <x:c r="K182" s="13" t="str">
        <x:v>derived_from_established_parent_review_required</x:v>
      </x:c>
      <x:c r="L182" s="13" t="str">
        <x:v>P2</x:v>
      </x:c>
      <x:c r="M182" s="13" t="str">
        <x:v>no</x:v>
      </x:c>
      <x:c r="N182" s="13" t="str">
        <x:v>Operational subtype under Suppressed evidence: context needed to evaluate the evidence is absent. Parent definition: Omitting relevant evidence that would materially change the conclusion.</x:v>
      </x:c>
      <x:c r="O182" s="13" t="str">
        <x:v>Look for: explicit claim-level evidence; parent-family cues for Suppressed evidence; variant cue: context needed to evaluate the evidence is absent; avoid author-level inference.</x:v>
      </x:c>
      <x:c r="P182" s="13" t="str">
        <x:v>Exact evidence span in text plus claim-level reasoning link; for contextual/discourse entries, require surrounding context.</x:v>
      </x:c>
      <x:c r="Q182" s="13" t="str">
        <x:v>Do not label merely because topic is controversial, emotional, or wrong. Do not judge intent or personality. Require textual evidence and consider healthy-reasoning cues.</x:v>
      </x:c>
      <x:c r="R182" s="13" t="str">
        <x:v>Stub: A claim relies on context needed to evaluate the evidence is absent to support a conclusion without adequate qualification.</x:v>
      </x:c>
      <x:c r="S182" s="13" t="str">
        <x:v>Stub: A claim discusses suppressed evidence with caveats, balanced evidence, or no argumentative use of the pattern.</x:v>
      </x:c>
      <x:c r="T182" s="13" t="str">
        <x:v>Mild or ambiguous cue; do not classify without clear evidence span.</x:v>
      </x:c>
      <x:c r="U182" s="13" t="str">
        <x:v>Clear claim-level pattern with some argumentative impact.</x:v>
      </x:c>
      <x:c r="V182" s="13" t="str">
        <x:v>Strong pattern central to the conclusion and likely to materially distort reasoning.</x:v>
      </x:c>
      <x:c r="W182" s="13" t="str">
        <x:v>cherry_picking; missing_counterevidence; evidence_grading</x:v>
      </x:c>
      <x:c r="X182" s="13" t="str">
        <x:v>sep_informal_logic</x:v>
      </x:c>
      <x:c r="Y182" s="13" t="str">
        <x:v>https://plato.stanford.edu/entries/logic-informal/</x:v>
      </x:c>
      <x:c r="Z182" s="13" t="str">
        <x:v>Review before enabling. This workbook is a living taxonomy scaffold, not a validated scientific benchmark.</x:v>
      </x:c>
      <x:c r="AA182" s="13" t="str">
        <x:v>0.1.0-draft</x:v>
      </x:c>
      <x:c r="AB182" s="12" t="str">
        <x:f>IF(ISNUMBER(SEARCH("healthy",F182)),"healthy_reasoning_patterns",IF(ISNUMBER(SEARCH("statistical",F182)),"statistical_reasoning",IF(ISNUMBER(SEARCH("causal",F182)),"causal_reasoning",IF(ISNUMBER(SEARCH("social",F182)),"social_influence",IF(ISNUMBER(SEARCH("rhetoric",F182)),"rhetoric_discourse",IF(ISNUMBER(SEARCH("behavior",F182)),"behavioural_economics",IF(ISNUMBER(SEARCH("cognitive",F182)),"cognitive_biases",IF(J182="protective_pattern","healthy_reasoning_patterns",IF(L182="P0","core_mvp","extended_fallacies")))))))))</x:f>
        <x:v>extended_fallacies</x:v>
      </x:c>
      <x:c r="AC182" s="12" t="str">
        <x:f>IF(ISNUMBER(SEARCH("operational",J182)),"operational",IF(ISNUMBER(SEARCH("deprecated",J182)),"deprecated",IF(L182="P0","canonical","recognized_subtype")))</x:f>
        <x:v>operational</x:v>
      </x:c>
      <x:c r="AD182" s="12" t="str">
        <x:f>IF(AC182="canonical","high",IF(AC182="recognized_subtype","medium",IF(AC182="operational","operational_only","debated")))</x:f>
        <x:v>operational_only</x:v>
      </x:c>
      <x:c r="AE182" s="12" t="str">
        <x:f>IF(AC182="deprecated","deprecated",IF(M182="yes","active",IF(M182="review","review_required","backlog")))</x:f>
        <x:v>backlog</x:v>
      </x:c>
      <x:c r="AF182" s="12" t="str">
        <x:f>IF(OR(AE182="active",AE182="review_required"),"yes","no")</x:f>
        <x:v>no</x:v>
      </x:c>
      <x:c r="AG182" s="12" t="str">
        <x:f>IF(AND(AE182="active",M182="yes",NOT(ISNUMBER(SEARCH("healthy",AB182)))),"yes","no")</x:f>
        <x:v>no</x:v>
      </x:c>
      <x:c r="AH182" s="12" t="str">
        <x:f>IF(OR(H182="contextual",H182="dialogue",H182="discourse",I182="claim+context",I182="discourse_segment"),"yes","no")</x:f>
        <x:v>yes</x:v>
      </x:c>
      <x:c r="AI182" s="12" t="str">
        <x:f>IF(OR(AH182="yes",AD182="debated",AC182="operational"),"yes","no")</x:f>
        <x:v>yes</x:v>
      </x:c>
      <x:c r="AJ182" s="12" t="str">
        <x:f>IF(OR(AH182="yes",AC182="operational",AD182="debated"),"high",IF(AND(AG182="yes",L182="P0"),"medium","low"))</x:f>
        <x:v>high</x:v>
      </x:c>
      <x:c r="AK182" s="12" t="str">
        <x:f>IF(ISNUMBER(SEARCH("healthy",AB182)),"yes","no")</x:f>
        <x:v>no</x:v>
      </x:c>
      <x:c r="AL182" s="12" t="str">
        <x:f>IF(AG182="yes","yes","candidate_only")</x:f>
        <x:v>candidate_only</x:v>
      </x:c>
      <x:c r="AM182" s="12" t="str">
        <x:f>IF(OR(AC182="canonical",AG182="yes"),"yes","recommended")</x:f>
        <x:v>recommended</x:v>
      </x:c>
      <x:c r="AN182" s="12" t="str">
        <x:f>IF(AC182="deprecated","exclude",IF(AND(AG182="yes",AJ182="high"),"import_but_human_review_required",IF(AG182="yes","import_as_active","import_as_backlog")))</x:f>
        <x:v>import_as_backlog</x:v>
      </x:c>
      <x:c r="AO182" s="12" t="str">
        <x:f>IF(AND(AG182="yes",OR(P182="",Q182="",R182="",S182="")),"missing_required_mvp_fields",IF(AND(AC182="canonical",Y182=""),"missing_source_ref","ok"))</x:f>
        <x:v>ok</x:v>
      </x:c>
      <x:c r="AP182" s="12" t="str">
        <x:f>IF(AO182="ok","ready_for_codex_import","needs_review")</x:f>
        <x:v>ready_for_codex_import</x:v>
      </x:c>
      <x:c r="AQ182" s="12"/>
      <x:c r="AR182" s="12" t="str">
        <x:v>Added v2 operational fields. Review before classification activation.</x:v>
      </x:c>
    </x:row>
    <x:row r="183">
      <x:c r="A183" s="13" t="str">
        <x:v>anecdotal_evidence_missing_context</x:v>
      </x:c>
      <x:c r="B183" s="13" t="str">
        <x:v>anecdotal_evidence</x:v>
      </x:c>
      <x:c r="C183" s="13" t="str">
        <x:v>Anecdotal evidence</x:v>
      </x:c>
      <x:c r="D183" s="13" t="str">
        <x:v>اتکای بیش از حد به روایت فردی</x:v>
      </x:c>
      <x:c r="E183" s="13" t="str">
        <x:v>Missing-context variant</x:v>
      </x:c>
      <x:c r="F183" s="13" t="str">
        <x:v>evidence_failures</x:v>
      </x:c>
      <x:c r="G183" s="13" t="str">
        <x:v>operational_variant</x:v>
      </x:c>
      <x:c r="H183" s="13" t="str">
        <x:v>contextual</x:v>
      </x:c>
      <x:c r="I183" s="13" t="str">
        <x:v>claim+context</x:v>
      </x:c>
      <x:c r="J183" s="13" t="str">
        <x:v>derived_operational_subtype</x:v>
      </x:c>
      <x:c r="K183" s="13" t="str">
        <x:v>derived_from_established_parent_review_required</x:v>
      </x:c>
      <x:c r="L183" s="13" t="str">
        <x:v>P2</x:v>
      </x:c>
      <x:c r="M183" s="13" t="str">
        <x:v>no</x:v>
      </x:c>
      <x:c r="N183" s="13" t="str">
        <x:v>Operational subtype under Anecdotal evidence: context needed to evaluate the evidence is absent. Parent definition: Using isolated stories as if they establish a general claim.</x:v>
      </x:c>
      <x:c r="O183" s="13" t="str">
        <x:v>Look for: explicit claim-level evidence; parent-family cues for Anecdotal evidence; variant cue: context needed to evaluate the evidence is absent; avoid author-level inference.</x:v>
      </x:c>
      <x:c r="P183" s="13" t="str">
        <x:v>Exact evidence span in text plus claim-level reasoning link; for contextual/discourse entries, require surrounding context.</x:v>
      </x:c>
      <x:c r="Q183" s="13" t="str">
        <x:v>Do not label merely because topic is controversial, emotional, or wrong. Do not judge intent or personality. Require textual evidence and consider healthy-reasoning cues.</x:v>
      </x:c>
      <x:c r="R183" s="13" t="str">
        <x:v>Stub: A claim relies on context needed to evaluate the evidence is absent to support a conclusion without adequate qualification.</x:v>
      </x:c>
      <x:c r="S183" s="13" t="str">
        <x:v>Stub: A claim discusses anecdotal evidence with caveats, balanced evidence, or no argumentative use of the pattern.</x:v>
      </x:c>
      <x:c r="T183" s="13" t="str">
        <x:v>Mild or ambiguous cue; do not classify without clear evidence span.</x:v>
      </x:c>
      <x:c r="U183" s="13" t="str">
        <x:v>Clear claim-level pattern with some argumentative impact.</x:v>
      </x:c>
      <x:c r="V183" s="13" t="str">
        <x:v>Strong pattern central to the conclusion and likely to materially distort reasoning.</x:v>
      </x:c>
      <x:c r="W183" s="13" t="str"/>
      <x:c r="X183" s="13" t="str">
        <x:v>sep_informal_logic</x:v>
      </x:c>
      <x:c r="Y183" s="13" t="str">
        <x:v>https://plato.stanford.edu/entries/logic-informal/</x:v>
      </x:c>
      <x:c r="Z183" s="13" t="str">
        <x:v>Review before enabling. This workbook is a living taxonomy scaffold, not a validated scientific benchmark.</x:v>
      </x:c>
      <x:c r="AA183" s="13" t="str">
        <x:v>0.1.0-draft</x:v>
      </x:c>
      <x:c r="AB183" s="12" t="str">
        <x:f>IF(ISNUMBER(SEARCH("healthy",F183)),"healthy_reasoning_patterns",IF(ISNUMBER(SEARCH("statistical",F183)),"statistical_reasoning",IF(ISNUMBER(SEARCH("causal",F183)),"causal_reasoning",IF(ISNUMBER(SEARCH("social",F183)),"social_influence",IF(ISNUMBER(SEARCH("rhetoric",F183)),"rhetoric_discourse",IF(ISNUMBER(SEARCH("behavior",F183)),"behavioural_economics",IF(ISNUMBER(SEARCH("cognitive",F183)),"cognitive_biases",IF(J183="protective_pattern","healthy_reasoning_patterns",IF(L183="P0","core_mvp","extended_fallacies")))))))))</x:f>
        <x:v>extended_fallacies</x:v>
      </x:c>
      <x:c r="AC183" s="12" t="str">
        <x:f>IF(ISNUMBER(SEARCH("operational",J183)),"operational",IF(ISNUMBER(SEARCH("deprecated",J183)),"deprecated",IF(L183="P0","canonical","recognized_subtype")))</x:f>
        <x:v>operational</x:v>
      </x:c>
      <x:c r="AD183" s="12" t="str">
        <x:f>IF(AC183="canonical","high",IF(AC183="recognized_subtype","medium",IF(AC183="operational","operational_only","debated")))</x:f>
        <x:v>operational_only</x:v>
      </x:c>
      <x:c r="AE183" s="12" t="str">
        <x:f>IF(AC183="deprecated","deprecated",IF(M183="yes","active",IF(M183="review","review_required","backlog")))</x:f>
        <x:v>backlog</x:v>
      </x:c>
      <x:c r="AF183" s="12" t="str">
        <x:f>IF(OR(AE183="active",AE183="review_required"),"yes","no")</x:f>
        <x:v>no</x:v>
      </x:c>
      <x:c r="AG183" s="12" t="str">
        <x:f>IF(AND(AE183="active",M183="yes",NOT(ISNUMBER(SEARCH("healthy",AB183)))),"yes","no")</x:f>
        <x:v>no</x:v>
      </x:c>
      <x:c r="AH183" s="12" t="str">
        <x:f>IF(OR(H183="contextual",H183="dialogue",H183="discourse",I183="claim+context",I183="discourse_segment"),"yes","no")</x:f>
        <x:v>yes</x:v>
      </x:c>
      <x:c r="AI183" s="12" t="str">
        <x:f>IF(OR(AH183="yes",AD183="debated",AC183="operational"),"yes","no")</x:f>
        <x:v>yes</x:v>
      </x:c>
      <x:c r="AJ183" s="12" t="str">
        <x:f>IF(OR(AH183="yes",AC183="operational",AD183="debated"),"high",IF(AND(AG183="yes",L183="P0"),"medium","low"))</x:f>
        <x:v>high</x:v>
      </x:c>
      <x:c r="AK183" s="12" t="str">
        <x:f>IF(ISNUMBER(SEARCH("healthy",AB183)),"yes","no")</x:f>
        <x:v>no</x:v>
      </x:c>
      <x:c r="AL183" s="12" t="str">
        <x:f>IF(AG183="yes","yes","candidate_only")</x:f>
        <x:v>candidate_only</x:v>
      </x:c>
      <x:c r="AM183" s="12" t="str">
        <x:f>IF(OR(AC183="canonical",AG183="yes"),"yes","recommended")</x:f>
        <x:v>recommended</x:v>
      </x:c>
      <x:c r="AN183" s="12" t="str">
        <x:f>IF(AC183="deprecated","exclude",IF(AND(AG183="yes",AJ183="high"),"import_but_human_review_required",IF(AG183="yes","import_as_active","import_as_backlog")))</x:f>
        <x:v>import_as_backlog</x:v>
      </x:c>
      <x:c r="AO183" s="12" t="str">
        <x:f>IF(AND(AG183="yes",OR(P183="",Q183="",R183="",S183="")),"missing_required_mvp_fields",IF(AND(AC183="canonical",Y183=""),"missing_source_ref","ok"))</x:f>
        <x:v>ok</x:v>
      </x:c>
      <x:c r="AP183" s="12" t="str">
        <x:f>IF(AO183="ok","ready_for_codex_import","needs_review")</x:f>
        <x:v>ready_for_codex_import</x:v>
      </x:c>
      <x:c r="AQ183" s="12"/>
      <x:c r="AR183" s="12" t="str">
        <x:v>Added v2 operational fields. Review before classification activation.</x:v>
      </x:c>
    </x:row>
    <x:row r="184">
      <x:c r="A184" s="13" t="str">
        <x:v>selection_bias_argument_missing_context</x:v>
      </x:c>
      <x:c r="B184" s="13" t="str">
        <x:v>selection_bias_argument</x:v>
      </x:c>
      <x:c r="C184" s="13" t="str">
        <x:v>Selection bias in argument</x:v>
      </x:c>
      <x:c r="D184" s="13" t="str">
        <x:v>سوگیری انتخاب نمونه</x:v>
      </x:c>
      <x:c r="E184" s="13" t="str">
        <x:v>Missing-context variant</x:v>
      </x:c>
      <x:c r="F184" s="13" t="str">
        <x:v>evidence_failures</x:v>
      </x:c>
      <x:c r="G184" s="13" t="str">
        <x:v>operational_variant</x:v>
      </x:c>
      <x:c r="H184" s="13" t="str">
        <x:v>contextual</x:v>
      </x:c>
      <x:c r="I184" s="13" t="str">
        <x:v>claim+context</x:v>
      </x:c>
      <x:c r="J184" s="13" t="str">
        <x:v>derived_operational_subtype</x:v>
      </x:c>
      <x:c r="K184" s="13" t="str">
        <x:v>derived_from_established_parent_review_required</x:v>
      </x:c>
      <x:c r="L184" s="13" t="str">
        <x:v>P2</x:v>
      </x:c>
      <x:c r="M184" s="13" t="str">
        <x:v>no</x:v>
      </x:c>
      <x:c r="N184" s="13" t="str">
        <x:v>Operational subtype under Selection bias in argument: context needed to evaluate the evidence is absent. Parent definition: Basing a conclusion on a sample selected in a systematically distorted way.</x:v>
      </x:c>
      <x:c r="O184" s="13" t="str">
        <x:v>Look for: explicit claim-level evidence; parent-family cues for Selection bias in argument; variant cue: context needed to evaluate the evidence is absent; avoid author-level inference.</x:v>
      </x:c>
      <x:c r="P184" s="13" t="str">
        <x:v>Exact evidence span in text plus claim-level reasoning link; for contextual/discourse entries, require surrounding context.</x:v>
      </x:c>
      <x:c r="Q184" s="13" t="str">
        <x:v>Do not label merely because topic is controversial, emotional, or wrong. Do not judge intent or personality. Require textual evidence and consider healthy-reasoning cues.</x:v>
      </x:c>
      <x:c r="R184" s="13" t="str">
        <x:v>Stub: A claim relies on context needed to evaluate the evidence is absent to support a conclusion without adequate qualification.</x:v>
      </x:c>
      <x:c r="S184" s="13" t="str">
        <x:v>Stub: A claim discusses selection bias in argument with caveats, balanced evidence, or no argumentative use of the pattern.</x:v>
      </x:c>
      <x:c r="T184" s="13" t="str">
        <x:v>Mild or ambiguous cue; do not classify without clear evidence span.</x:v>
      </x:c>
      <x:c r="U184" s="13" t="str">
        <x:v>Clear claim-level pattern with some argumentative impact.</x:v>
      </x:c>
      <x:c r="V184" s="13" t="str">
        <x:v>Strong pattern central to the conclusion and likely to materially distort reasoning.</x:v>
      </x:c>
      <x:c r="W184" s="13" t="str"/>
      <x:c r="X184" s="13" t="str">
        <x:v>sep_informal_logic</x:v>
      </x:c>
      <x:c r="Y184" s="13" t="str">
        <x:v>https://plato.stanford.edu/entries/logic-informal/</x:v>
      </x:c>
      <x:c r="Z184" s="13" t="str">
        <x:v>Review before enabling. This workbook is a living taxonomy scaffold, not a validated scientific benchmark.</x:v>
      </x:c>
      <x:c r="AA184" s="13" t="str">
        <x:v>0.1.0-draft</x:v>
      </x:c>
      <x:c r="AB184" s="12" t="str">
        <x:f>IF(ISNUMBER(SEARCH("healthy",F184)),"healthy_reasoning_patterns",IF(ISNUMBER(SEARCH("statistical",F184)),"statistical_reasoning",IF(ISNUMBER(SEARCH("causal",F184)),"causal_reasoning",IF(ISNUMBER(SEARCH("social",F184)),"social_influence",IF(ISNUMBER(SEARCH("rhetoric",F184)),"rhetoric_discourse",IF(ISNUMBER(SEARCH("behavior",F184)),"behavioural_economics",IF(ISNUMBER(SEARCH("cognitive",F184)),"cognitive_biases",IF(J184="protective_pattern","healthy_reasoning_patterns",IF(L184="P0","core_mvp","extended_fallacies")))))))))</x:f>
        <x:v>extended_fallacies</x:v>
      </x:c>
      <x:c r="AC184" s="12" t="str">
        <x:f>IF(ISNUMBER(SEARCH("operational",J184)),"operational",IF(ISNUMBER(SEARCH("deprecated",J184)),"deprecated",IF(L184="P0","canonical","recognized_subtype")))</x:f>
        <x:v>operational</x:v>
      </x:c>
      <x:c r="AD184" s="12" t="str">
        <x:f>IF(AC184="canonical","high",IF(AC184="recognized_subtype","medium",IF(AC184="operational","operational_only","debated")))</x:f>
        <x:v>operational_only</x:v>
      </x:c>
      <x:c r="AE184" s="12" t="str">
        <x:f>IF(AC184="deprecated","deprecated",IF(M184="yes","active",IF(M184="review","review_required","backlog")))</x:f>
        <x:v>backlog</x:v>
      </x:c>
      <x:c r="AF184" s="12" t="str">
        <x:f>IF(OR(AE184="active",AE184="review_required"),"yes","no")</x:f>
        <x:v>no</x:v>
      </x:c>
      <x:c r="AG184" s="12" t="str">
        <x:f>IF(AND(AE184="active",M184="yes",NOT(ISNUMBER(SEARCH("healthy",AB184)))),"yes","no")</x:f>
        <x:v>no</x:v>
      </x:c>
      <x:c r="AH184" s="12" t="str">
        <x:f>IF(OR(H184="contextual",H184="dialogue",H184="discourse",I184="claim+context",I184="discourse_segment"),"yes","no")</x:f>
        <x:v>yes</x:v>
      </x:c>
      <x:c r="AI184" s="12" t="str">
        <x:f>IF(OR(AH184="yes",AD184="debated",AC184="operational"),"yes","no")</x:f>
        <x:v>yes</x:v>
      </x:c>
      <x:c r="AJ184" s="12" t="str">
        <x:f>IF(OR(AH184="yes",AC184="operational",AD184="debated"),"high",IF(AND(AG184="yes",L184="P0"),"medium","low"))</x:f>
        <x:v>high</x:v>
      </x:c>
      <x:c r="AK184" s="12" t="str">
        <x:f>IF(ISNUMBER(SEARCH("healthy",AB184)),"yes","no")</x:f>
        <x:v>no</x:v>
      </x:c>
      <x:c r="AL184" s="12" t="str">
        <x:f>IF(AG184="yes","yes","candidate_only")</x:f>
        <x:v>candidate_only</x:v>
      </x:c>
      <x:c r="AM184" s="12" t="str">
        <x:f>IF(OR(AC184="canonical",AG184="yes"),"yes","recommended")</x:f>
        <x:v>recommended</x:v>
      </x:c>
      <x:c r="AN184" s="12" t="str">
        <x:f>IF(AC184="deprecated","exclude",IF(AND(AG184="yes",AJ184="high"),"import_but_human_review_required",IF(AG184="yes","import_as_active","import_as_backlog")))</x:f>
        <x:v>import_as_backlog</x:v>
      </x:c>
      <x:c r="AO184" s="12" t="str">
        <x:f>IF(AND(AG184="yes",OR(P184="",Q184="",R184="",S184="")),"missing_required_mvp_fields",IF(AND(AC184="canonical",Y184=""),"missing_source_ref","ok"))</x:f>
        <x:v>ok</x:v>
      </x:c>
      <x:c r="AP184" s="12" t="str">
        <x:f>IF(AO184="ok","ready_for_codex_import","needs_review")</x:f>
        <x:v>ready_for_codex_import</x:v>
      </x:c>
      <x:c r="AQ184" s="12"/>
      <x:c r="AR184" s="12" t="str">
        <x:v>Added v2 operational fields. Review before classification activation.</x:v>
      </x:c>
    </x:row>
    <x:row r="185">
      <x:c r="A185" s="13" t="str">
        <x:v>sample_size_neglect_missing_context</x:v>
      </x:c>
      <x:c r="B185" s="13" t="str">
        <x:v>sample_size_neglect</x:v>
      </x:c>
      <x:c r="C185" s="13" t="str">
        <x:v>Sample size neglect</x:v>
      </x:c>
      <x:c r="D185" s="13" t="str">
        <x:v>نادیده‌گرفتن اندازه نمونه</x:v>
      </x:c>
      <x:c r="E185" s="13" t="str">
        <x:v>Missing-context variant</x:v>
      </x:c>
      <x:c r="F185" s="13" t="str">
        <x:v>evidence_failures</x:v>
      </x:c>
      <x:c r="G185" s="13" t="str">
        <x:v>operational_variant</x:v>
      </x:c>
      <x:c r="H185" s="13" t="str">
        <x:v>contextual</x:v>
      </x:c>
      <x:c r="I185" s="13" t="str">
        <x:v>claim+context</x:v>
      </x:c>
      <x:c r="J185" s="13" t="str">
        <x:v>derived_operational_subtype</x:v>
      </x:c>
      <x:c r="K185" s="13" t="str">
        <x:v>derived_from_established_parent_review_required</x:v>
      </x:c>
      <x:c r="L185" s="13" t="str">
        <x:v>P2</x:v>
      </x:c>
      <x:c r="M185" s="13" t="str">
        <x:v>no</x:v>
      </x:c>
      <x:c r="N185" s="13" t="str">
        <x:v>Operational subtype under Sample size neglect: context needed to evaluate the evidence is absent. Parent definition: Ignoring whether the amount of evidence is sufficient for the inference.</x:v>
      </x:c>
      <x:c r="O185" s="13" t="str">
        <x:v>Look for: explicit claim-level evidence; parent-family cues for Sample size neglect; variant cue: context needed to evaluate the evidence is absent; avoid author-level inference.</x:v>
      </x:c>
      <x:c r="P185" s="13" t="str">
        <x:v>Exact evidence span in text plus claim-level reasoning link; for contextual/discourse entries, require surrounding context.</x:v>
      </x:c>
      <x:c r="Q185" s="13" t="str">
        <x:v>Do not label merely because topic is controversial, emotional, or wrong. Do not judge intent or personality. Require textual evidence and consider healthy-reasoning cues.</x:v>
      </x:c>
      <x:c r="R185" s="13" t="str">
        <x:v>Stub: A claim relies on context needed to evaluate the evidence is absent to support a conclusion without adequate qualification.</x:v>
      </x:c>
      <x:c r="S185" s="13" t="str">
        <x:v>Stub: A claim discusses sample size neglect with caveats, balanced evidence, or no argumentative use of the pattern.</x:v>
      </x:c>
      <x:c r="T185" s="13" t="str">
        <x:v>Mild or ambiguous cue; do not classify without clear evidence span.</x:v>
      </x:c>
      <x:c r="U185" s="13" t="str">
        <x:v>Clear claim-level pattern with some argumentative impact.</x:v>
      </x:c>
      <x:c r="V185" s="13" t="str">
        <x:v>Strong pattern central to the conclusion and likely to materially distort reasoning.</x:v>
      </x:c>
      <x:c r="W185" s="13" t="str">
        <x:v>cherry_picking; missing_counterevidence; evidence_grading</x:v>
      </x:c>
      <x:c r="X185" s="13" t="str">
        <x:v>kahneman_tversky_heuristics_1974</x:v>
      </x:c>
      <x:c r="Y185" s="13" t="str">
        <x:v>https://doi.org/10.1126/science.185.4157.1124</x:v>
      </x:c>
      <x:c r="Z185" s="13" t="str">
        <x:v>Review before enabling. This workbook is a living taxonomy scaffold, not a validated scientific benchmark.</x:v>
      </x:c>
      <x:c r="AA185" s="13" t="str">
        <x:v>0.1.0-draft</x:v>
      </x:c>
      <x:c r="AB185" s="12" t="str">
        <x:f>IF(ISNUMBER(SEARCH("healthy",F185)),"healthy_reasoning_patterns",IF(ISNUMBER(SEARCH("statistical",F185)),"statistical_reasoning",IF(ISNUMBER(SEARCH("causal",F185)),"causal_reasoning",IF(ISNUMBER(SEARCH("social",F185)),"social_influence",IF(ISNUMBER(SEARCH("rhetoric",F185)),"rhetoric_discourse",IF(ISNUMBER(SEARCH("behavior",F185)),"behavioural_economics",IF(ISNUMBER(SEARCH("cognitive",F185)),"cognitive_biases",IF(J185="protective_pattern","healthy_reasoning_patterns",IF(L185="P0","core_mvp","extended_fallacies")))))))))</x:f>
        <x:v>extended_fallacies</x:v>
      </x:c>
      <x:c r="AC185" s="12" t="str">
        <x:f>IF(ISNUMBER(SEARCH("operational",J185)),"operational",IF(ISNUMBER(SEARCH("deprecated",J185)),"deprecated",IF(L185="P0","canonical","recognized_subtype")))</x:f>
        <x:v>operational</x:v>
      </x:c>
      <x:c r="AD185" s="12" t="str">
        <x:f>IF(AC185="canonical","high",IF(AC185="recognized_subtype","medium",IF(AC185="operational","operational_only","debated")))</x:f>
        <x:v>operational_only</x:v>
      </x:c>
      <x:c r="AE185" s="12" t="str">
        <x:f>IF(AC185="deprecated","deprecated",IF(M185="yes","active",IF(M185="review","review_required","backlog")))</x:f>
        <x:v>backlog</x:v>
      </x:c>
      <x:c r="AF185" s="12" t="str">
        <x:f>IF(OR(AE185="active",AE185="review_required"),"yes","no")</x:f>
        <x:v>no</x:v>
      </x:c>
      <x:c r="AG185" s="12" t="str">
        <x:f>IF(AND(AE185="active",M185="yes",NOT(ISNUMBER(SEARCH("healthy",AB185)))),"yes","no")</x:f>
        <x:v>no</x:v>
      </x:c>
      <x:c r="AH185" s="12" t="str">
        <x:f>IF(OR(H185="contextual",H185="dialogue",H185="discourse",I185="claim+context",I185="discourse_segment"),"yes","no")</x:f>
        <x:v>yes</x:v>
      </x:c>
      <x:c r="AI185" s="12" t="str">
        <x:f>IF(OR(AH185="yes",AD185="debated",AC185="operational"),"yes","no")</x:f>
        <x:v>yes</x:v>
      </x:c>
      <x:c r="AJ185" s="12" t="str">
        <x:f>IF(OR(AH185="yes",AC185="operational",AD185="debated"),"high",IF(AND(AG185="yes",L185="P0"),"medium","low"))</x:f>
        <x:v>high</x:v>
      </x:c>
      <x:c r="AK185" s="12" t="str">
        <x:f>IF(ISNUMBER(SEARCH("healthy",AB185)),"yes","no")</x:f>
        <x:v>no</x:v>
      </x:c>
      <x:c r="AL185" s="12" t="str">
        <x:f>IF(AG185="yes","yes","candidate_only")</x:f>
        <x:v>candidate_only</x:v>
      </x:c>
      <x:c r="AM185" s="12" t="str">
        <x:f>IF(OR(AC185="canonical",AG185="yes"),"yes","recommended")</x:f>
        <x:v>recommended</x:v>
      </x:c>
      <x:c r="AN185" s="12" t="str">
        <x:f>IF(AC185="deprecated","exclude",IF(AND(AG185="yes",AJ185="high"),"import_but_human_review_required",IF(AG185="yes","import_as_active","import_as_backlog")))</x:f>
        <x:v>import_as_backlog</x:v>
      </x:c>
      <x:c r="AO185" s="12" t="str">
        <x:f>IF(AND(AG185="yes",OR(P185="",Q185="",R185="",S185="")),"missing_required_mvp_fields",IF(AND(AC185="canonical",Y185=""),"missing_source_ref","ok"))</x:f>
        <x:v>ok</x:v>
      </x:c>
      <x:c r="AP185" s="12" t="str">
        <x:f>IF(AO185="ok","ready_for_codex_import","needs_review")</x:f>
        <x:v>ready_for_codex_import</x:v>
      </x:c>
      <x:c r="AQ185" s="12"/>
      <x:c r="AR185" s="12" t="str">
        <x:v>Added v2 operational fields. Review before classification activation.</x:v>
      </x:c>
    </x:row>
    <x:row r="186">
      <x:c r="A186" s="13" t="str">
        <x:v>unrepresentative_sample_missing_context</x:v>
      </x:c>
      <x:c r="B186" s="13" t="str">
        <x:v>unrepresentative_sample</x:v>
      </x:c>
      <x:c r="C186" s="13" t="str">
        <x:v>Unrepresentative sample</x:v>
      </x:c>
      <x:c r="D186" s="13" t="str">
        <x:v>نمونه نامعرف</x:v>
      </x:c>
      <x:c r="E186" s="13" t="str">
        <x:v>Missing-context variant</x:v>
      </x:c>
      <x:c r="F186" s="13" t="str">
        <x:v>evidence_failures</x:v>
      </x:c>
      <x:c r="G186" s="13" t="str">
        <x:v>operational_variant</x:v>
      </x:c>
      <x:c r="H186" s="13" t="str">
        <x:v>contextual</x:v>
      </x:c>
      <x:c r="I186" s="13" t="str">
        <x:v>claim+context</x:v>
      </x:c>
      <x:c r="J186" s="13" t="str">
        <x:v>derived_operational_subtype</x:v>
      </x:c>
      <x:c r="K186" s="13" t="str">
        <x:v>derived_from_established_parent_review_required</x:v>
      </x:c>
      <x:c r="L186" s="13" t="str">
        <x:v>P2</x:v>
      </x:c>
      <x:c r="M186" s="13" t="str">
        <x:v>no</x:v>
      </x:c>
      <x:c r="N186" s="13" t="str">
        <x:v>Operational subtype under Unrepresentative sample: context needed to evaluate the evidence is absent. Parent definition: Using a sample that does not plausibly represent the target population.</x:v>
      </x:c>
      <x:c r="O186" s="13" t="str">
        <x:v>Look for: explicit claim-level evidence; parent-family cues for Unrepresentative sample; variant cue: context needed to evaluate the evidence is absent; avoid author-level inference.</x:v>
      </x:c>
      <x:c r="P186" s="13" t="str">
        <x:v>Exact evidence span in text plus claim-level reasoning link; for contextual/discourse entries, require surrounding context.</x:v>
      </x:c>
      <x:c r="Q186" s="13" t="str">
        <x:v>Do not label merely because topic is controversial, emotional, or wrong. Do not judge intent or personality. Require textual evidence and consider healthy-reasoning cues.</x:v>
      </x:c>
      <x:c r="R186" s="13" t="str">
        <x:v>Stub: A claim relies on context needed to evaluate the evidence is absent to support a conclusion without adequate qualification.</x:v>
      </x:c>
      <x:c r="S186" s="13" t="str">
        <x:v>Stub: A claim discusses unrepresentative sample with caveats, balanced evidence, or no argumentative use of the pattern.</x:v>
      </x:c>
      <x:c r="T186" s="13" t="str">
        <x:v>Mild or ambiguous cue; do not classify without clear evidence span.</x:v>
      </x:c>
      <x:c r="U186" s="13" t="str">
        <x:v>Clear claim-level pattern with some argumentative impact.</x:v>
      </x:c>
      <x:c r="V186" s="13" t="str">
        <x:v>Strong pattern central to the conclusion and likely to materially distort reasoning.</x:v>
      </x:c>
      <x:c r="W186" s="13" t="str"/>
      <x:c r="X186" s="13" t="str">
        <x:v>sep_informal_logic</x:v>
      </x:c>
      <x:c r="Y186" s="13" t="str">
        <x:v>https://plato.stanford.edu/entries/logic-informal/</x:v>
      </x:c>
      <x:c r="Z186" s="13" t="str">
        <x:v>Review before enabling. This workbook is a living taxonomy scaffold, not a validated scientific benchmark.</x:v>
      </x:c>
      <x:c r="AA186" s="13" t="str">
        <x:v>0.1.0-draft</x:v>
      </x:c>
      <x:c r="AB186" s="12" t="str">
        <x:f>IF(ISNUMBER(SEARCH("healthy",F186)),"healthy_reasoning_patterns",IF(ISNUMBER(SEARCH("statistical",F186)),"statistical_reasoning",IF(ISNUMBER(SEARCH("causal",F186)),"causal_reasoning",IF(ISNUMBER(SEARCH("social",F186)),"social_influence",IF(ISNUMBER(SEARCH("rhetoric",F186)),"rhetoric_discourse",IF(ISNUMBER(SEARCH("behavior",F186)),"behavioural_economics",IF(ISNUMBER(SEARCH("cognitive",F186)),"cognitive_biases",IF(J186="protective_pattern","healthy_reasoning_patterns",IF(L186="P0","core_mvp","extended_fallacies")))))))))</x:f>
        <x:v>extended_fallacies</x:v>
      </x:c>
      <x:c r="AC186" s="12" t="str">
        <x:f>IF(ISNUMBER(SEARCH("operational",J186)),"operational",IF(ISNUMBER(SEARCH("deprecated",J186)),"deprecated",IF(L186="P0","canonical","recognized_subtype")))</x:f>
        <x:v>operational</x:v>
      </x:c>
      <x:c r="AD186" s="12" t="str">
        <x:f>IF(AC186="canonical","high",IF(AC186="recognized_subtype","medium",IF(AC186="operational","operational_only","debated")))</x:f>
        <x:v>operational_only</x:v>
      </x:c>
      <x:c r="AE186" s="12" t="str">
        <x:f>IF(AC186="deprecated","deprecated",IF(M186="yes","active",IF(M186="review","review_required","backlog")))</x:f>
        <x:v>backlog</x:v>
      </x:c>
      <x:c r="AF186" s="12" t="str">
        <x:f>IF(OR(AE186="active",AE186="review_required"),"yes","no")</x:f>
        <x:v>no</x:v>
      </x:c>
      <x:c r="AG186" s="12" t="str">
        <x:f>IF(AND(AE186="active",M186="yes",NOT(ISNUMBER(SEARCH("healthy",AB186)))),"yes","no")</x:f>
        <x:v>no</x:v>
      </x:c>
      <x:c r="AH186" s="12" t="str">
        <x:f>IF(OR(H186="contextual",H186="dialogue",H186="discourse",I186="claim+context",I186="discourse_segment"),"yes","no")</x:f>
        <x:v>yes</x:v>
      </x:c>
      <x:c r="AI186" s="12" t="str">
        <x:f>IF(OR(AH186="yes",AD186="debated",AC186="operational"),"yes","no")</x:f>
        <x:v>yes</x:v>
      </x:c>
      <x:c r="AJ186" s="12" t="str">
        <x:f>IF(OR(AH186="yes",AC186="operational",AD186="debated"),"high",IF(AND(AG186="yes",L186="P0"),"medium","low"))</x:f>
        <x:v>high</x:v>
      </x:c>
      <x:c r="AK186" s="12" t="str">
        <x:f>IF(ISNUMBER(SEARCH("healthy",AB186)),"yes","no")</x:f>
        <x:v>no</x:v>
      </x:c>
      <x:c r="AL186" s="12" t="str">
        <x:f>IF(AG186="yes","yes","candidate_only")</x:f>
        <x:v>candidate_only</x:v>
      </x:c>
      <x:c r="AM186" s="12" t="str">
        <x:f>IF(OR(AC186="canonical",AG186="yes"),"yes","recommended")</x:f>
        <x:v>recommended</x:v>
      </x:c>
      <x:c r="AN186" s="12" t="str">
        <x:f>IF(AC186="deprecated","exclude",IF(AND(AG186="yes",AJ186="high"),"import_but_human_review_required",IF(AG186="yes","import_as_active","import_as_backlog")))</x:f>
        <x:v>import_as_backlog</x:v>
      </x:c>
      <x:c r="AO186" s="12" t="str">
        <x:f>IF(AND(AG186="yes",OR(P186="",Q186="",R186="",S186="")),"missing_required_mvp_fields",IF(AND(AC186="canonical",Y186=""),"missing_source_ref","ok"))</x:f>
        <x:v>ok</x:v>
      </x:c>
      <x:c r="AP186" s="12" t="str">
        <x:f>IF(AO186="ok","ready_for_codex_import","needs_review")</x:f>
        <x:v>ready_for_codex_import</x:v>
      </x:c>
      <x:c r="AQ186" s="12"/>
      <x:c r="AR186" s="12" t="str">
        <x:v>Added v2 operational fields. Review before classification activation.</x:v>
      </x:c>
    </x:row>
    <x:row r="187">
      <x:c r="A187" s="13" t="str">
        <x:v>survivorship_bias_missing_context</x:v>
      </x:c>
      <x:c r="B187" s="13" t="str">
        <x:v>survivorship_bias</x:v>
      </x:c>
      <x:c r="C187" s="13" t="str">
        <x:v>Survivorship bias</x:v>
      </x:c>
      <x:c r="D187" s="13" t="str">
        <x:v>سوگیری بازماندگان</x:v>
      </x:c>
      <x:c r="E187" s="13" t="str">
        <x:v>Missing-context variant</x:v>
      </x:c>
      <x:c r="F187" s="13" t="str">
        <x:v>evidence_failures</x:v>
      </x:c>
      <x:c r="G187" s="13" t="str">
        <x:v>operational_variant</x:v>
      </x:c>
      <x:c r="H187" s="13" t="str">
        <x:v>contextual</x:v>
      </x:c>
      <x:c r="I187" s="13" t="str">
        <x:v>claim+context</x:v>
      </x:c>
      <x:c r="J187" s="13" t="str">
        <x:v>derived_operational_subtype</x:v>
      </x:c>
      <x:c r="K187" s="13" t="str">
        <x:v>derived_from_established_parent_review_required</x:v>
      </x:c>
      <x:c r="L187" s="13" t="str">
        <x:v>P2</x:v>
      </x:c>
      <x:c r="M187" s="13" t="str">
        <x:v>no</x:v>
      </x:c>
      <x:c r="N187" s="13" t="str">
        <x:v>Operational subtype under Survivorship bias: context needed to evaluate the evidence is absent. Parent definition: Focusing on visible successes or survivors while ignoring missing failures.</x:v>
      </x:c>
      <x:c r="O187" s="13" t="str">
        <x:v>Look for: explicit claim-level evidence; parent-family cues for Survivorship bias; variant cue: context needed to evaluate the evidence is absent; avoid author-level inference.</x:v>
      </x:c>
      <x:c r="P187" s="13" t="str">
        <x:v>Exact evidence span in text plus claim-level reasoning link; for contextual/discourse entries, require surrounding context.</x:v>
      </x:c>
      <x:c r="Q187" s="13" t="str">
        <x:v>Do not label merely because topic is controversial, emotional, or wrong. Do not judge intent or personality. Require textual evidence and consider healthy-reasoning cues.</x:v>
      </x:c>
      <x:c r="R187" s="13" t="str">
        <x:v>Stub: A claim relies on context needed to evaluate the evidence is absent to support a conclusion without adequate qualification.</x:v>
      </x:c>
      <x:c r="S187" s="13" t="str">
        <x:v>Stub: A claim discusses survivorship bias with caveats, balanced evidence, or no argumentative use of the pattern.</x:v>
      </x:c>
      <x:c r="T187" s="13" t="str">
        <x:v>Mild or ambiguous cue; do not classify without clear evidence span.</x:v>
      </x:c>
      <x:c r="U187" s="13" t="str">
        <x:v>Clear claim-level pattern with some argumentative impact.</x:v>
      </x:c>
      <x:c r="V187" s="13" t="str">
        <x:v>Strong pattern central to the conclusion and likely to materially distort reasoning.</x:v>
      </x:c>
      <x:c r="W187" s="13" t="str"/>
      <x:c r="X187" s="13" t="str">
        <x:v>gilovich_heuristics_biases</x:v>
      </x:c>
      <x:c r="Y187" s="13" t="str">
        <x:v>https://www.cambridge.org/core/books/heuristics-and-biases/3C30D3B05D2F190C3B8BE5E2531EFD24</x:v>
      </x:c>
      <x:c r="Z187" s="13" t="str">
        <x:v>Review before enabling. This workbook is a living taxonomy scaffold, not a validated scientific benchmark.</x:v>
      </x:c>
      <x:c r="AA187" s="13" t="str">
        <x:v>0.1.0-draft</x:v>
      </x:c>
      <x:c r="AB187" s="12" t="str">
        <x:f>IF(ISNUMBER(SEARCH("healthy",F187)),"healthy_reasoning_patterns",IF(ISNUMBER(SEARCH("statistical",F187)),"statistical_reasoning",IF(ISNUMBER(SEARCH("causal",F187)),"causal_reasoning",IF(ISNUMBER(SEARCH("social",F187)),"social_influence",IF(ISNUMBER(SEARCH("rhetoric",F187)),"rhetoric_discourse",IF(ISNUMBER(SEARCH("behavior",F187)),"behavioural_economics",IF(ISNUMBER(SEARCH("cognitive",F187)),"cognitive_biases",IF(J187="protective_pattern","healthy_reasoning_patterns",IF(L187="P0","core_mvp","extended_fallacies")))))))))</x:f>
        <x:v>extended_fallacies</x:v>
      </x:c>
      <x:c r="AC187" s="12" t="str">
        <x:f>IF(ISNUMBER(SEARCH("operational",J187)),"operational",IF(ISNUMBER(SEARCH("deprecated",J187)),"deprecated",IF(L187="P0","canonical","recognized_subtype")))</x:f>
        <x:v>operational</x:v>
      </x:c>
      <x:c r="AD187" s="12" t="str">
        <x:f>IF(AC187="canonical","high",IF(AC187="recognized_subtype","medium",IF(AC187="operational","operational_only","debated")))</x:f>
        <x:v>operational_only</x:v>
      </x:c>
      <x:c r="AE187" s="12" t="str">
        <x:f>IF(AC187="deprecated","deprecated",IF(M187="yes","active",IF(M187="review","review_required","backlog")))</x:f>
        <x:v>backlog</x:v>
      </x:c>
      <x:c r="AF187" s="12" t="str">
        <x:f>IF(OR(AE187="active",AE187="review_required"),"yes","no")</x:f>
        <x:v>no</x:v>
      </x:c>
      <x:c r="AG187" s="12" t="str">
        <x:f>IF(AND(AE187="active",M187="yes",NOT(ISNUMBER(SEARCH("healthy",AB187)))),"yes","no")</x:f>
        <x:v>no</x:v>
      </x:c>
      <x:c r="AH187" s="12" t="str">
        <x:f>IF(OR(H187="contextual",H187="dialogue",H187="discourse",I187="claim+context",I187="discourse_segment"),"yes","no")</x:f>
        <x:v>yes</x:v>
      </x:c>
      <x:c r="AI187" s="12" t="str">
        <x:f>IF(OR(AH187="yes",AD187="debated",AC187="operational"),"yes","no")</x:f>
        <x:v>yes</x:v>
      </x:c>
      <x:c r="AJ187" s="12" t="str">
        <x:f>IF(OR(AH187="yes",AC187="operational",AD187="debated"),"high",IF(AND(AG187="yes",L187="P0"),"medium","low"))</x:f>
        <x:v>high</x:v>
      </x:c>
      <x:c r="AK187" s="12" t="str">
        <x:f>IF(ISNUMBER(SEARCH("healthy",AB187)),"yes","no")</x:f>
        <x:v>no</x:v>
      </x:c>
      <x:c r="AL187" s="12" t="str">
        <x:f>IF(AG187="yes","yes","candidate_only")</x:f>
        <x:v>candidate_only</x:v>
      </x:c>
      <x:c r="AM187" s="12" t="str">
        <x:f>IF(OR(AC187="canonical",AG187="yes"),"yes","recommended")</x:f>
        <x:v>recommended</x:v>
      </x:c>
      <x:c r="AN187" s="12" t="str">
        <x:f>IF(AC187="deprecated","exclude",IF(AND(AG187="yes",AJ187="high"),"import_but_human_review_required",IF(AG187="yes","import_as_active","import_as_backlog")))</x:f>
        <x:v>import_as_backlog</x:v>
      </x:c>
      <x:c r="AO187" s="12" t="str">
        <x:f>IF(AND(AG187="yes",OR(P187="",Q187="",R187="",S187="")),"missing_required_mvp_fields",IF(AND(AC187="canonical",Y187=""),"missing_source_ref","ok"))</x:f>
        <x:v>ok</x:v>
      </x:c>
      <x:c r="AP187" s="12" t="str">
        <x:f>IF(AO187="ok","ready_for_codex_import","needs_review")</x:f>
        <x:v>ready_for_codex_import</x:v>
      </x:c>
      <x:c r="AQ187" s="12"/>
      <x:c r="AR187" s="12" t="str">
        <x:v>Added v2 operational fields. Review before classification activation.</x:v>
      </x:c>
    </x:row>
    <x:row r="188">
      <x:c r="A188" s="13" t="str">
        <x:v>publication_bias_argument_missing_context</x:v>
      </x:c>
      <x:c r="B188" s="13" t="str">
        <x:v>publication_bias_argument</x:v>
      </x:c>
      <x:c r="C188" s="13" t="str">
        <x:v>Publication bias as evidence issue</x:v>
      </x:c>
      <x:c r="D188" s="13" t="str">
        <x:v>سوگیری انتشار در استدلال</x:v>
      </x:c>
      <x:c r="E188" s="13" t="str">
        <x:v>Missing-context variant</x:v>
      </x:c>
      <x:c r="F188" s="13" t="str">
        <x:v>evidence_failures</x:v>
      </x:c>
      <x:c r="G188" s="13" t="str">
        <x:v>operational_variant</x:v>
      </x:c>
      <x:c r="H188" s="13" t="str">
        <x:v>contextual</x:v>
      </x:c>
      <x:c r="I188" s="13" t="str">
        <x:v>claim+context</x:v>
      </x:c>
      <x:c r="J188" s="13" t="str">
        <x:v>derived_operational_subtype</x:v>
      </x:c>
      <x:c r="K188" s="13" t="str">
        <x:v>derived_from_established_parent_review_required</x:v>
      </x:c>
      <x:c r="L188" s="13" t="str">
        <x:v>P2</x:v>
      </x:c>
      <x:c r="M188" s="13" t="str">
        <x:v>no</x:v>
      </x:c>
      <x:c r="N188" s="13" t="str">
        <x:v>Operational subtype under Publication bias as evidence issue: context needed to evaluate the evidence is absent. Parent definition: Relying on published evidence without considering selective publication.</x:v>
      </x:c>
      <x:c r="O188" s="13" t="str">
        <x:v>Look for: explicit claim-level evidence; parent-family cues for Publication bias as evidence issue; variant cue: context needed to evaluate the evidence is absent; avoid author-level inference.</x:v>
      </x:c>
      <x:c r="P188" s="13" t="str">
        <x:v>Exact evidence span in text plus claim-level reasoning link; for contextual/discourse entries, require surrounding context.</x:v>
      </x:c>
      <x:c r="Q188" s="13" t="str">
        <x:v>Do not label merely because topic is controversial, emotional, or wrong. Do not judge intent or personality. Require textual evidence and consider healthy-reasoning cues.</x:v>
      </x:c>
      <x:c r="R188" s="13" t="str">
        <x:v>Stub: A claim relies on context needed to evaluate the evidence is absent to support a conclusion without adequate qualification.</x:v>
      </x:c>
      <x:c r="S188" s="13" t="str">
        <x:v>Stub: A claim discusses publication bias as evidence issue with caveats, balanced evidence, or no argumentative use of the pattern.</x:v>
      </x:c>
      <x:c r="T188" s="13" t="str">
        <x:v>Mild or ambiguous cue; do not classify without clear evidence span.</x:v>
      </x:c>
      <x:c r="U188" s="13" t="str">
        <x:v>Clear claim-level pattern with some argumentative impact.</x:v>
      </x:c>
      <x:c r="V188" s="13" t="str">
        <x:v>Strong pattern central to the conclusion and likely to materially distort reasoning.</x:v>
      </x:c>
      <x:c r="W188" s="13" t="str">
        <x:v>cherry_picking; missing_counterevidence; evidence_grading</x:v>
      </x:c>
      <x:c r="X188" s="13" t="str">
        <x:v>sep_informal_logic</x:v>
      </x:c>
      <x:c r="Y188" s="13" t="str">
        <x:v>https://plato.stanford.edu/entries/logic-informal/</x:v>
      </x:c>
      <x:c r="Z188" s="13" t="str">
        <x:v>Review before enabling. This workbook is a living taxonomy scaffold, not a validated scientific benchmark.</x:v>
      </x:c>
      <x:c r="AA188" s="13" t="str">
        <x:v>0.1.0-draft</x:v>
      </x:c>
      <x:c r="AB188" s="12" t="str">
        <x:f>IF(ISNUMBER(SEARCH("healthy",F188)),"healthy_reasoning_patterns",IF(ISNUMBER(SEARCH("statistical",F188)),"statistical_reasoning",IF(ISNUMBER(SEARCH("causal",F188)),"causal_reasoning",IF(ISNUMBER(SEARCH("social",F188)),"social_influence",IF(ISNUMBER(SEARCH("rhetoric",F188)),"rhetoric_discourse",IF(ISNUMBER(SEARCH("behavior",F188)),"behavioural_economics",IF(ISNUMBER(SEARCH("cognitive",F188)),"cognitive_biases",IF(J188="protective_pattern","healthy_reasoning_patterns",IF(L188="P0","core_mvp","extended_fallacies")))))))))</x:f>
        <x:v>extended_fallacies</x:v>
      </x:c>
      <x:c r="AC188" s="12" t="str">
        <x:f>IF(ISNUMBER(SEARCH("operational",J188)),"operational",IF(ISNUMBER(SEARCH("deprecated",J188)),"deprecated",IF(L188="P0","canonical","recognized_subtype")))</x:f>
        <x:v>operational</x:v>
      </x:c>
      <x:c r="AD188" s="12" t="str">
        <x:f>IF(AC188="canonical","high",IF(AC188="recognized_subtype","medium",IF(AC188="operational","operational_only","debated")))</x:f>
        <x:v>operational_only</x:v>
      </x:c>
      <x:c r="AE188" s="12" t="str">
        <x:f>IF(AC188="deprecated","deprecated",IF(M188="yes","active",IF(M188="review","review_required","backlog")))</x:f>
        <x:v>backlog</x:v>
      </x:c>
      <x:c r="AF188" s="12" t="str">
        <x:f>IF(OR(AE188="active",AE188="review_required"),"yes","no")</x:f>
        <x:v>no</x:v>
      </x:c>
      <x:c r="AG188" s="12" t="str">
        <x:f>IF(AND(AE188="active",M188="yes",NOT(ISNUMBER(SEARCH("healthy",AB188)))),"yes","no")</x:f>
        <x:v>no</x:v>
      </x:c>
      <x:c r="AH188" s="12" t="str">
        <x:f>IF(OR(H188="contextual",H188="dialogue",H188="discourse",I188="claim+context",I188="discourse_segment"),"yes","no")</x:f>
        <x:v>yes</x:v>
      </x:c>
      <x:c r="AI188" s="12" t="str">
        <x:f>IF(OR(AH188="yes",AD188="debated",AC188="operational"),"yes","no")</x:f>
        <x:v>yes</x:v>
      </x:c>
      <x:c r="AJ188" s="12" t="str">
        <x:f>IF(OR(AH188="yes",AC188="operational",AD188="debated"),"high",IF(AND(AG188="yes",L188="P0"),"medium","low"))</x:f>
        <x:v>high</x:v>
      </x:c>
      <x:c r="AK188" s="12" t="str">
        <x:f>IF(ISNUMBER(SEARCH("healthy",AB188)),"yes","no")</x:f>
        <x:v>no</x:v>
      </x:c>
      <x:c r="AL188" s="12" t="str">
        <x:f>IF(AG188="yes","yes","candidate_only")</x:f>
        <x:v>candidate_only</x:v>
      </x:c>
      <x:c r="AM188" s="12" t="str">
        <x:f>IF(OR(AC188="canonical",AG188="yes"),"yes","recommended")</x:f>
        <x:v>recommended</x:v>
      </x:c>
      <x:c r="AN188" s="12" t="str">
        <x:f>IF(AC188="deprecated","exclude",IF(AND(AG188="yes",AJ188="high"),"import_but_human_review_required",IF(AG188="yes","import_as_active","import_as_backlog")))</x:f>
        <x:v>import_as_backlog</x:v>
      </x:c>
      <x:c r="AO188" s="12" t="str">
        <x:f>IF(AND(AG188="yes",OR(P188="",Q188="",R188="",S188="")),"missing_required_mvp_fields",IF(AND(AC188="canonical",Y188=""),"missing_source_ref","ok"))</x:f>
        <x:v>ok</x:v>
      </x:c>
      <x:c r="AP188" s="12" t="str">
        <x:f>IF(AO188="ok","ready_for_codex_import","needs_review")</x:f>
        <x:v>ready_for_codex_import</x:v>
      </x:c>
      <x:c r="AQ188" s="12"/>
      <x:c r="AR188" s="12" t="str">
        <x:v>Added v2 operational fields. Review before classification activation.</x:v>
      </x:c>
    </x:row>
    <x:row r="189">
      <x:c r="A189" s="13" t="str">
        <x:v>missing_counterevidence_missing_context</x:v>
      </x:c>
      <x:c r="B189" s="13" t="str">
        <x:v>missing_counterevidence</x:v>
      </x:c>
      <x:c r="C189" s="13" t="str">
        <x:v>Missing counterevidence</x:v>
      </x:c>
      <x:c r="D189" s="13" t="str">
        <x:v>نبود شواهد مخالف</x:v>
      </x:c>
      <x:c r="E189" s="13" t="str">
        <x:v>Missing-context variant</x:v>
      </x:c>
      <x:c r="F189" s="13" t="str">
        <x:v>evidence_failures</x:v>
      </x:c>
      <x:c r="G189" s="13" t="str">
        <x:v>operational_variant</x:v>
      </x:c>
      <x:c r="H189" s="13" t="str">
        <x:v>contextual</x:v>
      </x:c>
      <x:c r="I189" s="13" t="str">
        <x:v>claim+context</x:v>
      </x:c>
      <x:c r="J189" s="13" t="str">
        <x:v>derived_operational_subtype</x:v>
      </x:c>
      <x:c r="K189" s="13" t="str">
        <x:v>derived_from_established_parent_review_required</x:v>
      </x:c>
      <x:c r="L189" s="13" t="str">
        <x:v>P2</x:v>
      </x:c>
      <x:c r="M189" s="13" t="str">
        <x:v>no</x:v>
      </x:c>
      <x:c r="N189" s="13" t="str">
        <x:v>Operational subtype under Missing counterevidence: context needed to evaluate the evidence is absent. Parent definition: Presenting a conclusion without acknowledging known counterarguments.</x:v>
      </x:c>
      <x:c r="O189" s="13" t="str">
        <x:v>Look for: explicit claim-level evidence; parent-family cues for Missing counterevidence; variant cue: context needed to evaluate the evidence is absent; avoid author-level inference.</x:v>
      </x:c>
      <x:c r="P189" s="13" t="str">
        <x:v>Exact evidence span in text plus claim-level reasoning link; for contextual/discourse entries, require surrounding context.</x:v>
      </x:c>
      <x:c r="Q189" s="13" t="str">
        <x:v>Do not label merely because topic is controversial, emotional, or wrong. Do not judge intent or personality. Require textual evidence and consider healthy-reasoning cues.</x:v>
      </x:c>
      <x:c r="R189" s="13" t="str">
        <x:v>Stub: A claim relies on context needed to evaluate the evidence is absent to support a conclusion without adequate qualification.</x:v>
      </x:c>
      <x:c r="S189" s="13" t="str">
        <x:v>Stub: A claim discusses missing counterevidence with caveats, balanced evidence, or no argumentative use of the pattern.</x:v>
      </x:c>
      <x:c r="T189" s="13" t="str">
        <x:v>Mild or ambiguous cue; do not classify without clear evidence span.</x:v>
      </x:c>
      <x:c r="U189" s="13" t="str">
        <x:v>Clear claim-level pattern with some argumentative impact.</x:v>
      </x:c>
      <x:c r="V189" s="13" t="str">
        <x:v>Strong pattern central to the conclusion and likely to materially distort reasoning.</x:v>
      </x:c>
      <x:c r="W189" s="13" t="str"/>
      <x:c r="X189" s="13" t="str">
        <x:v>toulmin_uses_argument</x:v>
      </x:c>
      <x:c r="Y189" s="13" t="str">
        <x:v>https://doi.org/10.1017/CBO9780511840005</x:v>
      </x:c>
      <x:c r="Z189" s="13" t="str">
        <x:v>Review before enabling. This workbook is a living taxonomy scaffold, not a validated scientific benchmark.</x:v>
      </x:c>
      <x:c r="AA189" s="13" t="str">
        <x:v>0.1.0-draft</x:v>
      </x:c>
      <x:c r="AB189" s="12" t="str">
        <x:f>IF(ISNUMBER(SEARCH("healthy",F189)),"healthy_reasoning_patterns",IF(ISNUMBER(SEARCH("statistical",F189)),"statistical_reasoning",IF(ISNUMBER(SEARCH("causal",F189)),"causal_reasoning",IF(ISNUMBER(SEARCH("social",F189)),"social_influence",IF(ISNUMBER(SEARCH("rhetoric",F189)),"rhetoric_discourse",IF(ISNUMBER(SEARCH("behavior",F189)),"behavioural_economics",IF(ISNUMBER(SEARCH("cognitive",F189)),"cognitive_biases",IF(J189="protective_pattern","healthy_reasoning_patterns",IF(L189="P0","core_mvp","extended_fallacies")))))))))</x:f>
        <x:v>extended_fallacies</x:v>
      </x:c>
      <x:c r="AC189" s="12" t="str">
        <x:f>IF(ISNUMBER(SEARCH("operational",J189)),"operational",IF(ISNUMBER(SEARCH("deprecated",J189)),"deprecated",IF(L189="P0","canonical","recognized_subtype")))</x:f>
        <x:v>operational</x:v>
      </x:c>
      <x:c r="AD189" s="12" t="str">
        <x:f>IF(AC189="canonical","high",IF(AC189="recognized_subtype","medium",IF(AC189="operational","operational_only","debated")))</x:f>
        <x:v>operational_only</x:v>
      </x:c>
      <x:c r="AE189" s="12" t="str">
        <x:f>IF(AC189="deprecated","deprecated",IF(M189="yes","active",IF(M189="review","review_required","backlog")))</x:f>
        <x:v>backlog</x:v>
      </x:c>
      <x:c r="AF189" s="12" t="str">
        <x:f>IF(OR(AE189="active",AE189="review_required"),"yes","no")</x:f>
        <x:v>no</x:v>
      </x:c>
      <x:c r="AG189" s="12" t="str">
        <x:f>IF(AND(AE189="active",M189="yes",NOT(ISNUMBER(SEARCH("healthy",AB189)))),"yes","no")</x:f>
        <x:v>no</x:v>
      </x:c>
      <x:c r="AH189" s="12" t="str">
        <x:f>IF(OR(H189="contextual",H189="dialogue",H189="discourse",I189="claim+context",I189="discourse_segment"),"yes","no")</x:f>
        <x:v>yes</x:v>
      </x:c>
      <x:c r="AI189" s="12" t="str">
        <x:f>IF(OR(AH189="yes",AD189="debated",AC189="operational"),"yes","no")</x:f>
        <x:v>yes</x:v>
      </x:c>
      <x:c r="AJ189" s="12" t="str">
        <x:f>IF(OR(AH189="yes",AC189="operational",AD189="debated"),"high",IF(AND(AG189="yes",L189="P0"),"medium","low"))</x:f>
        <x:v>high</x:v>
      </x:c>
      <x:c r="AK189" s="12" t="str">
        <x:f>IF(ISNUMBER(SEARCH("healthy",AB189)),"yes","no")</x:f>
        <x:v>no</x:v>
      </x:c>
      <x:c r="AL189" s="12" t="str">
        <x:f>IF(AG189="yes","yes","candidate_only")</x:f>
        <x:v>candidate_only</x:v>
      </x:c>
      <x:c r="AM189" s="12" t="str">
        <x:f>IF(OR(AC189="canonical",AG189="yes"),"yes","recommended")</x:f>
        <x:v>recommended</x:v>
      </x:c>
      <x:c r="AN189" s="12" t="str">
        <x:f>IF(AC189="deprecated","exclude",IF(AND(AG189="yes",AJ189="high"),"import_but_human_review_required",IF(AG189="yes","import_as_active","import_as_backlog")))</x:f>
        <x:v>import_as_backlog</x:v>
      </x:c>
      <x:c r="AO189" s="12" t="str">
        <x:f>IF(AND(AG189="yes",OR(P189="",Q189="",R189="",S189="")),"missing_required_mvp_fields",IF(AND(AC189="canonical",Y189=""),"missing_source_ref","ok"))</x:f>
        <x:v>ok</x:v>
      </x:c>
      <x:c r="AP189" s="12" t="str">
        <x:f>IF(AO189="ok","ready_for_codex_import","needs_review")</x:f>
        <x:v>ready_for_codex_import</x:v>
      </x:c>
      <x:c r="AQ189" s="12"/>
      <x:c r="AR189" s="12" t="str">
        <x:v>Added v2 operational fields. Review before classification activation.</x:v>
      </x:c>
    </x:row>
    <x:row r="190">
      <x:c r="A190" s="13" t="str">
        <x:v>one_sided_evidence_missing_context</x:v>
      </x:c>
      <x:c r="B190" s="13" t="str">
        <x:v>one_sided_evidence</x:v>
      </x:c>
      <x:c r="C190" s="13" t="str">
        <x:v>One-sided evidence</x:v>
      </x:c>
      <x:c r="D190" s="13" t="str">
        <x:v>شواهد یک‌طرفه</x:v>
      </x:c>
      <x:c r="E190" s="13" t="str">
        <x:v>Missing-context variant</x:v>
      </x:c>
      <x:c r="F190" s="13" t="str">
        <x:v>evidence_failures</x:v>
      </x:c>
      <x:c r="G190" s="13" t="str">
        <x:v>operational_variant</x:v>
      </x:c>
      <x:c r="H190" s="13" t="str">
        <x:v>contextual</x:v>
      </x:c>
      <x:c r="I190" s="13" t="str">
        <x:v>claim+context</x:v>
      </x:c>
      <x:c r="J190" s="13" t="str">
        <x:v>derived_operational_subtype</x:v>
      </x:c>
      <x:c r="K190" s="13" t="str">
        <x:v>derived_from_established_parent_review_required</x:v>
      </x:c>
      <x:c r="L190" s="13" t="str">
        <x:v>P2</x:v>
      </x:c>
      <x:c r="M190" s="13" t="str">
        <x:v>no</x:v>
      </x:c>
      <x:c r="N190" s="13" t="str">
        <x:v>Operational subtype under One-sided evidence: context needed to evaluate the evidence is absent. Parent definition: Presenting evidence from only one side while implying completeness.</x:v>
      </x:c>
      <x:c r="O190" s="13" t="str">
        <x:v>Look for: explicit claim-level evidence; parent-family cues for One-sided evidence; variant cue: context needed to evaluate the evidence is absent; avoid author-level inference.</x:v>
      </x:c>
      <x:c r="P190" s="13" t="str">
        <x:v>Exact evidence span in text plus claim-level reasoning link; for contextual/discourse entries, require surrounding context.</x:v>
      </x:c>
      <x:c r="Q190" s="13" t="str">
        <x:v>Do not label merely because topic is controversial, emotional, or wrong. Do not judge intent or personality. Require textual evidence and consider healthy-reasoning cues.</x:v>
      </x:c>
      <x:c r="R190" s="13" t="str">
        <x:v>Stub: A claim relies on context needed to evaluate the evidence is absent to support a conclusion without adequate qualification.</x:v>
      </x:c>
      <x:c r="S190" s="13" t="str">
        <x:v>Stub: A claim discusses one-sided evidence with caveats, balanced evidence, or no argumentative use of the pattern.</x:v>
      </x:c>
      <x:c r="T190" s="13" t="str">
        <x:v>Mild or ambiguous cue; do not classify without clear evidence span.</x:v>
      </x:c>
      <x:c r="U190" s="13" t="str">
        <x:v>Clear claim-level pattern with some argumentative impact.</x:v>
      </x:c>
      <x:c r="V190" s="13" t="str">
        <x:v>Strong pattern central to the conclusion and likely to materially distort reasoning.</x:v>
      </x:c>
      <x:c r="W190" s="13" t="str">
        <x:v>cherry_picking; missing_counterevidence; evidence_grading</x:v>
      </x:c>
      <x:c r="X190" s="13" t="str">
        <x:v>sep_informal_logic</x:v>
      </x:c>
      <x:c r="Y190" s="13" t="str">
        <x:v>https://plato.stanford.edu/entries/logic-informal/</x:v>
      </x:c>
      <x:c r="Z190" s="13" t="str">
        <x:v>Review before enabling. This workbook is a living taxonomy scaffold, not a validated scientific benchmark.</x:v>
      </x:c>
      <x:c r="AA190" s="13" t="str">
        <x:v>0.1.0-draft</x:v>
      </x:c>
      <x:c r="AB190" s="12" t="str">
        <x:f>IF(ISNUMBER(SEARCH("healthy",F190)),"healthy_reasoning_patterns",IF(ISNUMBER(SEARCH("statistical",F190)),"statistical_reasoning",IF(ISNUMBER(SEARCH("causal",F190)),"causal_reasoning",IF(ISNUMBER(SEARCH("social",F190)),"social_influence",IF(ISNUMBER(SEARCH("rhetoric",F190)),"rhetoric_discourse",IF(ISNUMBER(SEARCH("behavior",F190)),"behavioural_economics",IF(ISNUMBER(SEARCH("cognitive",F190)),"cognitive_biases",IF(J190="protective_pattern","healthy_reasoning_patterns",IF(L190="P0","core_mvp","extended_fallacies")))))))))</x:f>
        <x:v>extended_fallacies</x:v>
      </x:c>
      <x:c r="AC190" s="12" t="str">
        <x:f>IF(ISNUMBER(SEARCH("operational",J190)),"operational",IF(ISNUMBER(SEARCH("deprecated",J190)),"deprecated",IF(L190="P0","canonical","recognized_subtype")))</x:f>
        <x:v>operational</x:v>
      </x:c>
      <x:c r="AD190" s="12" t="str">
        <x:f>IF(AC190="canonical","high",IF(AC190="recognized_subtype","medium",IF(AC190="operational","operational_only","debated")))</x:f>
        <x:v>operational_only</x:v>
      </x:c>
      <x:c r="AE190" s="12" t="str">
        <x:f>IF(AC190="deprecated","deprecated",IF(M190="yes","active",IF(M190="review","review_required","backlog")))</x:f>
        <x:v>backlog</x:v>
      </x:c>
      <x:c r="AF190" s="12" t="str">
        <x:f>IF(OR(AE190="active",AE190="review_required"),"yes","no")</x:f>
        <x:v>no</x:v>
      </x:c>
      <x:c r="AG190" s="12" t="str">
        <x:f>IF(AND(AE190="active",M190="yes",NOT(ISNUMBER(SEARCH("healthy",AB190)))),"yes","no")</x:f>
        <x:v>no</x:v>
      </x:c>
      <x:c r="AH190" s="12" t="str">
        <x:f>IF(OR(H190="contextual",H190="dialogue",H190="discourse",I190="claim+context",I190="discourse_segment"),"yes","no")</x:f>
        <x:v>yes</x:v>
      </x:c>
      <x:c r="AI190" s="12" t="str">
        <x:f>IF(OR(AH190="yes",AD190="debated",AC190="operational"),"yes","no")</x:f>
        <x:v>yes</x:v>
      </x:c>
      <x:c r="AJ190" s="12" t="str">
        <x:f>IF(OR(AH190="yes",AC190="operational",AD190="debated"),"high",IF(AND(AG190="yes",L190="P0"),"medium","low"))</x:f>
        <x:v>high</x:v>
      </x:c>
      <x:c r="AK190" s="12" t="str">
        <x:f>IF(ISNUMBER(SEARCH("healthy",AB190)),"yes","no")</x:f>
        <x:v>no</x:v>
      </x:c>
      <x:c r="AL190" s="12" t="str">
        <x:f>IF(AG190="yes","yes","candidate_only")</x:f>
        <x:v>candidate_only</x:v>
      </x:c>
      <x:c r="AM190" s="12" t="str">
        <x:f>IF(OR(AC190="canonical",AG190="yes"),"yes","recommended")</x:f>
        <x:v>recommended</x:v>
      </x:c>
      <x:c r="AN190" s="12" t="str">
        <x:f>IF(AC190="deprecated","exclude",IF(AND(AG190="yes",AJ190="high"),"import_but_human_review_required",IF(AG190="yes","import_as_active","import_as_backlog")))</x:f>
        <x:v>import_as_backlog</x:v>
      </x:c>
      <x:c r="AO190" s="12" t="str">
        <x:f>IF(AND(AG190="yes",OR(P190="",Q190="",R190="",S190="")),"missing_required_mvp_fields",IF(AND(AC190="canonical",Y190=""),"missing_source_ref","ok"))</x:f>
        <x:v>ok</x:v>
      </x:c>
      <x:c r="AP190" s="12" t="str">
        <x:f>IF(AO190="ok","ready_for_codex_import","needs_review")</x:f>
        <x:v>ready_for_codex_import</x:v>
      </x:c>
      <x:c r="AQ190" s="12"/>
      <x:c r="AR190" s="12" t="str">
        <x:v>Added v2 operational fields. Review before classification activation.</x:v>
      </x:c>
    </x:row>
    <x:row r="191">
      <x:c r="A191" s="13" t="str">
        <x:v>misleading_precision_missing_context</x:v>
      </x:c>
      <x:c r="B191" s="13" t="str">
        <x:v>misleading_precision</x:v>
      </x:c>
      <x:c r="C191" s="13" t="str">
        <x:v>Misleading precision</x:v>
      </x:c>
      <x:c r="D191" s="13" t="str">
        <x:v>دقت ظاهری گمراه‌کننده</x:v>
      </x:c>
      <x:c r="E191" s="13" t="str">
        <x:v>Missing-context variant</x:v>
      </x:c>
      <x:c r="F191" s="13" t="str">
        <x:v>evidence_failures</x:v>
      </x:c>
      <x:c r="G191" s="13" t="str">
        <x:v>operational_variant</x:v>
      </x:c>
      <x:c r="H191" s="13" t="str">
        <x:v>lexical</x:v>
      </x:c>
      <x:c r="I191" s="13" t="str">
        <x:v>claim</x:v>
      </x:c>
      <x:c r="J191" s="13" t="str">
        <x:v>derived_operational_subtype</x:v>
      </x:c>
      <x:c r="K191" s="13" t="str">
        <x:v>derived_from_established_parent_review_required</x:v>
      </x:c>
      <x:c r="L191" s="13" t="str">
        <x:v>P2</x:v>
      </x:c>
      <x:c r="M191" s="13" t="str">
        <x:v>no</x:v>
      </x:c>
      <x:c r="N191" s="13" t="str">
        <x:v>Operational subtype under Misleading precision: context needed to evaluate the evidence is absent. Parent definition: Using overly precise numbers that imply certainty not supported by evidence.</x:v>
      </x:c>
      <x:c r="O191" s="13" t="str">
        <x:v>Look for: explicit claim-level evidence; parent-family cues for Misleading precision; variant cue: context needed to evaluate the evidence is absent; avoid author-level inference.</x:v>
      </x:c>
      <x:c r="P191" s="13" t="str">
        <x:v>Exact evidence span in text plus claim-level reasoning link; for contextual/discourse entries, require surrounding context.</x:v>
      </x:c>
      <x:c r="Q191" s="13" t="str">
        <x:v>Do not label merely because topic is controversial, emotional, or wrong. Do not judge intent or personality. Require textual evidence and consider healthy-reasoning cues.</x:v>
      </x:c>
      <x:c r="R191" s="13" t="str">
        <x:v>Stub: A claim relies on context needed to evaluate the evidence is absent to support a conclusion without adequate qualification.</x:v>
      </x:c>
      <x:c r="S191" s="13" t="str">
        <x:v>Stub: A claim discusses misleading precision with caveats, balanced evidence, or no argumentative use of the pattern.</x:v>
      </x:c>
      <x:c r="T191" s="13" t="str">
        <x:v>Mild or ambiguous cue; do not classify without clear evidence span.</x:v>
      </x:c>
      <x:c r="U191" s="13" t="str">
        <x:v>Clear claim-level pattern with some argumentative impact.</x:v>
      </x:c>
      <x:c r="V191" s="13" t="str">
        <x:v>Strong pattern central to the conclusion and likely to materially distort reasoning.</x:v>
      </x:c>
      <x:c r="W191" s="13" t="str">
        <x:v>cherry_picking; missing_counterevidence; evidence_grading</x:v>
      </x:c>
      <x:c r="X191" s="13" t="str">
        <x:v>stanovich_dual_process</x:v>
      </x:c>
      <x:c r="Y191" s="13" t="str">
        <x:v>https://global.oup.com/academic/product/rationality-and-the-reflective-mind-9780195341140</x:v>
      </x:c>
      <x:c r="Z191" s="13" t="str">
        <x:v>Review before enabling. This workbook is a living taxonomy scaffold, not a validated scientific benchmark.</x:v>
      </x:c>
      <x:c r="AA191" s="13" t="str">
        <x:v>0.1.0-draft</x:v>
      </x:c>
      <x:c r="AB191" s="12" t="str">
        <x:f>IF(ISNUMBER(SEARCH("healthy",F191)),"healthy_reasoning_patterns",IF(ISNUMBER(SEARCH("statistical",F191)),"statistical_reasoning",IF(ISNUMBER(SEARCH("causal",F191)),"causal_reasoning",IF(ISNUMBER(SEARCH("social",F191)),"social_influence",IF(ISNUMBER(SEARCH("rhetoric",F191)),"rhetoric_discourse",IF(ISNUMBER(SEARCH("behavior",F191)),"behavioural_economics",IF(ISNUMBER(SEARCH("cognitive",F191)),"cognitive_biases",IF(J191="protective_pattern","healthy_reasoning_patterns",IF(L191="P0","core_mvp","extended_fallacies")))))))))</x:f>
        <x:v>extended_fallacies</x:v>
      </x:c>
      <x:c r="AC191" s="12" t="str">
        <x:f>IF(ISNUMBER(SEARCH("operational",J191)),"operational",IF(ISNUMBER(SEARCH("deprecated",J191)),"deprecated",IF(L191="P0","canonical","recognized_subtype")))</x:f>
        <x:v>operational</x:v>
      </x:c>
      <x:c r="AD191" s="12" t="str">
        <x:f>IF(AC191="canonical","high",IF(AC191="recognized_subtype","medium",IF(AC191="operational","operational_only","debated")))</x:f>
        <x:v>operational_only</x:v>
      </x:c>
      <x:c r="AE191" s="12" t="str">
        <x:f>IF(AC191="deprecated","deprecated",IF(M191="yes","active",IF(M191="review","review_required","backlog")))</x:f>
        <x:v>backlog</x:v>
      </x:c>
      <x:c r="AF191" s="12" t="str">
        <x:f>IF(OR(AE191="active",AE191="review_required"),"yes","no")</x:f>
        <x:v>no</x:v>
      </x:c>
      <x:c r="AG191" s="12" t="str">
        <x:f>IF(AND(AE191="active",M191="yes",NOT(ISNUMBER(SEARCH("healthy",AB191)))),"yes","no")</x:f>
        <x:v>no</x:v>
      </x:c>
      <x:c r="AH191" s="12" t="str">
        <x:f>IF(OR(H191="contextual",H191="dialogue",H191="discourse",I191="claim+context",I191="discourse_segment"),"yes","no")</x:f>
        <x:v>no</x:v>
      </x:c>
      <x:c r="AI191" s="12" t="str">
        <x:f>IF(OR(AH191="yes",AD191="debated",AC191="operational"),"yes","no")</x:f>
        <x:v>yes</x:v>
      </x:c>
      <x:c r="AJ191" s="12" t="str">
        <x:f>IF(OR(AH191="yes",AC191="operational",AD191="debated"),"high",IF(AND(AG191="yes",L191="P0"),"medium","low"))</x:f>
        <x:v>high</x:v>
      </x:c>
      <x:c r="AK191" s="12" t="str">
        <x:f>IF(ISNUMBER(SEARCH("healthy",AB191)),"yes","no")</x:f>
        <x:v>no</x:v>
      </x:c>
      <x:c r="AL191" s="12" t="str">
        <x:f>IF(AG191="yes","yes","candidate_only")</x:f>
        <x:v>candidate_only</x:v>
      </x:c>
      <x:c r="AM191" s="12" t="str">
        <x:f>IF(OR(AC191="canonical",AG191="yes"),"yes","recommended")</x:f>
        <x:v>recommended</x:v>
      </x:c>
      <x:c r="AN191" s="12" t="str">
        <x:f>IF(AC191="deprecated","exclude",IF(AND(AG191="yes",AJ191="high"),"import_but_human_review_required",IF(AG191="yes","import_as_active","import_as_backlog")))</x:f>
        <x:v>import_as_backlog</x:v>
      </x:c>
      <x:c r="AO191" s="12" t="str">
        <x:f>IF(AND(AG191="yes",OR(P191="",Q191="",R191="",S191="")),"missing_required_mvp_fields",IF(AND(AC191="canonical",Y191=""),"missing_source_ref","ok"))</x:f>
        <x:v>ok</x:v>
      </x:c>
      <x:c r="AP191" s="12" t="str">
        <x:f>IF(AO191="ok","ready_for_codex_import","needs_review")</x:f>
        <x:v>ready_for_codex_import</x:v>
      </x:c>
      <x:c r="AQ191" s="12"/>
      <x:c r="AR191" s="12" t="str">
        <x:v>Added v2 operational fields. Review before classification activation.</x:v>
      </x:c>
    </x:row>
    <x:row r="192">
      <x:c r="A192" s="13" t="str">
        <x:v>measurement_validity_gap_missing_context</x:v>
      </x:c>
      <x:c r="B192" s="13" t="str">
        <x:v>measurement_validity_gap</x:v>
      </x:c>
      <x:c r="C192" s="13" t="str">
        <x:v>Measurement validity gap</x:v>
      </x:c>
      <x:c r="D192" s="13" t="str">
        <x:v>شکاف اعتبار سنجه</x:v>
      </x:c>
      <x:c r="E192" s="13" t="str">
        <x:v>Missing-context variant</x:v>
      </x:c>
      <x:c r="F192" s="13" t="str">
        <x:v>evidence_failures</x:v>
      </x:c>
      <x:c r="G192" s="13" t="str">
        <x:v>operational_variant</x:v>
      </x:c>
      <x:c r="H192" s="13" t="str">
        <x:v>contextual</x:v>
      </x:c>
      <x:c r="I192" s="13" t="str">
        <x:v>claim+context</x:v>
      </x:c>
      <x:c r="J192" s="13" t="str">
        <x:v>derived_operational_subtype</x:v>
      </x:c>
      <x:c r="K192" s="13" t="str">
        <x:v>derived_from_established_parent_review_required</x:v>
      </x:c>
      <x:c r="L192" s="13" t="str">
        <x:v>P2</x:v>
      </x:c>
      <x:c r="M192" s="13" t="str">
        <x:v>no</x:v>
      </x:c>
      <x:c r="N192" s="13" t="str">
        <x:v>Operational subtype under Measurement validity gap: context needed to evaluate the evidence is absent. Parent definition: Treating a weak measure as if it directly captures the intended construct.</x:v>
      </x:c>
      <x:c r="O192" s="13" t="str">
        <x:v>Look for: explicit claim-level evidence; parent-family cues for Measurement validity gap; variant cue: context needed to evaluate the evidence is absent; avoid author-level inference.</x:v>
      </x:c>
      <x:c r="P192" s="13" t="str">
        <x:v>Exact evidence span in text plus claim-level reasoning link; for contextual/discourse entries, require surrounding context.</x:v>
      </x:c>
      <x:c r="Q192" s="13" t="str">
        <x:v>Do not label merely because topic is controversial, emotional, or wrong. Do not judge intent or personality. Require textual evidence and consider healthy-reasoning cues.</x:v>
      </x:c>
      <x:c r="R192" s="13" t="str">
        <x:v>Stub: A claim relies on context needed to evaluate the evidence is absent to support a conclusion without adequate qualification.</x:v>
      </x:c>
      <x:c r="S192" s="13" t="str">
        <x:v>Stub: A claim discusses measurement validity gap with caveats, balanced evidence, or no argumentative use of the pattern.</x:v>
      </x:c>
      <x:c r="T192" s="13" t="str">
        <x:v>Mild or ambiguous cue; do not classify without clear evidence span.</x:v>
      </x:c>
      <x:c r="U192" s="13" t="str">
        <x:v>Clear claim-level pattern with some argumentative impact.</x:v>
      </x:c>
      <x:c r="V192" s="13" t="str">
        <x:v>Strong pattern central to the conclusion and likely to materially distort reasoning.</x:v>
      </x:c>
      <x:c r="W192" s="13" t="str"/>
      <x:c r="X192" s="13" t="str">
        <x:v>toulmin_uses_argument</x:v>
      </x:c>
      <x:c r="Y192" s="13" t="str">
        <x:v>https://doi.org/10.1017/CBO9780511840005</x:v>
      </x:c>
      <x:c r="Z192" s="13" t="str">
        <x:v>Review before enabling. This workbook is a living taxonomy scaffold, not a validated scientific benchmark.</x:v>
      </x:c>
      <x:c r="AA192" s="13" t="str">
        <x:v>0.1.0-draft</x:v>
      </x:c>
      <x:c r="AB192" s="12" t="str">
        <x:f>IF(ISNUMBER(SEARCH("healthy",F192)),"healthy_reasoning_patterns",IF(ISNUMBER(SEARCH("statistical",F192)),"statistical_reasoning",IF(ISNUMBER(SEARCH("causal",F192)),"causal_reasoning",IF(ISNUMBER(SEARCH("social",F192)),"social_influence",IF(ISNUMBER(SEARCH("rhetoric",F192)),"rhetoric_discourse",IF(ISNUMBER(SEARCH("behavior",F192)),"behavioural_economics",IF(ISNUMBER(SEARCH("cognitive",F192)),"cognitive_biases",IF(J192="protective_pattern","healthy_reasoning_patterns",IF(L192="P0","core_mvp","extended_fallacies")))))))))</x:f>
        <x:v>extended_fallacies</x:v>
      </x:c>
      <x:c r="AC192" s="12" t="str">
        <x:f>IF(ISNUMBER(SEARCH("operational",J192)),"operational",IF(ISNUMBER(SEARCH("deprecated",J192)),"deprecated",IF(L192="P0","canonical","recognized_subtype")))</x:f>
        <x:v>operational</x:v>
      </x:c>
      <x:c r="AD192" s="12" t="str">
        <x:f>IF(AC192="canonical","high",IF(AC192="recognized_subtype","medium",IF(AC192="operational","operational_only","debated")))</x:f>
        <x:v>operational_only</x:v>
      </x:c>
      <x:c r="AE192" s="12" t="str">
        <x:f>IF(AC192="deprecated","deprecated",IF(M192="yes","active",IF(M192="review","review_required","backlog")))</x:f>
        <x:v>backlog</x:v>
      </x:c>
      <x:c r="AF192" s="12" t="str">
        <x:f>IF(OR(AE192="active",AE192="review_required"),"yes","no")</x:f>
        <x:v>no</x:v>
      </x:c>
      <x:c r="AG192" s="12" t="str">
        <x:f>IF(AND(AE192="active",M192="yes",NOT(ISNUMBER(SEARCH("healthy",AB192)))),"yes","no")</x:f>
        <x:v>no</x:v>
      </x:c>
      <x:c r="AH192" s="12" t="str">
        <x:f>IF(OR(H192="contextual",H192="dialogue",H192="discourse",I192="claim+context",I192="discourse_segment"),"yes","no")</x:f>
        <x:v>yes</x:v>
      </x:c>
      <x:c r="AI192" s="12" t="str">
        <x:f>IF(OR(AH192="yes",AD192="debated",AC192="operational"),"yes","no")</x:f>
        <x:v>yes</x:v>
      </x:c>
      <x:c r="AJ192" s="12" t="str">
        <x:f>IF(OR(AH192="yes",AC192="operational",AD192="debated"),"high",IF(AND(AG192="yes",L192="P0"),"medium","low"))</x:f>
        <x:v>high</x:v>
      </x:c>
      <x:c r="AK192" s="12" t="str">
        <x:f>IF(ISNUMBER(SEARCH("healthy",AB192)),"yes","no")</x:f>
        <x:v>no</x:v>
      </x:c>
      <x:c r="AL192" s="12" t="str">
        <x:f>IF(AG192="yes","yes","candidate_only")</x:f>
        <x:v>candidate_only</x:v>
      </x:c>
      <x:c r="AM192" s="12" t="str">
        <x:f>IF(OR(AC192="canonical",AG192="yes"),"yes","recommended")</x:f>
        <x:v>recommended</x:v>
      </x:c>
      <x:c r="AN192" s="12" t="str">
        <x:f>IF(AC192="deprecated","exclude",IF(AND(AG192="yes",AJ192="high"),"import_but_human_review_required",IF(AG192="yes","import_as_active","import_as_backlog")))</x:f>
        <x:v>import_as_backlog</x:v>
      </x:c>
      <x:c r="AO192" s="12" t="str">
        <x:f>IF(AND(AG192="yes",OR(P192="",Q192="",R192="",S192="")),"missing_required_mvp_fields",IF(AND(AC192="canonical",Y192=""),"missing_source_ref","ok"))</x:f>
        <x:v>ok</x:v>
      </x:c>
      <x:c r="AP192" s="12" t="str">
        <x:f>IF(AO192="ok","ready_for_codex_import","needs_review")</x:f>
        <x:v>ready_for_codex_import</x:v>
      </x:c>
      <x:c r="AQ192" s="12"/>
      <x:c r="AR192" s="12" t="str">
        <x:v>Added v2 operational fields. Review before classification activation.</x:v>
      </x:c>
    </x:row>
    <x:row r="193">
      <x:c r="A193" s="13" t="str">
        <x:v>proxy_mismatch_missing_context</x:v>
      </x:c>
      <x:c r="B193" s="13" t="str">
        <x:v>proxy_mismatch</x:v>
      </x:c>
      <x:c r="C193" s="13" t="str">
        <x:v>Proxy mismatch</x:v>
      </x:c>
      <x:c r="D193" s="13" t="str">
        <x:v>جایگزین نامتناسب برای سنجه</x:v>
      </x:c>
      <x:c r="E193" s="13" t="str">
        <x:v>Missing-context variant</x:v>
      </x:c>
      <x:c r="F193" s="13" t="str">
        <x:v>evidence_failures</x:v>
      </x:c>
      <x:c r="G193" s="13" t="str">
        <x:v>operational_variant</x:v>
      </x:c>
      <x:c r="H193" s="13" t="str">
        <x:v>contextual</x:v>
      </x:c>
      <x:c r="I193" s="13" t="str">
        <x:v>claim+context</x:v>
      </x:c>
      <x:c r="J193" s="13" t="str">
        <x:v>derived_operational_subtype</x:v>
      </x:c>
      <x:c r="K193" s="13" t="str">
        <x:v>derived_from_established_parent_review_required</x:v>
      </x:c>
      <x:c r="L193" s="13" t="str">
        <x:v>P2</x:v>
      </x:c>
      <x:c r="M193" s="13" t="str">
        <x:v>no</x:v>
      </x:c>
      <x:c r="N193" s="13" t="str">
        <x:v>Operational subtype under Proxy mismatch: context needed to evaluate the evidence is absent. Parent definition: Using a proxy variable while overstating its relevance to the claim.</x:v>
      </x:c>
      <x:c r="O193" s="13" t="str">
        <x:v>Look for: explicit claim-level evidence; parent-family cues for Proxy mismatch; variant cue: context needed to evaluate the evidence is absent; avoid author-level inference.</x:v>
      </x:c>
      <x:c r="P193" s="13" t="str">
        <x:v>Exact evidence span in text plus claim-level reasoning link; for contextual/discourse entries, require surrounding context.</x:v>
      </x:c>
      <x:c r="Q193" s="13" t="str">
        <x:v>Do not label merely because topic is controversial, emotional, or wrong. Do not judge intent or personality. Require textual evidence and consider healthy-reasoning cues.</x:v>
      </x:c>
      <x:c r="R193" s="13" t="str">
        <x:v>Stub: A claim relies on context needed to evaluate the evidence is absent to support a conclusion without adequate qualification.</x:v>
      </x:c>
      <x:c r="S193" s="13" t="str">
        <x:v>Stub: A claim discusses proxy mismatch with caveats, balanced evidence, or no argumentative use of the pattern.</x:v>
      </x:c>
      <x:c r="T193" s="13" t="str">
        <x:v>Mild or ambiguous cue; do not classify without clear evidence span.</x:v>
      </x:c>
      <x:c r="U193" s="13" t="str">
        <x:v>Clear claim-level pattern with some argumentative impact.</x:v>
      </x:c>
      <x:c r="V193" s="13" t="str">
        <x:v>Strong pattern central to the conclusion and likely to materially distort reasoning.</x:v>
      </x:c>
      <x:c r="W193" s="13" t="str"/>
      <x:c r="X193" s="13" t="str">
        <x:v>toulmin_uses_argument</x:v>
      </x:c>
      <x:c r="Y193" s="13" t="str">
        <x:v>https://doi.org/10.1017/CBO9780511840005</x:v>
      </x:c>
      <x:c r="Z193" s="13" t="str">
        <x:v>Review before enabling. This workbook is a living taxonomy scaffold, not a validated scientific benchmark.</x:v>
      </x:c>
      <x:c r="AA193" s="13" t="str">
        <x:v>0.1.0-draft</x:v>
      </x:c>
      <x:c r="AB193" s="12" t="str">
        <x:f>IF(ISNUMBER(SEARCH("healthy",F193)),"healthy_reasoning_patterns",IF(ISNUMBER(SEARCH("statistical",F193)),"statistical_reasoning",IF(ISNUMBER(SEARCH("causal",F193)),"causal_reasoning",IF(ISNUMBER(SEARCH("social",F193)),"social_influence",IF(ISNUMBER(SEARCH("rhetoric",F193)),"rhetoric_discourse",IF(ISNUMBER(SEARCH("behavior",F193)),"behavioural_economics",IF(ISNUMBER(SEARCH("cognitive",F193)),"cognitive_biases",IF(J193="protective_pattern","healthy_reasoning_patterns",IF(L193="P0","core_mvp","extended_fallacies")))))))))</x:f>
        <x:v>extended_fallacies</x:v>
      </x:c>
      <x:c r="AC193" s="12" t="str">
        <x:f>IF(ISNUMBER(SEARCH("operational",J193)),"operational",IF(ISNUMBER(SEARCH("deprecated",J193)),"deprecated",IF(L193="P0","canonical","recognized_subtype")))</x:f>
        <x:v>operational</x:v>
      </x:c>
      <x:c r="AD193" s="12" t="str">
        <x:f>IF(AC193="canonical","high",IF(AC193="recognized_subtype","medium",IF(AC193="operational","operational_only","debated")))</x:f>
        <x:v>operational_only</x:v>
      </x:c>
      <x:c r="AE193" s="12" t="str">
        <x:f>IF(AC193="deprecated","deprecated",IF(M193="yes","active",IF(M193="review","review_required","backlog")))</x:f>
        <x:v>backlog</x:v>
      </x:c>
      <x:c r="AF193" s="12" t="str">
        <x:f>IF(OR(AE193="active",AE193="review_required"),"yes","no")</x:f>
        <x:v>no</x:v>
      </x:c>
      <x:c r="AG193" s="12" t="str">
        <x:f>IF(AND(AE193="active",M193="yes",NOT(ISNUMBER(SEARCH("healthy",AB193)))),"yes","no")</x:f>
        <x:v>no</x:v>
      </x:c>
      <x:c r="AH193" s="12" t="str">
        <x:f>IF(OR(H193="contextual",H193="dialogue",H193="discourse",I193="claim+context",I193="discourse_segment"),"yes","no")</x:f>
        <x:v>yes</x:v>
      </x:c>
      <x:c r="AI193" s="12" t="str">
        <x:f>IF(OR(AH193="yes",AD193="debated",AC193="operational"),"yes","no")</x:f>
        <x:v>yes</x:v>
      </x:c>
      <x:c r="AJ193" s="12" t="str">
        <x:f>IF(OR(AH193="yes",AC193="operational",AD193="debated"),"high",IF(AND(AG193="yes",L193="P0"),"medium","low"))</x:f>
        <x:v>high</x:v>
      </x:c>
      <x:c r="AK193" s="12" t="str">
        <x:f>IF(ISNUMBER(SEARCH("healthy",AB193)),"yes","no")</x:f>
        <x:v>no</x:v>
      </x:c>
      <x:c r="AL193" s="12" t="str">
        <x:f>IF(AG193="yes","yes","candidate_only")</x:f>
        <x:v>candidate_only</x:v>
      </x:c>
      <x:c r="AM193" s="12" t="str">
        <x:f>IF(OR(AC193="canonical",AG193="yes"),"yes","recommended")</x:f>
        <x:v>recommended</x:v>
      </x:c>
      <x:c r="AN193" s="12" t="str">
        <x:f>IF(AC193="deprecated","exclude",IF(AND(AG193="yes",AJ193="high"),"import_but_human_review_required",IF(AG193="yes","import_as_active","import_as_backlog")))</x:f>
        <x:v>import_as_backlog</x:v>
      </x:c>
      <x:c r="AO193" s="12" t="str">
        <x:f>IF(AND(AG193="yes",OR(P193="",Q193="",R193="",S193="")),"missing_required_mvp_fields",IF(AND(AC193="canonical",Y193=""),"missing_source_ref","ok"))</x:f>
        <x:v>ok</x:v>
      </x:c>
      <x:c r="AP193" s="12" t="str">
        <x:f>IF(AO193="ok","ready_for_codex_import","needs_review")</x:f>
        <x:v>ready_for_codex_import</x:v>
      </x:c>
      <x:c r="AQ193" s="12"/>
      <x:c r="AR193" s="12" t="str">
        <x:v>Added v2 operational fields. Review before classification activation.</x:v>
      </x:c>
    </x:row>
    <x:row r="194">
      <x:c r="A194" s="13" t="str">
        <x:v>construct_validity_gap_missing_context</x:v>
      </x:c>
      <x:c r="B194" s="13" t="str">
        <x:v>construct_validity_gap</x:v>
      </x:c>
      <x:c r="C194" s="13" t="str">
        <x:v>Construct validity gap</x:v>
      </x:c>
      <x:c r="D194" s="13" t="str">
        <x:v>شکاف اعتبار سازه</x:v>
      </x:c>
      <x:c r="E194" s="13" t="str">
        <x:v>Missing-context variant</x:v>
      </x:c>
      <x:c r="F194" s="13" t="str">
        <x:v>evidence_failures</x:v>
      </x:c>
      <x:c r="G194" s="13" t="str">
        <x:v>operational_variant</x:v>
      </x:c>
      <x:c r="H194" s="13" t="str">
        <x:v>contextual</x:v>
      </x:c>
      <x:c r="I194" s="13" t="str">
        <x:v>claim+context</x:v>
      </x:c>
      <x:c r="J194" s="13" t="str">
        <x:v>derived_operational_subtype</x:v>
      </x:c>
      <x:c r="K194" s="13" t="str">
        <x:v>derived_from_established_parent_review_required</x:v>
      </x:c>
      <x:c r="L194" s="13" t="str">
        <x:v>P2</x:v>
      </x:c>
      <x:c r="M194" s="13" t="str">
        <x:v>no</x:v>
      </x:c>
      <x:c r="N194" s="13" t="str">
        <x:v>Operational subtype under Construct validity gap: context needed to evaluate the evidence is absent. Parent definition: Drawing conclusions about a construct not adequately measured by the evidence.</x:v>
      </x:c>
      <x:c r="O194" s="13" t="str">
        <x:v>Look for: explicit claim-level evidence; parent-family cues for Construct validity gap; variant cue: context needed to evaluate the evidence is absent; avoid author-level inference.</x:v>
      </x:c>
      <x:c r="P194" s="13" t="str">
        <x:v>Exact evidence span in text plus claim-level reasoning link; for contextual/discourse entries, require surrounding context.</x:v>
      </x:c>
      <x:c r="Q194" s="13" t="str">
        <x:v>Do not label merely because topic is controversial, emotional, or wrong. Do not judge intent or personality. Require textual evidence and consider healthy-reasoning cues.</x:v>
      </x:c>
      <x:c r="R194" s="13" t="str">
        <x:v>Stub: A claim relies on context needed to evaluate the evidence is absent to support a conclusion without adequate qualification.</x:v>
      </x:c>
      <x:c r="S194" s="13" t="str">
        <x:v>Stub: A claim discusses construct validity gap with caveats, balanced evidence, or no argumentative use of the pattern.</x:v>
      </x:c>
      <x:c r="T194" s="13" t="str">
        <x:v>Mild or ambiguous cue; do not classify without clear evidence span.</x:v>
      </x:c>
      <x:c r="U194" s="13" t="str">
        <x:v>Clear claim-level pattern with some argumentative impact.</x:v>
      </x:c>
      <x:c r="V194" s="13" t="str">
        <x:v>Strong pattern central to the conclusion and likely to materially distort reasoning.</x:v>
      </x:c>
      <x:c r="W194" s="13" t="str">
        <x:v>cherry_picking; missing_counterevidence; evidence_grading</x:v>
      </x:c>
      <x:c r="X194" s="13" t="str">
        <x:v>toulmin_uses_argument</x:v>
      </x:c>
      <x:c r="Y194" s="13" t="str">
        <x:v>https://doi.org/10.1017/CBO9780511840005</x:v>
      </x:c>
      <x:c r="Z194" s="13" t="str">
        <x:v>Review before enabling. This workbook is a living taxonomy scaffold, not a validated scientific benchmark.</x:v>
      </x:c>
      <x:c r="AA194" s="13" t="str">
        <x:v>0.1.0-draft</x:v>
      </x:c>
      <x:c r="AB194" s="12" t="str">
        <x:f>IF(ISNUMBER(SEARCH("healthy",F194)),"healthy_reasoning_patterns",IF(ISNUMBER(SEARCH("statistical",F194)),"statistical_reasoning",IF(ISNUMBER(SEARCH("causal",F194)),"causal_reasoning",IF(ISNUMBER(SEARCH("social",F194)),"social_influence",IF(ISNUMBER(SEARCH("rhetoric",F194)),"rhetoric_discourse",IF(ISNUMBER(SEARCH("behavior",F194)),"behavioural_economics",IF(ISNUMBER(SEARCH("cognitive",F194)),"cognitive_biases",IF(J194="protective_pattern","healthy_reasoning_patterns",IF(L194="P0","core_mvp","extended_fallacies")))))))))</x:f>
        <x:v>extended_fallacies</x:v>
      </x:c>
      <x:c r="AC194" s="12" t="str">
        <x:f>IF(ISNUMBER(SEARCH("operational",J194)),"operational",IF(ISNUMBER(SEARCH("deprecated",J194)),"deprecated",IF(L194="P0","canonical","recognized_subtype")))</x:f>
        <x:v>operational</x:v>
      </x:c>
      <x:c r="AD194" s="12" t="str">
        <x:f>IF(AC194="canonical","high",IF(AC194="recognized_subtype","medium",IF(AC194="operational","operational_only","debated")))</x:f>
        <x:v>operational_only</x:v>
      </x:c>
      <x:c r="AE194" s="12" t="str">
        <x:f>IF(AC194="deprecated","deprecated",IF(M194="yes","active",IF(M194="review","review_required","backlog")))</x:f>
        <x:v>backlog</x:v>
      </x:c>
      <x:c r="AF194" s="12" t="str">
        <x:f>IF(OR(AE194="active",AE194="review_required"),"yes","no")</x:f>
        <x:v>no</x:v>
      </x:c>
      <x:c r="AG194" s="12" t="str">
        <x:f>IF(AND(AE194="active",M194="yes",NOT(ISNUMBER(SEARCH("healthy",AB194)))),"yes","no")</x:f>
        <x:v>no</x:v>
      </x:c>
      <x:c r="AH194" s="12" t="str">
        <x:f>IF(OR(H194="contextual",H194="dialogue",H194="discourse",I194="claim+context",I194="discourse_segment"),"yes","no")</x:f>
        <x:v>yes</x:v>
      </x:c>
      <x:c r="AI194" s="12" t="str">
        <x:f>IF(OR(AH194="yes",AD194="debated",AC194="operational"),"yes","no")</x:f>
        <x:v>yes</x:v>
      </x:c>
      <x:c r="AJ194" s="12" t="str">
        <x:f>IF(OR(AH194="yes",AC194="operational",AD194="debated"),"high",IF(AND(AG194="yes",L194="P0"),"medium","low"))</x:f>
        <x:v>high</x:v>
      </x:c>
      <x:c r="AK194" s="12" t="str">
        <x:f>IF(ISNUMBER(SEARCH("healthy",AB194)),"yes","no")</x:f>
        <x:v>no</x:v>
      </x:c>
      <x:c r="AL194" s="12" t="str">
        <x:f>IF(AG194="yes","yes","candidate_only")</x:f>
        <x:v>candidate_only</x:v>
      </x:c>
      <x:c r="AM194" s="12" t="str">
        <x:f>IF(OR(AC194="canonical",AG194="yes"),"yes","recommended")</x:f>
        <x:v>recommended</x:v>
      </x:c>
      <x:c r="AN194" s="12" t="str">
        <x:f>IF(AC194="deprecated","exclude",IF(AND(AG194="yes",AJ194="high"),"import_but_human_review_required",IF(AG194="yes","import_as_active","import_as_backlog")))</x:f>
        <x:v>import_as_backlog</x:v>
      </x:c>
      <x:c r="AO194" s="12" t="str">
        <x:f>IF(AND(AG194="yes",OR(P194="",Q194="",R194="",S194="")),"missing_required_mvp_fields",IF(AND(AC194="canonical",Y194=""),"missing_source_ref","ok"))</x:f>
        <x:v>ok</x:v>
      </x:c>
      <x:c r="AP194" s="12" t="str">
        <x:f>IF(AO194="ok","ready_for_codex_import","needs_review")</x:f>
        <x:v>ready_for_codex_import</x:v>
      </x:c>
      <x:c r="AQ194" s="12"/>
      <x:c r="AR194" s="12" t="str">
        <x:v>Added v2 operational fields. Review before classification activation.</x:v>
      </x:c>
    </x:row>
    <x:row r="195">
      <x:c r="A195" s="13" t="str">
        <x:v>ecological_fallacy_missing_context</x:v>
      </x:c>
      <x:c r="B195" s="13" t="str">
        <x:v>ecological_fallacy</x:v>
      </x:c>
      <x:c r="C195" s="13" t="str">
        <x:v>Ecological fallacy</x:v>
      </x:c>
      <x:c r="D195" s="13" t="str">
        <x:v>مغالطه بوم‌شناختی</x:v>
      </x:c>
      <x:c r="E195" s="13" t="str">
        <x:v>Missing-context variant</x:v>
      </x:c>
      <x:c r="F195" s="13" t="str">
        <x:v>evidence_failures</x:v>
      </x:c>
      <x:c r="G195" s="13" t="str">
        <x:v>operational_variant</x:v>
      </x:c>
      <x:c r="H195" s="13" t="str">
        <x:v>contextual</x:v>
      </x:c>
      <x:c r="I195" s="13" t="str">
        <x:v>claim+context</x:v>
      </x:c>
      <x:c r="J195" s="13" t="str">
        <x:v>derived_operational_subtype</x:v>
      </x:c>
      <x:c r="K195" s="13" t="str">
        <x:v>derived_from_established_parent_review_required</x:v>
      </x:c>
      <x:c r="L195" s="13" t="str">
        <x:v>P2</x:v>
      </x:c>
      <x:c r="M195" s="13" t="str">
        <x:v>no</x:v>
      </x:c>
      <x:c r="N195" s="13" t="str">
        <x:v>Operational subtype under Ecological fallacy: context needed to evaluate the evidence is absent. Parent definition: Inferring individual-level conclusions from aggregate-level data.</x:v>
      </x:c>
      <x:c r="O195" s="13" t="str">
        <x:v>Look for: explicit claim-level evidence; parent-family cues for Ecological fallacy; variant cue: context needed to evaluate the evidence is absent; avoid author-level inference.</x:v>
      </x:c>
      <x:c r="P195" s="13" t="str">
        <x:v>Exact evidence span in text plus claim-level reasoning link; for contextual/discourse entries, require surrounding context.</x:v>
      </x:c>
      <x:c r="Q195" s="13" t="str">
        <x:v>Do not label merely because topic is controversial, emotional, or wrong. Do not judge intent or personality. Require textual evidence and consider healthy-reasoning cues.</x:v>
      </x:c>
      <x:c r="R195" s="13" t="str">
        <x:v>Stub: A claim relies on context needed to evaluate the evidence is absent to support a conclusion without adequate qualification.</x:v>
      </x:c>
      <x:c r="S195" s="13" t="str">
        <x:v>Stub: A claim discusses ecological fallacy with caveats, balanced evidence, or no argumentative use of the pattern.</x:v>
      </x:c>
      <x:c r="T195" s="13" t="str">
        <x:v>Mild or ambiguous cue; do not classify without clear evidence span.</x:v>
      </x:c>
      <x:c r="U195" s="13" t="str">
        <x:v>Clear claim-level pattern with some argumentative impact.</x:v>
      </x:c>
      <x:c r="V195" s="13" t="str">
        <x:v>Strong pattern central to the conclusion and likely to materially distort reasoning.</x:v>
      </x:c>
      <x:c r="W195" s="13" t="str"/>
      <x:c r="X195" s="13" t="str">
        <x:v>sep_informal_logic</x:v>
      </x:c>
      <x:c r="Y195" s="13" t="str">
        <x:v>https://plato.stanford.edu/entries/logic-informal/</x:v>
      </x:c>
      <x:c r="Z195" s="13" t="str">
        <x:v>Review before enabling. This workbook is a living taxonomy scaffold, not a validated scientific benchmark.</x:v>
      </x:c>
      <x:c r="AA195" s="13" t="str">
        <x:v>0.1.0-draft</x:v>
      </x:c>
      <x:c r="AB195" s="12" t="str">
        <x:f>IF(ISNUMBER(SEARCH("healthy",F195)),"healthy_reasoning_patterns",IF(ISNUMBER(SEARCH("statistical",F195)),"statistical_reasoning",IF(ISNUMBER(SEARCH("causal",F195)),"causal_reasoning",IF(ISNUMBER(SEARCH("social",F195)),"social_influence",IF(ISNUMBER(SEARCH("rhetoric",F195)),"rhetoric_discourse",IF(ISNUMBER(SEARCH("behavior",F195)),"behavioural_economics",IF(ISNUMBER(SEARCH("cognitive",F195)),"cognitive_biases",IF(J195="protective_pattern","healthy_reasoning_patterns",IF(L195="P0","core_mvp","extended_fallacies")))))))))</x:f>
        <x:v>extended_fallacies</x:v>
      </x:c>
      <x:c r="AC195" s="12" t="str">
        <x:f>IF(ISNUMBER(SEARCH("operational",J195)),"operational",IF(ISNUMBER(SEARCH("deprecated",J195)),"deprecated",IF(L195="P0","canonical","recognized_subtype")))</x:f>
        <x:v>operational</x:v>
      </x:c>
      <x:c r="AD195" s="12" t="str">
        <x:f>IF(AC195="canonical","high",IF(AC195="recognized_subtype","medium",IF(AC195="operational","operational_only","debated")))</x:f>
        <x:v>operational_only</x:v>
      </x:c>
      <x:c r="AE195" s="12" t="str">
        <x:f>IF(AC195="deprecated","deprecated",IF(M195="yes","active",IF(M195="review","review_required","backlog")))</x:f>
        <x:v>backlog</x:v>
      </x:c>
      <x:c r="AF195" s="12" t="str">
        <x:f>IF(OR(AE195="active",AE195="review_required"),"yes","no")</x:f>
        <x:v>no</x:v>
      </x:c>
      <x:c r="AG195" s="12" t="str">
        <x:f>IF(AND(AE195="active",M195="yes",NOT(ISNUMBER(SEARCH("healthy",AB195)))),"yes","no")</x:f>
        <x:v>no</x:v>
      </x:c>
      <x:c r="AH195" s="12" t="str">
        <x:f>IF(OR(H195="contextual",H195="dialogue",H195="discourse",I195="claim+context",I195="discourse_segment"),"yes","no")</x:f>
        <x:v>yes</x:v>
      </x:c>
      <x:c r="AI195" s="12" t="str">
        <x:f>IF(OR(AH195="yes",AD195="debated",AC195="operational"),"yes","no")</x:f>
        <x:v>yes</x:v>
      </x:c>
      <x:c r="AJ195" s="12" t="str">
        <x:f>IF(OR(AH195="yes",AC195="operational",AD195="debated"),"high",IF(AND(AG195="yes",L195="P0"),"medium","low"))</x:f>
        <x:v>high</x:v>
      </x:c>
      <x:c r="AK195" s="12" t="str">
        <x:f>IF(ISNUMBER(SEARCH("healthy",AB195)),"yes","no")</x:f>
        <x:v>no</x:v>
      </x:c>
      <x:c r="AL195" s="12" t="str">
        <x:f>IF(AG195="yes","yes","candidate_only")</x:f>
        <x:v>candidate_only</x:v>
      </x:c>
      <x:c r="AM195" s="12" t="str">
        <x:f>IF(OR(AC195="canonical",AG195="yes"),"yes","recommended")</x:f>
        <x:v>recommended</x:v>
      </x:c>
      <x:c r="AN195" s="12" t="str">
        <x:f>IF(AC195="deprecated","exclude",IF(AND(AG195="yes",AJ195="high"),"import_but_human_review_required",IF(AG195="yes","import_as_active","import_as_backlog")))</x:f>
        <x:v>import_as_backlog</x:v>
      </x:c>
      <x:c r="AO195" s="12" t="str">
        <x:f>IF(AND(AG195="yes",OR(P195="",Q195="",R195="",S195="")),"missing_required_mvp_fields",IF(AND(AC195="canonical",Y195=""),"missing_source_ref","ok"))</x:f>
        <x:v>ok</x:v>
      </x:c>
      <x:c r="AP195" s="12" t="str">
        <x:f>IF(AO195="ok","ready_for_codex_import","needs_review")</x:f>
        <x:v>ready_for_codex_import</x:v>
      </x:c>
      <x:c r="AQ195" s="12"/>
      <x:c r="AR195" s="12" t="str">
        <x:v>Added v2 operational fields. Review before classification activation.</x:v>
      </x:c>
    </x:row>
    <x:row r="196">
      <x:c r="A196" s="13" t="str">
        <x:v>atomistic_fallacy_missing_context</x:v>
      </x:c>
      <x:c r="B196" s="13" t="str">
        <x:v>atomistic_fallacy</x:v>
      </x:c>
      <x:c r="C196" s="13" t="str">
        <x:v>Atomistic fallacy</x:v>
      </x:c>
      <x:c r="D196" s="13" t="str">
        <x:v>مغالطه فردانگارانه</x:v>
      </x:c>
      <x:c r="E196" s="13" t="str">
        <x:v>Missing-context variant</x:v>
      </x:c>
      <x:c r="F196" s="13" t="str">
        <x:v>evidence_failures</x:v>
      </x:c>
      <x:c r="G196" s="13" t="str">
        <x:v>operational_variant</x:v>
      </x:c>
      <x:c r="H196" s="13" t="str">
        <x:v>contextual</x:v>
      </x:c>
      <x:c r="I196" s="13" t="str">
        <x:v>claim+context</x:v>
      </x:c>
      <x:c r="J196" s="13" t="str">
        <x:v>derived_operational_subtype</x:v>
      </x:c>
      <x:c r="K196" s="13" t="str">
        <x:v>derived_from_established_parent_review_required</x:v>
      </x:c>
      <x:c r="L196" s="13" t="str">
        <x:v>P2</x:v>
      </x:c>
      <x:c r="M196" s="13" t="str">
        <x:v>no</x:v>
      </x:c>
      <x:c r="N196" s="13" t="str">
        <x:v>Operational subtype under Atomistic fallacy: context needed to evaluate the evidence is absent. Parent definition: Inferring group-level conclusions from individual-level observations.</x:v>
      </x:c>
      <x:c r="O196" s="13" t="str">
        <x:v>Look for: explicit claim-level evidence; parent-family cues for Atomistic fallacy; variant cue: context needed to evaluate the evidence is absent; avoid author-level inference.</x:v>
      </x:c>
      <x:c r="P196" s="13" t="str">
        <x:v>Exact evidence span in text plus claim-level reasoning link; for contextual/discourse entries, require surrounding context.</x:v>
      </x:c>
      <x:c r="Q196" s="13" t="str">
        <x:v>Do not label merely because topic is controversial, emotional, or wrong. Do not judge intent or personality. Require textual evidence and consider healthy-reasoning cues.</x:v>
      </x:c>
      <x:c r="R196" s="13" t="str">
        <x:v>Stub: A claim relies on context needed to evaluate the evidence is absent to support a conclusion without adequate qualification.</x:v>
      </x:c>
      <x:c r="S196" s="13" t="str">
        <x:v>Stub: A claim discusses atomistic fallacy with caveats, balanced evidence, or no argumentative use of the pattern.</x:v>
      </x:c>
      <x:c r="T196" s="13" t="str">
        <x:v>Mild or ambiguous cue; do not classify without clear evidence span.</x:v>
      </x:c>
      <x:c r="U196" s="13" t="str">
        <x:v>Clear claim-level pattern with some argumentative impact.</x:v>
      </x:c>
      <x:c r="V196" s="13" t="str">
        <x:v>Strong pattern central to the conclusion and likely to materially distort reasoning.</x:v>
      </x:c>
      <x:c r="W196" s="13" t="str"/>
      <x:c r="X196" s="13" t="str">
        <x:v>sep_informal_logic</x:v>
      </x:c>
      <x:c r="Y196" s="13" t="str">
        <x:v>https://plato.stanford.edu/entries/logic-informal/</x:v>
      </x:c>
      <x:c r="Z196" s="13" t="str">
        <x:v>Review before enabling. This workbook is a living taxonomy scaffold, not a validated scientific benchmark.</x:v>
      </x:c>
      <x:c r="AA196" s="13" t="str">
        <x:v>0.1.0-draft</x:v>
      </x:c>
      <x:c r="AB196" s="12" t="str">
        <x:f>IF(ISNUMBER(SEARCH("healthy",F196)),"healthy_reasoning_patterns",IF(ISNUMBER(SEARCH("statistical",F196)),"statistical_reasoning",IF(ISNUMBER(SEARCH("causal",F196)),"causal_reasoning",IF(ISNUMBER(SEARCH("social",F196)),"social_influence",IF(ISNUMBER(SEARCH("rhetoric",F196)),"rhetoric_discourse",IF(ISNUMBER(SEARCH("behavior",F196)),"behavioural_economics",IF(ISNUMBER(SEARCH("cognitive",F196)),"cognitive_biases",IF(J196="protective_pattern","healthy_reasoning_patterns",IF(L196="P0","core_mvp","extended_fallacies")))))))))</x:f>
        <x:v>extended_fallacies</x:v>
      </x:c>
      <x:c r="AC196" s="12" t="str">
        <x:f>IF(ISNUMBER(SEARCH("operational",J196)),"operational",IF(ISNUMBER(SEARCH("deprecated",J196)),"deprecated",IF(L196="P0","canonical","recognized_subtype")))</x:f>
        <x:v>operational</x:v>
      </x:c>
      <x:c r="AD196" s="12" t="str">
        <x:f>IF(AC196="canonical","high",IF(AC196="recognized_subtype","medium",IF(AC196="operational","operational_only","debated")))</x:f>
        <x:v>operational_only</x:v>
      </x:c>
      <x:c r="AE196" s="12" t="str">
        <x:f>IF(AC196="deprecated","deprecated",IF(M196="yes","active",IF(M196="review","review_required","backlog")))</x:f>
        <x:v>backlog</x:v>
      </x:c>
      <x:c r="AF196" s="12" t="str">
        <x:f>IF(OR(AE196="active",AE196="review_required"),"yes","no")</x:f>
        <x:v>no</x:v>
      </x:c>
      <x:c r="AG196" s="12" t="str">
        <x:f>IF(AND(AE196="active",M196="yes",NOT(ISNUMBER(SEARCH("healthy",AB196)))),"yes","no")</x:f>
        <x:v>no</x:v>
      </x:c>
      <x:c r="AH196" s="12" t="str">
        <x:f>IF(OR(H196="contextual",H196="dialogue",H196="discourse",I196="claim+context",I196="discourse_segment"),"yes","no")</x:f>
        <x:v>yes</x:v>
      </x:c>
      <x:c r="AI196" s="12" t="str">
        <x:f>IF(OR(AH196="yes",AD196="debated",AC196="operational"),"yes","no")</x:f>
        <x:v>yes</x:v>
      </x:c>
      <x:c r="AJ196" s="12" t="str">
        <x:f>IF(OR(AH196="yes",AC196="operational",AD196="debated"),"high",IF(AND(AG196="yes",L196="P0"),"medium","low"))</x:f>
        <x:v>high</x:v>
      </x:c>
      <x:c r="AK196" s="12" t="str">
        <x:f>IF(ISNUMBER(SEARCH("healthy",AB196)),"yes","no")</x:f>
        <x:v>no</x:v>
      </x:c>
      <x:c r="AL196" s="12" t="str">
        <x:f>IF(AG196="yes","yes","candidate_only")</x:f>
        <x:v>candidate_only</x:v>
      </x:c>
      <x:c r="AM196" s="12" t="str">
        <x:f>IF(OR(AC196="canonical",AG196="yes"),"yes","recommended")</x:f>
        <x:v>recommended</x:v>
      </x:c>
      <x:c r="AN196" s="12" t="str">
        <x:f>IF(AC196="deprecated","exclude",IF(AND(AG196="yes",AJ196="high"),"import_but_human_review_required",IF(AG196="yes","import_as_active","import_as_backlog")))</x:f>
        <x:v>import_as_backlog</x:v>
      </x:c>
      <x:c r="AO196" s="12" t="str">
        <x:f>IF(AND(AG196="yes",OR(P196="",Q196="",R196="",S196="")),"missing_required_mvp_fields",IF(AND(AC196="canonical",Y196=""),"missing_source_ref","ok"))</x:f>
        <x:v>ok</x:v>
      </x:c>
      <x:c r="AP196" s="12" t="str">
        <x:f>IF(AO196="ok","ready_for_codex_import","needs_review")</x:f>
        <x:v>ready_for_codex_import</x:v>
      </x:c>
      <x:c r="AQ196" s="12"/>
      <x:c r="AR196" s="12" t="str">
        <x:v>Added v2 operational fields. Review before classification activation.</x:v>
      </x:c>
    </x:row>
    <x:row r="197">
      <x:c r="A197" s="13" t="str">
        <x:v>omitted_variable_bias_argument_missing_context</x:v>
      </x:c>
      <x:c r="B197" s="13" t="str">
        <x:v>omitted_variable_bias_argument</x:v>
      </x:c>
      <x:c r="C197" s="13" t="str">
        <x:v>Omitted-variable reasoning gap</x:v>
      </x:c>
      <x:c r="D197" s="13" t="str">
        <x:v>نادیده‌گرفتن متغیرهای مخدوشگر</x:v>
      </x:c>
      <x:c r="E197" s="13" t="str">
        <x:v>Missing-context variant</x:v>
      </x:c>
      <x:c r="F197" s="13" t="str">
        <x:v>evidence_failures</x:v>
      </x:c>
      <x:c r="G197" s="13" t="str">
        <x:v>operational_variant</x:v>
      </x:c>
      <x:c r="H197" s="13" t="str">
        <x:v>contextual</x:v>
      </x:c>
      <x:c r="I197" s="13" t="str">
        <x:v>claim+context</x:v>
      </x:c>
      <x:c r="J197" s="13" t="str">
        <x:v>derived_operational_subtype</x:v>
      </x:c>
      <x:c r="K197" s="13" t="str">
        <x:v>derived_from_established_parent_review_required</x:v>
      </x:c>
      <x:c r="L197" s="13" t="str">
        <x:v>P2</x:v>
      </x:c>
      <x:c r="M197" s="13" t="str">
        <x:v>no</x:v>
      </x:c>
      <x:c r="N197" s="13" t="str">
        <x:v>Operational subtype under Omitted-variable reasoning gap: context needed to evaluate the evidence is absent. Parent definition: Ignoring plausible omitted factors that could explain the observed pattern.</x:v>
      </x:c>
      <x:c r="O197" s="13" t="str">
        <x:v>Look for: explicit claim-level evidence; parent-family cues for Omitted-variable reasoning gap; variant cue: context needed to evaluate the evidence is absent; avoid author-level inference.</x:v>
      </x:c>
      <x:c r="P197" s="13" t="str">
        <x:v>Exact evidence span in text plus claim-level reasoning link; for contextual/discourse entries, require surrounding context.</x:v>
      </x:c>
      <x:c r="Q197" s="13" t="str">
        <x:v>Do not label merely because topic is controversial, emotional, or wrong. Do not judge intent or personality. Require textual evidence and consider healthy-reasoning cues.</x:v>
      </x:c>
      <x:c r="R197" s="13" t="str">
        <x:v>Stub: A claim relies on context needed to evaluate the evidence is absent to support a conclusion without adequate qualification.</x:v>
      </x:c>
      <x:c r="S197" s="13" t="str">
        <x:v>Stub: A claim discusses omitted-variable reasoning gap with caveats, balanced evidence, or no argumentative use of the pattern.</x:v>
      </x:c>
      <x:c r="T197" s="13" t="str">
        <x:v>Mild or ambiguous cue; do not classify without clear evidence span.</x:v>
      </x:c>
      <x:c r="U197" s="13" t="str">
        <x:v>Clear claim-level pattern with some argumentative impact.</x:v>
      </x:c>
      <x:c r="V197" s="13" t="str">
        <x:v>Strong pattern central to the conclusion and likely to materially distort reasoning.</x:v>
      </x:c>
      <x:c r="W197" s="13" t="str"/>
      <x:c r="X197" s="13" t="str">
        <x:v>sep_informal_logic</x:v>
      </x:c>
      <x:c r="Y197" s="13" t="str">
        <x:v>https://plato.stanford.edu/entries/logic-informal/</x:v>
      </x:c>
      <x:c r="Z197" s="13" t="str">
        <x:v>Review before enabling. This workbook is a living taxonomy scaffold, not a validated scientific benchmark.</x:v>
      </x:c>
      <x:c r="AA197" s="13" t="str">
        <x:v>0.1.0-draft</x:v>
      </x:c>
      <x:c r="AB197" s="12" t="str">
        <x:f>IF(ISNUMBER(SEARCH("healthy",F197)),"healthy_reasoning_patterns",IF(ISNUMBER(SEARCH("statistical",F197)),"statistical_reasoning",IF(ISNUMBER(SEARCH("causal",F197)),"causal_reasoning",IF(ISNUMBER(SEARCH("social",F197)),"social_influence",IF(ISNUMBER(SEARCH("rhetoric",F197)),"rhetoric_discourse",IF(ISNUMBER(SEARCH("behavior",F197)),"behavioural_economics",IF(ISNUMBER(SEARCH("cognitive",F197)),"cognitive_biases",IF(J197="protective_pattern","healthy_reasoning_patterns",IF(L197="P0","core_mvp","extended_fallacies")))))))))</x:f>
        <x:v>extended_fallacies</x:v>
      </x:c>
      <x:c r="AC197" s="12" t="str">
        <x:f>IF(ISNUMBER(SEARCH("operational",J197)),"operational",IF(ISNUMBER(SEARCH("deprecated",J197)),"deprecated",IF(L197="P0","canonical","recognized_subtype")))</x:f>
        <x:v>operational</x:v>
      </x:c>
      <x:c r="AD197" s="12" t="str">
        <x:f>IF(AC197="canonical","high",IF(AC197="recognized_subtype","medium",IF(AC197="operational","operational_only","debated")))</x:f>
        <x:v>operational_only</x:v>
      </x:c>
      <x:c r="AE197" s="12" t="str">
        <x:f>IF(AC197="deprecated","deprecated",IF(M197="yes","active",IF(M197="review","review_required","backlog")))</x:f>
        <x:v>backlog</x:v>
      </x:c>
      <x:c r="AF197" s="12" t="str">
        <x:f>IF(OR(AE197="active",AE197="review_required"),"yes","no")</x:f>
        <x:v>no</x:v>
      </x:c>
      <x:c r="AG197" s="12" t="str">
        <x:f>IF(AND(AE197="active",M197="yes",NOT(ISNUMBER(SEARCH("healthy",AB197)))),"yes","no")</x:f>
        <x:v>no</x:v>
      </x:c>
      <x:c r="AH197" s="12" t="str">
        <x:f>IF(OR(H197="contextual",H197="dialogue",H197="discourse",I197="claim+context",I197="discourse_segment"),"yes","no")</x:f>
        <x:v>yes</x:v>
      </x:c>
      <x:c r="AI197" s="12" t="str">
        <x:f>IF(OR(AH197="yes",AD197="debated",AC197="operational"),"yes","no")</x:f>
        <x:v>yes</x:v>
      </x:c>
      <x:c r="AJ197" s="12" t="str">
        <x:f>IF(OR(AH197="yes",AC197="operational",AD197="debated"),"high",IF(AND(AG197="yes",L197="P0"),"medium","low"))</x:f>
        <x:v>high</x:v>
      </x:c>
      <x:c r="AK197" s="12" t="str">
        <x:f>IF(ISNUMBER(SEARCH("healthy",AB197)),"yes","no")</x:f>
        <x:v>no</x:v>
      </x:c>
      <x:c r="AL197" s="12" t="str">
        <x:f>IF(AG197="yes","yes","candidate_only")</x:f>
        <x:v>candidate_only</x:v>
      </x:c>
      <x:c r="AM197" s="12" t="str">
        <x:f>IF(OR(AC197="canonical",AG197="yes"),"yes","recommended")</x:f>
        <x:v>recommended</x:v>
      </x:c>
      <x:c r="AN197" s="12" t="str">
        <x:f>IF(AC197="deprecated","exclude",IF(AND(AG197="yes",AJ197="high"),"import_but_human_review_required",IF(AG197="yes","import_as_active","import_as_backlog")))</x:f>
        <x:v>import_as_backlog</x:v>
      </x:c>
      <x:c r="AO197" s="12" t="str">
        <x:f>IF(AND(AG197="yes",OR(P197="",Q197="",R197="",S197="")),"missing_required_mvp_fields",IF(AND(AC197="canonical",Y197=""),"missing_source_ref","ok"))</x:f>
        <x:v>ok</x:v>
      </x:c>
      <x:c r="AP197" s="12" t="str">
        <x:f>IF(AO197="ok","ready_for_codex_import","needs_review")</x:f>
        <x:v>ready_for_codex_import</x:v>
      </x:c>
      <x:c r="AQ197" s="12"/>
      <x:c r="AR197" s="12" t="str">
        <x:v>Added v2 operational fields. Review before classification activation.</x:v>
      </x:c>
    </x:row>
    <x:row r="198">
      <x:c r="A198" s="13" t="str">
        <x:v>confounding_ignored_missing_context</x:v>
      </x:c>
      <x:c r="B198" s="13" t="str">
        <x:v>confounding_ignored</x:v>
      </x:c>
      <x:c r="C198" s="13" t="str">
        <x:v>Ignored confounding</x:v>
      </x:c>
      <x:c r="D198" s="13" t="str">
        <x:v>نادیده‌گرفتن مخدوشگر</x:v>
      </x:c>
      <x:c r="E198" s="13" t="str">
        <x:v>Missing-context variant</x:v>
      </x:c>
      <x:c r="F198" s="13" t="str">
        <x:v>evidence_failures</x:v>
      </x:c>
      <x:c r="G198" s="13" t="str">
        <x:v>operational_variant</x:v>
      </x:c>
      <x:c r="H198" s="13" t="str">
        <x:v>contextual</x:v>
      </x:c>
      <x:c r="I198" s="13" t="str">
        <x:v>claim+context</x:v>
      </x:c>
      <x:c r="J198" s="13" t="str">
        <x:v>derived_operational_subtype</x:v>
      </x:c>
      <x:c r="K198" s="13" t="str">
        <x:v>derived_from_established_parent_review_required</x:v>
      </x:c>
      <x:c r="L198" s="13" t="str">
        <x:v>P2</x:v>
      </x:c>
      <x:c r="M198" s="13" t="str">
        <x:v>no</x:v>
      </x:c>
      <x:c r="N198" s="13" t="str">
        <x:v>Operational subtype under Ignored confounding: context needed to evaluate the evidence is absent. Parent definition: Treating an association as direct while ignoring confounding factors.</x:v>
      </x:c>
      <x:c r="O198" s="13" t="str">
        <x:v>Look for: explicit claim-level evidence; parent-family cues for Ignored confounding; variant cue: context needed to evaluate the evidence is absent; avoid author-level inference.</x:v>
      </x:c>
      <x:c r="P198" s="13" t="str">
        <x:v>Exact evidence span in text plus claim-level reasoning link; for contextual/discourse entries, require surrounding context.</x:v>
      </x:c>
      <x:c r="Q198" s="13" t="str">
        <x:v>Do not label merely because topic is controversial, emotional, or wrong. Do not judge intent or personality. Require textual evidence and consider healthy-reasoning cues.</x:v>
      </x:c>
      <x:c r="R198" s="13" t="str">
        <x:v>Stub: A claim relies on context needed to evaluate the evidence is absent to support a conclusion without adequate qualification.</x:v>
      </x:c>
      <x:c r="S198" s="13" t="str">
        <x:v>Stub: A claim discusses ignored confounding with caveats, balanced evidence, or no argumentative use of the pattern.</x:v>
      </x:c>
      <x:c r="T198" s="13" t="str">
        <x:v>Mild or ambiguous cue; do not classify without clear evidence span.</x:v>
      </x:c>
      <x:c r="U198" s="13" t="str">
        <x:v>Clear claim-level pattern with some argumentative impact.</x:v>
      </x:c>
      <x:c r="V198" s="13" t="str">
        <x:v>Strong pattern central to the conclusion and likely to materially distort reasoning.</x:v>
      </x:c>
      <x:c r="W198" s="13" t="str"/>
      <x:c r="X198" s="13" t="str">
        <x:v>sep_informal_logic</x:v>
      </x:c>
      <x:c r="Y198" s="13" t="str">
        <x:v>https://plato.stanford.edu/entries/logic-informal/</x:v>
      </x:c>
      <x:c r="Z198" s="13" t="str">
        <x:v>Review before enabling. This workbook is a living taxonomy scaffold, not a validated scientific benchmark.</x:v>
      </x:c>
      <x:c r="AA198" s="13" t="str">
        <x:v>0.1.0-draft</x:v>
      </x:c>
      <x:c r="AB198" s="12" t="str">
        <x:f>IF(ISNUMBER(SEARCH("healthy",F198)),"healthy_reasoning_patterns",IF(ISNUMBER(SEARCH("statistical",F198)),"statistical_reasoning",IF(ISNUMBER(SEARCH("causal",F198)),"causal_reasoning",IF(ISNUMBER(SEARCH("social",F198)),"social_influence",IF(ISNUMBER(SEARCH("rhetoric",F198)),"rhetoric_discourse",IF(ISNUMBER(SEARCH("behavior",F198)),"behavioural_economics",IF(ISNUMBER(SEARCH("cognitive",F198)),"cognitive_biases",IF(J198="protective_pattern","healthy_reasoning_patterns",IF(L198="P0","core_mvp","extended_fallacies")))))))))</x:f>
        <x:v>extended_fallacies</x:v>
      </x:c>
      <x:c r="AC198" s="12" t="str">
        <x:f>IF(ISNUMBER(SEARCH("operational",J198)),"operational",IF(ISNUMBER(SEARCH("deprecated",J198)),"deprecated",IF(L198="P0","canonical","recognized_subtype")))</x:f>
        <x:v>operational</x:v>
      </x:c>
      <x:c r="AD198" s="12" t="str">
        <x:f>IF(AC198="canonical","high",IF(AC198="recognized_subtype","medium",IF(AC198="operational","operational_only","debated")))</x:f>
        <x:v>operational_only</x:v>
      </x:c>
      <x:c r="AE198" s="12" t="str">
        <x:f>IF(AC198="deprecated","deprecated",IF(M198="yes","active",IF(M198="review","review_required","backlog")))</x:f>
        <x:v>backlog</x:v>
      </x:c>
      <x:c r="AF198" s="12" t="str">
        <x:f>IF(OR(AE198="active",AE198="review_required"),"yes","no")</x:f>
        <x:v>no</x:v>
      </x:c>
      <x:c r="AG198" s="12" t="str">
        <x:f>IF(AND(AE198="active",M198="yes",NOT(ISNUMBER(SEARCH("healthy",AB198)))),"yes","no")</x:f>
        <x:v>no</x:v>
      </x:c>
      <x:c r="AH198" s="12" t="str">
        <x:f>IF(OR(H198="contextual",H198="dialogue",H198="discourse",I198="claim+context",I198="discourse_segment"),"yes","no")</x:f>
        <x:v>yes</x:v>
      </x:c>
      <x:c r="AI198" s="12" t="str">
        <x:f>IF(OR(AH198="yes",AD198="debated",AC198="operational"),"yes","no")</x:f>
        <x:v>yes</x:v>
      </x:c>
      <x:c r="AJ198" s="12" t="str">
        <x:f>IF(OR(AH198="yes",AC198="operational",AD198="debated"),"high",IF(AND(AG198="yes",L198="P0"),"medium","low"))</x:f>
        <x:v>high</x:v>
      </x:c>
      <x:c r="AK198" s="12" t="str">
        <x:f>IF(ISNUMBER(SEARCH("healthy",AB198)),"yes","no")</x:f>
        <x:v>no</x:v>
      </x:c>
      <x:c r="AL198" s="12" t="str">
        <x:f>IF(AG198="yes","yes","candidate_only")</x:f>
        <x:v>candidate_only</x:v>
      </x:c>
      <x:c r="AM198" s="12" t="str">
        <x:f>IF(OR(AC198="canonical",AG198="yes"),"yes","recommended")</x:f>
        <x:v>recommended</x:v>
      </x:c>
      <x:c r="AN198" s="12" t="str">
        <x:f>IF(AC198="deprecated","exclude",IF(AND(AG198="yes",AJ198="high"),"import_but_human_review_required",IF(AG198="yes","import_as_active","import_as_backlog")))</x:f>
        <x:v>import_as_backlog</x:v>
      </x:c>
      <x:c r="AO198" s="12" t="str">
        <x:f>IF(AND(AG198="yes",OR(P198="",Q198="",R198="",S198="")),"missing_required_mvp_fields",IF(AND(AC198="canonical",Y198=""),"missing_source_ref","ok"))</x:f>
        <x:v>ok</x:v>
      </x:c>
      <x:c r="AP198" s="12" t="str">
        <x:f>IF(AO198="ok","ready_for_codex_import","needs_review")</x:f>
        <x:v>ready_for_codex_import</x:v>
      </x:c>
      <x:c r="AQ198" s="12"/>
      <x:c r="AR198" s="12" t="str">
        <x:v>Added v2 operational fields. Review before classification activation.</x:v>
      </x:c>
    </x:row>
    <x:row r="199">
      <x:c r="A199" s="13" t="str">
        <x:v>noncomparable_groups_missing_context</x:v>
      </x:c>
      <x:c r="B199" s="13" t="str">
        <x:v>noncomparable_groups</x:v>
      </x:c>
      <x:c r="C199" s="13" t="str">
        <x:v>Non-comparable groups</x:v>
      </x:c>
      <x:c r="D199" s="13" t="str">
        <x:v>گروه‌های غیرقابل‌مقایسه</x:v>
      </x:c>
      <x:c r="E199" s="13" t="str">
        <x:v>Missing-context variant</x:v>
      </x:c>
      <x:c r="F199" s="13" t="str">
        <x:v>evidence_failures</x:v>
      </x:c>
      <x:c r="G199" s="13" t="str">
        <x:v>operational_variant</x:v>
      </x:c>
      <x:c r="H199" s="13" t="str">
        <x:v>contextual</x:v>
      </x:c>
      <x:c r="I199" s="13" t="str">
        <x:v>claim+context</x:v>
      </x:c>
      <x:c r="J199" s="13" t="str">
        <x:v>derived_operational_subtype</x:v>
      </x:c>
      <x:c r="K199" s="13" t="str">
        <x:v>derived_from_established_parent_review_required</x:v>
      </x:c>
      <x:c r="L199" s="13" t="str">
        <x:v>P2</x:v>
      </x:c>
      <x:c r="M199" s="13" t="str">
        <x:v>no</x:v>
      </x:c>
      <x:c r="N199" s="13" t="str">
        <x:v>Operational subtype under Non-comparable groups: context needed to evaluate the evidence is absent. Parent definition: Comparing groups that differ in ways relevant to the claim.</x:v>
      </x:c>
      <x:c r="O199" s="13" t="str">
        <x:v>Look for: explicit claim-level evidence; parent-family cues for Non-comparable groups; variant cue: context needed to evaluate the evidence is absent; avoid author-level inference.</x:v>
      </x:c>
      <x:c r="P199" s="13" t="str">
        <x:v>Exact evidence span in text plus claim-level reasoning link; for contextual/discourse entries, require surrounding context.</x:v>
      </x:c>
      <x:c r="Q199" s="13" t="str">
        <x:v>Do not label merely because topic is controversial, emotional, or wrong. Do not judge intent or personality. Require textual evidence and consider healthy-reasoning cues.</x:v>
      </x:c>
      <x:c r="R199" s="13" t="str">
        <x:v>Stub: A claim relies on context needed to evaluate the evidence is absent to support a conclusion without adequate qualification.</x:v>
      </x:c>
      <x:c r="S199" s="13" t="str">
        <x:v>Stub: A claim discusses non-comparable groups with caveats, balanced evidence, or no argumentative use of the pattern.</x:v>
      </x:c>
      <x:c r="T199" s="13" t="str">
        <x:v>Mild or ambiguous cue; do not classify without clear evidence span.</x:v>
      </x:c>
      <x:c r="U199" s="13" t="str">
        <x:v>Clear claim-level pattern with some argumentative impact.</x:v>
      </x:c>
      <x:c r="V199" s="13" t="str">
        <x:v>Strong pattern central to the conclusion and likely to materially distort reasoning.</x:v>
      </x:c>
      <x:c r="W199" s="13" t="str"/>
      <x:c r="X199" s="13" t="str">
        <x:v>toulmin_uses_argument</x:v>
      </x:c>
      <x:c r="Y199" s="13" t="str">
        <x:v>https://doi.org/10.1017/CBO9780511840005</x:v>
      </x:c>
      <x:c r="Z199" s="13" t="str">
        <x:v>Review before enabling. This workbook is a living taxonomy scaffold, not a validated scientific benchmark.</x:v>
      </x:c>
      <x:c r="AA199" s="13" t="str">
        <x:v>0.1.0-draft</x:v>
      </x:c>
      <x:c r="AB199" s="12" t="str">
        <x:f>IF(ISNUMBER(SEARCH("healthy",F199)),"healthy_reasoning_patterns",IF(ISNUMBER(SEARCH("statistical",F199)),"statistical_reasoning",IF(ISNUMBER(SEARCH("causal",F199)),"causal_reasoning",IF(ISNUMBER(SEARCH("social",F199)),"social_influence",IF(ISNUMBER(SEARCH("rhetoric",F199)),"rhetoric_discourse",IF(ISNUMBER(SEARCH("behavior",F199)),"behavioural_economics",IF(ISNUMBER(SEARCH("cognitive",F199)),"cognitive_biases",IF(J199="protective_pattern","healthy_reasoning_patterns",IF(L199="P0","core_mvp","extended_fallacies")))))))))</x:f>
        <x:v>extended_fallacies</x:v>
      </x:c>
      <x:c r="AC199" s="12" t="str">
        <x:f>IF(ISNUMBER(SEARCH("operational",J199)),"operational",IF(ISNUMBER(SEARCH("deprecated",J199)),"deprecated",IF(L199="P0","canonical","recognized_subtype")))</x:f>
        <x:v>operational</x:v>
      </x:c>
      <x:c r="AD199" s="12" t="str">
        <x:f>IF(AC199="canonical","high",IF(AC199="recognized_subtype","medium",IF(AC199="operational","operational_only","debated")))</x:f>
        <x:v>operational_only</x:v>
      </x:c>
      <x:c r="AE199" s="12" t="str">
        <x:f>IF(AC199="deprecated","deprecated",IF(M199="yes","active",IF(M199="review","review_required","backlog")))</x:f>
        <x:v>backlog</x:v>
      </x:c>
      <x:c r="AF199" s="12" t="str">
        <x:f>IF(OR(AE199="active",AE199="review_required"),"yes","no")</x:f>
        <x:v>no</x:v>
      </x:c>
      <x:c r="AG199" s="12" t="str">
        <x:f>IF(AND(AE199="active",M199="yes",NOT(ISNUMBER(SEARCH("healthy",AB199)))),"yes","no")</x:f>
        <x:v>no</x:v>
      </x:c>
      <x:c r="AH199" s="12" t="str">
        <x:f>IF(OR(H199="contextual",H199="dialogue",H199="discourse",I199="claim+context",I199="discourse_segment"),"yes","no")</x:f>
        <x:v>yes</x:v>
      </x:c>
      <x:c r="AI199" s="12" t="str">
        <x:f>IF(OR(AH199="yes",AD199="debated",AC199="operational"),"yes","no")</x:f>
        <x:v>yes</x:v>
      </x:c>
      <x:c r="AJ199" s="12" t="str">
        <x:f>IF(OR(AH199="yes",AC199="operational",AD199="debated"),"high",IF(AND(AG199="yes",L199="P0"),"medium","low"))</x:f>
        <x:v>high</x:v>
      </x:c>
      <x:c r="AK199" s="12" t="str">
        <x:f>IF(ISNUMBER(SEARCH("healthy",AB199)),"yes","no")</x:f>
        <x:v>no</x:v>
      </x:c>
      <x:c r="AL199" s="12" t="str">
        <x:f>IF(AG199="yes","yes","candidate_only")</x:f>
        <x:v>candidate_only</x:v>
      </x:c>
      <x:c r="AM199" s="12" t="str">
        <x:f>IF(OR(AC199="canonical",AG199="yes"),"yes","recommended")</x:f>
        <x:v>recommended</x:v>
      </x:c>
      <x:c r="AN199" s="12" t="str">
        <x:f>IF(AC199="deprecated","exclude",IF(AND(AG199="yes",AJ199="high"),"import_but_human_review_required",IF(AG199="yes","import_as_active","import_as_backlog")))</x:f>
        <x:v>import_as_backlog</x:v>
      </x:c>
      <x:c r="AO199" s="12" t="str">
        <x:f>IF(AND(AG199="yes",OR(P199="",Q199="",R199="",S199="")),"missing_required_mvp_fields",IF(AND(AC199="canonical",Y199=""),"missing_source_ref","ok"))</x:f>
        <x:v>ok</x:v>
      </x:c>
      <x:c r="AP199" s="12" t="str">
        <x:f>IF(AO199="ok","ready_for_codex_import","needs_review")</x:f>
        <x:v>ready_for_codex_import</x:v>
      </x:c>
      <x:c r="AQ199" s="12"/>
      <x:c r="AR199" s="12" t="str">
        <x:v>Added v2 operational fields. Review before classification activation.</x:v>
      </x:c>
    </x:row>
    <x:row r="200">
      <x:c r="A200" s="13" t="str">
        <x:v>uncontrolled_comparison_missing_context</x:v>
      </x:c>
      <x:c r="B200" s="13" t="str">
        <x:v>uncontrolled_comparison</x:v>
      </x:c>
      <x:c r="C200" s="13" t="str">
        <x:v>Uncontrolled comparison</x:v>
      </x:c>
      <x:c r="D200" s="13" t="str">
        <x:v>مقایسه بدون کنترل</x:v>
      </x:c>
      <x:c r="E200" s="13" t="str">
        <x:v>Missing-context variant</x:v>
      </x:c>
      <x:c r="F200" s="13" t="str">
        <x:v>evidence_failures</x:v>
      </x:c>
      <x:c r="G200" s="13" t="str">
        <x:v>operational_variant</x:v>
      </x:c>
      <x:c r="H200" s="13" t="str">
        <x:v>contextual</x:v>
      </x:c>
      <x:c r="I200" s="13" t="str">
        <x:v>claim+context</x:v>
      </x:c>
      <x:c r="J200" s="13" t="str">
        <x:v>derived_operational_subtype</x:v>
      </x:c>
      <x:c r="K200" s="13" t="str">
        <x:v>derived_from_established_parent_review_required</x:v>
      </x:c>
      <x:c r="L200" s="13" t="str">
        <x:v>P2</x:v>
      </x:c>
      <x:c r="M200" s="13" t="str">
        <x:v>no</x:v>
      </x:c>
      <x:c r="N200" s="13" t="str">
        <x:v>Operational subtype under Uncontrolled comparison: context needed to evaluate the evidence is absent. Parent definition: Drawing a strong conclusion from comparisons without controls or caveats.</x:v>
      </x:c>
      <x:c r="O200" s="13" t="str">
        <x:v>Look for: explicit claim-level evidence; parent-family cues for Uncontrolled comparison; variant cue: context needed to evaluate the evidence is absent; avoid author-level inference.</x:v>
      </x:c>
      <x:c r="P200" s="13" t="str">
        <x:v>Exact evidence span in text plus claim-level reasoning link; for contextual/discourse entries, require surrounding context.</x:v>
      </x:c>
      <x:c r="Q200" s="13" t="str">
        <x:v>Do not label merely because topic is controversial, emotional, or wrong. Do not judge intent or personality. Require textual evidence and consider healthy-reasoning cues.</x:v>
      </x:c>
      <x:c r="R200" s="13" t="str">
        <x:v>Stub: A claim relies on context needed to evaluate the evidence is absent to support a conclusion without adequate qualification.</x:v>
      </x:c>
      <x:c r="S200" s="13" t="str">
        <x:v>Stub: A claim discusses uncontrolled comparison with caveats, balanced evidence, or no argumentative use of the pattern.</x:v>
      </x:c>
      <x:c r="T200" s="13" t="str">
        <x:v>Mild or ambiguous cue; do not classify without clear evidence span.</x:v>
      </x:c>
      <x:c r="U200" s="13" t="str">
        <x:v>Clear claim-level pattern with some argumentative impact.</x:v>
      </x:c>
      <x:c r="V200" s="13" t="str">
        <x:v>Strong pattern central to the conclusion and likely to materially distort reasoning.</x:v>
      </x:c>
      <x:c r="W200" s="13" t="str"/>
      <x:c r="X200" s="13" t="str">
        <x:v>toulmin_uses_argument</x:v>
      </x:c>
      <x:c r="Y200" s="13" t="str">
        <x:v>https://doi.org/10.1017/CBO9780511840005</x:v>
      </x:c>
      <x:c r="Z200" s="13" t="str">
        <x:v>Review before enabling. This workbook is a living taxonomy scaffold, not a validated scientific benchmark.</x:v>
      </x:c>
      <x:c r="AA200" s="13" t="str">
        <x:v>0.1.0-draft</x:v>
      </x:c>
      <x:c r="AB200" s="12" t="str">
        <x:f>IF(ISNUMBER(SEARCH("healthy",F200)),"healthy_reasoning_patterns",IF(ISNUMBER(SEARCH("statistical",F200)),"statistical_reasoning",IF(ISNUMBER(SEARCH("causal",F200)),"causal_reasoning",IF(ISNUMBER(SEARCH("social",F200)),"social_influence",IF(ISNUMBER(SEARCH("rhetoric",F200)),"rhetoric_discourse",IF(ISNUMBER(SEARCH("behavior",F200)),"behavioural_economics",IF(ISNUMBER(SEARCH("cognitive",F200)),"cognitive_biases",IF(J200="protective_pattern","healthy_reasoning_patterns",IF(L200="P0","core_mvp","extended_fallacies")))))))))</x:f>
        <x:v>extended_fallacies</x:v>
      </x:c>
      <x:c r="AC200" s="12" t="str">
        <x:f>IF(ISNUMBER(SEARCH("operational",J200)),"operational",IF(ISNUMBER(SEARCH("deprecated",J200)),"deprecated",IF(L200="P0","canonical","recognized_subtype")))</x:f>
        <x:v>operational</x:v>
      </x:c>
      <x:c r="AD200" s="12" t="str">
        <x:f>IF(AC200="canonical","high",IF(AC200="recognized_subtype","medium",IF(AC200="operational","operational_only","debated")))</x:f>
        <x:v>operational_only</x:v>
      </x:c>
      <x:c r="AE200" s="12" t="str">
        <x:f>IF(AC200="deprecated","deprecated",IF(M200="yes","active",IF(M200="review","review_required","backlog")))</x:f>
        <x:v>backlog</x:v>
      </x:c>
      <x:c r="AF200" s="12" t="str">
        <x:f>IF(OR(AE200="active",AE200="review_required"),"yes","no")</x:f>
        <x:v>no</x:v>
      </x:c>
      <x:c r="AG200" s="12" t="str">
        <x:f>IF(AND(AE200="active",M200="yes",NOT(ISNUMBER(SEARCH("healthy",AB200)))),"yes","no")</x:f>
        <x:v>no</x:v>
      </x:c>
      <x:c r="AH200" s="12" t="str">
        <x:f>IF(OR(H200="contextual",H200="dialogue",H200="discourse",I200="claim+context",I200="discourse_segment"),"yes","no")</x:f>
        <x:v>yes</x:v>
      </x:c>
      <x:c r="AI200" s="12" t="str">
        <x:f>IF(OR(AH200="yes",AD200="debated",AC200="operational"),"yes","no")</x:f>
        <x:v>yes</x:v>
      </x:c>
      <x:c r="AJ200" s="12" t="str">
        <x:f>IF(OR(AH200="yes",AC200="operational",AD200="debated"),"high",IF(AND(AG200="yes",L200="P0"),"medium","low"))</x:f>
        <x:v>high</x:v>
      </x:c>
      <x:c r="AK200" s="12" t="str">
        <x:f>IF(ISNUMBER(SEARCH("healthy",AB200)),"yes","no")</x:f>
        <x:v>no</x:v>
      </x:c>
      <x:c r="AL200" s="12" t="str">
        <x:f>IF(AG200="yes","yes","candidate_only")</x:f>
        <x:v>candidate_only</x:v>
      </x:c>
      <x:c r="AM200" s="12" t="str">
        <x:f>IF(OR(AC200="canonical",AG200="yes"),"yes","recommended")</x:f>
        <x:v>recommended</x:v>
      </x:c>
      <x:c r="AN200" s="12" t="str">
        <x:f>IF(AC200="deprecated","exclude",IF(AND(AG200="yes",AJ200="high"),"import_but_human_review_required",IF(AG200="yes","import_as_active","import_as_backlog")))</x:f>
        <x:v>import_as_backlog</x:v>
      </x:c>
      <x:c r="AO200" s="12" t="str">
        <x:f>IF(AND(AG200="yes",OR(P200="",Q200="",R200="",S200="")),"missing_required_mvp_fields",IF(AND(AC200="canonical",Y200=""),"missing_source_ref","ok"))</x:f>
        <x:v>ok</x:v>
      </x:c>
      <x:c r="AP200" s="12" t="str">
        <x:f>IF(AO200="ok","ready_for_codex_import","needs_review")</x:f>
        <x:v>ready_for_codex_import</x:v>
      </x:c>
      <x:c r="AQ200" s="12"/>
      <x:c r="AR200" s="12" t="str">
        <x:v>Added v2 operational fields. Review before classification activation.</x:v>
      </x:c>
    </x:row>
    <x:row r="201">
      <x:c r="A201" s="13" t="str">
        <x:v>causality_without_design_missing_context</x:v>
      </x:c>
      <x:c r="B201" s="13" t="str">
        <x:v>causality_without_design</x:v>
      </x:c>
      <x:c r="C201" s="13" t="str">
        <x:v>Causal claim without causal design</x:v>
      </x:c>
      <x:c r="D201" s="13" t="str">
        <x:v>ادعای علی بدون طراحی علی</x:v>
      </x:c>
      <x:c r="E201" s="13" t="str">
        <x:v>Missing-context variant</x:v>
      </x:c>
      <x:c r="F201" s="13" t="str">
        <x:v>evidence_failures</x:v>
      </x:c>
      <x:c r="G201" s="13" t="str">
        <x:v>operational_variant</x:v>
      </x:c>
      <x:c r="H201" s="13" t="str">
        <x:v>contextual</x:v>
      </x:c>
      <x:c r="I201" s="13" t="str">
        <x:v>claim+context</x:v>
      </x:c>
      <x:c r="J201" s="13" t="str">
        <x:v>derived_operational_subtype</x:v>
      </x:c>
      <x:c r="K201" s="13" t="str">
        <x:v>derived_from_established_parent_review_required</x:v>
      </x:c>
      <x:c r="L201" s="13" t="str">
        <x:v>P2</x:v>
      </x:c>
      <x:c r="M201" s="13" t="str">
        <x:v>no</x:v>
      </x:c>
      <x:c r="N201" s="13" t="str">
        <x:v>Operational subtype under Causal claim without causal design: context needed to evaluate the evidence is absent. Parent definition: Making causal claims without design or evidence suited to causal inference.</x:v>
      </x:c>
      <x:c r="O201" s="13" t="str">
        <x:v>Look for: explicit claim-level evidence; parent-family cues for Causal claim without causal design; variant cue: context needed to evaluate the evidence is absent; avoid author-level inference.</x:v>
      </x:c>
      <x:c r="P201" s="13" t="str">
        <x:v>Exact evidence span in text plus claim-level reasoning link; for contextual/discourse entries, require surrounding context.</x:v>
      </x:c>
      <x:c r="Q201" s="13" t="str">
        <x:v>Do not label merely because topic is controversial, emotional, or wrong. Do not judge intent or personality. Require textual evidence and consider healthy-reasoning cues.</x:v>
      </x:c>
      <x:c r="R201" s="13" t="str">
        <x:v>Stub: A claim relies on context needed to evaluate the evidence is absent to support a conclusion without adequate qualification.</x:v>
      </x:c>
      <x:c r="S201" s="13" t="str">
        <x:v>Stub: A claim discusses causal claim without causal design with caveats, balanced evidence, or no argumentative use of the pattern.</x:v>
      </x:c>
      <x:c r="T201" s="13" t="str">
        <x:v>Mild or ambiguous cue; do not classify without clear evidence span.</x:v>
      </x:c>
      <x:c r="U201" s="13" t="str">
        <x:v>Clear claim-level pattern with some argumentative impact.</x:v>
      </x:c>
      <x:c r="V201" s="13" t="str">
        <x:v>Strong pattern central to the conclusion and likely to materially distort reasoning.</x:v>
      </x:c>
      <x:c r="W201" s="13" t="str">
        <x:v>post_hoc; cum_hoc; alternative_explanation_neglect</x:v>
      </x:c>
      <x:c r="X201" s="13" t="str">
        <x:v>toulmin_uses_argument</x:v>
      </x:c>
      <x:c r="Y201" s="13" t="str">
        <x:v>https://doi.org/10.1017/CBO9780511840005</x:v>
      </x:c>
      <x:c r="Z201" s="13" t="str">
        <x:v>Review before enabling. This workbook is a living taxonomy scaffold, not a validated scientific benchmark.</x:v>
      </x:c>
      <x:c r="AA201" s="13" t="str">
        <x:v>0.1.0-draft</x:v>
      </x:c>
      <x:c r="AB201" s="12" t="str">
        <x:f>IF(ISNUMBER(SEARCH("healthy",F201)),"healthy_reasoning_patterns",IF(ISNUMBER(SEARCH("statistical",F201)),"statistical_reasoning",IF(ISNUMBER(SEARCH("causal",F201)),"causal_reasoning",IF(ISNUMBER(SEARCH("social",F201)),"social_influence",IF(ISNUMBER(SEARCH("rhetoric",F201)),"rhetoric_discourse",IF(ISNUMBER(SEARCH("behavior",F201)),"behavioural_economics",IF(ISNUMBER(SEARCH("cognitive",F201)),"cognitive_biases",IF(J201="protective_pattern","healthy_reasoning_patterns",IF(L201="P0","core_mvp","extended_fallacies")))))))))</x:f>
        <x:v>extended_fallacies</x:v>
      </x:c>
      <x:c r="AC201" s="12" t="str">
        <x:f>IF(ISNUMBER(SEARCH("operational",J201)),"operational",IF(ISNUMBER(SEARCH("deprecated",J201)),"deprecated",IF(L201="P0","canonical","recognized_subtype")))</x:f>
        <x:v>operational</x:v>
      </x:c>
      <x:c r="AD201" s="12" t="str">
        <x:f>IF(AC201="canonical","high",IF(AC201="recognized_subtype","medium",IF(AC201="operational","operational_only","debated")))</x:f>
        <x:v>operational_only</x:v>
      </x:c>
      <x:c r="AE201" s="12" t="str">
        <x:f>IF(AC201="deprecated","deprecated",IF(M201="yes","active",IF(M201="review","review_required","backlog")))</x:f>
        <x:v>backlog</x:v>
      </x:c>
      <x:c r="AF201" s="12" t="str">
        <x:f>IF(OR(AE201="active",AE201="review_required"),"yes","no")</x:f>
        <x:v>no</x:v>
      </x:c>
      <x:c r="AG201" s="12" t="str">
        <x:f>IF(AND(AE201="active",M201="yes",NOT(ISNUMBER(SEARCH("healthy",AB201)))),"yes","no")</x:f>
        <x:v>no</x:v>
      </x:c>
      <x:c r="AH201" s="12" t="str">
        <x:f>IF(OR(H201="contextual",H201="dialogue",H201="discourse",I201="claim+context",I201="discourse_segment"),"yes","no")</x:f>
        <x:v>yes</x:v>
      </x:c>
      <x:c r="AI201" s="12" t="str">
        <x:f>IF(OR(AH201="yes",AD201="debated",AC201="operational"),"yes","no")</x:f>
        <x:v>yes</x:v>
      </x:c>
      <x:c r="AJ201" s="12" t="str">
        <x:f>IF(OR(AH201="yes",AC201="operational",AD201="debated"),"high",IF(AND(AG201="yes",L201="P0"),"medium","low"))</x:f>
        <x:v>high</x:v>
      </x:c>
      <x:c r="AK201" s="12" t="str">
        <x:f>IF(ISNUMBER(SEARCH("healthy",AB201)),"yes","no")</x:f>
        <x:v>no</x:v>
      </x:c>
      <x:c r="AL201" s="12" t="str">
        <x:f>IF(AG201="yes","yes","candidate_only")</x:f>
        <x:v>candidate_only</x:v>
      </x:c>
      <x:c r="AM201" s="12" t="str">
        <x:f>IF(OR(AC201="canonical",AG201="yes"),"yes","recommended")</x:f>
        <x:v>recommended</x:v>
      </x:c>
      <x:c r="AN201" s="12" t="str">
        <x:f>IF(AC201="deprecated","exclude",IF(AND(AG201="yes",AJ201="high"),"import_but_human_review_required",IF(AG201="yes","import_as_active","import_as_backlog")))</x:f>
        <x:v>import_as_backlog</x:v>
      </x:c>
      <x:c r="AO201" s="12" t="str">
        <x:f>IF(AND(AG201="yes",OR(P201="",Q201="",R201="",S201="")),"missing_required_mvp_fields",IF(AND(AC201="canonical",Y201=""),"missing_source_ref","ok"))</x:f>
        <x:v>ok</x:v>
      </x:c>
      <x:c r="AP201" s="12" t="str">
        <x:f>IF(AO201="ok","ready_for_codex_import","needs_review")</x:f>
        <x:v>ready_for_codex_import</x:v>
      </x:c>
      <x:c r="AQ201" s="12"/>
      <x:c r="AR201" s="12" t="str">
        <x:v>Added v2 operational fields. Review before classification activation.</x:v>
      </x:c>
    </x:row>
    <x:row r="202">
      <x:c r="A202" s="13" t="str">
        <x:v>temporal_misalignment_missing_context</x:v>
      </x:c>
      <x:c r="B202" s="13" t="str">
        <x:v>temporal_misalignment</x:v>
      </x:c>
      <x:c r="C202" s="13" t="str">
        <x:v>Temporal misalignment</x:v>
      </x:c>
      <x:c r="D202" s="13" t="str">
        <x:v>ناهماهنگی زمانی داده و ادعا</x:v>
      </x:c>
      <x:c r="E202" s="13" t="str">
        <x:v>Missing-context variant</x:v>
      </x:c>
      <x:c r="F202" s="13" t="str">
        <x:v>evidence_failures</x:v>
      </x:c>
      <x:c r="G202" s="13" t="str">
        <x:v>operational_variant</x:v>
      </x:c>
      <x:c r="H202" s="13" t="str">
        <x:v>contextual</x:v>
      </x:c>
      <x:c r="I202" s="13" t="str">
        <x:v>claim+context</x:v>
      </x:c>
      <x:c r="J202" s="13" t="str">
        <x:v>derived_operational_subtype</x:v>
      </x:c>
      <x:c r="K202" s="13" t="str">
        <x:v>derived_from_established_parent_review_required</x:v>
      </x:c>
      <x:c r="L202" s="13" t="str">
        <x:v>P2</x:v>
      </x:c>
      <x:c r="M202" s="13" t="str">
        <x:v>no</x:v>
      </x:c>
      <x:c r="N202" s="13" t="str">
        <x:v>Operational subtype under Temporal misalignment: context needed to evaluate the evidence is absent. Parent definition: Using evidence from a time frame that does not match the claim.</x:v>
      </x:c>
      <x:c r="O202" s="13" t="str">
        <x:v>Look for: explicit claim-level evidence; parent-family cues for Temporal misalignment; variant cue: context needed to evaluate the evidence is absent; avoid author-level inference.</x:v>
      </x:c>
      <x:c r="P202" s="13" t="str">
        <x:v>Exact evidence span in text plus claim-level reasoning link; for contextual/discourse entries, require surrounding context.</x:v>
      </x:c>
      <x:c r="Q202" s="13" t="str">
        <x:v>Do not label merely because topic is controversial, emotional, or wrong. Do not judge intent or personality. Require textual evidence and consider healthy-reasoning cues.</x:v>
      </x:c>
      <x:c r="R202" s="13" t="str">
        <x:v>Stub: A claim relies on context needed to evaluate the evidence is absent to support a conclusion without adequate qualification.</x:v>
      </x:c>
      <x:c r="S202" s="13" t="str">
        <x:v>Stub: A claim discusses temporal misalignment with caveats, balanced evidence, or no argumentative use of the pattern.</x:v>
      </x:c>
      <x:c r="T202" s="13" t="str">
        <x:v>Mild or ambiguous cue; do not classify without clear evidence span.</x:v>
      </x:c>
      <x:c r="U202" s="13" t="str">
        <x:v>Clear claim-level pattern with some argumentative impact.</x:v>
      </x:c>
      <x:c r="V202" s="13" t="str">
        <x:v>Strong pattern central to the conclusion and likely to materially distort reasoning.</x:v>
      </x:c>
      <x:c r="W202" s="13" t="str">
        <x:v>cherry_picking; missing_counterevidence; evidence_grading</x:v>
      </x:c>
      <x:c r="X202" s="13" t="str">
        <x:v>toulmin_uses_argument</x:v>
      </x:c>
      <x:c r="Y202" s="13" t="str">
        <x:v>https://doi.org/10.1017/CBO9780511840005</x:v>
      </x:c>
      <x:c r="Z202" s="13" t="str">
        <x:v>Review before enabling. This workbook is a living taxonomy scaffold, not a validated scientific benchmark.</x:v>
      </x:c>
      <x:c r="AA202" s="13" t="str">
        <x:v>0.1.0-draft</x:v>
      </x:c>
      <x:c r="AB202" s="12" t="str">
        <x:f>IF(ISNUMBER(SEARCH("healthy",F202)),"healthy_reasoning_patterns",IF(ISNUMBER(SEARCH("statistical",F202)),"statistical_reasoning",IF(ISNUMBER(SEARCH("causal",F202)),"causal_reasoning",IF(ISNUMBER(SEARCH("social",F202)),"social_influence",IF(ISNUMBER(SEARCH("rhetoric",F202)),"rhetoric_discourse",IF(ISNUMBER(SEARCH("behavior",F202)),"behavioural_economics",IF(ISNUMBER(SEARCH("cognitive",F202)),"cognitive_biases",IF(J202="protective_pattern","healthy_reasoning_patterns",IF(L202="P0","core_mvp","extended_fallacies")))))))))</x:f>
        <x:v>extended_fallacies</x:v>
      </x:c>
      <x:c r="AC202" s="12" t="str">
        <x:f>IF(ISNUMBER(SEARCH("operational",J202)),"operational",IF(ISNUMBER(SEARCH("deprecated",J202)),"deprecated",IF(L202="P0","canonical","recognized_subtype")))</x:f>
        <x:v>operational</x:v>
      </x:c>
      <x:c r="AD202" s="12" t="str">
        <x:f>IF(AC202="canonical","high",IF(AC202="recognized_subtype","medium",IF(AC202="operational","operational_only","debated")))</x:f>
        <x:v>operational_only</x:v>
      </x:c>
      <x:c r="AE202" s="12" t="str">
        <x:f>IF(AC202="deprecated","deprecated",IF(M202="yes","active",IF(M202="review","review_required","backlog")))</x:f>
        <x:v>backlog</x:v>
      </x:c>
      <x:c r="AF202" s="12" t="str">
        <x:f>IF(OR(AE202="active",AE202="review_required"),"yes","no")</x:f>
        <x:v>no</x:v>
      </x:c>
      <x:c r="AG202" s="12" t="str">
        <x:f>IF(AND(AE202="active",M202="yes",NOT(ISNUMBER(SEARCH("healthy",AB202)))),"yes","no")</x:f>
        <x:v>no</x:v>
      </x:c>
      <x:c r="AH202" s="12" t="str">
        <x:f>IF(OR(H202="contextual",H202="dialogue",H202="discourse",I202="claim+context",I202="discourse_segment"),"yes","no")</x:f>
        <x:v>yes</x:v>
      </x:c>
      <x:c r="AI202" s="12" t="str">
        <x:f>IF(OR(AH202="yes",AD202="debated",AC202="operational"),"yes","no")</x:f>
        <x:v>yes</x:v>
      </x:c>
      <x:c r="AJ202" s="12" t="str">
        <x:f>IF(OR(AH202="yes",AC202="operational",AD202="debated"),"high",IF(AND(AG202="yes",L202="P0"),"medium","low"))</x:f>
        <x:v>high</x:v>
      </x:c>
      <x:c r="AK202" s="12" t="str">
        <x:f>IF(ISNUMBER(SEARCH("healthy",AB202)),"yes","no")</x:f>
        <x:v>no</x:v>
      </x:c>
      <x:c r="AL202" s="12" t="str">
        <x:f>IF(AG202="yes","yes","candidate_only")</x:f>
        <x:v>candidate_only</x:v>
      </x:c>
      <x:c r="AM202" s="12" t="str">
        <x:f>IF(OR(AC202="canonical",AG202="yes"),"yes","recommended")</x:f>
        <x:v>recommended</x:v>
      </x:c>
      <x:c r="AN202" s="12" t="str">
        <x:f>IF(AC202="deprecated","exclude",IF(AND(AG202="yes",AJ202="high"),"import_but_human_review_required",IF(AG202="yes","import_as_active","import_as_backlog")))</x:f>
        <x:v>import_as_backlog</x:v>
      </x:c>
      <x:c r="AO202" s="12" t="str">
        <x:f>IF(AND(AG202="yes",OR(P202="",Q202="",R202="",S202="")),"missing_required_mvp_fields",IF(AND(AC202="canonical",Y202=""),"missing_source_ref","ok"))</x:f>
        <x:v>ok</x:v>
      </x:c>
      <x:c r="AP202" s="12" t="str">
        <x:f>IF(AO202="ok","ready_for_codex_import","needs_review")</x:f>
        <x:v>ready_for_codex_import</x:v>
      </x:c>
      <x:c r="AQ202" s="12"/>
      <x:c r="AR202" s="12" t="str">
        <x:v>Added v2 operational fields. Review before classification activation.</x:v>
      </x:c>
    </x:row>
    <x:row r="203">
      <x:c r="A203" s="13" t="str">
        <x:v>data_dredging_missing_context</x:v>
      </x:c>
      <x:c r="B203" s="13" t="str">
        <x:v>data_dredging</x:v>
      </x:c>
      <x:c r="C203" s="13" t="str">
        <x:v>Data dredging</x:v>
      </x:c>
      <x:c r="D203" s="13" t="str">
        <x:v>داده‌کاوی بی‌قاعده</x:v>
      </x:c>
      <x:c r="E203" s="13" t="str">
        <x:v>Missing-context variant</x:v>
      </x:c>
      <x:c r="F203" s="13" t="str">
        <x:v>evidence_failures</x:v>
      </x:c>
      <x:c r="G203" s="13" t="str">
        <x:v>operational_variant</x:v>
      </x:c>
      <x:c r="H203" s="13" t="str">
        <x:v>contextual</x:v>
      </x:c>
      <x:c r="I203" s="13" t="str">
        <x:v>claim+context</x:v>
      </x:c>
      <x:c r="J203" s="13" t="str">
        <x:v>derived_operational_subtype</x:v>
      </x:c>
      <x:c r="K203" s="13" t="str">
        <x:v>derived_from_established_parent_review_required</x:v>
      </x:c>
      <x:c r="L203" s="13" t="str">
        <x:v>P2</x:v>
      </x:c>
      <x:c r="M203" s="13" t="str">
        <x:v>no</x:v>
      </x:c>
      <x:c r="N203" s="13" t="str">
        <x:v>Operational subtype under Data dredging: context needed to evaluate the evidence is absent. Parent definition: Searching many patterns and presenting selected ones as planned evidence.</x:v>
      </x:c>
      <x:c r="O203" s="13" t="str">
        <x:v>Look for: explicit claim-level evidence; parent-family cues for Data dredging; variant cue: context needed to evaluate the evidence is absent; avoid author-level inference.</x:v>
      </x:c>
      <x:c r="P203" s="13" t="str">
        <x:v>Exact evidence span in text plus claim-level reasoning link; for contextual/discourse entries, require surrounding context.</x:v>
      </x:c>
      <x:c r="Q203" s="13" t="str">
        <x:v>Do not label merely because topic is controversial, emotional, or wrong. Do not judge intent or personality. Require textual evidence and consider healthy-reasoning cues.</x:v>
      </x:c>
      <x:c r="R203" s="13" t="str">
        <x:v>Stub: A claim relies on context needed to evaluate the evidence is absent to support a conclusion without adequate qualification.</x:v>
      </x:c>
      <x:c r="S203" s="13" t="str">
        <x:v>Stub: A claim discusses data dredging with caveats, balanced evidence, or no argumentative use of the pattern.</x:v>
      </x:c>
      <x:c r="T203" s="13" t="str">
        <x:v>Mild or ambiguous cue; do not classify without clear evidence span.</x:v>
      </x:c>
      <x:c r="U203" s="13" t="str">
        <x:v>Clear claim-level pattern with some argumentative impact.</x:v>
      </x:c>
      <x:c r="V203" s="13" t="str">
        <x:v>Strong pattern central to the conclusion and likely to materially distort reasoning.</x:v>
      </x:c>
      <x:c r="W203" s="13" t="str">
        <x:v>cherry_picking; missing_counterevidence; evidence_grading</x:v>
      </x:c>
      <x:c r="X203" s="13" t="str">
        <x:v>stanovich_dual_process</x:v>
      </x:c>
      <x:c r="Y203" s="13" t="str">
        <x:v>https://global.oup.com/academic/product/rationality-and-the-reflective-mind-9780195341140</x:v>
      </x:c>
      <x:c r="Z203" s="13" t="str">
        <x:v>Review before enabling. This workbook is a living taxonomy scaffold, not a validated scientific benchmark.</x:v>
      </x:c>
      <x:c r="AA203" s="13" t="str">
        <x:v>0.1.0-draft</x:v>
      </x:c>
      <x:c r="AB203" s="12" t="str">
        <x:f>IF(ISNUMBER(SEARCH("healthy",F203)),"healthy_reasoning_patterns",IF(ISNUMBER(SEARCH("statistical",F203)),"statistical_reasoning",IF(ISNUMBER(SEARCH("causal",F203)),"causal_reasoning",IF(ISNUMBER(SEARCH("social",F203)),"social_influence",IF(ISNUMBER(SEARCH("rhetoric",F203)),"rhetoric_discourse",IF(ISNUMBER(SEARCH("behavior",F203)),"behavioural_economics",IF(ISNUMBER(SEARCH("cognitive",F203)),"cognitive_biases",IF(J203="protective_pattern","healthy_reasoning_patterns",IF(L203="P0","core_mvp","extended_fallacies")))))))))</x:f>
        <x:v>extended_fallacies</x:v>
      </x:c>
      <x:c r="AC203" s="12" t="str">
        <x:f>IF(ISNUMBER(SEARCH("operational",J203)),"operational",IF(ISNUMBER(SEARCH("deprecated",J203)),"deprecated",IF(L203="P0","canonical","recognized_subtype")))</x:f>
        <x:v>operational</x:v>
      </x:c>
      <x:c r="AD203" s="12" t="str">
        <x:f>IF(AC203="canonical","high",IF(AC203="recognized_subtype","medium",IF(AC203="operational","operational_only","debated")))</x:f>
        <x:v>operational_only</x:v>
      </x:c>
      <x:c r="AE203" s="12" t="str">
        <x:f>IF(AC203="deprecated","deprecated",IF(M203="yes","active",IF(M203="review","review_required","backlog")))</x:f>
        <x:v>backlog</x:v>
      </x:c>
      <x:c r="AF203" s="12" t="str">
        <x:f>IF(OR(AE203="active",AE203="review_required"),"yes","no")</x:f>
        <x:v>no</x:v>
      </x:c>
      <x:c r="AG203" s="12" t="str">
        <x:f>IF(AND(AE203="active",M203="yes",NOT(ISNUMBER(SEARCH("healthy",AB203)))),"yes","no")</x:f>
        <x:v>no</x:v>
      </x:c>
      <x:c r="AH203" s="12" t="str">
        <x:f>IF(OR(H203="contextual",H203="dialogue",H203="discourse",I203="claim+context",I203="discourse_segment"),"yes","no")</x:f>
        <x:v>yes</x:v>
      </x:c>
      <x:c r="AI203" s="12" t="str">
        <x:f>IF(OR(AH203="yes",AD203="debated",AC203="operational"),"yes","no")</x:f>
        <x:v>yes</x:v>
      </x:c>
      <x:c r="AJ203" s="12" t="str">
        <x:f>IF(OR(AH203="yes",AC203="operational",AD203="debated"),"high",IF(AND(AG203="yes",L203="P0"),"medium","low"))</x:f>
        <x:v>high</x:v>
      </x:c>
      <x:c r="AK203" s="12" t="str">
        <x:f>IF(ISNUMBER(SEARCH("healthy",AB203)),"yes","no")</x:f>
        <x:v>no</x:v>
      </x:c>
      <x:c r="AL203" s="12" t="str">
        <x:f>IF(AG203="yes","yes","candidate_only")</x:f>
        <x:v>candidate_only</x:v>
      </x:c>
      <x:c r="AM203" s="12" t="str">
        <x:f>IF(OR(AC203="canonical",AG203="yes"),"yes","recommended")</x:f>
        <x:v>recommended</x:v>
      </x:c>
      <x:c r="AN203" s="12" t="str">
        <x:f>IF(AC203="deprecated","exclude",IF(AND(AG203="yes",AJ203="high"),"import_but_human_review_required",IF(AG203="yes","import_as_active","import_as_backlog")))</x:f>
        <x:v>import_as_backlog</x:v>
      </x:c>
      <x:c r="AO203" s="12" t="str">
        <x:f>IF(AND(AG203="yes",OR(P203="",Q203="",R203="",S203="")),"missing_required_mvp_fields",IF(AND(AC203="canonical",Y203=""),"missing_source_ref","ok"))</x:f>
        <x:v>ok</x:v>
      </x:c>
      <x:c r="AP203" s="12" t="str">
        <x:f>IF(AO203="ok","ready_for_codex_import","needs_review")</x:f>
        <x:v>ready_for_codex_import</x:v>
      </x:c>
      <x:c r="AQ203" s="12"/>
      <x:c r="AR203" s="12" t="str">
        <x:v>Added v2 operational fields. Review before classification activation.</x:v>
      </x:c>
    </x:row>
    <x:row r="204">
      <x:c r="A204" s="13" t="str">
        <x:v>multiple_comparisons_ignored_missing_context</x:v>
      </x:c>
      <x:c r="B204" s="13" t="str">
        <x:v>multiple_comparisons_ignored</x:v>
      </x:c>
      <x:c r="C204" s="13" t="str">
        <x:v>Multiple comparisons ignored</x:v>
      </x:c>
      <x:c r="D204" s="13" t="str">
        <x:v>نادیده‌گرفتن مقایسه‌های متعدد</x:v>
      </x:c>
      <x:c r="E204" s="13" t="str">
        <x:v>Missing-context variant</x:v>
      </x:c>
      <x:c r="F204" s="13" t="str">
        <x:v>evidence_failures</x:v>
      </x:c>
      <x:c r="G204" s="13" t="str">
        <x:v>operational_variant</x:v>
      </x:c>
      <x:c r="H204" s="13" t="str">
        <x:v>contextual</x:v>
      </x:c>
      <x:c r="I204" s="13" t="str">
        <x:v>claim+context</x:v>
      </x:c>
      <x:c r="J204" s="13" t="str">
        <x:v>derived_operational_subtype</x:v>
      </x:c>
      <x:c r="K204" s="13" t="str">
        <x:v>derived_from_established_parent_review_required</x:v>
      </x:c>
      <x:c r="L204" s="13" t="str">
        <x:v>P2</x:v>
      </x:c>
      <x:c r="M204" s="13" t="str">
        <x:v>no</x:v>
      </x:c>
      <x:c r="N204" s="13" t="str">
        <x:v>Operational subtype under Multiple comparisons ignored: context needed to evaluate the evidence is absent. Parent definition: Drawing a conclusion from many tested comparisons without adjustment or caveat.</x:v>
      </x:c>
      <x:c r="O204" s="13" t="str">
        <x:v>Look for: explicit claim-level evidence; parent-family cues for Multiple comparisons ignored; variant cue: context needed to evaluate the evidence is absent; avoid author-level inference.</x:v>
      </x:c>
      <x:c r="P204" s="13" t="str">
        <x:v>Exact evidence span in text plus claim-level reasoning link; for contextual/discourse entries, require surrounding context.</x:v>
      </x:c>
      <x:c r="Q204" s="13" t="str">
        <x:v>Do not label merely because topic is controversial, emotional, or wrong. Do not judge intent or personality. Require textual evidence and consider healthy-reasoning cues.</x:v>
      </x:c>
      <x:c r="R204" s="13" t="str">
        <x:v>Stub: A claim relies on context needed to evaluate the evidence is absent to support a conclusion without adequate qualification.</x:v>
      </x:c>
      <x:c r="S204" s="13" t="str">
        <x:v>Stub: A claim discusses multiple comparisons ignored with caveats, balanced evidence, or no argumentative use of the pattern.</x:v>
      </x:c>
      <x:c r="T204" s="13" t="str">
        <x:v>Mild or ambiguous cue; do not classify without clear evidence span.</x:v>
      </x:c>
      <x:c r="U204" s="13" t="str">
        <x:v>Clear claim-level pattern with some argumentative impact.</x:v>
      </x:c>
      <x:c r="V204" s="13" t="str">
        <x:v>Strong pattern central to the conclusion and likely to materially distort reasoning.</x:v>
      </x:c>
      <x:c r="W204" s="13" t="str"/>
      <x:c r="X204" s="13" t="str">
        <x:v>stanovich_dual_process</x:v>
      </x:c>
      <x:c r="Y204" s="13" t="str">
        <x:v>https://global.oup.com/academic/product/rationality-and-the-reflective-mind-9780195341140</x:v>
      </x:c>
      <x:c r="Z204" s="13" t="str">
        <x:v>Review before enabling. This workbook is a living taxonomy scaffold, not a validated scientific benchmark.</x:v>
      </x:c>
      <x:c r="AA204" s="13" t="str">
        <x:v>0.1.0-draft</x:v>
      </x:c>
      <x:c r="AB204" s="12" t="str">
        <x:f>IF(ISNUMBER(SEARCH("healthy",F204)),"healthy_reasoning_patterns",IF(ISNUMBER(SEARCH("statistical",F204)),"statistical_reasoning",IF(ISNUMBER(SEARCH("causal",F204)),"causal_reasoning",IF(ISNUMBER(SEARCH("social",F204)),"social_influence",IF(ISNUMBER(SEARCH("rhetoric",F204)),"rhetoric_discourse",IF(ISNUMBER(SEARCH("behavior",F204)),"behavioural_economics",IF(ISNUMBER(SEARCH("cognitive",F204)),"cognitive_biases",IF(J204="protective_pattern","healthy_reasoning_patterns",IF(L204="P0","core_mvp","extended_fallacies")))))))))</x:f>
        <x:v>extended_fallacies</x:v>
      </x:c>
      <x:c r="AC204" s="12" t="str">
        <x:f>IF(ISNUMBER(SEARCH("operational",J204)),"operational",IF(ISNUMBER(SEARCH("deprecated",J204)),"deprecated",IF(L204="P0","canonical","recognized_subtype")))</x:f>
        <x:v>operational</x:v>
      </x:c>
      <x:c r="AD204" s="12" t="str">
        <x:f>IF(AC204="canonical","high",IF(AC204="recognized_subtype","medium",IF(AC204="operational","operational_only","debated")))</x:f>
        <x:v>operational_only</x:v>
      </x:c>
      <x:c r="AE204" s="12" t="str">
        <x:f>IF(AC204="deprecated","deprecated",IF(M204="yes","active",IF(M204="review","review_required","backlog")))</x:f>
        <x:v>backlog</x:v>
      </x:c>
      <x:c r="AF204" s="12" t="str">
        <x:f>IF(OR(AE204="active",AE204="review_required"),"yes","no")</x:f>
        <x:v>no</x:v>
      </x:c>
      <x:c r="AG204" s="12" t="str">
        <x:f>IF(AND(AE204="active",M204="yes",NOT(ISNUMBER(SEARCH("healthy",AB204)))),"yes","no")</x:f>
        <x:v>no</x:v>
      </x:c>
      <x:c r="AH204" s="12" t="str">
        <x:f>IF(OR(H204="contextual",H204="dialogue",H204="discourse",I204="claim+context",I204="discourse_segment"),"yes","no")</x:f>
        <x:v>yes</x:v>
      </x:c>
      <x:c r="AI204" s="12" t="str">
        <x:f>IF(OR(AH204="yes",AD204="debated",AC204="operational"),"yes","no")</x:f>
        <x:v>yes</x:v>
      </x:c>
      <x:c r="AJ204" s="12" t="str">
        <x:f>IF(OR(AH204="yes",AC204="operational",AD204="debated"),"high",IF(AND(AG204="yes",L204="P0"),"medium","low"))</x:f>
        <x:v>high</x:v>
      </x:c>
      <x:c r="AK204" s="12" t="str">
        <x:f>IF(ISNUMBER(SEARCH("healthy",AB204)),"yes","no")</x:f>
        <x:v>no</x:v>
      </x:c>
      <x:c r="AL204" s="12" t="str">
        <x:f>IF(AG204="yes","yes","candidate_only")</x:f>
        <x:v>candidate_only</x:v>
      </x:c>
      <x:c r="AM204" s="12" t="str">
        <x:f>IF(OR(AC204="canonical",AG204="yes"),"yes","recommended")</x:f>
        <x:v>recommended</x:v>
      </x:c>
      <x:c r="AN204" s="12" t="str">
        <x:f>IF(AC204="deprecated","exclude",IF(AND(AG204="yes",AJ204="high"),"import_but_human_review_required",IF(AG204="yes","import_as_active","import_as_backlog")))</x:f>
        <x:v>import_as_backlog</x:v>
      </x:c>
      <x:c r="AO204" s="12" t="str">
        <x:f>IF(AND(AG204="yes",OR(P204="",Q204="",R204="",S204="")),"missing_required_mvp_fields",IF(AND(AC204="canonical",Y204=""),"missing_source_ref","ok"))</x:f>
        <x:v>ok</x:v>
      </x:c>
      <x:c r="AP204" s="12" t="str">
        <x:f>IF(AO204="ok","ready_for_codex_import","needs_review")</x:f>
        <x:v>ready_for_codex_import</x:v>
      </x:c>
      <x:c r="AQ204" s="12"/>
      <x:c r="AR204" s="12" t="str">
        <x:v>Added v2 operational fields. Review before classification activation.</x:v>
      </x:c>
    </x:row>
    <x:row r="205">
      <x:c r="A205" s="13" t="str">
        <x:v>outlier_overweighting_missing_context</x:v>
      </x:c>
      <x:c r="B205" s="13" t="str">
        <x:v>outlier_overweighting</x:v>
      </x:c>
      <x:c r="C205" s="13" t="str">
        <x:v>Outlier overweighting</x:v>
      </x:c>
      <x:c r="D205" s="13" t="str">
        <x:v>وزن‌دهی افراطی به نقاط پرت</x:v>
      </x:c>
      <x:c r="E205" s="13" t="str">
        <x:v>Missing-context variant</x:v>
      </x:c>
      <x:c r="F205" s="13" t="str">
        <x:v>evidence_failures</x:v>
      </x:c>
      <x:c r="G205" s="13" t="str">
        <x:v>operational_variant</x:v>
      </x:c>
      <x:c r="H205" s="13" t="str">
        <x:v>contextual</x:v>
      </x:c>
      <x:c r="I205" s="13" t="str">
        <x:v>claim+context</x:v>
      </x:c>
      <x:c r="J205" s="13" t="str">
        <x:v>derived_operational_subtype</x:v>
      </x:c>
      <x:c r="K205" s="13" t="str">
        <x:v>derived_from_established_parent_review_required</x:v>
      </x:c>
      <x:c r="L205" s="13" t="str">
        <x:v>P2</x:v>
      </x:c>
      <x:c r="M205" s="13" t="str">
        <x:v>no</x:v>
      </x:c>
      <x:c r="N205" s="13" t="str">
        <x:v>Operational subtype under Outlier overweighting: context needed to evaluate the evidence is absent. Parent definition: Treating exceptional observations as representative without justification.</x:v>
      </x:c>
      <x:c r="O205" s="13" t="str">
        <x:v>Look for: explicit claim-level evidence; parent-family cues for Outlier overweighting; variant cue: context needed to evaluate the evidence is absent; avoid author-level inference.</x:v>
      </x:c>
      <x:c r="P205" s="13" t="str">
        <x:v>Exact evidence span in text plus claim-level reasoning link; for contextual/discourse entries, require surrounding context.</x:v>
      </x:c>
      <x:c r="Q205" s="13" t="str">
        <x:v>Do not label merely because topic is controversial, emotional, or wrong. Do not judge intent or personality. Require textual evidence and consider healthy-reasoning cues.</x:v>
      </x:c>
      <x:c r="R205" s="13" t="str">
        <x:v>Stub: A claim relies on context needed to evaluate the evidence is absent to support a conclusion without adequate qualification.</x:v>
      </x:c>
      <x:c r="S205" s="13" t="str">
        <x:v>Stub: A claim discusses outlier overweighting with caveats, balanced evidence, or no argumentative use of the pattern.</x:v>
      </x:c>
      <x:c r="T205" s="13" t="str">
        <x:v>Mild or ambiguous cue; do not classify without clear evidence span.</x:v>
      </x:c>
      <x:c r="U205" s="13" t="str">
        <x:v>Clear claim-level pattern with some argumentative impact.</x:v>
      </x:c>
      <x:c r="V205" s="13" t="str">
        <x:v>Strong pattern central to the conclusion and likely to materially distort reasoning.</x:v>
      </x:c>
      <x:c r="W205" s="13" t="str"/>
      <x:c r="X205" s="13" t="str">
        <x:v>gilovich_heuristics_biases</x:v>
      </x:c>
      <x:c r="Y205" s="13" t="str">
        <x:v>https://www.cambridge.org/core/books/heuristics-and-biases/3C30D3B05D2F190C3B8BE5E2531EFD24</x:v>
      </x:c>
      <x:c r="Z205" s="13" t="str">
        <x:v>Review before enabling. This workbook is a living taxonomy scaffold, not a validated scientific benchmark.</x:v>
      </x:c>
      <x:c r="AA205" s="13" t="str">
        <x:v>0.1.0-draft</x:v>
      </x:c>
      <x:c r="AB205" s="12" t="str">
        <x:f>IF(ISNUMBER(SEARCH("healthy",F205)),"healthy_reasoning_patterns",IF(ISNUMBER(SEARCH("statistical",F205)),"statistical_reasoning",IF(ISNUMBER(SEARCH("causal",F205)),"causal_reasoning",IF(ISNUMBER(SEARCH("social",F205)),"social_influence",IF(ISNUMBER(SEARCH("rhetoric",F205)),"rhetoric_discourse",IF(ISNUMBER(SEARCH("behavior",F205)),"behavioural_economics",IF(ISNUMBER(SEARCH("cognitive",F205)),"cognitive_biases",IF(J205="protective_pattern","healthy_reasoning_patterns",IF(L205="P0","core_mvp","extended_fallacies")))))))))</x:f>
        <x:v>extended_fallacies</x:v>
      </x:c>
      <x:c r="AC205" s="12" t="str">
        <x:f>IF(ISNUMBER(SEARCH("operational",J205)),"operational",IF(ISNUMBER(SEARCH("deprecated",J205)),"deprecated",IF(L205="P0","canonical","recognized_subtype")))</x:f>
        <x:v>operational</x:v>
      </x:c>
      <x:c r="AD205" s="12" t="str">
        <x:f>IF(AC205="canonical","high",IF(AC205="recognized_subtype","medium",IF(AC205="operational","operational_only","debated")))</x:f>
        <x:v>operational_only</x:v>
      </x:c>
      <x:c r="AE205" s="12" t="str">
        <x:f>IF(AC205="deprecated","deprecated",IF(M205="yes","active",IF(M205="review","review_required","backlog")))</x:f>
        <x:v>backlog</x:v>
      </x:c>
      <x:c r="AF205" s="12" t="str">
        <x:f>IF(OR(AE205="active",AE205="review_required"),"yes","no")</x:f>
        <x:v>no</x:v>
      </x:c>
      <x:c r="AG205" s="12" t="str">
        <x:f>IF(AND(AE205="active",M205="yes",NOT(ISNUMBER(SEARCH("healthy",AB205)))),"yes","no")</x:f>
        <x:v>no</x:v>
      </x:c>
      <x:c r="AH205" s="12" t="str">
        <x:f>IF(OR(H205="contextual",H205="dialogue",H205="discourse",I205="claim+context",I205="discourse_segment"),"yes","no")</x:f>
        <x:v>yes</x:v>
      </x:c>
      <x:c r="AI205" s="12" t="str">
        <x:f>IF(OR(AH205="yes",AD205="debated",AC205="operational"),"yes","no")</x:f>
        <x:v>yes</x:v>
      </x:c>
      <x:c r="AJ205" s="12" t="str">
        <x:f>IF(OR(AH205="yes",AC205="operational",AD205="debated"),"high",IF(AND(AG205="yes",L205="P0"),"medium","low"))</x:f>
        <x:v>high</x:v>
      </x:c>
      <x:c r="AK205" s="12" t="str">
        <x:f>IF(ISNUMBER(SEARCH("healthy",AB205)),"yes","no")</x:f>
        <x:v>no</x:v>
      </x:c>
      <x:c r="AL205" s="12" t="str">
        <x:f>IF(AG205="yes","yes","candidate_only")</x:f>
        <x:v>candidate_only</x:v>
      </x:c>
      <x:c r="AM205" s="12" t="str">
        <x:f>IF(OR(AC205="canonical",AG205="yes"),"yes","recommended")</x:f>
        <x:v>recommended</x:v>
      </x:c>
      <x:c r="AN205" s="12" t="str">
        <x:f>IF(AC205="deprecated","exclude",IF(AND(AG205="yes",AJ205="high"),"import_but_human_review_required",IF(AG205="yes","import_as_active","import_as_backlog")))</x:f>
        <x:v>import_as_backlog</x:v>
      </x:c>
      <x:c r="AO205" s="12" t="str">
        <x:f>IF(AND(AG205="yes",OR(P205="",Q205="",R205="",S205="")),"missing_required_mvp_fields",IF(AND(AC205="canonical",Y205=""),"missing_source_ref","ok"))</x:f>
        <x:v>ok</x:v>
      </x:c>
      <x:c r="AP205" s="12" t="str">
        <x:f>IF(AO205="ok","ready_for_codex_import","needs_review")</x:f>
        <x:v>ready_for_codex_import</x:v>
      </x:c>
      <x:c r="AQ205" s="12"/>
      <x:c r="AR205" s="12" t="str">
        <x:v>Added v2 operational fields. Review before classification activation.</x:v>
      </x:c>
    </x:row>
    <x:row r="206">
      <x:c r="A206" s="13" t="str">
        <x:v>availability_of_evidence_bias_missing_context</x:v>
      </x:c>
      <x:c r="B206" s="13" t="str">
        <x:v>availability_of_evidence_bias</x:v>
      </x:c>
      <x:c r="C206" s="13" t="str">
        <x:v>Availability of evidence bias</x:v>
      </x:c>
      <x:c r="D206" s="13" t="str">
        <x:v>دسترسی‌پذیری شواهد</x:v>
      </x:c>
      <x:c r="E206" s="13" t="str">
        <x:v>Missing-context variant</x:v>
      </x:c>
      <x:c r="F206" s="13" t="str">
        <x:v>evidence_failures</x:v>
      </x:c>
      <x:c r="G206" s="13" t="str">
        <x:v>operational_variant</x:v>
      </x:c>
      <x:c r="H206" s="13" t="str">
        <x:v>contextual</x:v>
      </x:c>
      <x:c r="I206" s="13" t="str">
        <x:v>claim+context</x:v>
      </x:c>
      <x:c r="J206" s="13" t="str">
        <x:v>derived_operational_subtype</x:v>
      </x:c>
      <x:c r="K206" s="13" t="str">
        <x:v>derived_from_established_parent_review_required</x:v>
      </x:c>
      <x:c r="L206" s="13" t="str">
        <x:v>P2</x:v>
      </x:c>
      <x:c r="M206" s="13" t="str">
        <x:v>no</x:v>
      </x:c>
      <x:c r="N206" s="13" t="str">
        <x:v>Operational subtype under Availability of evidence bias: context needed to evaluate the evidence is absent. Parent definition: Treating easy-to-find evidence as if it were complete evidence.</x:v>
      </x:c>
      <x:c r="O206" s="13" t="str">
        <x:v>Look for: explicit claim-level evidence; parent-family cues for Availability of evidence bias; variant cue: context needed to evaluate the evidence is absent; avoid author-level inference.</x:v>
      </x:c>
      <x:c r="P206" s="13" t="str">
        <x:v>Exact evidence span in text plus claim-level reasoning link; for contextual/discourse entries, require surrounding context.</x:v>
      </x:c>
      <x:c r="Q206" s="13" t="str">
        <x:v>Do not label merely because topic is controversial, emotional, or wrong. Do not judge intent or personality. Require textual evidence and consider healthy-reasoning cues.</x:v>
      </x:c>
      <x:c r="R206" s="13" t="str">
        <x:v>Stub: A claim relies on context needed to evaluate the evidence is absent to support a conclusion without adequate qualification.</x:v>
      </x:c>
      <x:c r="S206" s="13" t="str">
        <x:v>Stub: A claim discusses availability of evidence bias with caveats, balanced evidence, or no argumentative use of the pattern.</x:v>
      </x:c>
      <x:c r="T206" s="13" t="str">
        <x:v>Mild or ambiguous cue; do not classify without clear evidence span.</x:v>
      </x:c>
      <x:c r="U206" s="13" t="str">
        <x:v>Clear claim-level pattern with some argumentative impact.</x:v>
      </x:c>
      <x:c r="V206" s="13" t="str">
        <x:v>Strong pattern central to the conclusion and likely to materially distort reasoning.</x:v>
      </x:c>
      <x:c r="W206" s="13" t="str">
        <x:v>cherry_picking; missing_counterevidence; evidence_grading</x:v>
      </x:c>
      <x:c r="X206" s="13" t="str">
        <x:v>gilovich_heuristics_biases</x:v>
      </x:c>
      <x:c r="Y206" s="13" t="str">
        <x:v>https://www.cambridge.org/core/books/heuristics-and-biases/3C30D3B05D2F190C3B8BE5E2531EFD24</x:v>
      </x:c>
      <x:c r="Z206" s="13" t="str">
        <x:v>Review before enabling. This workbook is a living taxonomy scaffold, not a validated scientific benchmark.</x:v>
      </x:c>
      <x:c r="AA206" s="13" t="str">
        <x:v>0.1.0-draft</x:v>
      </x:c>
      <x:c r="AB206" s="12" t="str">
        <x:f>IF(ISNUMBER(SEARCH("healthy",F206)),"healthy_reasoning_patterns",IF(ISNUMBER(SEARCH("statistical",F206)),"statistical_reasoning",IF(ISNUMBER(SEARCH("causal",F206)),"causal_reasoning",IF(ISNUMBER(SEARCH("social",F206)),"social_influence",IF(ISNUMBER(SEARCH("rhetoric",F206)),"rhetoric_discourse",IF(ISNUMBER(SEARCH("behavior",F206)),"behavioural_economics",IF(ISNUMBER(SEARCH("cognitive",F206)),"cognitive_biases",IF(J206="protective_pattern","healthy_reasoning_patterns",IF(L206="P0","core_mvp","extended_fallacies")))))))))</x:f>
        <x:v>extended_fallacies</x:v>
      </x:c>
      <x:c r="AC206" s="12" t="str">
        <x:f>IF(ISNUMBER(SEARCH("operational",J206)),"operational",IF(ISNUMBER(SEARCH("deprecated",J206)),"deprecated",IF(L206="P0","canonical","recognized_subtype")))</x:f>
        <x:v>operational</x:v>
      </x:c>
      <x:c r="AD206" s="12" t="str">
        <x:f>IF(AC206="canonical","high",IF(AC206="recognized_subtype","medium",IF(AC206="operational","operational_only","debated")))</x:f>
        <x:v>operational_only</x:v>
      </x:c>
      <x:c r="AE206" s="12" t="str">
        <x:f>IF(AC206="deprecated","deprecated",IF(M206="yes","active",IF(M206="review","review_required","backlog")))</x:f>
        <x:v>backlog</x:v>
      </x:c>
      <x:c r="AF206" s="12" t="str">
        <x:f>IF(OR(AE206="active",AE206="review_required"),"yes","no")</x:f>
        <x:v>no</x:v>
      </x:c>
      <x:c r="AG206" s="12" t="str">
        <x:f>IF(AND(AE206="active",M206="yes",NOT(ISNUMBER(SEARCH("healthy",AB206)))),"yes","no")</x:f>
        <x:v>no</x:v>
      </x:c>
      <x:c r="AH206" s="12" t="str">
        <x:f>IF(OR(H206="contextual",H206="dialogue",H206="discourse",I206="claim+context",I206="discourse_segment"),"yes","no")</x:f>
        <x:v>yes</x:v>
      </x:c>
      <x:c r="AI206" s="12" t="str">
        <x:f>IF(OR(AH206="yes",AD206="debated",AC206="operational"),"yes","no")</x:f>
        <x:v>yes</x:v>
      </x:c>
      <x:c r="AJ206" s="12" t="str">
        <x:f>IF(OR(AH206="yes",AC206="operational",AD206="debated"),"high",IF(AND(AG206="yes",L206="P0"),"medium","low"))</x:f>
        <x:v>high</x:v>
      </x:c>
      <x:c r="AK206" s="12" t="str">
        <x:f>IF(ISNUMBER(SEARCH("healthy",AB206)),"yes","no")</x:f>
        <x:v>no</x:v>
      </x:c>
      <x:c r="AL206" s="12" t="str">
        <x:f>IF(AG206="yes","yes","candidate_only")</x:f>
        <x:v>candidate_only</x:v>
      </x:c>
      <x:c r="AM206" s="12" t="str">
        <x:f>IF(OR(AC206="canonical",AG206="yes"),"yes","recommended")</x:f>
        <x:v>recommended</x:v>
      </x:c>
      <x:c r="AN206" s="12" t="str">
        <x:f>IF(AC206="deprecated","exclude",IF(AND(AG206="yes",AJ206="high"),"import_but_human_review_required",IF(AG206="yes","import_as_active","import_as_backlog")))</x:f>
        <x:v>import_as_backlog</x:v>
      </x:c>
      <x:c r="AO206" s="12" t="str">
        <x:f>IF(AND(AG206="yes",OR(P206="",Q206="",R206="",S206="")),"missing_required_mvp_fields",IF(AND(AC206="canonical",Y206=""),"missing_source_ref","ok"))</x:f>
        <x:v>ok</x:v>
      </x:c>
      <x:c r="AP206" s="12" t="str">
        <x:f>IF(AO206="ok","ready_for_codex_import","needs_review")</x:f>
        <x:v>ready_for_codex_import</x:v>
      </x:c>
      <x:c r="AQ206" s="12"/>
      <x:c r="AR206" s="12" t="str">
        <x:v>Added v2 operational fields. Review before classification activation.</x:v>
      </x:c>
    </x:row>
    <x:row r="207">
      <x:c r="A207" s="13" t="str">
        <x:v>citation_without_relevance_missing_context</x:v>
      </x:c>
      <x:c r="B207" s="13" t="str">
        <x:v>citation_without_relevance</x:v>
      </x:c>
      <x:c r="C207" s="13" t="str">
        <x:v>Citation without relevance</x:v>
      </x:c>
      <x:c r="D207" s="13" t="str">
        <x:v>ارجاع نامرتبط</x:v>
      </x:c>
      <x:c r="E207" s="13" t="str">
        <x:v>Missing-context variant</x:v>
      </x:c>
      <x:c r="F207" s="13" t="str">
        <x:v>evidence_failures</x:v>
      </x:c>
      <x:c r="G207" s="13" t="str">
        <x:v>operational_variant</x:v>
      </x:c>
      <x:c r="H207" s="13" t="str">
        <x:v>contextual</x:v>
      </x:c>
      <x:c r="I207" s="13" t="str">
        <x:v>claim+context</x:v>
      </x:c>
      <x:c r="J207" s="13" t="str">
        <x:v>derived_operational_subtype</x:v>
      </x:c>
      <x:c r="K207" s="13" t="str">
        <x:v>derived_from_established_parent_review_required</x:v>
      </x:c>
      <x:c r="L207" s="13" t="str">
        <x:v>P2</x:v>
      </x:c>
      <x:c r="M207" s="13" t="str">
        <x:v>no</x:v>
      </x:c>
      <x:c r="N207" s="13" t="str">
        <x:v>Operational subtype under Citation without relevance: context needed to evaluate the evidence is absent. Parent definition: Citing a source that does not support the specific claim made.</x:v>
      </x:c>
      <x:c r="O207" s="13" t="str">
        <x:v>Look for: explicit claim-level evidence; parent-family cues for Citation without relevance; variant cue: context needed to evaluate the evidence is absent; avoid author-level inference.</x:v>
      </x:c>
      <x:c r="P207" s="13" t="str">
        <x:v>Exact evidence span in text plus claim-level reasoning link; for contextual/discourse entries, require surrounding context.</x:v>
      </x:c>
      <x:c r="Q207" s="13" t="str">
        <x:v>Do not label merely because topic is controversial, emotional, or wrong. Do not judge intent or personality. Require textual evidence and consider healthy-reasoning cues.</x:v>
      </x:c>
      <x:c r="R207" s="13" t="str">
        <x:v>Stub: A claim relies on context needed to evaluate the evidence is absent to support a conclusion without adequate qualification.</x:v>
      </x:c>
      <x:c r="S207" s="13" t="str">
        <x:v>Stub: A claim discusses citation without relevance with caveats, balanced evidence, or no argumentative use of the pattern.</x:v>
      </x:c>
      <x:c r="T207" s="13" t="str">
        <x:v>Mild or ambiguous cue; do not classify without clear evidence span.</x:v>
      </x:c>
      <x:c r="U207" s="13" t="str">
        <x:v>Clear claim-level pattern with some argumentative impact.</x:v>
      </x:c>
      <x:c r="V207" s="13" t="str">
        <x:v>Strong pattern central to the conclusion and likely to materially distort reasoning.</x:v>
      </x:c>
      <x:c r="W207" s="13" t="str"/>
      <x:c r="X207" s="13" t="str">
        <x:v>toulmin_uses_argument</x:v>
      </x:c>
      <x:c r="Y207" s="13" t="str">
        <x:v>https://doi.org/10.1017/CBO9780511840005</x:v>
      </x:c>
      <x:c r="Z207" s="13" t="str">
        <x:v>Review before enabling. This workbook is a living taxonomy scaffold, not a validated scientific benchmark.</x:v>
      </x:c>
      <x:c r="AA207" s="13" t="str">
        <x:v>0.1.0-draft</x:v>
      </x:c>
      <x:c r="AB207" s="12" t="str">
        <x:f>IF(ISNUMBER(SEARCH("healthy",F207)),"healthy_reasoning_patterns",IF(ISNUMBER(SEARCH("statistical",F207)),"statistical_reasoning",IF(ISNUMBER(SEARCH("causal",F207)),"causal_reasoning",IF(ISNUMBER(SEARCH("social",F207)),"social_influence",IF(ISNUMBER(SEARCH("rhetoric",F207)),"rhetoric_discourse",IF(ISNUMBER(SEARCH("behavior",F207)),"behavioural_economics",IF(ISNUMBER(SEARCH("cognitive",F207)),"cognitive_biases",IF(J207="protective_pattern","healthy_reasoning_patterns",IF(L207="P0","core_mvp","extended_fallacies")))))))))</x:f>
        <x:v>extended_fallacies</x:v>
      </x:c>
      <x:c r="AC207" s="12" t="str">
        <x:f>IF(ISNUMBER(SEARCH("operational",J207)),"operational",IF(ISNUMBER(SEARCH("deprecated",J207)),"deprecated",IF(L207="P0","canonical","recognized_subtype")))</x:f>
        <x:v>operational</x:v>
      </x:c>
      <x:c r="AD207" s="12" t="str">
        <x:f>IF(AC207="canonical","high",IF(AC207="recognized_subtype","medium",IF(AC207="operational","operational_only","debated")))</x:f>
        <x:v>operational_only</x:v>
      </x:c>
      <x:c r="AE207" s="12" t="str">
        <x:f>IF(AC207="deprecated","deprecated",IF(M207="yes","active",IF(M207="review","review_required","backlog")))</x:f>
        <x:v>backlog</x:v>
      </x:c>
      <x:c r="AF207" s="12" t="str">
        <x:f>IF(OR(AE207="active",AE207="review_required"),"yes","no")</x:f>
        <x:v>no</x:v>
      </x:c>
      <x:c r="AG207" s="12" t="str">
        <x:f>IF(AND(AE207="active",M207="yes",NOT(ISNUMBER(SEARCH("healthy",AB207)))),"yes","no")</x:f>
        <x:v>no</x:v>
      </x:c>
      <x:c r="AH207" s="12" t="str">
        <x:f>IF(OR(H207="contextual",H207="dialogue",H207="discourse",I207="claim+context",I207="discourse_segment"),"yes","no")</x:f>
        <x:v>yes</x:v>
      </x:c>
      <x:c r="AI207" s="12" t="str">
        <x:f>IF(OR(AH207="yes",AD207="debated",AC207="operational"),"yes","no")</x:f>
        <x:v>yes</x:v>
      </x:c>
      <x:c r="AJ207" s="12" t="str">
        <x:f>IF(OR(AH207="yes",AC207="operational",AD207="debated"),"high",IF(AND(AG207="yes",L207="P0"),"medium","low"))</x:f>
        <x:v>high</x:v>
      </x:c>
      <x:c r="AK207" s="12" t="str">
        <x:f>IF(ISNUMBER(SEARCH("healthy",AB207)),"yes","no")</x:f>
        <x:v>no</x:v>
      </x:c>
      <x:c r="AL207" s="12" t="str">
        <x:f>IF(AG207="yes","yes","candidate_only")</x:f>
        <x:v>candidate_only</x:v>
      </x:c>
      <x:c r="AM207" s="12" t="str">
        <x:f>IF(OR(AC207="canonical",AG207="yes"),"yes","recommended")</x:f>
        <x:v>recommended</x:v>
      </x:c>
      <x:c r="AN207" s="12" t="str">
        <x:f>IF(AC207="deprecated","exclude",IF(AND(AG207="yes",AJ207="high"),"import_but_human_review_required",IF(AG207="yes","import_as_active","import_as_backlog")))</x:f>
        <x:v>import_as_backlog</x:v>
      </x:c>
      <x:c r="AO207" s="12" t="str">
        <x:f>IF(AND(AG207="yes",OR(P207="",Q207="",R207="",S207="")),"missing_required_mvp_fields",IF(AND(AC207="canonical",Y207=""),"missing_source_ref","ok"))</x:f>
        <x:v>ok</x:v>
      </x:c>
      <x:c r="AP207" s="12" t="str">
        <x:f>IF(AO207="ok","ready_for_codex_import","needs_review")</x:f>
        <x:v>ready_for_codex_import</x:v>
      </x:c>
      <x:c r="AQ207" s="12"/>
      <x:c r="AR207" s="12" t="str">
        <x:v>Added v2 operational fields. Review before classification activation.</x:v>
      </x:c>
    </x:row>
    <x:row r="208">
      <x:c r="A208" s="13" t="str">
        <x:v>quote_mining_evidence_missing_context</x:v>
      </x:c>
      <x:c r="B208" s="13" t="str">
        <x:v>quote_mining_evidence</x:v>
      </x:c>
      <x:c r="C208" s="13" t="str">
        <x:v>Quote mining as evidence failure</x:v>
      </x:c>
      <x:c r="D208" s="13" t="str">
        <x:v>نقل‌قول گزینشی</x:v>
      </x:c>
      <x:c r="E208" s="13" t="str">
        <x:v>Missing-context variant</x:v>
      </x:c>
      <x:c r="F208" s="13" t="str">
        <x:v>evidence_failures</x:v>
      </x:c>
      <x:c r="G208" s="13" t="str">
        <x:v>operational_variant</x:v>
      </x:c>
      <x:c r="H208" s="13" t="str">
        <x:v>contextual</x:v>
      </x:c>
      <x:c r="I208" s="13" t="str">
        <x:v>claim+context</x:v>
      </x:c>
      <x:c r="J208" s="13" t="str">
        <x:v>derived_operational_subtype</x:v>
      </x:c>
      <x:c r="K208" s="13" t="str">
        <x:v>derived_from_established_parent_review_required</x:v>
      </x:c>
      <x:c r="L208" s="13" t="str">
        <x:v>P2</x:v>
      </x:c>
      <x:c r="M208" s="13" t="str">
        <x:v>no</x:v>
      </x:c>
      <x:c r="N208" s="13" t="str">
        <x:v>Operational subtype under Quote mining as evidence failure: context needed to evaluate the evidence is absent. Parent definition: Extracting a quote in a way that changes its evidential meaning.</x:v>
      </x:c>
      <x:c r="O208" s="13" t="str">
        <x:v>Look for: explicit claim-level evidence; parent-family cues for Quote mining as evidence failure; variant cue: context needed to evaluate the evidence is absent; avoid author-level inference.</x:v>
      </x:c>
      <x:c r="P208" s="13" t="str">
        <x:v>Exact evidence span in text plus claim-level reasoning link; for contextual/discourse entries, require surrounding context.</x:v>
      </x:c>
      <x:c r="Q208" s="13" t="str">
        <x:v>Do not label merely because topic is controversial, emotional, or wrong. Do not judge intent or personality. Require textual evidence and consider healthy-reasoning cues.</x:v>
      </x:c>
      <x:c r="R208" s="13" t="str">
        <x:v>Stub: A claim relies on context needed to evaluate the evidence is absent to support a conclusion without adequate qualification.</x:v>
      </x:c>
      <x:c r="S208" s="13" t="str">
        <x:v>Stub: A claim discusses quote mining as evidence failure with caveats, balanced evidence, or no argumentative use of the pattern.</x:v>
      </x:c>
      <x:c r="T208" s="13" t="str">
        <x:v>Mild or ambiguous cue; do not classify without clear evidence span.</x:v>
      </x:c>
      <x:c r="U208" s="13" t="str">
        <x:v>Clear claim-level pattern with some argumentative impact.</x:v>
      </x:c>
      <x:c r="V208" s="13" t="str">
        <x:v>Strong pattern central to the conclusion and likely to materially distort reasoning.</x:v>
      </x:c>
      <x:c r="W208" s="13" t="str"/>
      <x:c r="X208" s="13" t="str">
        <x:v>sep_informal_logic</x:v>
      </x:c>
      <x:c r="Y208" s="13" t="str">
        <x:v>https://plato.stanford.edu/entries/logic-informal/</x:v>
      </x:c>
      <x:c r="Z208" s="13" t="str">
        <x:v>Review before enabling. This workbook is a living taxonomy scaffold, not a validated scientific benchmark.</x:v>
      </x:c>
      <x:c r="AA208" s="13" t="str">
        <x:v>0.1.0-draft</x:v>
      </x:c>
      <x:c r="AB208" s="12" t="str">
        <x:f>IF(ISNUMBER(SEARCH("healthy",F208)),"healthy_reasoning_patterns",IF(ISNUMBER(SEARCH("statistical",F208)),"statistical_reasoning",IF(ISNUMBER(SEARCH("causal",F208)),"causal_reasoning",IF(ISNUMBER(SEARCH("social",F208)),"social_influence",IF(ISNUMBER(SEARCH("rhetoric",F208)),"rhetoric_discourse",IF(ISNUMBER(SEARCH("behavior",F208)),"behavioural_economics",IF(ISNUMBER(SEARCH("cognitive",F208)),"cognitive_biases",IF(J208="protective_pattern","healthy_reasoning_patterns",IF(L208="P0","core_mvp","extended_fallacies")))))))))</x:f>
        <x:v>extended_fallacies</x:v>
      </x:c>
      <x:c r="AC208" s="12" t="str">
        <x:f>IF(ISNUMBER(SEARCH("operational",J208)),"operational",IF(ISNUMBER(SEARCH("deprecated",J208)),"deprecated",IF(L208="P0","canonical","recognized_subtype")))</x:f>
        <x:v>operational</x:v>
      </x:c>
      <x:c r="AD208" s="12" t="str">
        <x:f>IF(AC208="canonical","high",IF(AC208="recognized_subtype","medium",IF(AC208="operational","operational_only","debated")))</x:f>
        <x:v>operational_only</x:v>
      </x:c>
      <x:c r="AE208" s="12" t="str">
        <x:f>IF(AC208="deprecated","deprecated",IF(M208="yes","active",IF(M208="review","review_required","backlog")))</x:f>
        <x:v>backlog</x:v>
      </x:c>
      <x:c r="AF208" s="12" t="str">
        <x:f>IF(OR(AE208="active",AE208="review_required"),"yes","no")</x:f>
        <x:v>no</x:v>
      </x:c>
      <x:c r="AG208" s="12" t="str">
        <x:f>IF(AND(AE208="active",M208="yes",NOT(ISNUMBER(SEARCH("healthy",AB208)))),"yes","no")</x:f>
        <x:v>no</x:v>
      </x:c>
      <x:c r="AH208" s="12" t="str">
        <x:f>IF(OR(H208="contextual",H208="dialogue",H208="discourse",I208="claim+context",I208="discourse_segment"),"yes","no")</x:f>
        <x:v>yes</x:v>
      </x:c>
      <x:c r="AI208" s="12" t="str">
        <x:f>IF(OR(AH208="yes",AD208="debated",AC208="operational"),"yes","no")</x:f>
        <x:v>yes</x:v>
      </x:c>
      <x:c r="AJ208" s="12" t="str">
        <x:f>IF(OR(AH208="yes",AC208="operational",AD208="debated"),"high",IF(AND(AG208="yes",L208="P0"),"medium","low"))</x:f>
        <x:v>high</x:v>
      </x:c>
      <x:c r="AK208" s="12" t="str">
        <x:f>IF(ISNUMBER(SEARCH("healthy",AB208)),"yes","no")</x:f>
        <x:v>no</x:v>
      </x:c>
      <x:c r="AL208" s="12" t="str">
        <x:f>IF(AG208="yes","yes","candidate_only")</x:f>
        <x:v>candidate_only</x:v>
      </x:c>
      <x:c r="AM208" s="12" t="str">
        <x:f>IF(OR(AC208="canonical",AG208="yes"),"yes","recommended")</x:f>
        <x:v>recommended</x:v>
      </x:c>
      <x:c r="AN208" s="12" t="str">
        <x:f>IF(AC208="deprecated","exclude",IF(AND(AG208="yes",AJ208="high"),"import_but_human_review_required",IF(AG208="yes","import_as_active","import_as_backlog")))</x:f>
        <x:v>import_as_backlog</x:v>
      </x:c>
      <x:c r="AO208" s="12" t="str">
        <x:f>IF(AND(AG208="yes",OR(P208="",Q208="",R208="",S208="")),"missing_required_mvp_fields",IF(AND(AC208="canonical",Y208=""),"missing_source_ref","ok"))</x:f>
        <x:v>ok</x:v>
      </x:c>
      <x:c r="AP208" s="12" t="str">
        <x:f>IF(AO208="ok","ready_for_codex_import","needs_review")</x:f>
        <x:v>ready_for_codex_import</x:v>
      </x:c>
      <x:c r="AQ208" s="12"/>
      <x:c r="AR208" s="12" t="str">
        <x:v>Added v2 operational fields. Review before classification activation.</x:v>
      </x:c>
    </x:row>
    <x:row r="209">
      <x:c r="A209" s="13" t="str">
        <x:v>evidence_quality_mismatch_missing_context</x:v>
      </x:c>
      <x:c r="B209" s="13" t="str">
        <x:v>evidence_quality_mismatch</x:v>
      </x:c>
      <x:c r="C209" s="13" t="str">
        <x:v>Evidence-quality mismatch</x:v>
      </x:c>
      <x:c r="D209" s="13" t="str">
        <x:v>ناسازگاری کیفیت شواهد و نتیجه</x:v>
      </x:c>
      <x:c r="E209" s="13" t="str">
        <x:v>Missing-context variant</x:v>
      </x:c>
      <x:c r="F209" s="13" t="str">
        <x:v>evidence_failures</x:v>
      </x:c>
      <x:c r="G209" s="13" t="str">
        <x:v>operational_variant</x:v>
      </x:c>
      <x:c r="H209" s="13" t="str">
        <x:v>contextual</x:v>
      </x:c>
      <x:c r="I209" s="13" t="str">
        <x:v>claim+context</x:v>
      </x:c>
      <x:c r="J209" s="13" t="str">
        <x:v>derived_operational_subtype</x:v>
      </x:c>
      <x:c r="K209" s="13" t="str">
        <x:v>derived_from_established_parent_review_required</x:v>
      </x:c>
      <x:c r="L209" s="13" t="str">
        <x:v>P2</x:v>
      </x:c>
      <x:c r="M209" s="13" t="str">
        <x:v>no</x:v>
      </x:c>
      <x:c r="N209" s="13" t="str">
        <x:v>Operational subtype under Evidence-quality mismatch: context needed to evaluate the evidence is absent. Parent definition: Drawing high-strength conclusions from low-strength evidence.</x:v>
      </x:c>
      <x:c r="O209" s="13" t="str">
        <x:v>Look for: explicit claim-level evidence; parent-family cues for Evidence-quality mismatch; variant cue: context needed to evaluate the evidence is absent; avoid author-level inference.</x:v>
      </x:c>
      <x:c r="P209" s="13" t="str">
        <x:v>Exact evidence span in text plus claim-level reasoning link; for contextual/discourse entries, require surrounding context.</x:v>
      </x:c>
      <x:c r="Q209" s="13" t="str">
        <x:v>Do not label merely because topic is controversial, emotional, or wrong. Do not judge intent or personality. Require textual evidence and consider healthy-reasoning cues.</x:v>
      </x:c>
      <x:c r="R209" s="13" t="str">
        <x:v>Stub: A claim relies on context needed to evaluate the evidence is absent to support a conclusion without adequate qualification.</x:v>
      </x:c>
      <x:c r="S209" s="13" t="str">
        <x:v>Stub: A claim discusses evidence-quality mismatch with caveats, balanced evidence, or no argumentative use of the pattern.</x:v>
      </x:c>
      <x:c r="T209" s="13" t="str">
        <x:v>Mild or ambiguous cue; do not classify without clear evidence span.</x:v>
      </x:c>
      <x:c r="U209" s="13" t="str">
        <x:v>Clear claim-level pattern with some argumentative impact.</x:v>
      </x:c>
      <x:c r="V209" s="13" t="str">
        <x:v>Strong pattern central to the conclusion and likely to materially distort reasoning.</x:v>
      </x:c>
      <x:c r="W209" s="13" t="str">
        <x:v>cherry_picking; missing_counterevidence; evidence_grading</x:v>
      </x:c>
      <x:c r="X209" s="13" t="str">
        <x:v>toulmin_uses_argument</x:v>
      </x:c>
      <x:c r="Y209" s="13" t="str">
        <x:v>https://doi.org/10.1017/CBO9780511840005</x:v>
      </x:c>
      <x:c r="Z209" s="13" t="str">
        <x:v>Review before enabling. This workbook is a living taxonomy scaffold, not a validated scientific benchmark.</x:v>
      </x:c>
      <x:c r="AA209" s="13" t="str">
        <x:v>0.1.0-draft</x:v>
      </x:c>
      <x:c r="AB209" s="12" t="str">
        <x:f>IF(ISNUMBER(SEARCH("healthy",F209)),"healthy_reasoning_patterns",IF(ISNUMBER(SEARCH("statistical",F209)),"statistical_reasoning",IF(ISNUMBER(SEARCH("causal",F209)),"causal_reasoning",IF(ISNUMBER(SEARCH("social",F209)),"social_influence",IF(ISNUMBER(SEARCH("rhetoric",F209)),"rhetoric_discourse",IF(ISNUMBER(SEARCH("behavior",F209)),"behavioural_economics",IF(ISNUMBER(SEARCH("cognitive",F209)),"cognitive_biases",IF(J209="protective_pattern","healthy_reasoning_patterns",IF(L209="P0","core_mvp","extended_fallacies")))))))))</x:f>
        <x:v>extended_fallacies</x:v>
      </x:c>
      <x:c r="AC209" s="12" t="str">
        <x:f>IF(ISNUMBER(SEARCH("operational",J209)),"operational",IF(ISNUMBER(SEARCH("deprecated",J209)),"deprecated",IF(L209="P0","canonical","recognized_subtype")))</x:f>
        <x:v>operational</x:v>
      </x:c>
      <x:c r="AD209" s="12" t="str">
        <x:f>IF(AC209="canonical","high",IF(AC209="recognized_subtype","medium",IF(AC209="operational","operational_only","debated")))</x:f>
        <x:v>operational_only</x:v>
      </x:c>
      <x:c r="AE209" s="12" t="str">
        <x:f>IF(AC209="deprecated","deprecated",IF(M209="yes","active",IF(M209="review","review_required","backlog")))</x:f>
        <x:v>backlog</x:v>
      </x:c>
      <x:c r="AF209" s="12" t="str">
        <x:f>IF(OR(AE209="active",AE209="review_required"),"yes","no")</x:f>
        <x:v>no</x:v>
      </x:c>
      <x:c r="AG209" s="12" t="str">
        <x:f>IF(AND(AE209="active",M209="yes",NOT(ISNUMBER(SEARCH("healthy",AB209)))),"yes","no")</x:f>
        <x:v>no</x:v>
      </x:c>
      <x:c r="AH209" s="12" t="str">
        <x:f>IF(OR(H209="contextual",H209="dialogue",H209="discourse",I209="claim+context",I209="discourse_segment"),"yes","no")</x:f>
        <x:v>yes</x:v>
      </x:c>
      <x:c r="AI209" s="12" t="str">
        <x:f>IF(OR(AH209="yes",AD209="debated",AC209="operational"),"yes","no")</x:f>
        <x:v>yes</x:v>
      </x:c>
      <x:c r="AJ209" s="12" t="str">
        <x:f>IF(OR(AH209="yes",AC209="operational",AD209="debated"),"high",IF(AND(AG209="yes",L209="P0"),"medium","low"))</x:f>
        <x:v>high</x:v>
      </x:c>
      <x:c r="AK209" s="12" t="str">
        <x:f>IF(ISNUMBER(SEARCH("healthy",AB209)),"yes","no")</x:f>
        <x:v>no</x:v>
      </x:c>
      <x:c r="AL209" s="12" t="str">
        <x:f>IF(AG209="yes","yes","candidate_only")</x:f>
        <x:v>candidate_only</x:v>
      </x:c>
      <x:c r="AM209" s="12" t="str">
        <x:f>IF(OR(AC209="canonical",AG209="yes"),"yes","recommended")</x:f>
        <x:v>recommended</x:v>
      </x:c>
      <x:c r="AN209" s="12" t="str">
        <x:f>IF(AC209="deprecated","exclude",IF(AND(AG209="yes",AJ209="high"),"import_but_human_review_required",IF(AG209="yes","import_as_active","import_as_backlog")))</x:f>
        <x:v>import_as_backlog</x:v>
      </x:c>
      <x:c r="AO209" s="12" t="str">
        <x:f>IF(AND(AG209="yes",OR(P209="",Q209="",R209="",S209="")),"missing_required_mvp_fields",IF(AND(AC209="canonical",Y209=""),"missing_source_ref","ok"))</x:f>
        <x:v>ok</x:v>
      </x:c>
      <x:c r="AP209" s="12" t="str">
        <x:f>IF(AO209="ok","ready_for_codex_import","needs_review")</x:f>
        <x:v>ready_for_codex_import</x:v>
      </x:c>
      <x:c r="AQ209" s="12"/>
      <x:c r="AR209" s="12" t="str">
        <x:v>Added v2 operational fields. Review before classification activation.</x:v>
      </x:c>
    </x:row>
    <x:row r="210">
      <x:c r="A210" s="13" t="str">
        <x:v>cherry_picking_sample_problem</x:v>
      </x:c>
      <x:c r="B210" s="13" t="str">
        <x:v>cherry_picking</x:v>
      </x:c>
      <x:c r="C210" s="13" t="str">
        <x:v>Cherry picking</x:v>
      </x:c>
      <x:c r="D210" s="13" t="str">
        <x:v>انتخاب گزینشی شواهد</x:v>
      </x:c>
      <x:c r="E210" s="13" t="str">
        <x:v>Sample-quality variant</x:v>
      </x:c>
      <x:c r="F210" s="13" t="str">
        <x:v>evidence_failures</x:v>
      </x:c>
      <x:c r="G210" s="13" t="str">
        <x:v>operational_variant</x:v>
      </x:c>
      <x:c r="H210" s="13" t="str">
        <x:v>contextual</x:v>
      </x:c>
      <x:c r="I210" s="13" t="str">
        <x:v>claim+context</x:v>
      </x:c>
      <x:c r="J210" s="13" t="str">
        <x:v>derived_operational_subtype</x:v>
      </x:c>
      <x:c r="K210" s="13" t="str">
        <x:v>derived_from_established_parent_review_required</x:v>
      </x:c>
      <x:c r="L210" s="13" t="str">
        <x:v>P2</x:v>
      </x:c>
      <x:c r="M210" s="13" t="str">
        <x:v>no</x:v>
      </x:c>
      <x:c r="N210" s="13" t="str">
        <x:v>Operational subtype under Cherry picking: sample, selection, or representativeness is central. Parent definition: Selecting supportive evidence while ignoring relevant counterevidence.</x:v>
      </x:c>
      <x:c r="O210" s="13" t="str">
        <x:v>Look for: explicit claim-level evidence; parent-family cues for Cherry picking; variant cue: sample, selection, or representativeness is central; avoid author-level inference.</x:v>
      </x:c>
      <x:c r="P210" s="13" t="str">
        <x:v>Exact evidence span in text plus claim-level reasoning link; for contextual/discourse entries, require surrounding context.</x:v>
      </x:c>
      <x:c r="Q210" s="13" t="str">
        <x:v>Do not label merely because topic is controversial, emotional, or wrong. Do not judge intent or personality. Require textual evidence and consider healthy-reasoning cues.</x:v>
      </x:c>
      <x:c r="R210" s="13" t="str">
        <x:v>Stub: A claim relies on sample, selection, or representativeness is central to support a conclusion without adequate qualification.</x:v>
      </x:c>
      <x:c r="S210" s="13" t="str">
        <x:v>Stub: A claim discusses cherry picking with caveats, balanced evidence, or no argumentative use of the pattern.</x:v>
      </x:c>
      <x:c r="T210" s="13" t="str">
        <x:v>Mild or ambiguous cue; do not classify without clear evidence span.</x:v>
      </x:c>
      <x:c r="U210" s="13" t="str">
        <x:v>Clear claim-level pattern with some argumentative impact.</x:v>
      </x:c>
      <x:c r="V210" s="13" t="str">
        <x:v>Strong pattern central to the conclusion and likely to materially distort reasoning.</x:v>
      </x:c>
      <x:c r="W210" s="13" t="str">
        <x:v>cherry_picking; missing_counterevidence; evidence_grading</x:v>
      </x:c>
      <x:c r="X210" s="13" t="str">
        <x:v>sep_informal_logic</x:v>
      </x:c>
      <x:c r="Y210" s="13" t="str">
        <x:v>https://plato.stanford.edu/entries/logic-informal/</x:v>
      </x:c>
      <x:c r="Z210" s="13" t="str">
        <x:v>Review before enabling. This workbook is a living taxonomy scaffold, not a validated scientific benchmark.</x:v>
      </x:c>
      <x:c r="AA210" s="13" t="str">
        <x:v>0.1.0-draft</x:v>
      </x:c>
      <x:c r="AB210" s="12" t="str">
        <x:f>IF(ISNUMBER(SEARCH("healthy",F210)),"healthy_reasoning_patterns",IF(ISNUMBER(SEARCH("statistical",F210)),"statistical_reasoning",IF(ISNUMBER(SEARCH("causal",F210)),"causal_reasoning",IF(ISNUMBER(SEARCH("social",F210)),"social_influence",IF(ISNUMBER(SEARCH("rhetoric",F210)),"rhetoric_discourse",IF(ISNUMBER(SEARCH("behavior",F210)),"behavioural_economics",IF(ISNUMBER(SEARCH("cognitive",F210)),"cognitive_biases",IF(J210="protective_pattern","healthy_reasoning_patterns",IF(L210="P0","core_mvp","extended_fallacies")))))))))</x:f>
        <x:v>extended_fallacies</x:v>
      </x:c>
      <x:c r="AC210" s="12" t="str">
        <x:f>IF(ISNUMBER(SEARCH("operational",J210)),"operational",IF(ISNUMBER(SEARCH("deprecated",J210)),"deprecated",IF(L210="P0","canonical","recognized_subtype")))</x:f>
        <x:v>operational</x:v>
      </x:c>
      <x:c r="AD210" s="12" t="str">
        <x:f>IF(AC210="canonical","high",IF(AC210="recognized_subtype","medium",IF(AC210="operational","operational_only","debated")))</x:f>
        <x:v>operational_only</x:v>
      </x:c>
      <x:c r="AE210" s="12" t="str">
        <x:f>IF(AC210="deprecated","deprecated",IF(M210="yes","active",IF(M210="review","review_required","backlog")))</x:f>
        <x:v>backlog</x:v>
      </x:c>
      <x:c r="AF210" s="12" t="str">
        <x:f>IF(OR(AE210="active",AE210="review_required"),"yes","no")</x:f>
        <x:v>no</x:v>
      </x:c>
      <x:c r="AG210" s="12" t="str">
        <x:f>IF(AND(AE210="active",M210="yes",NOT(ISNUMBER(SEARCH("healthy",AB210)))),"yes","no")</x:f>
        <x:v>no</x:v>
      </x:c>
      <x:c r="AH210" s="12" t="str">
        <x:f>IF(OR(H210="contextual",H210="dialogue",H210="discourse",I210="claim+context",I210="discourse_segment"),"yes","no")</x:f>
        <x:v>yes</x:v>
      </x:c>
      <x:c r="AI210" s="12" t="str">
        <x:f>IF(OR(AH210="yes",AD210="debated",AC210="operational"),"yes","no")</x:f>
        <x:v>yes</x:v>
      </x:c>
      <x:c r="AJ210" s="12" t="str">
        <x:f>IF(OR(AH210="yes",AC210="operational",AD210="debated"),"high",IF(AND(AG210="yes",L210="P0"),"medium","low"))</x:f>
        <x:v>high</x:v>
      </x:c>
      <x:c r="AK210" s="12" t="str">
        <x:f>IF(ISNUMBER(SEARCH("healthy",AB210)),"yes","no")</x:f>
        <x:v>no</x:v>
      </x:c>
      <x:c r="AL210" s="12" t="str">
        <x:f>IF(AG210="yes","yes","candidate_only")</x:f>
        <x:v>candidate_only</x:v>
      </x:c>
      <x:c r="AM210" s="12" t="str">
        <x:f>IF(OR(AC210="canonical",AG210="yes"),"yes","recommended")</x:f>
        <x:v>recommended</x:v>
      </x:c>
      <x:c r="AN210" s="12" t="str">
        <x:f>IF(AC210="deprecated","exclude",IF(AND(AG210="yes",AJ210="high"),"import_but_human_review_required",IF(AG210="yes","import_as_active","import_as_backlog")))</x:f>
        <x:v>import_as_backlog</x:v>
      </x:c>
      <x:c r="AO210" s="12" t="str">
        <x:f>IF(AND(AG210="yes",OR(P210="",Q210="",R210="",S210="")),"missing_required_mvp_fields",IF(AND(AC210="canonical",Y210=""),"missing_source_ref","ok"))</x:f>
        <x:v>ok</x:v>
      </x:c>
      <x:c r="AP210" s="12" t="str">
        <x:f>IF(AO210="ok","ready_for_codex_import","needs_review")</x:f>
        <x:v>ready_for_codex_import</x:v>
      </x:c>
      <x:c r="AQ210" s="12"/>
      <x:c r="AR210" s="12" t="str">
        <x:v>Added v2 operational fields. Review before classification activation.</x:v>
      </x:c>
    </x:row>
    <x:row r="211">
      <x:c r="A211" s="13" t="str">
        <x:v>suppressed_evidence_sample_problem</x:v>
      </x:c>
      <x:c r="B211" s="13" t="str">
        <x:v>suppressed_evidence</x:v>
      </x:c>
      <x:c r="C211" s="13" t="str">
        <x:v>Suppressed evidence</x:v>
      </x:c>
      <x:c r="D211" s="13" t="str">
        <x:v>حذف شواهد مهم</x:v>
      </x:c>
      <x:c r="E211" s="13" t="str">
        <x:v>Sample-quality variant</x:v>
      </x:c>
      <x:c r="F211" s="13" t="str">
        <x:v>evidence_failures</x:v>
      </x:c>
      <x:c r="G211" s="13" t="str">
        <x:v>operational_variant</x:v>
      </x:c>
      <x:c r="H211" s="13" t="str">
        <x:v>contextual</x:v>
      </x:c>
      <x:c r="I211" s="13" t="str">
        <x:v>claim+context</x:v>
      </x:c>
      <x:c r="J211" s="13" t="str">
        <x:v>derived_operational_subtype</x:v>
      </x:c>
      <x:c r="K211" s="13" t="str">
        <x:v>derived_from_established_parent_review_required</x:v>
      </x:c>
      <x:c r="L211" s="13" t="str">
        <x:v>P2</x:v>
      </x:c>
      <x:c r="M211" s="13" t="str">
        <x:v>no</x:v>
      </x:c>
      <x:c r="N211" s="13" t="str">
        <x:v>Operational subtype under Suppressed evidence: sample, selection, or representativeness is central. Parent definition: Omitting relevant evidence that would materially change the conclusion.</x:v>
      </x:c>
      <x:c r="O211" s="13" t="str">
        <x:v>Look for: explicit claim-level evidence; parent-family cues for Suppressed evidence; variant cue: sample, selection, or representativeness is central; avoid author-level inference.</x:v>
      </x:c>
      <x:c r="P211" s="13" t="str">
        <x:v>Exact evidence span in text plus claim-level reasoning link; for contextual/discourse entries, require surrounding context.</x:v>
      </x:c>
      <x:c r="Q211" s="13" t="str">
        <x:v>Do not label merely because topic is controversial, emotional, or wrong. Do not judge intent or personality. Require textual evidence and consider healthy-reasoning cues.</x:v>
      </x:c>
      <x:c r="R211" s="13" t="str">
        <x:v>Stub: A claim relies on sample, selection, or representativeness is central to support a conclusion without adequate qualification.</x:v>
      </x:c>
      <x:c r="S211" s="13" t="str">
        <x:v>Stub: A claim discusses suppressed evidence with caveats, balanced evidence, or no argumentative use of the pattern.</x:v>
      </x:c>
      <x:c r="T211" s="13" t="str">
        <x:v>Mild or ambiguous cue; do not classify without clear evidence span.</x:v>
      </x:c>
      <x:c r="U211" s="13" t="str">
        <x:v>Clear claim-level pattern with some argumentative impact.</x:v>
      </x:c>
      <x:c r="V211" s="13" t="str">
        <x:v>Strong pattern central to the conclusion and likely to materially distort reasoning.</x:v>
      </x:c>
      <x:c r="W211" s="13" t="str">
        <x:v>cherry_picking; missing_counterevidence; evidence_grading</x:v>
      </x:c>
      <x:c r="X211" s="13" t="str">
        <x:v>sep_informal_logic</x:v>
      </x:c>
      <x:c r="Y211" s="13" t="str">
        <x:v>https://plato.stanford.edu/entries/logic-informal/</x:v>
      </x:c>
      <x:c r="Z211" s="13" t="str">
        <x:v>Review before enabling. This workbook is a living taxonomy scaffold, not a validated scientific benchmark.</x:v>
      </x:c>
      <x:c r="AA211" s="13" t="str">
        <x:v>0.1.0-draft</x:v>
      </x:c>
      <x:c r="AB211" s="12" t="str">
        <x:f>IF(ISNUMBER(SEARCH("healthy",F211)),"healthy_reasoning_patterns",IF(ISNUMBER(SEARCH("statistical",F211)),"statistical_reasoning",IF(ISNUMBER(SEARCH("causal",F211)),"causal_reasoning",IF(ISNUMBER(SEARCH("social",F211)),"social_influence",IF(ISNUMBER(SEARCH("rhetoric",F211)),"rhetoric_discourse",IF(ISNUMBER(SEARCH("behavior",F211)),"behavioural_economics",IF(ISNUMBER(SEARCH("cognitive",F211)),"cognitive_biases",IF(J211="protective_pattern","healthy_reasoning_patterns",IF(L211="P0","core_mvp","extended_fallacies")))))))))</x:f>
        <x:v>extended_fallacies</x:v>
      </x:c>
      <x:c r="AC211" s="12" t="str">
        <x:f>IF(ISNUMBER(SEARCH("operational",J211)),"operational",IF(ISNUMBER(SEARCH("deprecated",J211)),"deprecated",IF(L211="P0","canonical","recognized_subtype")))</x:f>
        <x:v>operational</x:v>
      </x:c>
      <x:c r="AD211" s="12" t="str">
        <x:f>IF(AC211="canonical","high",IF(AC211="recognized_subtype","medium",IF(AC211="operational","operational_only","debated")))</x:f>
        <x:v>operational_only</x:v>
      </x:c>
      <x:c r="AE211" s="12" t="str">
        <x:f>IF(AC211="deprecated","deprecated",IF(M211="yes","active",IF(M211="review","review_required","backlog")))</x:f>
        <x:v>backlog</x:v>
      </x:c>
      <x:c r="AF211" s="12" t="str">
        <x:f>IF(OR(AE211="active",AE211="review_required"),"yes","no")</x:f>
        <x:v>no</x:v>
      </x:c>
      <x:c r="AG211" s="12" t="str">
        <x:f>IF(AND(AE211="active",M211="yes",NOT(ISNUMBER(SEARCH("healthy",AB211)))),"yes","no")</x:f>
        <x:v>no</x:v>
      </x:c>
      <x:c r="AH211" s="12" t="str">
        <x:f>IF(OR(H211="contextual",H211="dialogue",H211="discourse",I211="claim+context",I211="discourse_segment"),"yes","no")</x:f>
        <x:v>yes</x:v>
      </x:c>
      <x:c r="AI211" s="12" t="str">
        <x:f>IF(OR(AH211="yes",AD211="debated",AC211="operational"),"yes","no")</x:f>
        <x:v>yes</x:v>
      </x:c>
      <x:c r="AJ211" s="12" t="str">
        <x:f>IF(OR(AH211="yes",AC211="operational",AD211="debated"),"high",IF(AND(AG211="yes",L211="P0"),"medium","low"))</x:f>
        <x:v>high</x:v>
      </x:c>
      <x:c r="AK211" s="12" t="str">
        <x:f>IF(ISNUMBER(SEARCH("healthy",AB211)),"yes","no")</x:f>
        <x:v>no</x:v>
      </x:c>
      <x:c r="AL211" s="12" t="str">
        <x:f>IF(AG211="yes","yes","candidate_only")</x:f>
        <x:v>candidate_only</x:v>
      </x:c>
      <x:c r="AM211" s="12" t="str">
        <x:f>IF(OR(AC211="canonical",AG211="yes"),"yes","recommended")</x:f>
        <x:v>recommended</x:v>
      </x:c>
      <x:c r="AN211" s="12" t="str">
        <x:f>IF(AC211="deprecated","exclude",IF(AND(AG211="yes",AJ211="high"),"import_but_human_review_required",IF(AG211="yes","import_as_active","import_as_backlog")))</x:f>
        <x:v>import_as_backlog</x:v>
      </x:c>
      <x:c r="AO211" s="12" t="str">
        <x:f>IF(AND(AG211="yes",OR(P211="",Q211="",R211="",S211="")),"missing_required_mvp_fields",IF(AND(AC211="canonical",Y211=""),"missing_source_ref","ok"))</x:f>
        <x:v>ok</x:v>
      </x:c>
      <x:c r="AP211" s="12" t="str">
        <x:f>IF(AO211="ok","ready_for_codex_import","needs_review")</x:f>
        <x:v>ready_for_codex_import</x:v>
      </x:c>
      <x:c r="AQ211" s="12"/>
      <x:c r="AR211" s="12" t="str">
        <x:v>Added v2 operational fields. Review before classification activation.</x:v>
      </x:c>
    </x:row>
    <x:row r="212">
      <x:c r="A212" s="13" t="str">
        <x:v>anecdotal_evidence_sample_problem</x:v>
      </x:c>
      <x:c r="B212" s="13" t="str">
        <x:v>anecdotal_evidence</x:v>
      </x:c>
      <x:c r="C212" s="13" t="str">
        <x:v>Anecdotal evidence</x:v>
      </x:c>
      <x:c r="D212" s="13" t="str">
        <x:v>اتکای بیش از حد به روایت فردی</x:v>
      </x:c>
      <x:c r="E212" s="13" t="str">
        <x:v>Sample-quality variant</x:v>
      </x:c>
      <x:c r="F212" s="13" t="str">
        <x:v>evidence_failures</x:v>
      </x:c>
      <x:c r="G212" s="13" t="str">
        <x:v>operational_variant</x:v>
      </x:c>
      <x:c r="H212" s="13" t="str">
        <x:v>contextual</x:v>
      </x:c>
      <x:c r="I212" s="13" t="str">
        <x:v>claim+context</x:v>
      </x:c>
      <x:c r="J212" s="13" t="str">
        <x:v>derived_operational_subtype</x:v>
      </x:c>
      <x:c r="K212" s="13" t="str">
        <x:v>derived_from_established_parent_review_required</x:v>
      </x:c>
      <x:c r="L212" s="13" t="str">
        <x:v>P2</x:v>
      </x:c>
      <x:c r="M212" s="13" t="str">
        <x:v>no</x:v>
      </x:c>
      <x:c r="N212" s="13" t="str">
        <x:v>Operational subtype under Anecdotal evidence: sample, selection, or representativeness is central. Parent definition: Using isolated stories as if they establish a general claim.</x:v>
      </x:c>
      <x:c r="O212" s="13" t="str">
        <x:v>Look for: explicit claim-level evidence; parent-family cues for Anecdotal evidence; variant cue: sample, selection, or representativeness is central; avoid author-level inference.</x:v>
      </x:c>
      <x:c r="P212" s="13" t="str">
        <x:v>Exact evidence span in text plus claim-level reasoning link; for contextual/discourse entries, require surrounding context.</x:v>
      </x:c>
      <x:c r="Q212" s="13" t="str">
        <x:v>Do not label merely because topic is controversial, emotional, or wrong. Do not judge intent or personality. Require textual evidence and consider healthy-reasoning cues.</x:v>
      </x:c>
      <x:c r="R212" s="13" t="str">
        <x:v>Stub: A claim relies on sample, selection, or representativeness is central to support a conclusion without adequate qualification.</x:v>
      </x:c>
      <x:c r="S212" s="13" t="str">
        <x:v>Stub: A claim discusses anecdotal evidence with caveats, balanced evidence, or no argumentative use of the pattern.</x:v>
      </x:c>
      <x:c r="T212" s="13" t="str">
        <x:v>Mild or ambiguous cue; do not classify without clear evidence span.</x:v>
      </x:c>
      <x:c r="U212" s="13" t="str">
        <x:v>Clear claim-level pattern with some argumentative impact.</x:v>
      </x:c>
      <x:c r="V212" s="13" t="str">
        <x:v>Strong pattern central to the conclusion and likely to materially distort reasoning.</x:v>
      </x:c>
      <x:c r="W212" s="13" t="str"/>
      <x:c r="X212" s="13" t="str">
        <x:v>sep_informal_logic</x:v>
      </x:c>
      <x:c r="Y212" s="13" t="str">
        <x:v>https://plato.stanford.edu/entries/logic-informal/</x:v>
      </x:c>
      <x:c r="Z212" s="13" t="str">
        <x:v>Review before enabling. This workbook is a living taxonomy scaffold, not a validated scientific benchmark.</x:v>
      </x:c>
      <x:c r="AA212" s="13" t="str">
        <x:v>0.1.0-draft</x:v>
      </x:c>
      <x:c r="AB212" s="12" t="str">
        <x:f>IF(ISNUMBER(SEARCH("healthy",F212)),"healthy_reasoning_patterns",IF(ISNUMBER(SEARCH("statistical",F212)),"statistical_reasoning",IF(ISNUMBER(SEARCH("causal",F212)),"causal_reasoning",IF(ISNUMBER(SEARCH("social",F212)),"social_influence",IF(ISNUMBER(SEARCH("rhetoric",F212)),"rhetoric_discourse",IF(ISNUMBER(SEARCH("behavior",F212)),"behavioural_economics",IF(ISNUMBER(SEARCH("cognitive",F212)),"cognitive_biases",IF(J212="protective_pattern","healthy_reasoning_patterns",IF(L212="P0","core_mvp","extended_fallacies")))))))))</x:f>
        <x:v>extended_fallacies</x:v>
      </x:c>
      <x:c r="AC212" s="12" t="str">
        <x:f>IF(ISNUMBER(SEARCH("operational",J212)),"operational",IF(ISNUMBER(SEARCH("deprecated",J212)),"deprecated",IF(L212="P0","canonical","recognized_subtype")))</x:f>
        <x:v>operational</x:v>
      </x:c>
      <x:c r="AD212" s="12" t="str">
        <x:f>IF(AC212="canonical","high",IF(AC212="recognized_subtype","medium",IF(AC212="operational","operational_only","debated")))</x:f>
        <x:v>operational_only</x:v>
      </x:c>
      <x:c r="AE212" s="12" t="str">
        <x:f>IF(AC212="deprecated","deprecated",IF(M212="yes","active",IF(M212="review","review_required","backlog")))</x:f>
        <x:v>backlog</x:v>
      </x:c>
      <x:c r="AF212" s="12" t="str">
        <x:f>IF(OR(AE212="active",AE212="review_required"),"yes","no")</x:f>
        <x:v>no</x:v>
      </x:c>
      <x:c r="AG212" s="12" t="str">
        <x:f>IF(AND(AE212="active",M212="yes",NOT(ISNUMBER(SEARCH("healthy",AB212)))),"yes","no")</x:f>
        <x:v>no</x:v>
      </x:c>
      <x:c r="AH212" s="12" t="str">
        <x:f>IF(OR(H212="contextual",H212="dialogue",H212="discourse",I212="claim+context",I212="discourse_segment"),"yes","no")</x:f>
        <x:v>yes</x:v>
      </x:c>
      <x:c r="AI212" s="12" t="str">
        <x:f>IF(OR(AH212="yes",AD212="debated",AC212="operational"),"yes","no")</x:f>
        <x:v>yes</x:v>
      </x:c>
      <x:c r="AJ212" s="12" t="str">
        <x:f>IF(OR(AH212="yes",AC212="operational",AD212="debated"),"high",IF(AND(AG212="yes",L212="P0"),"medium","low"))</x:f>
        <x:v>high</x:v>
      </x:c>
      <x:c r="AK212" s="12" t="str">
        <x:f>IF(ISNUMBER(SEARCH("healthy",AB212)),"yes","no")</x:f>
        <x:v>no</x:v>
      </x:c>
      <x:c r="AL212" s="12" t="str">
        <x:f>IF(AG212="yes","yes","candidate_only")</x:f>
        <x:v>candidate_only</x:v>
      </x:c>
      <x:c r="AM212" s="12" t="str">
        <x:f>IF(OR(AC212="canonical",AG212="yes"),"yes","recommended")</x:f>
        <x:v>recommended</x:v>
      </x:c>
      <x:c r="AN212" s="12" t="str">
        <x:f>IF(AC212="deprecated","exclude",IF(AND(AG212="yes",AJ212="high"),"import_but_human_review_required",IF(AG212="yes","import_as_active","import_as_backlog")))</x:f>
        <x:v>import_as_backlog</x:v>
      </x:c>
      <x:c r="AO212" s="12" t="str">
        <x:f>IF(AND(AG212="yes",OR(P212="",Q212="",R212="",S212="")),"missing_required_mvp_fields",IF(AND(AC212="canonical",Y212=""),"missing_source_ref","ok"))</x:f>
        <x:v>ok</x:v>
      </x:c>
      <x:c r="AP212" s="12" t="str">
        <x:f>IF(AO212="ok","ready_for_codex_import","needs_review")</x:f>
        <x:v>ready_for_codex_import</x:v>
      </x:c>
      <x:c r="AQ212" s="12"/>
      <x:c r="AR212" s="12" t="str">
        <x:v>Added v2 operational fields. Review before classification activation.</x:v>
      </x:c>
    </x:row>
    <x:row r="213">
      <x:c r="A213" s="13" t="str">
        <x:v>selection_bias_argument_sample_problem</x:v>
      </x:c>
      <x:c r="B213" s="13" t="str">
        <x:v>selection_bias_argument</x:v>
      </x:c>
      <x:c r="C213" s="13" t="str">
        <x:v>Selection bias in argument</x:v>
      </x:c>
      <x:c r="D213" s="13" t="str">
        <x:v>سوگیری انتخاب نمونه</x:v>
      </x:c>
      <x:c r="E213" s="13" t="str">
        <x:v>Sample-quality variant</x:v>
      </x:c>
      <x:c r="F213" s="13" t="str">
        <x:v>evidence_failures</x:v>
      </x:c>
      <x:c r="G213" s="13" t="str">
        <x:v>operational_variant</x:v>
      </x:c>
      <x:c r="H213" s="13" t="str">
        <x:v>contextual</x:v>
      </x:c>
      <x:c r="I213" s="13" t="str">
        <x:v>claim+context</x:v>
      </x:c>
      <x:c r="J213" s="13" t="str">
        <x:v>derived_operational_subtype</x:v>
      </x:c>
      <x:c r="K213" s="13" t="str">
        <x:v>derived_from_established_parent_review_required</x:v>
      </x:c>
      <x:c r="L213" s="13" t="str">
        <x:v>P2</x:v>
      </x:c>
      <x:c r="M213" s="13" t="str">
        <x:v>no</x:v>
      </x:c>
      <x:c r="N213" s="13" t="str">
        <x:v>Operational subtype under Selection bias in argument: sample, selection, or representativeness is central. Parent definition: Basing a conclusion on a sample selected in a systematically distorted way.</x:v>
      </x:c>
      <x:c r="O213" s="13" t="str">
        <x:v>Look for: explicit claim-level evidence; parent-family cues for Selection bias in argument; variant cue: sample, selection, or representativeness is central; avoid author-level inference.</x:v>
      </x:c>
      <x:c r="P213" s="13" t="str">
        <x:v>Exact evidence span in text plus claim-level reasoning link; for contextual/discourse entries, require surrounding context.</x:v>
      </x:c>
      <x:c r="Q213" s="13" t="str">
        <x:v>Do not label merely because topic is controversial, emotional, or wrong. Do not judge intent or personality. Require textual evidence and consider healthy-reasoning cues.</x:v>
      </x:c>
      <x:c r="R213" s="13" t="str">
        <x:v>Stub: A claim relies on sample, selection, or representativeness is central to support a conclusion without adequate qualification.</x:v>
      </x:c>
      <x:c r="S213" s="13" t="str">
        <x:v>Stub: A claim discusses selection bias in argument with caveats, balanced evidence, or no argumentative use of the pattern.</x:v>
      </x:c>
      <x:c r="T213" s="13" t="str">
        <x:v>Mild or ambiguous cue; do not classify without clear evidence span.</x:v>
      </x:c>
      <x:c r="U213" s="13" t="str">
        <x:v>Clear claim-level pattern with some argumentative impact.</x:v>
      </x:c>
      <x:c r="V213" s="13" t="str">
        <x:v>Strong pattern central to the conclusion and likely to materially distort reasoning.</x:v>
      </x:c>
      <x:c r="W213" s="13" t="str"/>
      <x:c r="X213" s="13" t="str">
        <x:v>sep_informal_logic</x:v>
      </x:c>
      <x:c r="Y213" s="13" t="str">
        <x:v>https://plato.stanford.edu/entries/logic-informal/</x:v>
      </x:c>
      <x:c r="Z213" s="13" t="str">
        <x:v>Review before enabling. This workbook is a living taxonomy scaffold, not a validated scientific benchmark.</x:v>
      </x:c>
      <x:c r="AA213" s="13" t="str">
        <x:v>0.1.0-draft</x:v>
      </x:c>
      <x:c r="AB213" s="12" t="str">
        <x:f>IF(ISNUMBER(SEARCH("healthy",F213)),"healthy_reasoning_patterns",IF(ISNUMBER(SEARCH("statistical",F213)),"statistical_reasoning",IF(ISNUMBER(SEARCH("causal",F213)),"causal_reasoning",IF(ISNUMBER(SEARCH("social",F213)),"social_influence",IF(ISNUMBER(SEARCH("rhetoric",F213)),"rhetoric_discourse",IF(ISNUMBER(SEARCH("behavior",F213)),"behavioural_economics",IF(ISNUMBER(SEARCH("cognitive",F213)),"cognitive_biases",IF(J213="protective_pattern","healthy_reasoning_patterns",IF(L213="P0","core_mvp","extended_fallacies")))))))))</x:f>
        <x:v>extended_fallacies</x:v>
      </x:c>
      <x:c r="AC213" s="12" t="str">
        <x:f>IF(ISNUMBER(SEARCH("operational",J213)),"operational",IF(ISNUMBER(SEARCH("deprecated",J213)),"deprecated",IF(L213="P0","canonical","recognized_subtype")))</x:f>
        <x:v>operational</x:v>
      </x:c>
      <x:c r="AD213" s="12" t="str">
        <x:f>IF(AC213="canonical","high",IF(AC213="recognized_subtype","medium",IF(AC213="operational","operational_only","debated")))</x:f>
        <x:v>operational_only</x:v>
      </x:c>
      <x:c r="AE213" s="12" t="str">
        <x:f>IF(AC213="deprecated","deprecated",IF(M213="yes","active",IF(M213="review","review_required","backlog")))</x:f>
        <x:v>backlog</x:v>
      </x:c>
      <x:c r="AF213" s="12" t="str">
        <x:f>IF(OR(AE213="active",AE213="review_required"),"yes","no")</x:f>
        <x:v>no</x:v>
      </x:c>
      <x:c r="AG213" s="12" t="str">
        <x:f>IF(AND(AE213="active",M213="yes",NOT(ISNUMBER(SEARCH("healthy",AB213)))),"yes","no")</x:f>
        <x:v>no</x:v>
      </x:c>
      <x:c r="AH213" s="12" t="str">
        <x:f>IF(OR(H213="contextual",H213="dialogue",H213="discourse",I213="claim+context",I213="discourse_segment"),"yes","no")</x:f>
        <x:v>yes</x:v>
      </x:c>
      <x:c r="AI213" s="12" t="str">
        <x:f>IF(OR(AH213="yes",AD213="debated",AC213="operational"),"yes","no")</x:f>
        <x:v>yes</x:v>
      </x:c>
      <x:c r="AJ213" s="12" t="str">
        <x:f>IF(OR(AH213="yes",AC213="operational",AD213="debated"),"high",IF(AND(AG213="yes",L213="P0"),"medium","low"))</x:f>
        <x:v>high</x:v>
      </x:c>
      <x:c r="AK213" s="12" t="str">
        <x:f>IF(ISNUMBER(SEARCH("healthy",AB213)),"yes","no")</x:f>
        <x:v>no</x:v>
      </x:c>
      <x:c r="AL213" s="12" t="str">
        <x:f>IF(AG213="yes","yes","candidate_only")</x:f>
        <x:v>candidate_only</x:v>
      </x:c>
      <x:c r="AM213" s="12" t="str">
        <x:f>IF(OR(AC213="canonical",AG213="yes"),"yes","recommended")</x:f>
        <x:v>recommended</x:v>
      </x:c>
      <x:c r="AN213" s="12" t="str">
        <x:f>IF(AC213="deprecated","exclude",IF(AND(AG213="yes",AJ213="high"),"import_but_human_review_required",IF(AG213="yes","import_as_active","import_as_backlog")))</x:f>
        <x:v>import_as_backlog</x:v>
      </x:c>
      <x:c r="AO213" s="12" t="str">
        <x:f>IF(AND(AG213="yes",OR(P213="",Q213="",R213="",S213="")),"missing_required_mvp_fields",IF(AND(AC213="canonical",Y213=""),"missing_source_ref","ok"))</x:f>
        <x:v>ok</x:v>
      </x:c>
      <x:c r="AP213" s="12" t="str">
        <x:f>IF(AO213="ok","ready_for_codex_import","needs_review")</x:f>
        <x:v>ready_for_codex_import</x:v>
      </x:c>
      <x:c r="AQ213" s="12"/>
      <x:c r="AR213" s="12" t="str">
        <x:v>Added v2 operational fields. Review before classification activation.</x:v>
      </x:c>
    </x:row>
    <x:row r="214">
      <x:c r="A214" s="13" t="str">
        <x:v>sample_size_neglect_sample_problem</x:v>
      </x:c>
      <x:c r="B214" s="13" t="str">
        <x:v>sample_size_neglect</x:v>
      </x:c>
      <x:c r="C214" s="13" t="str">
        <x:v>Sample size neglect</x:v>
      </x:c>
      <x:c r="D214" s="13" t="str">
        <x:v>نادیده‌گرفتن اندازه نمونه</x:v>
      </x:c>
      <x:c r="E214" s="13" t="str">
        <x:v>Sample-quality variant</x:v>
      </x:c>
      <x:c r="F214" s="13" t="str">
        <x:v>evidence_failures</x:v>
      </x:c>
      <x:c r="G214" s="13" t="str">
        <x:v>operational_variant</x:v>
      </x:c>
      <x:c r="H214" s="13" t="str">
        <x:v>contextual</x:v>
      </x:c>
      <x:c r="I214" s="13" t="str">
        <x:v>claim+context</x:v>
      </x:c>
      <x:c r="J214" s="13" t="str">
        <x:v>derived_operational_subtype</x:v>
      </x:c>
      <x:c r="K214" s="13" t="str">
        <x:v>derived_from_established_parent_review_required</x:v>
      </x:c>
      <x:c r="L214" s="13" t="str">
        <x:v>P2</x:v>
      </x:c>
      <x:c r="M214" s="13" t="str">
        <x:v>no</x:v>
      </x:c>
      <x:c r="N214" s="13" t="str">
        <x:v>Operational subtype under Sample size neglect: sample, selection, or representativeness is central. Parent definition: Ignoring whether the amount of evidence is sufficient for the inference.</x:v>
      </x:c>
      <x:c r="O214" s="13" t="str">
        <x:v>Look for: explicit claim-level evidence; parent-family cues for Sample size neglect; variant cue: sample, selection, or representativeness is central; avoid author-level inference.</x:v>
      </x:c>
      <x:c r="P214" s="13" t="str">
        <x:v>Exact evidence span in text plus claim-level reasoning link; for contextual/discourse entries, require surrounding context.</x:v>
      </x:c>
      <x:c r="Q214" s="13" t="str">
        <x:v>Do not label merely because topic is controversial, emotional, or wrong. Do not judge intent or personality. Require textual evidence and consider healthy-reasoning cues.</x:v>
      </x:c>
      <x:c r="R214" s="13" t="str">
        <x:v>Stub: A claim relies on sample, selection, or representativeness is central to support a conclusion without adequate qualification.</x:v>
      </x:c>
      <x:c r="S214" s="13" t="str">
        <x:v>Stub: A claim discusses sample size neglect with caveats, balanced evidence, or no argumentative use of the pattern.</x:v>
      </x:c>
      <x:c r="T214" s="13" t="str">
        <x:v>Mild or ambiguous cue; do not classify without clear evidence span.</x:v>
      </x:c>
      <x:c r="U214" s="13" t="str">
        <x:v>Clear claim-level pattern with some argumentative impact.</x:v>
      </x:c>
      <x:c r="V214" s="13" t="str">
        <x:v>Strong pattern central to the conclusion and likely to materially distort reasoning.</x:v>
      </x:c>
      <x:c r="W214" s="13" t="str">
        <x:v>cherry_picking; missing_counterevidence; evidence_grading</x:v>
      </x:c>
      <x:c r="X214" s="13" t="str">
        <x:v>kahneman_tversky_heuristics_1974</x:v>
      </x:c>
      <x:c r="Y214" s="13" t="str">
        <x:v>https://doi.org/10.1126/science.185.4157.1124</x:v>
      </x:c>
      <x:c r="Z214" s="13" t="str">
        <x:v>Review before enabling. This workbook is a living taxonomy scaffold, not a validated scientific benchmark.</x:v>
      </x:c>
      <x:c r="AA214" s="13" t="str">
        <x:v>0.1.0-draft</x:v>
      </x:c>
      <x:c r="AB214" s="12" t="str">
        <x:f>IF(ISNUMBER(SEARCH("healthy",F214)),"healthy_reasoning_patterns",IF(ISNUMBER(SEARCH("statistical",F214)),"statistical_reasoning",IF(ISNUMBER(SEARCH("causal",F214)),"causal_reasoning",IF(ISNUMBER(SEARCH("social",F214)),"social_influence",IF(ISNUMBER(SEARCH("rhetoric",F214)),"rhetoric_discourse",IF(ISNUMBER(SEARCH("behavior",F214)),"behavioural_economics",IF(ISNUMBER(SEARCH("cognitive",F214)),"cognitive_biases",IF(J214="protective_pattern","healthy_reasoning_patterns",IF(L214="P0","core_mvp","extended_fallacies")))))))))</x:f>
        <x:v>extended_fallacies</x:v>
      </x:c>
      <x:c r="AC214" s="12" t="str">
        <x:f>IF(ISNUMBER(SEARCH("operational",J214)),"operational",IF(ISNUMBER(SEARCH("deprecated",J214)),"deprecated",IF(L214="P0","canonical","recognized_subtype")))</x:f>
        <x:v>operational</x:v>
      </x:c>
      <x:c r="AD214" s="12" t="str">
        <x:f>IF(AC214="canonical","high",IF(AC214="recognized_subtype","medium",IF(AC214="operational","operational_only","debated")))</x:f>
        <x:v>operational_only</x:v>
      </x:c>
      <x:c r="AE214" s="12" t="str">
        <x:f>IF(AC214="deprecated","deprecated",IF(M214="yes","active",IF(M214="review","review_required","backlog")))</x:f>
        <x:v>backlog</x:v>
      </x:c>
      <x:c r="AF214" s="12" t="str">
        <x:f>IF(OR(AE214="active",AE214="review_required"),"yes","no")</x:f>
        <x:v>no</x:v>
      </x:c>
      <x:c r="AG214" s="12" t="str">
        <x:f>IF(AND(AE214="active",M214="yes",NOT(ISNUMBER(SEARCH("healthy",AB214)))),"yes","no")</x:f>
        <x:v>no</x:v>
      </x:c>
      <x:c r="AH214" s="12" t="str">
        <x:f>IF(OR(H214="contextual",H214="dialogue",H214="discourse",I214="claim+context",I214="discourse_segment"),"yes","no")</x:f>
        <x:v>yes</x:v>
      </x:c>
      <x:c r="AI214" s="12" t="str">
        <x:f>IF(OR(AH214="yes",AD214="debated",AC214="operational"),"yes","no")</x:f>
        <x:v>yes</x:v>
      </x:c>
      <x:c r="AJ214" s="12" t="str">
        <x:f>IF(OR(AH214="yes",AC214="operational",AD214="debated"),"high",IF(AND(AG214="yes",L214="P0"),"medium","low"))</x:f>
        <x:v>high</x:v>
      </x:c>
      <x:c r="AK214" s="12" t="str">
        <x:f>IF(ISNUMBER(SEARCH("healthy",AB214)),"yes","no")</x:f>
        <x:v>no</x:v>
      </x:c>
      <x:c r="AL214" s="12" t="str">
        <x:f>IF(AG214="yes","yes","candidate_only")</x:f>
        <x:v>candidate_only</x:v>
      </x:c>
      <x:c r="AM214" s="12" t="str">
        <x:f>IF(OR(AC214="canonical",AG214="yes"),"yes","recommended")</x:f>
        <x:v>recommended</x:v>
      </x:c>
      <x:c r="AN214" s="12" t="str">
        <x:f>IF(AC214="deprecated","exclude",IF(AND(AG214="yes",AJ214="high"),"import_but_human_review_required",IF(AG214="yes","import_as_active","import_as_backlog")))</x:f>
        <x:v>import_as_backlog</x:v>
      </x:c>
      <x:c r="AO214" s="12" t="str">
        <x:f>IF(AND(AG214="yes",OR(P214="",Q214="",R214="",S214="")),"missing_required_mvp_fields",IF(AND(AC214="canonical",Y214=""),"missing_source_ref","ok"))</x:f>
        <x:v>ok</x:v>
      </x:c>
      <x:c r="AP214" s="12" t="str">
        <x:f>IF(AO214="ok","ready_for_codex_import","needs_review")</x:f>
        <x:v>ready_for_codex_import</x:v>
      </x:c>
      <x:c r="AQ214" s="12"/>
      <x:c r="AR214" s="12" t="str">
        <x:v>Added v2 operational fields. Review before classification activation.</x:v>
      </x:c>
    </x:row>
    <x:row r="215">
      <x:c r="A215" s="13" t="str">
        <x:v>unrepresentative_sample_sample_problem</x:v>
      </x:c>
      <x:c r="B215" s="13" t="str">
        <x:v>unrepresentative_sample</x:v>
      </x:c>
      <x:c r="C215" s="13" t="str">
        <x:v>Unrepresentative sample</x:v>
      </x:c>
      <x:c r="D215" s="13" t="str">
        <x:v>نمونه نامعرف</x:v>
      </x:c>
      <x:c r="E215" s="13" t="str">
        <x:v>Sample-quality variant</x:v>
      </x:c>
      <x:c r="F215" s="13" t="str">
        <x:v>evidence_failures</x:v>
      </x:c>
      <x:c r="G215" s="13" t="str">
        <x:v>operational_variant</x:v>
      </x:c>
      <x:c r="H215" s="13" t="str">
        <x:v>contextual</x:v>
      </x:c>
      <x:c r="I215" s="13" t="str">
        <x:v>claim+context</x:v>
      </x:c>
      <x:c r="J215" s="13" t="str">
        <x:v>derived_operational_subtype</x:v>
      </x:c>
      <x:c r="K215" s="13" t="str">
        <x:v>derived_from_established_parent_review_required</x:v>
      </x:c>
      <x:c r="L215" s="13" t="str">
        <x:v>P2</x:v>
      </x:c>
      <x:c r="M215" s="13" t="str">
        <x:v>no</x:v>
      </x:c>
      <x:c r="N215" s="13" t="str">
        <x:v>Operational subtype under Unrepresentative sample: sample, selection, or representativeness is central. Parent definition: Using a sample that does not plausibly represent the target population.</x:v>
      </x:c>
      <x:c r="O215" s="13" t="str">
        <x:v>Look for: explicit claim-level evidence; parent-family cues for Unrepresentative sample; variant cue: sample, selection, or representativeness is central; avoid author-level inference.</x:v>
      </x:c>
      <x:c r="P215" s="13" t="str">
        <x:v>Exact evidence span in text plus claim-level reasoning link; for contextual/discourse entries, require surrounding context.</x:v>
      </x:c>
      <x:c r="Q215" s="13" t="str">
        <x:v>Do not label merely because topic is controversial, emotional, or wrong. Do not judge intent or personality. Require textual evidence and consider healthy-reasoning cues.</x:v>
      </x:c>
      <x:c r="R215" s="13" t="str">
        <x:v>Stub: A claim relies on sample, selection, or representativeness is central to support a conclusion without adequate qualification.</x:v>
      </x:c>
      <x:c r="S215" s="13" t="str">
        <x:v>Stub: A claim discusses unrepresentative sample with caveats, balanced evidence, or no argumentative use of the pattern.</x:v>
      </x:c>
      <x:c r="T215" s="13" t="str">
        <x:v>Mild or ambiguous cue; do not classify without clear evidence span.</x:v>
      </x:c>
      <x:c r="U215" s="13" t="str">
        <x:v>Clear claim-level pattern with some argumentative impact.</x:v>
      </x:c>
      <x:c r="V215" s="13" t="str">
        <x:v>Strong pattern central to the conclusion and likely to materially distort reasoning.</x:v>
      </x:c>
      <x:c r="W215" s="13" t="str"/>
      <x:c r="X215" s="13" t="str">
        <x:v>sep_informal_logic</x:v>
      </x:c>
      <x:c r="Y215" s="13" t="str">
        <x:v>https://plato.stanford.edu/entries/logic-informal/</x:v>
      </x:c>
      <x:c r="Z215" s="13" t="str">
        <x:v>Review before enabling. This workbook is a living taxonomy scaffold, not a validated scientific benchmark.</x:v>
      </x:c>
      <x:c r="AA215" s="13" t="str">
        <x:v>0.1.0-draft</x:v>
      </x:c>
      <x:c r="AB215" s="12" t="str">
        <x:f>IF(ISNUMBER(SEARCH("healthy",F215)),"healthy_reasoning_patterns",IF(ISNUMBER(SEARCH("statistical",F215)),"statistical_reasoning",IF(ISNUMBER(SEARCH("causal",F215)),"causal_reasoning",IF(ISNUMBER(SEARCH("social",F215)),"social_influence",IF(ISNUMBER(SEARCH("rhetoric",F215)),"rhetoric_discourse",IF(ISNUMBER(SEARCH("behavior",F215)),"behavioural_economics",IF(ISNUMBER(SEARCH("cognitive",F215)),"cognitive_biases",IF(J215="protective_pattern","healthy_reasoning_patterns",IF(L215="P0","core_mvp","extended_fallacies")))))))))</x:f>
        <x:v>extended_fallacies</x:v>
      </x:c>
      <x:c r="AC215" s="12" t="str">
        <x:f>IF(ISNUMBER(SEARCH("operational",J215)),"operational",IF(ISNUMBER(SEARCH("deprecated",J215)),"deprecated",IF(L215="P0","canonical","recognized_subtype")))</x:f>
        <x:v>operational</x:v>
      </x:c>
      <x:c r="AD215" s="12" t="str">
        <x:f>IF(AC215="canonical","high",IF(AC215="recognized_subtype","medium",IF(AC215="operational","operational_only","debated")))</x:f>
        <x:v>operational_only</x:v>
      </x:c>
      <x:c r="AE215" s="12" t="str">
        <x:f>IF(AC215="deprecated","deprecated",IF(M215="yes","active",IF(M215="review","review_required","backlog")))</x:f>
        <x:v>backlog</x:v>
      </x:c>
      <x:c r="AF215" s="12" t="str">
        <x:f>IF(OR(AE215="active",AE215="review_required"),"yes","no")</x:f>
        <x:v>no</x:v>
      </x:c>
      <x:c r="AG215" s="12" t="str">
        <x:f>IF(AND(AE215="active",M215="yes",NOT(ISNUMBER(SEARCH("healthy",AB215)))),"yes","no")</x:f>
        <x:v>no</x:v>
      </x:c>
      <x:c r="AH215" s="12" t="str">
        <x:f>IF(OR(H215="contextual",H215="dialogue",H215="discourse",I215="claim+context",I215="discourse_segment"),"yes","no")</x:f>
        <x:v>yes</x:v>
      </x:c>
      <x:c r="AI215" s="12" t="str">
        <x:f>IF(OR(AH215="yes",AD215="debated",AC215="operational"),"yes","no")</x:f>
        <x:v>yes</x:v>
      </x:c>
      <x:c r="AJ215" s="12" t="str">
        <x:f>IF(OR(AH215="yes",AC215="operational",AD215="debated"),"high",IF(AND(AG215="yes",L215="P0"),"medium","low"))</x:f>
        <x:v>high</x:v>
      </x:c>
      <x:c r="AK215" s="12" t="str">
        <x:f>IF(ISNUMBER(SEARCH("healthy",AB215)),"yes","no")</x:f>
        <x:v>no</x:v>
      </x:c>
      <x:c r="AL215" s="12" t="str">
        <x:f>IF(AG215="yes","yes","candidate_only")</x:f>
        <x:v>candidate_only</x:v>
      </x:c>
      <x:c r="AM215" s="12" t="str">
        <x:f>IF(OR(AC215="canonical",AG215="yes"),"yes","recommended")</x:f>
        <x:v>recommended</x:v>
      </x:c>
      <x:c r="AN215" s="12" t="str">
        <x:f>IF(AC215="deprecated","exclude",IF(AND(AG215="yes",AJ215="high"),"import_but_human_review_required",IF(AG215="yes","import_as_active","import_as_backlog")))</x:f>
        <x:v>import_as_backlog</x:v>
      </x:c>
      <x:c r="AO215" s="12" t="str">
        <x:f>IF(AND(AG215="yes",OR(P215="",Q215="",R215="",S215="")),"missing_required_mvp_fields",IF(AND(AC215="canonical",Y215=""),"missing_source_ref","ok"))</x:f>
        <x:v>ok</x:v>
      </x:c>
      <x:c r="AP215" s="12" t="str">
        <x:f>IF(AO215="ok","ready_for_codex_import","needs_review")</x:f>
        <x:v>ready_for_codex_import</x:v>
      </x:c>
      <x:c r="AQ215" s="12"/>
      <x:c r="AR215" s="12" t="str">
        <x:v>Added v2 operational fields. Review before classification activation.</x:v>
      </x:c>
    </x:row>
    <x:row r="216">
      <x:c r="A216" s="13" t="str">
        <x:v>survivorship_bias_sample_problem</x:v>
      </x:c>
      <x:c r="B216" s="13" t="str">
        <x:v>survivorship_bias</x:v>
      </x:c>
      <x:c r="C216" s="13" t="str">
        <x:v>Survivorship bias</x:v>
      </x:c>
      <x:c r="D216" s="13" t="str">
        <x:v>سوگیری بازماندگان</x:v>
      </x:c>
      <x:c r="E216" s="13" t="str">
        <x:v>Sample-quality variant</x:v>
      </x:c>
      <x:c r="F216" s="13" t="str">
        <x:v>evidence_failures</x:v>
      </x:c>
      <x:c r="G216" s="13" t="str">
        <x:v>operational_variant</x:v>
      </x:c>
      <x:c r="H216" s="13" t="str">
        <x:v>contextual</x:v>
      </x:c>
      <x:c r="I216" s="13" t="str">
        <x:v>claim+context</x:v>
      </x:c>
      <x:c r="J216" s="13" t="str">
        <x:v>derived_operational_subtype</x:v>
      </x:c>
      <x:c r="K216" s="13" t="str">
        <x:v>derived_from_established_parent_review_required</x:v>
      </x:c>
      <x:c r="L216" s="13" t="str">
        <x:v>P2</x:v>
      </x:c>
      <x:c r="M216" s="13" t="str">
        <x:v>no</x:v>
      </x:c>
      <x:c r="N216" s="13" t="str">
        <x:v>Operational subtype under Survivorship bias: sample, selection, or representativeness is central. Parent definition: Focusing on visible successes or survivors while ignoring missing failures.</x:v>
      </x:c>
      <x:c r="O216" s="13" t="str">
        <x:v>Look for: explicit claim-level evidence; parent-family cues for Survivorship bias; variant cue: sample, selection, or representativeness is central; avoid author-level inference.</x:v>
      </x:c>
      <x:c r="P216" s="13" t="str">
        <x:v>Exact evidence span in text plus claim-level reasoning link; for contextual/discourse entries, require surrounding context.</x:v>
      </x:c>
      <x:c r="Q216" s="13" t="str">
        <x:v>Do not label merely because topic is controversial, emotional, or wrong. Do not judge intent or personality. Require textual evidence and consider healthy-reasoning cues.</x:v>
      </x:c>
      <x:c r="R216" s="13" t="str">
        <x:v>Stub: A claim relies on sample, selection, or representativeness is central to support a conclusion without adequate qualification.</x:v>
      </x:c>
      <x:c r="S216" s="13" t="str">
        <x:v>Stub: A claim discusses survivorship bias with caveats, balanced evidence, or no argumentative use of the pattern.</x:v>
      </x:c>
      <x:c r="T216" s="13" t="str">
        <x:v>Mild or ambiguous cue; do not classify without clear evidence span.</x:v>
      </x:c>
      <x:c r="U216" s="13" t="str">
        <x:v>Clear claim-level pattern with some argumentative impact.</x:v>
      </x:c>
      <x:c r="V216" s="13" t="str">
        <x:v>Strong pattern central to the conclusion and likely to materially distort reasoning.</x:v>
      </x:c>
      <x:c r="W216" s="13" t="str"/>
      <x:c r="X216" s="13" t="str">
        <x:v>gilovich_heuristics_biases</x:v>
      </x:c>
      <x:c r="Y216" s="13" t="str">
        <x:v>https://www.cambridge.org/core/books/heuristics-and-biases/3C30D3B05D2F190C3B8BE5E2531EFD24</x:v>
      </x:c>
      <x:c r="Z216" s="13" t="str">
        <x:v>Review before enabling. This workbook is a living taxonomy scaffold, not a validated scientific benchmark.</x:v>
      </x:c>
      <x:c r="AA216" s="13" t="str">
        <x:v>0.1.0-draft</x:v>
      </x:c>
      <x:c r="AB216" s="12" t="str">
        <x:f>IF(ISNUMBER(SEARCH("healthy",F216)),"healthy_reasoning_patterns",IF(ISNUMBER(SEARCH("statistical",F216)),"statistical_reasoning",IF(ISNUMBER(SEARCH("causal",F216)),"causal_reasoning",IF(ISNUMBER(SEARCH("social",F216)),"social_influence",IF(ISNUMBER(SEARCH("rhetoric",F216)),"rhetoric_discourse",IF(ISNUMBER(SEARCH("behavior",F216)),"behavioural_economics",IF(ISNUMBER(SEARCH("cognitive",F216)),"cognitive_biases",IF(J216="protective_pattern","healthy_reasoning_patterns",IF(L216="P0","core_mvp","extended_fallacies")))))))))</x:f>
        <x:v>extended_fallacies</x:v>
      </x:c>
      <x:c r="AC216" s="12" t="str">
        <x:f>IF(ISNUMBER(SEARCH("operational",J216)),"operational",IF(ISNUMBER(SEARCH("deprecated",J216)),"deprecated",IF(L216="P0","canonical","recognized_subtype")))</x:f>
        <x:v>operational</x:v>
      </x:c>
      <x:c r="AD216" s="12" t="str">
        <x:f>IF(AC216="canonical","high",IF(AC216="recognized_subtype","medium",IF(AC216="operational","operational_only","debated")))</x:f>
        <x:v>operational_only</x:v>
      </x:c>
      <x:c r="AE216" s="12" t="str">
        <x:f>IF(AC216="deprecated","deprecated",IF(M216="yes","active",IF(M216="review","review_required","backlog")))</x:f>
        <x:v>backlog</x:v>
      </x:c>
      <x:c r="AF216" s="12" t="str">
        <x:f>IF(OR(AE216="active",AE216="review_required"),"yes","no")</x:f>
        <x:v>no</x:v>
      </x:c>
      <x:c r="AG216" s="12" t="str">
        <x:f>IF(AND(AE216="active",M216="yes",NOT(ISNUMBER(SEARCH("healthy",AB216)))),"yes","no")</x:f>
        <x:v>no</x:v>
      </x:c>
      <x:c r="AH216" s="12" t="str">
        <x:f>IF(OR(H216="contextual",H216="dialogue",H216="discourse",I216="claim+context",I216="discourse_segment"),"yes","no")</x:f>
        <x:v>yes</x:v>
      </x:c>
      <x:c r="AI216" s="12" t="str">
        <x:f>IF(OR(AH216="yes",AD216="debated",AC216="operational"),"yes","no")</x:f>
        <x:v>yes</x:v>
      </x:c>
      <x:c r="AJ216" s="12" t="str">
        <x:f>IF(OR(AH216="yes",AC216="operational",AD216="debated"),"high",IF(AND(AG216="yes",L216="P0"),"medium","low"))</x:f>
        <x:v>high</x:v>
      </x:c>
      <x:c r="AK216" s="12" t="str">
        <x:f>IF(ISNUMBER(SEARCH("healthy",AB216)),"yes","no")</x:f>
        <x:v>no</x:v>
      </x:c>
      <x:c r="AL216" s="12" t="str">
        <x:f>IF(AG216="yes","yes","candidate_only")</x:f>
        <x:v>candidate_only</x:v>
      </x:c>
      <x:c r="AM216" s="12" t="str">
        <x:f>IF(OR(AC216="canonical",AG216="yes"),"yes","recommended")</x:f>
        <x:v>recommended</x:v>
      </x:c>
      <x:c r="AN216" s="12" t="str">
        <x:f>IF(AC216="deprecated","exclude",IF(AND(AG216="yes",AJ216="high"),"import_but_human_review_required",IF(AG216="yes","import_as_active","import_as_backlog")))</x:f>
        <x:v>import_as_backlog</x:v>
      </x:c>
      <x:c r="AO216" s="12" t="str">
        <x:f>IF(AND(AG216="yes",OR(P216="",Q216="",R216="",S216="")),"missing_required_mvp_fields",IF(AND(AC216="canonical",Y216=""),"missing_source_ref","ok"))</x:f>
        <x:v>ok</x:v>
      </x:c>
      <x:c r="AP216" s="12" t="str">
        <x:f>IF(AO216="ok","ready_for_codex_import","needs_review")</x:f>
        <x:v>ready_for_codex_import</x:v>
      </x:c>
      <x:c r="AQ216" s="12"/>
      <x:c r="AR216" s="12" t="str">
        <x:v>Added v2 operational fields. Review before classification activation.</x:v>
      </x:c>
    </x:row>
    <x:row r="217">
      <x:c r="A217" s="13" t="str">
        <x:v>publication_bias_argument_sample_problem</x:v>
      </x:c>
      <x:c r="B217" s="13" t="str">
        <x:v>publication_bias_argument</x:v>
      </x:c>
      <x:c r="C217" s="13" t="str">
        <x:v>Publication bias as evidence issue</x:v>
      </x:c>
      <x:c r="D217" s="13" t="str">
        <x:v>سوگیری انتشار در استدلال</x:v>
      </x:c>
      <x:c r="E217" s="13" t="str">
        <x:v>Sample-quality variant</x:v>
      </x:c>
      <x:c r="F217" s="13" t="str">
        <x:v>evidence_failures</x:v>
      </x:c>
      <x:c r="G217" s="13" t="str">
        <x:v>operational_variant</x:v>
      </x:c>
      <x:c r="H217" s="13" t="str">
        <x:v>contextual</x:v>
      </x:c>
      <x:c r="I217" s="13" t="str">
        <x:v>claim+context</x:v>
      </x:c>
      <x:c r="J217" s="13" t="str">
        <x:v>derived_operational_subtype</x:v>
      </x:c>
      <x:c r="K217" s="13" t="str">
        <x:v>derived_from_established_parent_review_required</x:v>
      </x:c>
      <x:c r="L217" s="13" t="str">
        <x:v>P2</x:v>
      </x:c>
      <x:c r="M217" s="13" t="str">
        <x:v>no</x:v>
      </x:c>
      <x:c r="N217" s="13" t="str">
        <x:v>Operational subtype under Publication bias as evidence issue: sample, selection, or representativeness is central. Parent definition: Relying on published evidence without considering selective publication.</x:v>
      </x:c>
      <x:c r="O217" s="13" t="str">
        <x:v>Look for: explicit claim-level evidence; parent-family cues for Publication bias as evidence issue; variant cue: sample, selection, or representativeness is central; avoid author-level inference.</x:v>
      </x:c>
      <x:c r="P217" s="13" t="str">
        <x:v>Exact evidence span in text plus claim-level reasoning link; for contextual/discourse entries, require surrounding context.</x:v>
      </x:c>
      <x:c r="Q217" s="13" t="str">
        <x:v>Do not label merely because topic is controversial, emotional, or wrong. Do not judge intent or personality. Require textual evidence and consider healthy-reasoning cues.</x:v>
      </x:c>
      <x:c r="R217" s="13" t="str">
        <x:v>Stub: A claim relies on sample, selection, or representativeness is central to support a conclusion without adequate qualification.</x:v>
      </x:c>
      <x:c r="S217" s="13" t="str">
        <x:v>Stub: A claim discusses publication bias as evidence issue with caveats, balanced evidence, or no argumentative use of the pattern.</x:v>
      </x:c>
      <x:c r="T217" s="13" t="str">
        <x:v>Mild or ambiguous cue; do not classify without clear evidence span.</x:v>
      </x:c>
      <x:c r="U217" s="13" t="str">
        <x:v>Clear claim-level pattern with some argumentative impact.</x:v>
      </x:c>
      <x:c r="V217" s="13" t="str">
        <x:v>Strong pattern central to the conclusion and likely to materially distort reasoning.</x:v>
      </x:c>
      <x:c r="W217" s="13" t="str">
        <x:v>cherry_picking; missing_counterevidence; evidence_grading</x:v>
      </x:c>
      <x:c r="X217" s="13" t="str">
        <x:v>sep_informal_logic</x:v>
      </x:c>
      <x:c r="Y217" s="13" t="str">
        <x:v>https://plato.stanford.edu/entries/logic-informal/</x:v>
      </x:c>
      <x:c r="Z217" s="13" t="str">
        <x:v>Review before enabling. This workbook is a living taxonomy scaffold, not a validated scientific benchmark.</x:v>
      </x:c>
      <x:c r="AA217" s="13" t="str">
        <x:v>0.1.0-draft</x:v>
      </x:c>
      <x:c r="AB217" s="12" t="str">
        <x:f>IF(ISNUMBER(SEARCH("healthy",F217)),"healthy_reasoning_patterns",IF(ISNUMBER(SEARCH("statistical",F217)),"statistical_reasoning",IF(ISNUMBER(SEARCH("causal",F217)),"causal_reasoning",IF(ISNUMBER(SEARCH("social",F217)),"social_influence",IF(ISNUMBER(SEARCH("rhetoric",F217)),"rhetoric_discourse",IF(ISNUMBER(SEARCH("behavior",F217)),"behavioural_economics",IF(ISNUMBER(SEARCH("cognitive",F217)),"cognitive_biases",IF(J217="protective_pattern","healthy_reasoning_patterns",IF(L217="P0","core_mvp","extended_fallacies")))))))))</x:f>
        <x:v>extended_fallacies</x:v>
      </x:c>
      <x:c r="AC217" s="12" t="str">
        <x:f>IF(ISNUMBER(SEARCH("operational",J217)),"operational",IF(ISNUMBER(SEARCH("deprecated",J217)),"deprecated",IF(L217="P0","canonical","recognized_subtype")))</x:f>
        <x:v>operational</x:v>
      </x:c>
      <x:c r="AD217" s="12" t="str">
        <x:f>IF(AC217="canonical","high",IF(AC217="recognized_subtype","medium",IF(AC217="operational","operational_only","debated")))</x:f>
        <x:v>operational_only</x:v>
      </x:c>
      <x:c r="AE217" s="12" t="str">
        <x:f>IF(AC217="deprecated","deprecated",IF(M217="yes","active",IF(M217="review","review_required","backlog")))</x:f>
        <x:v>backlog</x:v>
      </x:c>
      <x:c r="AF217" s="12" t="str">
        <x:f>IF(OR(AE217="active",AE217="review_required"),"yes","no")</x:f>
        <x:v>no</x:v>
      </x:c>
      <x:c r="AG217" s="12" t="str">
        <x:f>IF(AND(AE217="active",M217="yes",NOT(ISNUMBER(SEARCH("healthy",AB217)))),"yes","no")</x:f>
        <x:v>no</x:v>
      </x:c>
      <x:c r="AH217" s="12" t="str">
        <x:f>IF(OR(H217="contextual",H217="dialogue",H217="discourse",I217="claim+context",I217="discourse_segment"),"yes","no")</x:f>
        <x:v>yes</x:v>
      </x:c>
      <x:c r="AI217" s="12" t="str">
        <x:f>IF(OR(AH217="yes",AD217="debated",AC217="operational"),"yes","no")</x:f>
        <x:v>yes</x:v>
      </x:c>
      <x:c r="AJ217" s="12" t="str">
        <x:f>IF(OR(AH217="yes",AC217="operational",AD217="debated"),"high",IF(AND(AG217="yes",L217="P0"),"medium","low"))</x:f>
        <x:v>high</x:v>
      </x:c>
      <x:c r="AK217" s="12" t="str">
        <x:f>IF(ISNUMBER(SEARCH("healthy",AB217)),"yes","no")</x:f>
        <x:v>no</x:v>
      </x:c>
      <x:c r="AL217" s="12" t="str">
        <x:f>IF(AG217="yes","yes","candidate_only")</x:f>
        <x:v>candidate_only</x:v>
      </x:c>
      <x:c r="AM217" s="12" t="str">
        <x:f>IF(OR(AC217="canonical",AG217="yes"),"yes","recommended")</x:f>
        <x:v>recommended</x:v>
      </x:c>
      <x:c r="AN217" s="12" t="str">
        <x:f>IF(AC217="deprecated","exclude",IF(AND(AG217="yes",AJ217="high"),"import_but_human_review_required",IF(AG217="yes","import_as_active","import_as_backlog")))</x:f>
        <x:v>import_as_backlog</x:v>
      </x:c>
      <x:c r="AO217" s="12" t="str">
        <x:f>IF(AND(AG217="yes",OR(P217="",Q217="",R217="",S217="")),"missing_required_mvp_fields",IF(AND(AC217="canonical",Y217=""),"missing_source_ref","ok"))</x:f>
        <x:v>ok</x:v>
      </x:c>
      <x:c r="AP217" s="12" t="str">
        <x:f>IF(AO217="ok","ready_for_codex_import","needs_review")</x:f>
        <x:v>ready_for_codex_import</x:v>
      </x:c>
      <x:c r="AQ217" s="12"/>
      <x:c r="AR217" s="12" t="str">
        <x:v>Added v2 operational fields. Review before classification activation.</x:v>
      </x:c>
    </x:row>
    <x:row r="218">
      <x:c r="A218" s="13" t="str">
        <x:v>missing_counterevidence_sample_problem</x:v>
      </x:c>
      <x:c r="B218" s="13" t="str">
        <x:v>missing_counterevidence</x:v>
      </x:c>
      <x:c r="C218" s="13" t="str">
        <x:v>Missing counterevidence</x:v>
      </x:c>
      <x:c r="D218" s="13" t="str">
        <x:v>نبود شواهد مخالف</x:v>
      </x:c>
      <x:c r="E218" s="13" t="str">
        <x:v>Sample-quality variant</x:v>
      </x:c>
      <x:c r="F218" s="13" t="str">
        <x:v>evidence_failures</x:v>
      </x:c>
      <x:c r="G218" s="13" t="str">
        <x:v>operational_variant</x:v>
      </x:c>
      <x:c r="H218" s="13" t="str">
        <x:v>contextual</x:v>
      </x:c>
      <x:c r="I218" s="13" t="str">
        <x:v>claim+context</x:v>
      </x:c>
      <x:c r="J218" s="13" t="str">
        <x:v>derived_operational_subtype</x:v>
      </x:c>
      <x:c r="K218" s="13" t="str">
        <x:v>derived_from_established_parent_review_required</x:v>
      </x:c>
      <x:c r="L218" s="13" t="str">
        <x:v>P2</x:v>
      </x:c>
      <x:c r="M218" s="13" t="str">
        <x:v>no</x:v>
      </x:c>
      <x:c r="N218" s="13" t="str">
        <x:v>Operational subtype under Missing counterevidence: sample, selection, or representativeness is central. Parent definition: Presenting a conclusion without acknowledging known counterarguments.</x:v>
      </x:c>
      <x:c r="O218" s="13" t="str">
        <x:v>Look for: explicit claim-level evidence; parent-family cues for Missing counterevidence; variant cue: sample, selection, or representativeness is central; avoid author-level inference.</x:v>
      </x:c>
      <x:c r="P218" s="13" t="str">
        <x:v>Exact evidence span in text plus claim-level reasoning link; for contextual/discourse entries, require surrounding context.</x:v>
      </x:c>
      <x:c r="Q218" s="13" t="str">
        <x:v>Do not label merely because topic is controversial, emotional, or wrong. Do not judge intent or personality. Require textual evidence and consider healthy-reasoning cues.</x:v>
      </x:c>
      <x:c r="R218" s="13" t="str">
        <x:v>Stub: A claim relies on sample, selection, or representativeness is central to support a conclusion without adequate qualification.</x:v>
      </x:c>
      <x:c r="S218" s="13" t="str">
        <x:v>Stub: A claim discusses missing counterevidence with caveats, balanced evidence, or no argumentative use of the pattern.</x:v>
      </x:c>
      <x:c r="T218" s="13" t="str">
        <x:v>Mild or ambiguous cue; do not classify without clear evidence span.</x:v>
      </x:c>
      <x:c r="U218" s="13" t="str">
        <x:v>Clear claim-level pattern with some argumentative impact.</x:v>
      </x:c>
      <x:c r="V218" s="13" t="str">
        <x:v>Strong pattern central to the conclusion and likely to materially distort reasoning.</x:v>
      </x:c>
      <x:c r="W218" s="13" t="str"/>
      <x:c r="X218" s="13" t="str">
        <x:v>toulmin_uses_argument</x:v>
      </x:c>
      <x:c r="Y218" s="13" t="str">
        <x:v>https://doi.org/10.1017/CBO9780511840005</x:v>
      </x:c>
      <x:c r="Z218" s="13" t="str">
        <x:v>Review before enabling. This workbook is a living taxonomy scaffold, not a validated scientific benchmark.</x:v>
      </x:c>
      <x:c r="AA218" s="13" t="str">
        <x:v>0.1.0-draft</x:v>
      </x:c>
      <x:c r="AB218" s="12" t="str">
        <x:f>IF(ISNUMBER(SEARCH("healthy",F218)),"healthy_reasoning_patterns",IF(ISNUMBER(SEARCH("statistical",F218)),"statistical_reasoning",IF(ISNUMBER(SEARCH("causal",F218)),"causal_reasoning",IF(ISNUMBER(SEARCH("social",F218)),"social_influence",IF(ISNUMBER(SEARCH("rhetoric",F218)),"rhetoric_discourse",IF(ISNUMBER(SEARCH("behavior",F218)),"behavioural_economics",IF(ISNUMBER(SEARCH("cognitive",F218)),"cognitive_biases",IF(J218="protective_pattern","healthy_reasoning_patterns",IF(L218="P0","core_mvp","extended_fallacies")))))))))</x:f>
        <x:v>extended_fallacies</x:v>
      </x:c>
      <x:c r="AC218" s="12" t="str">
        <x:f>IF(ISNUMBER(SEARCH("operational",J218)),"operational",IF(ISNUMBER(SEARCH("deprecated",J218)),"deprecated",IF(L218="P0","canonical","recognized_subtype")))</x:f>
        <x:v>operational</x:v>
      </x:c>
      <x:c r="AD218" s="12" t="str">
        <x:f>IF(AC218="canonical","high",IF(AC218="recognized_subtype","medium",IF(AC218="operational","operational_only","debated")))</x:f>
        <x:v>operational_only</x:v>
      </x:c>
      <x:c r="AE218" s="12" t="str">
        <x:f>IF(AC218="deprecated","deprecated",IF(M218="yes","active",IF(M218="review","review_required","backlog")))</x:f>
        <x:v>backlog</x:v>
      </x:c>
      <x:c r="AF218" s="12" t="str">
        <x:f>IF(OR(AE218="active",AE218="review_required"),"yes","no")</x:f>
        <x:v>no</x:v>
      </x:c>
      <x:c r="AG218" s="12" t="str">
        <x:f>IF(AND(AE218="active",M218="yes",NOT(ISNUMBER(SEARCH("healthy",AB218)))),"yes","no")</x:f>
        <x:v>no</x:v>
      </x:c>
      <x:c r="AH218" s="12" t="str">
        <x:f>IF(OR(H218="contextual",H218="dialogue",H218="discourse",I218="claim+context",I218="discourse_segment"),"yes","no")</x:f>
        <x:v>yes</x:v>
      </x:c>
      <x:c r="AI218" s="12" t="str">
        <x:f>IF(OR(AH218="yes",AD218="debated",AC218="operational"),"yes","no")</x:f>
        <x:v>yes</x:v>
      </x:c>
      <x:c r="AJ218" s="12" t="str">
        <x:f>IF(OR(AH218="yes",AC218="operational",AD218="debated"),"high",IF(AND(AG218="yes",L218="P0"),"medium","low"))</x:f>
        <x:v>high</x:v>
      </x:c>
      <x:c r="AK218" s="12" t="str">
        <x:f>IF(ISNUMBER(SEARCH("healthy",AB218)),"yes","no")</x:f>
        <x:v>no</x:v>
      </x:c>
      <x:c r="AL218" s="12" t="str">
        <x:f>IF(AG218="yes","yes","candidate_only")</x:f>
        <x:v>candidate_only</x:v>
      </x:c>
      <x:c r="AM218" s="12" t="str">
        <x:f>IF(OR(AC218="canonical",AG218="yes"),"yes","recommended")</x:f>
        <x:v>recommended</x:v>
      </x:c>
      <x:c r="AN218" s="12" t="str">
        <x:f>IF(AC218="deprecated","exclude",IF(AND(AG218="yes",AJ218="high"),"import_but_human_review_required",IF(AG218="yes","import_as_active","import_as_backlog")))</x:f>
        <x:v>import_as_backlog</x:v>
      </x:c>
      <x:c r="AO218" s="12" t="str">
        <x:f>IF(AND(AG218="yes",OR(P218="",Q218="",R218="",S218="")),"missing_required_mvp_fields",IF(AND(AC218="canonical",Y218=""),"missing_source_ref","ok"))</x:f>
        <x:v>ok</x:v>
      </x:c>
      <x:c r="AP218" s="12" t="str">
        <x:f>IF(AO218="ok","ready_for_codex_import","needs_review")</x:f>
        <x:v>ready_for_codex_import</x:v>
      </x:c>
      <x:c r="AQ218" s="12"/>
      <x:c r="AR218" s="12" t="str">
        <x:v>Added v2 operational fields. Review before classification activation.</x:v>
      </x:c>
    </x:row>
    <x:row r="219">
      <x:c r="A219" s="13" t="str">
        <x:v>one_sided_evidence_sample_problem</x:v>
      </x:c>
      <x:c r="B219" s="13" t="str">
        <x:v>one_sided_evidence</x:v>
      </x:c>
      <x:c r="C219" s="13" t="str">
        <x:v>One-sided evidence</x:v>
      </x:c>
      <x:c r="D219" s="13" t="str">
        <x:v>شواهد یک‌طرفه</x:v>
      </x:c>
      <x:c r="E219" s="13" t="str">
        <x:v>Sample-quality variant</x:v>
      </x:c>
      <x:c r="F219" s="13" t="str">
        <x:v>evidence_failures</x:v>
      </x:c>
      <x:c r="G219" s="13" t="str">
        <x:v>operational_variant</x:v>
      </x:c>
      <x:c r="H219" s="13" t="str">
        <x:v>contextual</x:v>
      </x:c>
      <x:c r="I219" s="13" t="str">
        <x:v>claim+context</x:v>
      </x:c>
      <x:c r="J219" s="13" t="str">
        <x:v>derived_operational_subtype</x:v>
      </x:c>
      <x:c r="K219" s="13" t="str">
        <x:v>derived_from_established_parent_review_required</x:v>
      </x:c>
      <x:c r="L219" s="13" t="str">
        <x:v>P2</x:v>
      </x:c>
      <x:c r="M219" s="13" t="str">
        <x:v>no</x:v>
      </x:c>
      <x:c r="N219" s="13" t="str">
        <x:v>Operational subtype under One-sided evidence: sample, selection, or representativeness is central. Parent definition: Presenting evidence from only one side while implying completeness.</x:v>
      </x:c>
      <x:c r="O219" s="13" t="str">
        <x:v>Look for: explicit claim-level evidence; parent-family cues for One-sided evidence; variant cue: sample, selection, or representativeness is central; avoid author-level inference.</x:v>
      </x:c>
      <x:c r="P219" s="13" t="str">
        <x:v>Exact evidence span in text plus claim-level reasoning link; for contextual/discourse entries, require surrounding context.</x:v>
      </x:c>
      <x:c r="Q219" s="13" t="str">
        <x:v>Do not label merely because topic is controversial, emotional, or wrong. Do not judge intent or personality. Require textual evidence and consider healthy-reasoning cues.</x:v>
      </x:c>
      <x:c r="R219" s="13" t="str">
        <x:v>Stub: A claim relies on sample, selection, or representativeness is central to support a conclusion without adequate qualification.</x:v>
      </x:c>
      <x:c r="S219" s="13" t="str">
        <x:v>Stub: A claim discusses one-sided evidence with caveats, balanced evidence, or no argumentative use of the pattern.</x:v>
      </x:c>
      <x:c r="T219" s="13" t="str">
        <x:v>Mild or ambiguous cue; do not classify without clear evidence span.</x:v>
      </x:c>
      <x:c r="U219" s="13" t="str">
        <x:v>Clear claim-level pattern with some argumentative impact.</x:v>
      </x:c>
      <x:c r="V219" s="13" t="str">
        <x:v>Strong pattern central to the conclusion and likely to materially distort reasoning.</x:v>
      </x:c>
      <x:c r="W219" s="13" t="str">
        <x:v>cherry_picking; missing_counterevidence; evidence_grading</x:v>
      </x:c>
      <x:c r="X219" s="13" t="str">
        <x:v>sep_informal_logic</x:v>
      </x:c>
      <x:c r="Y219" s="13" t="str">
        <x:v>https://plato.stanford.edu/entries/logic-informal/</x:v>
      </x:c>
      <x:c r="Z219" s="13" t="str">
        <x:v>Review before enabling. This workbook is a living taxonomy scaffold, not a validated scientific benchmark.</x:v>
      </x:c>
      <x:c r="AA219" s="13" t="str">
        <x:v>0.1.0-draft</x:v>
      </x:c>
      <x:c r="AB219" s="12" t="str">
        <x:f>IF(ISNUMBER(SEARCH("healthy",F219)),"healthy_reasoning_patterns",IF(ISNUMBER(SEARCH("statistical",F219)),"statistical_reasoning",IF(ISNUMBER(SEARCH("causal",F219)),"causal_reasoning",IF(ISNUMBER(SEARCH("social",F219)),"social_influence",IF(ISNUMBER(SEARCH("rhetoric",F219)),"rhetoric_discourse",IF(ISNUMBER(SEARCH("behavior",F219)),"behavioural_economics",IF(ISNUMBER(SEARCH("cognitive",F219)),"cognitive_biases",IF(J219="protective_pattern","healthy_reasoning_patterns",IF(L219="P0","core_mvp","extended_fallacies")))))))))</x:f>
        <x:v>extended_fallacies</x:v>
      </x:c>
      <x:c r="AC219" s="12" t="str">
        <x:f>IF(ISNUMBER(SEARCH("operational",J219)),"operational",IF(ISNUMBER(SEARCH("deprecated",J219)),"deprecated",IF(L219="P0","canonical","recognized_subtype")))</x:f>
        <x:v>operational</x:v>
      </x:c>
      <x:c r="AD219" s="12" t="str">
        <x:f>IF(AC219="canonical","high",IF(AC219="recognized_subtype","medium",IF(AC219="operational","operational_only","debated")))</x:f>
        <x:v>operational_only</x:v>
      </x:c>
      <x:c r="AE219" s="12" t="str">
        <x:f>IF(AC219="deprecated","deprecated",IF(M219="yes","active",IF(M219="review","review_required","backlog")))</x:f>
        <x:v>backlog</x:v>
      </x:c>
      <x:c r="AF219" s="12" t="str">
        <x:f>IF(OR(AE219="active",AE219="review_required"),"yes","no")</x:f>
        <x:v>no</x:v>
      </x:c>
      <x:c r="AG219" s="12" t="str">
        <x:f>IF(AND(AE219="active",M219="yes",NOT(ISNUMBER(SEARCH("healthy",AB219)))),"yes","no")</x:f>
        <x:v>no</x:v>
      </x:c>
      <x:c r="AH219" s="12" t="str">
        <x:f>IF(OR(H219="contextual",H219="dialogue",H219="discourse",I219="claim+context",I219="discourse_segment"),"yes","no")</x:f>
        <x:v>yes</x:v>
      </x:c>
      <x:c r="AI219" s="12" t="str">
        <x:f>IF(OR(AH219="yes",AD219="debated",AC219="operational"),"yes","no")</x:f>
        <x:v>yes</x:v>
      </x:c>
      <x:c r="AJ219" s="12" t="str">
        <x:f>IF(OR(AH219="yes",AC219="operational",AD219="debated"),"high",IF(AND(AG219="yes",L219="P0"),"medium","low"))</x:f>
        <x:v>high</x:v>
      </x:c>
      <x:c r="AK219" s="12" t="str">
        <x:f>IF(ISNUMBER(SEARCH("healthy",AB219)),"yes","no")</x:f>
        <x:v>no</x:v>
      </x:c>
      <x:c r="AL219" s="12" t="str">
        <x:f>IF(AG219="yes","yes","candidate_only")</x:f>
        <x:v>candidate_only</x:v>
      </x:c>
      <x:c r="AM219" s="12" t="str">
        <x:f>IF(OR(AC219="canonical",AG219="yes"),"yes","recommended")</x:f>
        <x:v>recommended</x:v>
      </x:c>
      <x:c r="AN219" s="12" t="str">
        <x:f>IF(AC219="deprecated","exclude",IF(AND(AG219="yes",AJ219="high"),"import_but_human_review_required",IF(AG219="yes","import_as_active","import_as_backlog")))</x:f>
        <x:v>import_as_backlog</x:v>
      </x:c>
      <x:c r="AO219" s="12" t="str">
        <x:f>IF(AND(AG219="yes",OR(P219="",Q219="",R219="",S219="")),"missing_required_mvp_fields",IF(AND(AC219="canonical",Y219=""),"missing_source_ref","ok"))</x:f>
        <x:v>ok</x:v>
      </x:c>
      <x:c r="AP219" s="12" t="str">
        <x:f>IF(AO219="ok","ready_for_codex_import","needs_review")</x:f>
        <x:v>ready_for_codex_import</x:v>
      </x:c>
      <x:c r="AQ219" s="12"/>
      <x:c r="AR219" s="12" t="str">
        <x:v>Added v2 operational fields. Review before classification activation.</x:v>
      </x:c>
    </x:row>
    <x:row r="220">
      <x:c r="A220" s="13" t="str">
        <x:v>misleading_precision_sample_problem</x:v>
      </x:c>
      <x:c r="B220" s="13" t="str">
        <x:v>misleading_precision</x:v>
      </x:c>
      <x:c r="C220" s="13" t="str">
        <x:v>Misleading precision</x:v>
      </x:c>
      <x:c r="D220" s="13" t="str">
        <x:v>دقت ظاهری گمراه‌کننده</x:v>
      </x:c>
      <x:c r="E220" s="13" t="str">
        <x:v>Sample-quality variant</x:v>
      </x:c>
      <x:c r="F220" s="13" t="str">
        <x:v>evidence_failures</x:v>
      </x:c>
      <x:c r="G220" s="13" t="str">
        <x:v>operational_variant</x:v>
      </x:c>
      <x:c r="H220" s="13" t="str">
        <x:v>lexical</x:v>
      </x:c>
      <x:c r="I220" s="13" t="str">
        <x:v>claim</x:v>
      </x:c>
      <x:c r="J220" s="13" t="str">
        <x:v>derived_operational_subtype</x:v>
      </x:c>
      <x:c r="K220" s="13" t="str">
        <x:v>derived_from_established_parent_review_required</x:v>
      </x:c>
      <x:c r="L220" s="13" t="str">
        <x:v>P2</x:v>
      </x:c>
      <x:c r="M220" s="13" t="str">
        <x:v>no</x:v>
      </x:c>
      <x:c r="N220" s="13" t="str">
        <x:v>Operational subtype under Misleading precision: sample, selection, or representativeness is central. Parent definition: Using overly precise numbers that imply certainty not supported by evidence.</x:v>
      </x:c>
      <x:c r="O220" s="13" t="str">
        <x:v>Look for: explicit claim-level evidence; parent-family cues for Misleading precision; variant cue: sample, selection, or representativeness is central; avoid author-level inference.</x:v>
      </x:c>
      <x:c r="P220" s="13" t="str">
        <x:v>Exact evidence span in text plus claim-level reasoning link; for contextual/discourse entries, require surrounding context.</x:v>
      </x:c>
      <x:c r="Q220" s="13" t="str">
        <x:v>Do not label merely because topic is controversial, emotional, or wrong. Do not judge intent or personality. Require textual evidence and consider healthy-reasoning cues.</x:v>
      </x:c>
      <x:c r="R220" s="13" t="str">
        <x:v>Stub: A claim relies on sample, selection, or representativeness is central to support a conclusion without adequate qualification.</x:v>
      </x:c>
      <x:c r="S220" s="13" t="str">
        <x:v>Stub: A claim discusses misleading precision with caveats, balanced evidence, or no argumentative use of the pattern.</x:v>
      </x:c>
      <x:c r="T220" s="13" t="str">
        <x:v>Mild or ambiguous cue; do not classify without clear evidence span.</x:v>
      </x:c>
      <x:c r="U220" s="13" t="str">
        <x:v>Clear claim-level pattern with some argumentative impact.</x:v>
      </x:c>
      <x:c r="V220" s="13" t="str">
        <x:v>Strong pattern central to the conclusion and likely to materially distort reasoning.</x:v>
      </x:c>
      <x:c r="W220" s="13" t="str">
        <x:v>cherry_picking; missing_counterevidence; evidence_grading</x:v>
      </x:c>
      <x:c r="X220" s="13" t="str">
        <x:v>stanovich_dual_process</x:v>
      </x:c>
      <x:c r="Y220" s="13" t="str">
        <x:v>https://global.oup.com/academic/product/rationality-and-the-reflective-mind-9780195341140</x:v>
      </x:c>
      <x:c r="Z220" s="13" t="str">
        <x:v>Review before enabling. This workbook is a living taxonomy scaffold, not a validated scientific benchmark.</x:v>
      </x:c>
      <x:c r="AA220" s="13" t="str">
        <x:v>0.1.0-draft</x:v>
      </x:c>
      <x:c r="AB220" s="12" t="str">
        <x:f>IF(ISNUMBER(SEARCH("healthy",F220)),"healthy_reasoning_patterns",IF(ISNUMBER(SEARCH("statistical",F220)),"statistical_reasoning",IF(ISNUMBER(SEARCH("causal",F220)),"causal_reasoning",IF(ISNUMBER(SEARCH("social",F220)),"social_influence",IF(ISNUMBER(SEARCH("rhetoric",F220)),"rhetoric_discourse",IF(ISNUMBER(SEARCH("behavior",F220)),"behavioural_economics",IF(ISNUMBER(SEARCH("cognitive",F220)),"cognitive_biases",IF(J220="protective_pattern","healthy_reasoning_patterns",IF(L220="P0","core_mvp","extended_fallacies")))))))))</x:f>
        <x:v>extended_fallacies</x:v>
      </x:c>
      <x:c r="AC220" s="12" t="str">
        <x:f>IF(ISNUMBER(SEARCH("operational",J220)),"operational",IF(ISNUMBER(SEARCH("deprecated",J220)),"deprecated",IF(L220="P0","canonical","recognized_subtype")))</x:f>
        <x:v>operational</x:v>
      </x:c>
      <x:c r="AD220" s="12" t="str">
        <x:f>IF(AC220="canonical","high",IF(AC220="recognized_subtype","medium",IF(AC220="operational","operational_only","debated")))</x:f>
        <x:v>operational_only</x:v>
      </x:c>
      <x:c r="AE220" s="12" t="str">
        <x:f>IF(AC220="deprecated","deprecated",IF(M220="yes","active",IF(M220="review","review_required","backlog")))</x:f>
        <x:v>backlog</x:v>
      </x:c>
      <x:c r="AF220" s="12" t="str">
        <x:f>IF(OR(AE220="active",AE220="review_required"),"yes","no")</x:f>
        <x:v>no</x:v>
      </x:c>
      <x:c r="AG220" s="12" t="str">
        <x:f>IF(AND(AE220="active",M220="yes",NOT(ISNUMBER(SEARCH("healthy",AB220)))),"yes","no")</x:f>
        <x:v>no</x:v>
      </x:c>
      <x:c r="AH220" s="12" t="str">
        <x:f>IF(OR(H220="contextual",H220="dialogue",H220="discourse",I220="claim+context",I220="discourse_segment"),"yes","no")</x:f>
        <x:v>no</x:v>
      </x:c>
      <x:c r="AI220" s="12" t="str">
        <x:f>IF(OR(AH220="yes",AD220="debated",AC220="operational"),"yes","no")</x:f>
        <x:v>yes</x:v>
      </x:c>
      <x:c r="AJ220" s="12" t="str">
        <x:f>IF(OR(AH220="yes",AC220="operational",AD220="debated"),"high",IF(AND(AG220="yes",L220="P0"),"medium","low"))</x:f>
        <x:v>high</x:v>
      </x:c>
      <x:c r="AK220" s="12" t="str">
        <x:f>IF(ISNUMBER(SEARCH("healthy",AB220)),"yes","no")</x:f>
        <x:v>no</x:v>
      </x:c>
      <x:c r="AL220" s="12" t="str">
        <x:f>IF(AG220="yes","yes","candidate_only")</x:f>
        <x:v>candidate_only</x:v>
      </x:c>
      <x:c r="AM220" s="12" t="str">
        <x:f>IF(OR(AC220="canonical",AG220="yes"),"yes","recommended")</x:f>
        <x:v>recommended</x:v>
      </x:c>
      <x:c r="AN220" s="12" t="str">
        <x:f>IF(AC220="deprecated","exclude",IF(AND(AG220="yes",AJ220="high"),"import_but_human_review_required",IF(AG220="yes","import_as_active","import_as_backlog")))</x:f>
        <x:v>import_as_backlog</x:v>
      </x:c>
      <x:c r="AO220" s="12" t="str">
        <x:f>IF(AND(AG220="yes",OR(P220="",Q220="",R220="",S220="")),"missing_required_mvp_fields",IF(AND(AC220="canonical",Y220=""),"missing_source_ref","ok"))</x:f>
        <x:v>ok</x:v>
      </x:c>
      <x:c r="AP220" s="12" t="str">
        <x:f>IF(AO220="ok","ready_for_codex_import","needs_review")</x:f>
        <x:v>ready_for_codex_import</x:v>
      </x:c>
      <x:c r="AQ220" s="12"/>
      <x:c r="AR220" s="12" t="str">
        <x:v>Added v2 operational fields. Review before classification activation.</x:v>
      </x:c>
    </x:row>
    <x:row r="221">
      <x:c r="A221" s="13" t="str">
        <x:v>measurement_validity_gap_sample_problem</x:v>
      </x:c>
      <x:c r="B221" s="13" t="str">
        <x:v>measurement_validity_gap</x:v>
      </x:c>
      <x:c r="C221" s="13" t="str">
        <x:v>Measurement validity gap</x:v>
      </x:c>
      <x:c r="D221" s="13" t="str">
        <x:v>شکاف اعتبار سنجه</x:v>
      </x:c>
      <x:c r="E221" s="13" t="str">
        <x:v>Sample-quality variant</x:v>
      </x:c>
      <x:c r="F221" s="13" t="str">
        <x:v>evidence_failures</x:v>
      </x:c>
      <x:c r="G221" s="13" t="str">
        <x:v>operational_variant</x:v>
      </x:c>
      <x:c r="H221" s="13" t="str">
        <x:v>contextual</x:v>
      </x:c>
      <x:c r="I221" s="13" t="str">
        <x:v>claim+context</x:v>
      </x:c>
      <x:c r="J221" s="13" t="str">
        <x:v>derived_operational_subtype</x:v>
      </x:c>
      <x:c r="K221" s="13" t="str">
        <x:v>derived_from_established_parent_review_required</x:v>
      </x:c>
      <x:c r="L221" s="13" t="str">
        <x:v>P2</x:v>
      </x:c>
      <x:c r="M221" s="13" t="str">
        <x:v>no</x:v>
      </x:c>
      <x:c r="N221" s="13" t="str">
        <x:v>Operational subtype under Measurement validity gap: sample, selection, or representativeness is central. Parent definition: Treating a weak measure as if it directly captures the intended construct.</x:v>
      </x:c>
      <x:c r="O221" s="13" t="str">
        <x:v>Look for: explicit claim-level evidence; parent-family cues for Measurement validity gap; variant cue: sample, selection, or representativeness is central; avoid author-level inference.</x:v>
      </x:c>
      <x:c r="P221" s="13" t="str">
        <x:v>Exact evidence span in text plus claim-level reasoning link; for contextual/discourse entries, require surrounding context.</x:v>
      </x:c>
      <x:c r="Q221" s="13" t="str">
        <x:v>Do not label merely because topic is controversial, emotional, or wrong. Do not judge intent or personality. Require textual evidence and consider healthy-reasoning cues.</x:v>
      </x:c>
      <x:c r="R221" s="13" t="str">
        <x:v>Stub: A claim relies on sample, selection, or representativeness is central to support a conclusion without adequate qualification.</x:v>
      </x:c>
      <x:c r="S221" s="13" t="str">
        <x:v>Stub: A claim discusses measurement validity gap with caveats, balanced evidence, or no argumentative use of the pattern.</x:v>
      </x:c>
      <x:c r="T221" s="13" t="str">
        <x:v>Mild or ambiguous cue; do not classify without clear evidence span.</x:v>
      </x:c>
      <x:c r="U221" s="13" t="str">
        <x:v>Clear claim-level pattern with some argumentative impact.</x:v>
      </x:c>
      <x:c r="V221" s="13" t="str">
        <x:v>Strong pattern central to the conclusion and likely to materially distort reasoning.</x:v>
      </x:c>
      <x:c r="W221" s="13" t="str"/>
      <x:c r="X221" s="13" t="str">
        <x:v>toulmin_uses_argument</x:v>
      </x:c>
      <x:c r="Y221" s="13" t="str">
        <x:v>https://doi.org/10.1017/CBO9780511840005</x:v>
      </x:c>
      <x:c r="Z221" s="13" t="str">
        <x:v>Review before enabling. This workbook is a living taxonomy scaffold, not a validated scientific benchmark.</x:v>
      </x:c>
      <x:c r="AA221" s="13" t="str">
        <x:v>0.1.0-draft</x:v>
      </x:c>
      <x:c r="AB221" s="12" t="str">
        <x:f>IF(ISNUMBER(SEARCH("healthy",F221)),"healthy_reasoning_patterns",IF(ISNUMBER(SEARCH("statistical",F221)),"statistical_reasoning",IF(ISNUMBER(SEARCH("causal",F221)),"causal_reasoning",IF(ISNUMBER(SEARCH("social",F221)),"social_influence",IF(ISNUMBER(SEARCH("rhetoric",F221)),"rhetoric_discourse",IF(ISNUMBER(SEARCH("behavior",F221)),"behavioural_economics",IF(ISNUMBER(SEARCH("cognitive",F221)),"cognitive_biases",IF(J221="protective_pattern","healthy_reasoning_patterns",IF(L221="P0","core_mvp","extended_fallacies")))))))))</x:f>
        <x:v>extended_fallacies</x:v>
      </x:c>
      <x:c r="AC221" s="12" t="str">
        <x:f>IF(ISNUMBER(SEARCH("operational",J221)),"operational",IF(ISNUMBER(SEARCH("deprecated",J221)),"deprecated",IF(L221="P0","canonical","recognized_subtype")))</x:f>
        <x:v>operational</x:v>
      </x:c>
      <x:c r="AD221" s="12" t="str">
        <x:f>IF(AC221="canonical","high",IF(AC221="recognized_subtype","medium",IF(AC221="operational","operational_only","debated")))</x:f>
        <x:v>operational_only</x:v>
      </x:c>
      <x:c r="AE221" s="12" t="str">
        <x:f>IF(AC221="deprecated","deprecated",IF(M221="yes","active",IF(M221="review","review_required","backlog")))</x:f>
        <x:v>backlog</x:v>
      </x:c>
      <x:c r="AF221" s="12" t="str">
        <x:f>IF(OR(AE221="active",AE221="review_required"),"yes","no")</x:f>
        <x:v>no</x:v>
      </x:c>
      <x:c r="AG221" s="12" t="str">
        <x:f>IF(AND(AE221="active",M221="yes",NOT(ISNUMBER(SEARCH("healthy",AB221)))),"yes","no")</x:f>
        <x:v>no</x:v>
      </x:c>
      <x:c r="AH221" s="12" t="str">
        <x:f>IF(OR(H221="contextual",H221="dialogue",H221="discourse",I221="claim+context",I221="discourse_segment"),"yes","no")</x:f>
        <x:v>yes</x:v>
      </x:c>
      <x:c r="AI221" s="12" t="str">
        <x:f>IF(OR(AH221="yes",AD221="debated",AC221="operational"),"yes","no")</x:f>
        <x:v>yes</x:v>
      </x:c>
      <x:c r="AJ221" s="12" t="str">
        <x:f>IF(OR(AH221="yes",AC221="operational",AD221="debated"),"high",IF(AND(AG221="yes",L221="P0"),"medium","low"))</x:f>
        <x:v>high</x:v>
      </x:c>
      <x:c r="AK221" s="12" t="str">
        <x:f>IF(ISNUMBER(SEARCH("healthy",AB221)),"yes","no")</x:f>
        <x:v>no</x:v>
      </x:c>
      <x:c r="AL221" s="12" t="str">
        <x:f>IF(AG221="yes","yes","candidate_only")</x:f>
        <x:v>candidate_only</x:v>
      </x:c>
      <x:c r="AM221" s="12" t="str">
        <x:f>IF(OR(AC221="canonical",AG221="yes"),"yes","recommended")</x:f>
        <x:v>recommended</x:v>
      </x:c>
      <x:c r="AN221" s="12" t="str">
        <x:f>IF(AC221="deprecated","exclude",IF(AND(AG221="yes",AJ221="high"),"import_but_human_review_required",IF(AG221="yes","import_as_active","import_as_backlog")))</x:f>
        <x:v>import_as_backlog</x:v>
      </x:c>
      <x:c r="AO221" s="12" t="str">
        <x:f>IF(AND(AG221="yes",OR(P221="",Q221="",R221="",S221="")),"missing_required_mvp_fields",IF(AND(AC221="canonical",Y221=""),"missing_source_ref","ok"))</x:f>
        <x:v>ok</x:v>
      </x:c>
      <x:c r="AP221" s="12" t="str">
        <x:f>IF(AO221="ok","ready_for_codex_import","needs_review")</x:f>
        <x:v>ready_for_codex_import</x:v>
      </x:c>
      <x:c r="AQ221" s="12"/>
      <x:c r="AR221" s="12" t="str">
        <x:v>Added v2 operational fields. Review before classification activation.</x:v>
      </x:c>
    </x:row>
    <x:row r="222">
      <x:c r="A222" s="13" t="str">
        <x:v>proxy_mismatch_sample_problem</x:v>
      </x:c>
      <x:c r="B222" s="13" t="str">
        <x:v>proxy_mismatch</x:v>
      </x:c>
      <x:c r="C222" s="13" t="str">
        <x:v>Proxy mismatch</x:v>
      </x:c>
      <x:c r="D222" s="13" t="str">
        <x:v>جایگزین نامتناسب برای سنجه</x:v>
      </x:c>
      <x:c r="E222" s="13" t="str">
        <x:v>Sample-quality variant</x:v>
      </x:c>
      <x:c r="F222" s="13" t="str">
        <x:v>evidence_failures</x:v>
      </x:c>
      <x:c r="G222" s="13" t="str">
        <x:v>operational_variant</x:v>
      </x:c>
      <x:c r="H222" s="13" t="str">
        <x:v>contextual</x:v>
      </x:c>
      <x:c r="I222" s="13" t="str">
        <x:v>claim+context</x:v>
      </x:c>
      <x:c r="J222" s="13" t="str">
        <x:v>derived_operational_subtype</x:v>
      </x:c>
      <x:c r="K222" s="13" t="str">
        <x:v>derived_from_established_parent_review_required</x:v>
      </x:c>
      <x:c r="L222" s="13" t="str">
        <x:v>P2</x:v>
      </x:c>
      <x:c r="M222" s="13" t="str">
        <x:v>no</x:v>
      </x:c>
      <x:c r="N222" s="13" t="str">
        <x:v>Operational subtype under Proxy mismatch: sample, selection, or representativeness is central. Parent definition: Using a proxy variable while overstating its relevance to the claim.</x:v>
      </x:c>
      <x:c r="O222" s="13" t="str">
        <x:v>Look for: explicit claim-level evidence; parent-family cues for Proxy mismatch; variant cue: sample, selection, or representativeness is central; avoid author-level inference.</x:v>
      </x:c>
      <x:c r="P222" s="13" t="str">
        <x:v>Exact evidence span in text plus claim-level reasoning link; for contextual/discourse entries, require surrounding context.</x:v>
      </x:c>
      <x:c r="Q222" s="13" t="str">
        <x:v>Do not label merely because topic is controversial, emotional, or wrong. Do not judge intent or personality. Require textual evidence and consider healthy-reasoning cues.</x:v>
      </x:c>
      <x:c r="R222" s="13" t="str">
        <x:v>Stub: A claim relies on sample, selection, or representativeness is central to support a conclusion without adequate qualification.</x:v>
      </x:c>
      <x:c r="S222" s="13" t="str">
        <x:v>Stub: A claim discusses proxy mismatch with caveats, balanced evidence, or no argumentative use of the pattern.</x:v>
      </x:c>
      <x:c r="T222" s="13" t="str">
        <x:v>Mild or ambiguous cue; do not classify without clear evidence span.</x:v>
      </x:c>
      <x:c r="U222" s="13" t="str">
        <x:v>Clear claim-level pattern with some argumentative impact.</x:v>
      </x:c>
      <x:c r="V222" s="13" t="str">
        <x:v>Strong pattern central to the conclusion and likely to materially distort reasoning.</x:v>
      </x:c>
      <x:c r="W222" s="13" t="str"/>
      <x:c r="X222" s="13" t="str">
        <x:v>toulmin_uses_argument</x:v>
      </x:c>
      <x:c r="Y222" s="13" t="str">
        <x:v>https://doi.org/10.1017/CBO9780511840005</x:v>
      </x:c>
      <x:c r="Z222" s="13" t="str">
        <x:v>Review before enabling. This workbook is a living taxonomy scaffold, not a validated scientific benchmark.</x:v>
      </x:c>
      <x:c r="AA222" s="13" t="str">
        <x:v>0.1.0-draft</x:v>
      </x:c>
      <x:c r="AB222" s="12" t="str">
        <x:f>IF(ISNUMBER(SEARCH("healthy",F222)),"healthy_reasoning_patterns",IF(ISNUMBER(SEARCH("statistical",F222)),"statistical_reasoning",IF(ISNUMBER(SEARCH("causal",F222)),"causal_reasoning",IF(ISNUMBER(SEARCH("social",F222)),"social_influence",IF(ISNUMBER(SEARCH("rhetoric",F222)),"rhetoric_discourse",IF(ISNUMBER(SEARCH("behavior",F222)),"behavioural_economics",IF(ISNUMBER(SEARCH("cognitive",F222)),"cognitive_biases",IF(J222="protective_pattern","healthy_reasoning_patterns",IF(L222="P0","core_mvp","extended_fallacies")))))))))</x:f>
        <x:v>extended_fallacies</x:v>
      </x:c>
      <x:c r="AC222" s="12" t="str">
        <x:f>IF(ISNUMBER(SEARCH("operational",J222)),"operational",IF(ISNUMBER(SEARCH("deprecated",J222)),"deprecated",IF(L222="P0","canonical","recognized_subtype")))</x:f>
        <x:v>operational</x:v>
      </x:c>
      <x:c r="AD222" s="12" t="str">
        <x:f>IF(AC222="canonical","high",IF(AC222="recognized_subtype","medium",IF(AC222="operational","operational_only","debated")))</x:f>
        <x:v>operational_only</x:v>
      </x:c>
      <x:c r="AE222" s="12" t="str">
        <x:f>IF(AC222="deprecated","deprecated",IF(M222="yes","active",IF(M222="review","review_required","backlog")))</x:f>
        <x:v>backlog</x:v>
      </x:c>
      <x:c r="AF222" s="12" t="str">
        <x:f>IF(OR(AE222="active",AE222="review_required"),"yes","no")</x:f>
        <x:v>no</x:v>
      </x:c>
      <x:c r="AG222" s="12" t="str">
        <x:f>IF(AND(AE222="active",M222="yes",NOT(ISNUMBER(SEARCH("healthy",AB222)))),"yes","no")</x:f>
        <x:v>no</x:v>
      </x:c>
      <x:c r="AH222" s="12" t="str">
        <x:f>IF(OR(H222="contextual",H222="dialogue",H222="discourse",I222="claim+context",I222="discourse_segment"),"yes","no")</x:f>
        <x:v>yes</x:v>
      </x:c>
      <x:c r="AI222" s="12" t="str">
        <x:f>IF(OR(AH222="yes",AD222="debated",AC222="operational"),"yes","no")</x:f>
        <x:v>yes</x:v>
      </x:c>
      <x:c r="AJ222" s="12" t="str">
        <x:f>IF(OR(AH222="yes",AC222="operational",AD222="debated"),"high",IF(AND(AG222="yes",L222="P0"),"medium","low"))</x:f>
        <x:v>high</x:v>
      </x:c>
      <x:c r="AK222" s="12" t="str">
        <x:f>IF(ISNUMBER(SEARCH("healthy",AB222)),"yes","no")</x:f>
        <x:v>no</x:v>
      </x:c>
      <x:c r="AL222" s="12" t="str">
        <x:f>IF(AG222="yes","yes","candidate_only")</x:f>
        <x:v>candidate_only</x:v>
      </x:c>
      <x:c r="AM222" s="12" t="str">
        <x:f>IF(OR(AC222="canonical",AG222="yes"),"yes","recommended")</x:f>
        <x:v>recommended</x:v>
      </x:c>
      <x:c r="AN222" s="12" t="str">
        <x:f>IF(AC222="deprecated","exclude",IF(AND(AG222="yes",AJ222="high"),"import_but_human_review_required",IF(AG222="yes","import_as_active","import_as_backlog")))</x:f>
        <x:v>import_as_backlog</x:v>
      </x:c>
      <x:c r="AO222" s="12" t="str">
        <x:f>IF(AND(AG222="yes",OR(P222="",Q222="",R222="",S222="")),"missing_required_mvp_fields",IF(AND(AC222="canonical",Y222=""),"missing_source_ref","ok"))</x:f>
        <x:v>ok</x:v>
      </x:c>
      <x:c r="AP222" s="12" t="str">
        <x:f>IF(AO222="ok","ready_for_codex_import","needs_review")</x:f>
        <x:v>ready_for_codex_import</x:v>
      </x:c>
      <x:c r="AQ222" s="12"/>
      <x:c r="AR222" s="12" t="str">
        <x:v>Added v2 operational fields. Review before classification activation.</x:v>
      </x:c>
    </x:row>
    <x:row r="223">
      <x:c r="A223" s="13" t="str">
        <x:v>construct_validity_gap_sample_problem</x:v>
      </x:c>
      <x:c r="B223" s="13" t="str">
        <x:v>construct_validity_gap</x:v>
      </x:c>
      <x:c r="C223" s="13" t="str">
        <x:v>Construct validity gap</x:v>
      </x:c>
      <x:c r="D223" s="13" t="str">
        <x:v>شکاف اعتبار سازه</x:v>
      </x:c>
      <x:c r="E223" s="13" t="str">
        <x:v>Sample-quality variant</x:v>
      </x:c>
      <x:c r="F223" s="13" t="str">
        <x:v>evidence_failures</x:v>
      </x:c>
      <x:c r="G223" s="13" t="str">
        <x:v>operational_variant</x:v>
      </x:c>
      <x:c r="H223" s="13" t="str">
        <x:v>contextual</x:v>
      </x:c>
      <x:c r="I223" s="13" t="str">
        <x:v>claim+context</x:v>
      </x:c>
      <x:c r="J223" s="13" t="str">
        <x:v>derived_operational_subtype</x:v>
      </x:c>
      <x:c r="K223" s="13" t="str">
        <x:v>derived_from_established_parent_review_required</x:v>
      </x:c>
      <x:c r="L223" s="13" t="str">
        <x:v>P2</x:v>
      </x:c>
      <x:c r="M223" s="13" t="str">
        <x:v>no</x:v>
      </x:c>
      <x:c r="N223" s="13" t="str">
        <x:v>Operational subtype under Construct validity gap: sample, selection, or representativeness is central. Parent definition: Drawing conclusions about a construct not adequately measured by the evidence.</x:v>
      </x:c>
      <x:c r="O223" s="13" t="str">
        <x:v>Look for: explicit claim-level evidence; parent-family cues for Construct validity gap; variant cue: sample, selection, or representativeness is central; avoid author-level inference.</x:v>
      </x:c>
      <x:c r="P223" s="13" t="str">
        <x:v>Exact evidence span in text plus claim-level reasoning link; for contextual/discourse entries, require surrounding context.</x:v>
      </x:c>
      <x:c r="Q223" s="13" t="str">
        <x:v>Do not label merely because topic is controversial, emotional, or wrong. Do not judge intent or personality. Require textual evidence and consider healthy-reasoning cues.</x:v>
      </x:c>
      <x:c r="R223" s="13" t="str">
        <x:v>Stub: A claim relies on sample, selection, or representativeness is central to support a conclusion without adequate qualification.</x:v>
      </x:c>
      <x:c r="S223" s="13" t="str">
        <x:v>Stub: A claim discusses construct validity gap with caveats, balanced evidence, or no argumentative use of the pattern.</x:v>
      </x:c>
      <x:c r="T223" s="13" t="str">
        <x:v>Mild or ambiguous cue; do not classify without clear evidence span.</x:v>
      </x:c>
      <x:c r="U223" s="13" t="str">
        <x:v>Clear claim-level pattern with some argumentative impact.</x:v>
      </x:c>
      <x:c r="V223" s="13" t="str">
        <x:v>Strong pattern central to the conclusion and likely to materially distort reasoning.</x:v>
      </x:c>
      <x:c r="W223" s="13" t="str">
        <x:v>cherry_picking; missing_counterevidence; evidence_grading</x:v>
      </x:c>
      <x:c r="X223" s="13" t="str">
        <x:v>toulmin_uses_argument</x:v>
      </x:c>
      <x:c r="Y223" s="13" t="str">
        <x:v>https://doi.org/10.1017/CBO9780511840005</x:v>
      </x:c>
      <x:c r="Z223" s="13" t="str">
        <x:v>Review before enabling. This workbook is a living taxonomy scaffold, not a validated scientific benchmark.</x:v>
      </x:c>
      <x:c r="AA223" s="13" t="str">
        <x:v>0.1.0-draft</x:v>
      </x:c>
      <x:c r="AB223" s="12" t="str">
        <x:f>IF(ISNUMBER(SEARCH("healthy",F223)),"healthy_reasoning_patterns",IF(ISNUMBER(SEARCH("statistical",F223)),"statistical_reasoning",IF(ISNUMBER(SEARCH("causal",F223)),"causal_reasoning",IF(ISNUMBER(SEARCH("social",F223)),"social_influence",IF(ISNUMBER(SEARCH("rhetoric",F223)),"rhetoric_discourse",IF(ISNUMBER(SEARCH("behavior",F223)),"behavioural_economics",IF(ISNUMBER(SEARCH("cognitive",F223)),"cognitive_biases",IF(J223="protective_pattern","healthy_reasoning_patterns",IF(L223="P0","core_mvp","extended_fallacies")))))))))</x:f>
        <x:v>extended_fallacies</x:v>
      </x:c>
      <x:c r="AC223" s="12" t="str">
        <x:f>IF(ISNUMBER(SEARCH("operational",J223)),"operational",IF(ISNUMBER(SEARCH("deprecated",J223)),"deprecated",IF(L223="P0","canonical","recognized_subtype")))</x:f>
        <x:v>operational</x:v>
      </x:c>
      <x:c r="AD223" s="12" t="str">
        <x:f>IF(AC223="canonical","high",IF(AC223="recognized_subtype","medium",IF(AC223="operational","operational_only","debated")))</x:f>
        <x:v>operational_only</x:v>
      </x:c>
      <x:c r="AE223" s="12" t="str">
        <x:f>IF(AC223="deprecated","deprecated",IF(M223="yes","active",IF(M223="review","review_required","backlog")))</x:f>
        <x:v>backlog</x:v>
      </x:c>
      <x:c r="AF223" s="12" t="str">
        <x:f>IF(OR(AE223="active",AE223="review_required"),"yes","no")</x:f>
        <x:v>no</x:v>
      </x:c>
      <x:c r="AG223" s="12" t="str">
        <x:f>IF(AND(AE223="active",M223="yes",NOT(ISNUMBER(SEARCH("healthy",AB223)))),"yes","no")</x:f>
        <x:v>no</x:v>
      </x:c>
      <x:c r="AH223" s="12" t="str">
        <x:f>IF(OR(H223="contextual",H223="dialogue",H223="discourse",I223="claim+context",I223="discourse_segment"),"yes","no")</x:f>
        <x:v>yes</x:v>
      </x:c>
      <x:c r="AI223" s="12" t="str">
        <x:f>IF(OR(AH223="yes",AD223="debated",AC223="operational"),"yes","no")</x:f>
        <x:v>yes</x:v>
      </x:c>
      <x:c r="AJ223" s="12" t="str">
        <x:f>IF(OR(AH223="yes",AC223="operational",AD223="debated"),"high",IF(AND(AG223="yes",L223="P0"),"medium","low"))</x:f>
        <x:v>high</x:v>
      </x:c>
      <x:c r="AK223" s="12" t="str">
        <x:f>IF(ISNUMBER(SEARCH("healthy",AB223)),"yes","no")</x:f>
        <x:v>no</x:v>
      </x:c>
      <x:c r="AL223" s="12" t="str">
        <x:f>IF(AG223="yes","yes","candidate_only")</x:f>
        <x:v>candidate_only</x:v>
      </x:c>
      <x:c r="AM223" s="12" t="str">
        <x:f>IF(OR(AC223="canonical",AG223="yes"),"yes","recommended")</x:f>
        <x:v>recommended</x:v>
      </x:c>
      <x:c r="AN223" s="12" t="str">
        <x:f>IF(AC223="deprecated","exclude",IF(AND(AG223="yes",AJ223="high"),"import_but_human_review_required",IF(AG223="yes","import_as_active","import_as_backlog")))</x:f>
        <x:v>import_as_backlog</x:v>
      </x:c>
      <x:c r="AO223" s="12" t="str">
        <x:f>IF(AND(AG223="yes",OR(P223="",Q223="",R223="",S223="")),"missing_required_mvp_fields",IF(AND(AC223="canonical",Y223=""),"missing_source_ref","ok"))</x:f>
        <x:v>ok</x:v>
      </x:c>
      <x:c r="AP223" s="12" t="str">
        <x:f>IF(AO223="ok","ready_for_codex_import","needs_review")</x:f>
        <x:v>ready_for_codex_import</x:v>
      </x:c>
      <x:c r="AQ223" s="12"/>
      <x:c r="AR223" s="12" t="str">
        <x:v>Added v2 operational fields. Review before classification activation.</x:v>
      </x:c>
    </x:row>
    <x:row r="224">
      <x:c r="A224" s="13" t="str">
        <x:v>ecological_fallacy_sample_problem</x:v>
      </x:c>
      <x:c r="B224" s="13" t="str">
        <x:v>ecological_fallacy</x:v>
      </x:c>
      <x:c r="C224" s="13" t="str">
        <x:v>Ecological fallacy</x:v>
      </x:c>
      <x:c r="D224" s="13" t="str">
        <x:v>مغالطه بوم‌شناختی</x:v>
      </x:c>
      <x:c r="E224" s="13" t="str">
        <x:v>Sample-quality variant</x:v>
      </x:c>
      <x:c r="F224" s="13" t="str">
        <x:v>evidence_failures</x:v>
      </x:c>
      <x:c r="G224" s="13" t="str">
        <x:v>operational_variant</x:v>
      </x:c>
      <x:c r="H224" s="13" t="str">
        <x:v>contextual</x:v>
      </x:c>
      <x:c r="I224" s="13" t="str">
        <x:v>claim+context</x:v>
      </x:c>
      <x:c r="J224" s="13" t="str">
        <x:v>derived_operational_subtype</x:v>
      </x:c>
      <x:c r="K224" s="13" t="str">
        <x:v>derived_from_established_parent_review_required</x:v>
      </x:c>
      <x:c r="L224" s="13" t="str">
        <x:v>P3</x:v>
      </x:c>
      <x:c r="M224" s="13" t="str">
        <x:v>no</x:v>
      </x:c>
      <x:c r="N224" s="13" t="str">
        <x:v>Operational subtype under Ecological fallacy: sample, selection, or representativeness is central. Parent definition: Inferring individual-level conclusions from aggregate-level data.</x:v>
      </x:c>
      <x:c r="O224" s="13" t="str">
        <x:v>Look for: explicit claim-level evidence; parent-family cues for Ecological fallacy; variant cue: sample, selection, or representativeness is central; avoid author-level inference.</x:v>
      </x:c>
      <x:c r="P224" s="13" t="str">
        <x:v>Exact evidence span in text plus claim-level reasoning link; for contextual/discourse entries, require surrounding context.</x:v>
      </x:c>
      <x:c r="Q224" s="13" t="str">
        <x:v>Do not label merely because topic is controversial, emotional, or wrong. Do not judge intent or personality. Require textual evidence and consider healthy-reasoning cues.</x:v>
      </x:c>
      <x:c r="R224" s="13" t="str">
        <x:v>Stub: A claim relies on sample, selection, or representativeness is central to support a conclusion without adequate qualification.</x:v>
      </x:c>
      <x:c r="S224" s="13" t="str">
        <x:v>Stub: A claim discusses ecological fallacy with caveats, balanced evidence, or no argumentative use of the pattern.</x:v>
      </x:c>
      <x:c r="T224" s="13" t="str">
        <x:v>Mild or ambiguous cue; do not classify without clear evidence span.</x:v>
      </x:c>
      <x:c r="U224" s="13" t="str">
        <x:v>Clear claim-level pattern with some argumentative impact.</x:v>
      </x:c>
      <x:c r="V224" s="13" t="str">
        <x:v>Strong pattern central to the conclusion and likely to materially distort reasoning.</x:v>
      </x:c>
      <x:c r="W224" s="13" t="str"/>
      <x:c r="X224" s="13" t="str">
        <x:v>sep_informal_logic</x:v>
      </x:c>
      <x:c r="Y224" s="13" t="str">
        <x:v>https://plato.stanford.edu/entries/logic-informal/</x:v>
      </x:c>
      <x:c r="Z224" s="13" t="str">
        <x:v>Review before enabling. This workbook is a living taxonomy scaffold, not a validated scientific benchmark.</x:v>
      </x:c>
      <x:c r="AA224" s="13" t="str">
        <x:v>0.1.0-draft</x:v>
      </x:c>
      <x:c r="AB224" s="12" t="str">
        <x:f>IF(ISNUMBER(SEARCH("healthy",F224)),"healthy_reasoning_patterns",IF(ISNUMBER(SEARCH("statistical",F224)),"statistical_reasoning",IF(ISNUMBER(SEARCH("causal",F224)),"causal_reasoning",IF(ISNUMBER(SEARCH("social",F224)),"social_influence",IF(ISNUMBER(SEARCH("rhetoric",F224)),"rhetoric_discourse",IF(ISNUMBER(SEARCH("behavior",F224)),"behavioural_economics",IF(ISNUMBER(SEARCH("cognitive",F224)),"cognitive_biases",IF(J224="protective_pattern","healthy_reasoning_patterns",IF(L224="P0","core_mvp","extended_fallacies")))))))))</x:f>
        <x:v>extended_fallacies</x:v>
      </x:c>
      <x:c r="AC224" s="12" t="str">
        <x:f>IF(ISNUMBER(SEARCH("operational",J224)),"operational",IF(ISNUMBER(SEARCH("deprecated",J224)),"deprecated",IF(L224="P0","canonical","recognized_subtype")))</x:f>
        <x:v>operational</x:v>
      </x:c>
      <x:c r="AD224" s="12" t="str">
        <x:f>IF(AC224="canonical","high",IF(AC224="recognized_subtype","medium",IF(AC224="operational","operational_only","debated")))</x:f>
        <x:v>operational_only</x:v>
      </x:c>
      <x:c r="AE224" s="12" t="str">
        <x:f>IF(AC224="deprecated","deprecated",IF(M224="yes","active",IF(M224="review","review_required","backlog")))</x:f>
        <x:v>backlog</x:v>
      </x:c>
      <x:c r="AF224" s="12" t="str">
        <x:f>IF(OR(AE224="active",AE224="review_required"),"yes","no")</x:f>
        <x:v>no</x:v>
      </x:c>
      <x:c r="AG224" s="12" t="str">
        <x:f>IF(AND(AE224="active",M224="yes",NOT(ISNUMBER(SEARCH("healthy",AB224)))),"yes","no")</x:f>
        <x:v>no</x:v>
      </x:c>
      <x:c r="AH224" s="12" t="str">
        <x:f>IF(OR(H224="contextual",H224="dialogue",H224="discourse",I224="claim+context",I224="discourse_segment"),"yes","no")</x:f>
        <x:v>yes</x:v>
      </x:c>
      <x:c r="AI224" s="12" t="str">
        <x:f>IF(OR(AH224="yes",AD224="debated",AC224="operational"),"yes","no")</x:f>
        <x:v>yes</x:v>
      </x:c>
      <x:c r="AJ224" s="12" t="str">
        <x:f>IF(OR(AH224="yes",AC224="operational",AD224="debated"),"high",IF(AND(AG224="yes",L224="P0"),"medium","low"))</x:f>
        <x:v>high</x:v>
      </x:c>
      <x:c r="AK224" s="12" t="str">
        <x:f>IF(ISNUMBER(SEARCH("healthy",AB224)),"yes","no")</x:f>
        <x:v>no</x:v>
      </x:c>
      <x:c r="AL224" s="12" t="str">
        <x:f>IF(AG224="yes","yes","candidate_only")</x:f>
        <x:v>candidate_only</x:v>
      </x:c>
      <x:c r="AM224" s="12" t="str">
        <x:f>IF(OR(AC224="canonical",AG224="yes"),"yes","recommended")</x:f>
        <x:v>recommended</x:v>
      </x:c>
      <x:c r="AN224" s="12" t="str">
        <x:f>IF(AC224="deprecated","exclude",IF(AND(AG224="yes",AJ224="high"),"import_but_human_review_required",IF(AG224="yes","import_as_active","import_as_backlog")))</x:f>
        <x:v>import_as_backlog</x:v>
      </x:c>
      <x:c r="AO224" s="12" t="str">
        <x:f>IF(AND(AG224="yes",OR(P224="",Q224="",R224="",S224="")),"missing_required_mvp_fields",IF(AND(AC224="canonical",Y224=""),"missing_source_ref","ok"))</x:f>
        <x:v>ok</x:v>
      </x:c>
      <x:c r="AP224" s="12" t="str">
        <x:f>IF(AO224="ok","ready_for_codex_import","needs_review")</x:f>
        <x:v>ready_for_codex_import</x:v>
      </x:c>
      <x:c r="AQ224" s="12"/>
      <x:c r="AR224" s="12" t="str">
        <x:v>Added v2 operational fields. Review before classification activation.</x:v>
      </x:c>
    </x:row>
    <x:row r="225">
      <x:c r="A225" s="13" t="str">
        <x:v>atomistic_fallacy_sample_problem</x:v>
      </x:c>
      <x:c r="B225" s="13" t="str">
        <x:v>atomistic_fallacy</x:v>
      </x:c>
      <x:c r="C225" s="13" t="str">
        <x:v>Atomistic fallacy</x:v>
      </x:c>
      <x:c r="D225" s="13" t="str">
        <x:v>مغالطه فردانگارانه</x:v>
      </x:c>
      <x:c r="E225" s="13" t="str">
        <x:v>Sample-quality variant</x:v>
      </x:c>
      <x:c r="F225" s="13" t="str">
        <x:v>evidence_failures</x:v>
      </x:c>
      <x:c r="G225" s="13" t="str">
        <x:v>operational_variant</x:v>
      </x:c>
      <x:c r="H225" s="13" t="str">
        <x:v>contextual</x:v>
      </x:c>
      <x:c r="I225" s="13" t="str">
        <x:v>claim+context</x:v>
      </x:c>
      <x:c r="J225" s="13" t="str">
        <x:v>derived_operational_subtype</x:v>
      </x:c>
      <x:c r="K225" s="13" t="str">
        <x:v>derived_from_established_parent_review_required</x:v>
      </x:c>
      <x:c r="L225" s="13" t="str">
        <x:v>P3</x:v>
      </x:c>
      <x:c r="M225" s="13" t="str">
        <x:v>no</x:v>
      </x:c>
      <x:c r="N225" s="13" t="str">
        <x:v>Operational subtype under Atomistic fallacy: sample, selection, or representativeness is central. Parent definition: Inferring group-level conclusions from individual-level observations.</x:v>
      </x:c>
      <x:c r="O225" s="13" t="str">
        <x:v>Look for: explicit claim-level evidence; parent-family cues for Atomistic fallacy; variant cue: sample, selection, or representativeness is central; avoid author-level inference.</x:v>
      </x:c>
      <x:c r="P225" s="13" t="str">
        <x:v>Exact evidence span in text plus claim-level reasoning link; for contextual/discourse entries, require surrounding context.</x:v>
      </x:c>
      <x:c r="Q225" s="13" t="str">
        <x:v>Do not label merely because topic is controversial, emotional, or wrong. Do not judge intent or personality. Require textual evidence and consider healthy-reasoning cues.</x:v>
      </x:c>
      <x:c r="R225" s="13" t="str">
        <x:v>Stub: A claim relies on sample, selection, or representativeness is central to support a conclusion without adequate qualification.</x:v>
      </x:c>
      <x:c r="S225" s="13" t="str">
        <x:v>Stub: A claim discusses atomistic fallacy with caveats, balanced evidence, or no argumentative use of the pattern.</x:v>
      </x:c>
      <x:c r="T225" s="13" t="str">
        <x:v>Mild or ambiguous cue; do not classify without clear evidence span.</x:v>
      </x:c>
      <x:c r="U225" s="13" t="str">
        <x:v>Clear claim-level pattern with some argumentative impact.</x:v>
      </x:c>
      <x:c r="V225" s="13" t="str">
        <x:v>Strong pattern central to the conclusion and likely to materially distort reasoning.</x:v>
      </x:c>
      <x:c r="W225" s="13" t="str"/>
      <x:c r="X225" s="13" t="str">
        <x:v>sep_informal_logic</x:v>
      </x:c>
      <x:c r="Y225" s="13" t="str">
        <x:v>https://plato.stanford.edu/entries/logic-informal/</x:v>
      </x:c>
      <x:c r="Z225" s="13" t="str">
        <x:v>Review before enabling. This workbook is a living taxonomy scaffold, not a validated scientific benchmark.</x:v>
      </x:c>
      <x:c r="AA225" s="13" t="str">
        <x:v>0.1.0-draft</x:v>
      </x:c>
      <x:c r="AB225" s="12" t="str">
        <x:f>IF(ISNUMBER(SEARCH("healthy",F225)),"healthy_reasoning_patterns",IF(ISNUMBER(SEARCH("statistical",F225)),"statistical_reasoning",IF(ISNUMBER(SEARCH("causal",F225)),"causal_reasoning",IF(ISNUMBER(SEARCH("social",F225)),"social_influence",IF(ISNUMBER(SEARCH("rhetoric",F225)),"rhetoric_discourse",IF(ISNUMBER(SEARCH("behavior",F225)),"behavioural_economics",IF(ISNUMBER(SEARCH("cognitive",F225)),"cognitive_biases",IF(J225="protective_pattern","healthy_reasoning_patterns",IF(L225="P0","core_mvp","extended_fallacies")))))))))</x:f>
        <x:v>extended_fallacies</x:v>
      </x:c>
      <x:c r="AC225" s="12" t="str">
        <x:f>IF(ISNUMBER(SEARCH("operational",J225)),"operational",IF(ISNUMBER(SEARCH("deprecated",J225)),"deprecated",IF(L225="P0","canonical","recognized_subtype")))</x:f>
        <x:v>operational</x:v>
      </x:c>
      <x:c r="AD225" s="12" t="str">
        <x:f>IF(AC225="canonical","high",IF(AC225="recognized_subtype","medium",IF(AC225="operational","operational_only","debated")))</x:f>
        <x:v>operational_only</x:v>
      </x:c>
      <x:c r="AE225" s="12" t="str">
        <x:f>IF(AC225="deprecated","deprecated",IF(M225="yes","active",IF(M225="review","review_required","backlog")))</x:f>
        <x:v>backlog</x:v>
      </x:c>
      <x:c r="AF225" s="12" t="str">
        <x:f>IF(OR(AE225="active",AE225="review_required"),"yes","no")</x:f>
        <x:v>no</x:v>
      </x:c>
      <x:c r="AG225" s="12" t="str">
        <x:f>IF(AND(AE225="active",M225="yes",NOT(ISNUMBER(SEARCH("healthy",AB225)))),"yes","no")</x:f>
        <x:v>no</x:v>
      </x:c>
      <x:c r="AH225" s="12" t="str">
        <x:f>IF(OR(H225="contextual",H225="dialogue",H225="discourse",I225="claim+context",I225="discourse_segment"),"yes","no")</x:f>
        <x:v>yes</x:v>
      </x:c>
      <x:c r="AI225" s="12" t="str">
        <x:f>IF(OR(AH225="yes",AD225="debated",AC225="operational"),"yes","no")</x:f>
        <x:v>yes</x:v>
      </x:c>
      <x:c r="AJ225" s="12" t="str">
        <x:f>IF(OR(AH225="yes",AC225="operational",AD225="debated"),"high",IF(AND(AG225="yes",L225="P0"),"medium","low"))</x:f>
        <x:v>high</x:v>
      </x:c>
      <x:c r="AK225" s="12" t="str">
        <x:f>IF(ISNUMBER(SEARCH("healthy",AB225)),"yes","no")</x:f>
        <x:v>no</x:v>
      </x:c>
      <x:c r="AL225" s="12" t="str">
        <x:f>IF(AG225="yes","yes","candidate_only")</x:f>
        <x:v>candidate_only</x:v>
      </x:c>
      <x:c r="AM225" s="12" t="str">
        <x:f>IF(OR(AC225="canonical",AG225="yes"),"yes","recommended")</x:f>
        <x:v>recommended</x:v>
      </x:c>
      <x:c r="AN225" s="12" t="str">
        <x:f>IF(AC225="deprecated","exclude",IF(AND(AG225="yes",AJ225="high"),"import_but_human_review_required",IF(AG225="yes","import_as_active","import_as_backlog")))</x:f>
        <x:v>import_as_backlog</x:v>
      </x:c>
      <x:c r="AO225" s="12" t="str">
        <x:f>IF(AND(AG225="yes",OR(P225="",Q225="",R225="",S225="")),"missing_required_mvp_fields",IF(AND(AC225="canonical",Y225=""),"missing_source_ref","ok"))</x:f>
        <x:v>ok</x:v>
      </x:c>
      <x:c r="AP225" s="12" t="str">
        <x:f>IF(AO225="ok","ready_for_codex_import","needs_review")</x:f>
        <x:v>ready_for_codex_import</x:v>
      </x:c>
      <x:c r="AQ225" s="12"/>
      <x:c r="AR225" s="12" t="str">
        <x:v>Added v2 operational fields. Review before classification activation.</x:v>
      </x:c>
    </x:row>
    <x:row r="226">
      <x:c r="A226" s="13" t="str">
        <x:v>omitted_variable_bias_argument_sample_problem</x:v>
      </x:c>
      <x:c r="B226" s="13" t="str">
        <x:v>omitted_variable_bias_argument</x:v>
      </x:c>
      <x:c r="C226" s="13" t="str">
        <x:v>Omitted-variable reasoning gap</x:v>
      </x:c>
      <x:c r="D226" s="13" t="str">
        <x:v>نادیده‌گرفتن متغیرهای مخدوشگر</x:v>
      </x:c>
      <x:c r="E226" s="13" t="str">
        <x:v>Sample-quality variant</x:v>
      </x:c>
      <x:c r="F226" s="13" t="str">
        <x:v>evidence_failures</x:v>
      </x:c>
      <x:c r="G226" s="13" t="str">
        <x:v>operational_variant</x:v>
      </x:c>
      <x:c r="H226" s="13" t="str">
        <x:v>contextual</x:v>
      </x:c>
      <x:c r="I226" s="13" t="str">
        <x:v>claim+context</x:v>
      </x:c>
      <x:c r="J226" s="13" t="str">
        <x:v>derived_operational_subtype</x:v>
      </x:c>
      <x:c r="K226" s="13" t="str">
        <x:v>derived_from_established_parent_review_required</x:v>
      </x:c>
      <x:c r="L226" s="13" t="str">
        <x:v>P3</x:v>
      </x:c>
      <x:c r="M226" s="13" t="str">
        <x:v>no</x:v>
      </x:c>
      <x:c r="N226" s="13" t="str">
        <x:v>Operational subtype under Omitted-variable reasoning gap: sample, selection, or representativeness is central. Parent definition: Ignoring plausible omitted factors that could explain the observed pattern.</x:v>
      </x:c>
      <x:c r="O226" s="13" t="str">
        <x:v>Look for: explicit claim-level evidence; parent-family cues for Omitted-variable reasoning gap; variant cue: sample, selection, or representativeness is central; avoid author-level inference.</x:v>
      </x:c>
      <x:c r="P226" s="13" t="str">
        <x:v>Exact evidence span in text plus claim-level reasoning link; for contextual/discourse entries, require surrounding context.</x:v>
      </x:c>
      <x:c r="Q226" s="13" t="str">
        <x:v>Do not label merely because topic is controversial, emotional, or wrong. Do not judge intent or personality. Require textual evidence and consider healthy-reasoning cues.</x:v>
      </x:c>
      <x:c r="R226" s="13" t="str">
        <x:v>Stub: A claim relies on sample, selection, or representativeness is central to support a conclusion without adequate qualification.</x:v>
      </x:c>
      <x:c r="S226" s="13" t="str">
        <x:v>Stub: A claim discusses omitted-variable reasoning gap with caveats, balanced evidence, or no argumentative use of the pattern.</x:v>
      </x:c>
      <x:c r="T226" s="13" t="str">
        <x:v>Mild or ambiguous cue; do not classify without clear evidence span.</x:v>
      </x:c>
      <x:c r="U226" s="13" t="str">
        <x:v>Clear claim-level pattern with some argumentative impact.</x:v>
      </x:c>
      <x:c r="V226" s="13" t="str">
        <x:v>Strong pattern central to the conclusion and likely to materially distort reasoning.</x:v>
      </x:c>
      <x:c r="W226" s="13" t="str"/>
      <x:c r="X226" s="13" t="str">
        <x:v>sep_informal_logic</x:v>
      </x:c>
      <x:c r="Y226" s="13" t="str">
        <x:v>https://plato.stanford.edu/entries/logic-informal/</x:v>
      </x:c>
      <x:c r="Z226" s="13" t="str">
        <x:v>Review before enabling. This workbook is a living taxonomy scaffold, not a validated scientific benchmark.</x:v>
      </x:c>
      <x:c r="AA226" s="13" t="str">
        <x:v>0.1.0-draft</x:v>
      </x:c>
      <x:c r="AB226" s="12" t="str">
        <x:f>IF(ISNUMBER(SEARCH("healthy",F226)),"healthy_reasoning_patterns",IF(ISNUMBER(SEARCH("statistical",F226)),"statistical_reasoning",IF(ISNUMBER(SEARCH("causal",F226)),"causal_reasoning",IF(ISNUMBER(SEARCH("social",F226)),"social_influence",IF(ISNUMBER(SEARCH("rhetoric",F226)),"rhetoric_discourse",IF(ISNUMBER(SEARCH("behavior",F226)),"behavioural_economics",IF(ISNUMBER(SEARCH("cognitive",F226)),"cognitive_biases",IF(J226="protective_pattern","healthy_reasoning_patterns",IF(L226="P0","core_mvp","extended_fallacies")))))))))</x:f>
        <x:v>extended_fallacies</x:v>
      </x:c>
      <x:c r="AC226" s="12" t="str">
        <x:f>IF(ISNUMBER(SEARCH("operational",J226)),"operational",IF(ISNUMBER(SEARCH("deprecated",J226)),"deprecated",IF(L226="P0","canonical","recognized_subtype")))</x:f>
        <x:v>operational</x:v>
      </x:c>
      <x:c r="AD226" s="12" t="str">
        <x:f>IF(AC226="canonical","high",IF(AC226="recognized_subtype","medium",IF(AC226="operational","operational_only","debated")))</x:f>
        <x:v>operational_only</x:v>
      </x:c>
      <x:c r="AE226" s="12" t="str">
        <x:f>IF(AC226="deprecated","deprecated",IF(M226="yes","active",IF(M226="review","review_required","backlog")))</x:f>
        <x:v>backlog</x:v>
      </x:c>
      <x:c r="AF226" s="12" t="str">
        <x:f>IF(OR(AE226="active",AE226="review_required"),"yes","no")</x:f>
        <x:v>no</x:v>
      </x:c>
      <x:c r="AG226" s="12" t="str">
        <x:f>IF(AND(AE226="active",M226="yes",NOT(ISNUMBER(SEARCH("healthy",AB226)))),"yes","no")</x:f>
        <x:v>no</x:v>
      </x:c>
      <x:c r="AH226" s="12" t="str">
        <x:f>IF(OR(H226="contextual",H226="dialogue",H226="discourse",I226="claim+context",I226="discourse_segment"),"yes","no")</x:f>
        <x:v>yes</x:v>
      </x:c>
      <x:c r="AI226" s="12" t="str">
        <x:f>IF(OR(AH226="yes",AD226="debated",AC226="operational"),"yes","no")</x:f>
        <x:v>yes</x:v>
      </x:c>
      <x:c r="AJ226" s="12" t="str">
        <x:f>IF(OR(AH226="yes",AC226="operational",AD226="debated"),"high",IF(AND(AG226="yes",L226="P0"),"medium","low"))</x:f>
        <x:v>high</x:v>
      </x:c>
      <x:c r="AK226" s="12" t="str">
        <x:f>IF(ISNUMBER(SEARCH("healthy",AB226)),"yes","no")</x:f>
        <x:v>no</x:v>
      </x:c>
      <x:c r="AL226" s="12" t="str">
        <x:f>IF(AG226="yes","yes","candidate_only")</x:f>
        <x:v>candidate_only</x:v>
      </x:c>
      <x:c r="AM226" s="12" t="str">
        <x:f>IF(OR(AC226="canonical",AG226="yes"),"yes","recommended")</x:f>
        <x:v>recommended</x:v>
      </x:c>
      <x:c r="AN226" s="12" t="str">
        <x:f>IF(AC226="deprecated","exclude",IF(AND(AG226="yes",AJ226="high"),"import_but_human_review_required",IF(AG226="yes","import_as_active","import_as_backlog")))</x:f>
        <x:v>import_as_backlog</x:v>
      </x:c>
      <x:c r="AO226" s="12" t="str">
        <x:f>IF(AND(AG226="yes",OR(P226="",Q226="",R226="",S226="")),"missing_required_mvp_fields",IF(AND(AC226="canonical",Y226=""),"missing_source_ref","ok"))</x:f>
        <x:v>ok</x:v>
      </x:c>
      <x:c r="AP226" s="12" t="str">
        <x:f>IF(AO226="ok","ready_for_codex_import","needs_review")</x:f>
        <x:v>ready_for_codex_import</x:v>
      </x:c>
      <x:c r="AQ226" s="12"/>
      <x:c r="AR226" s="12" t="str">
        <x:v>Added v2 operational fields. Review before classification activation.</x:v>
      </x:c>
    </x:row>
    <x:row r="227">
      <x:c r="A227" s="13" t="str">
        <x:v>confounding_ignored_sample_problem</x:v>
      </x:c>
      <x:c r="B227" s="13" t="str">
        <x:v>confounding_ignored</x:v>
      </x:c>
      <x:c r="C227" s="13" t="str">
        <x:v>Ignored confounding</x:v>
      </x:c>
      <x:c r="D227" s="13" t="str">
        <x:v>نادیده‌گرفتن مخدوشگر</x:v>
      </x:c>
      <x:c r="E227" s="13" t="str">
        <x:v>Sample-quality variant</x:v>
      </x:c>
      <x:c r="F227" s="13" t="str">
        <x:v>evidence_failures</x:v>
      </x:c>
      <x:c r="G227" s="13" t="str">
        <x:v>operational_variant</x:v>
      </x:c>
      <x:c r="H227" s="13" t="str">
        <x:v>contextual</x:v>
      </x:c>
      <x:c r="I227" s="13" t="str">
        <x:v>claim+context</x:v>
      </x:c>
      <x:c r="J227" s="13" t="str">
        <x:v>derived_operational_subtype</x:v>
      </x:c>
      <x:c r="K227" s="13" t="str">
        <x:v>derived_from_established_parent_review_required</x:v>
      </x:c>
      <x:c r="L227" s="13" t="str">
        <x:v>P3</x:v>
      </x:c>
      <x:c r="M227" s="13" t="str">
        <x:v>no</x:v>
      </x:c>
      <x:c r="N227" s="13" t="str">
        <x:v>Operational subtype under Ignored confounding: sample, selection, or representativeness is central. Parent definition: Treating an association as direct while ignoring confounding factors.</x:v>
      </x:c>
      <x:c r="O227" s="13" t="str">
        <x:v>Look for: explicit claim-level evidence; parent-family cues for Ignored confounding; variant cue: sample, selection, or representativeness is central; avoid author-level inference.</x:v>
      </x:c>
      <x:c r="P227" s="13" t="str">
        <x:v>Exact evidence span in text plus claim-level reasoning link; for contextual/discourse entries, require surrounding context.</x:v>
      </x:c>
      <x:c r="Q227" s="13" t="str">
        <x:v>Do not label merely because topic is controversial, emotional, or wrong. Do not judge intent or personality. Require textual evidence and consider healthy-reasoning cues.</x:v>
      </x:c>
      <x:c r="R227" s="13" t="str">
        <x:v>Stub: A claim relies on sample, selection, or representativeness is central to support a conclusion without adequate qualification.</x:v>
      </x:c>
      <x:c r="S227" s="13" t="str">
        <x:v>Stub: A claim discusses ignored confounding with caveats, balanced evidence, or no argumentative use of the pattern.</x:v>
      </x:c>
      <x:c r="T227" s="13" t="str">
        <x:v>Mild or ambiguous cue; do not classify without clear evidence span.</x:v>
      </x:c>
      <x:c r="U227" s="13" t="str">
        <x:v>Clear claim-level pattern with some argumentative impact.</x:v>
      </x:c>
      <x:c r="V227" s="13" t="str">
        <x:v>Strong pattern central to the conclusion and likely to materially distort reasoning.</x:v>
      </x:c>
      <x:c r="W227" s="13" t="str"/>
      <x:c r="X227" s="13" t="str">
        <x:v>sep_informal_logic</x:v>
      </x:c>
      <x:c r="Y227" s="13" t="str">
        <x:v>https://plato.stanford.edu/entries/logic-informal/</x:v>
      </x:c>
      <x:c r="Z227" s="13" t="str">
        <x:v>Review before enabling. This workbook is a living taxonomy scaffold, not a validated scientific benchmark.</x:v>
      </x:c>
      <x:c r="AA227" s="13" t="str">
        <x:v>0.1.0-draft</x:v>
      </x:c>
      <x:c r="AB227" s="12" t="str">
        <x:f>IF(ISNUMBER(SEARCH("healthy",F227)),"healthy_reasoning_patterns",IF(ISNUMBER(SEARCH("statistical",F227)),"statistical_reasoning",IF(ISNUMBER(SEARCH("causal",F227)),"causal_reasoning",IF(ISNUMBER(SEARCH("social",F227)),"social_influence",IF(ISNUMBER(SEARCH("rhetoric",F227)),"rhetoric_discourse",IF(ISNUMBER(SEARCH("behavior",F227)),"behavioural_economics",IF(ISNUMBER(SEARCH("cognitive",F227)),"cognitive_biases",IF(J227="protective_pattern","healthy_reasoning_patterns",IF(L227="P0","core_mvp","extended_fallacies")))))))))</x:f>
        <x:v>extended_fallacies</x:v>
      </x:c>
      <x:c r="AC227" s="12" t="str">
        <x:f>IF(ISNUMBER(SEARCH("operational",J227)),"operational",IF(ISNUMBER(SEARCH("deprecated",J227)),"deprecated",IF(L227="P0","canonical","recognized_subtype")))</x:f>
        <x:v>operational</x:v>
      </x:c>
      <x:c r="AD227" s="12" t="str">
        <x:f>IF(AC227="canonical","high",IF(AC227="recognized_subtype","medium",IF(AC227="operational","operational_only","debated")))</x:f>
        <x:v>operational_only</x:v>
      </x:c>
      <x:c r="AE227" s="12" t="str">
        <x:f>IF(AC227="deprecated","deprecated",IF(M227="yes","active",IF(M227="review","review_required","backlog")))</x:f>
        <x:v>backlog</x:v>
      </x:c>
      <x:c r="AF227" s="12" t="str">
        <x:f>IF(OR(AE227="active",AE227="review_required"),"yes","no")</x:f>
        <x:v>no</x:v>
      </x:c>
      <x:c r="AG227" s="12" t="str">
        <x:f>IF(AND(AE227="active",M227="yes",NOT(ISNUMBER(SEARCH("healthy",AB227)))),"yes","no")</x:f>
        <x:v>no</x:v>
      </x:c>
      <x:c r="AH227" s="12" t="str">
        <x:f>IF(OR(H227="contextual",H227="dialogue",H227="discourse",I227="claim+context",I227="discourse_segment"),"yes","no")</x:f>
        <x:v>yes</x:v>
      </x:c>
      <x:c r="AI227" s="12" t="str">
        <x:f>IF(OR(AH227="yes",AD227="debated",AC227="operational"),"yes","no")</x:f>
        <x:v>yes</x:v>
      </x:c>
      <x:c r="AJ227" s="12" t="str">
        <x:f>IF(OR(AH227="yes",AC227="operational",AD227="debated"),"high",IF(AND(AG227="yes",L227="P0"),"medium","low"))</x:f>
        <x:v>high</x:v>
      </x:c>
      <x:c r="AK227" s="12" t="str">
        <x:f>IF(ISNUMBER(SEARCH("healthy",AB227)),"yes","no")</x:f>
        <x:v>no</x:v>
      </x:c>
      <x:c r="AL227" s="12" t="str">
        <x:f>IF(AG227="yes","yes","candidate_only")</x:f>
        <x:v>candidate_only</x:v>
      </x:c>
      <x:c r="AM227" s="12" t="str">
        <x:f>IF(OR(AC227="canonical",AG227="yes"),"yes","recommended")</x:f>
        <x:v>recommended</x:v>
      </x:c>
      <x:c r="AN227" s="12" t="str">
        <x:f>IF(AC227="deprecated","exclude",IF(AND(AG227="yes",AJ227="high"),"import_but_human_review_required",IF(AG227="yes","import_as_active","import_as_backlog")))</x:f>
        <x:v>import_as_backlog</x:v>
      </x:c>
      <x:c r="AO227" s="12" t="str">
        <x:f>IF(AND(AG227="yes",OR(P227="",Q227="",R227="",S227="")),"missing_required_mvp_fields",IF(AND(AC227="canonical",Y227=""),"missing_source_ref","ok"))</x:f>
        <x:v>ok</x:v>
      </x:c>
      <x:c r="AP227" s="12" t="str">
        <x:f>IF(AO227="ok","ready_for_codex_import","needs_review")</x:f>
        <x:v>ready_for_codex_import</x:v>
      </x:c>
      <x:c r="AQ227" s="12"/>
      <x:c r="AR227" s="12" t="str">
        <x:v>Added v2 operational fields. Review before classification activation.</x:v>
      </x:c>
    </x:row>
    <x:row r="228">
      <x:c r="A228" s="13" t="str">
        <x:v>noncomparable_groups_sample_problem</x:v>
      </x:c>
      <x:c r="B228" s="13" t="str">
        <x:v>noncomparable_groups</x:v>
      </x:c>
      <x:c r="C228" s="13" t="str">
        <x:v>Non-comparable groups</x:v>
      </x:c>
      <x:c r="D228" s="13" t="str">
        <x:v>گروه‌های غیرقابل‌مقایسه</x:v>
      </x:c>
      <x:c r="E228" s="13" t="str">
        <x:v>Sample-quality variant</x:v>
      </x:c>
      <x:c r="F228" s="13" t="str">
        <x:v>evidence_failures</x:v>
      </x:c>
      <x:c r="G228" s="13" t="str">
        <x:v>operational_variant</x:v>
      </x:c>
      <x:c r="H228" s="13" t="str">
        <x:v>contextual</x:v>
      </x:c>
      <x:c r="I228" s="13" t="str">
        <x:v>claim+context</x:v>
      </x:c>
      <x:c r="J228" s="13" t="str">
        <x:v>derived_operational_subtype</x:v>
      </x:c>
      <x:c r="K228" s="13" t="str">
        <x:v>derived_from_established_parent_review_required</x:v>
      </x:c>
      <x:c r="L228" s="13" t="str">
        <x:v>P3</x:v>
      </x:c>
      <x:c r="M228" s="13" t="str">
        <x:v>no</x:v>
      </x:c>
      <x:c r="N228" s="13" t="str">
        <x:v>Operational subtype under Non-comparable groups: sample, selection, or representativeness is central. Parent definition: Comparing groups that differ in ways relevant to the claim.</x:v>
      </x:c>
      <x:c r="O228" s="13" t="str">
        <x:v>Look for: explicit claim-level evidence; parent-family cues for Non-comparable groups; variant cue: sample, selection, or representativeness is central; avoid author-level inference.</x:v>
      </x:c>
      <x:c r="P228" s="13" t="str">
        <x:v>Exact evidence span in text plus claim-level reasoning link; for contextual/discourse entries, require surrounding context.</x:v>
      </x:c>
      <x:c r="Q228" s="13" t="str">
        <x:v>Do not label merely because topic is controversial, emotional, or wrong. Do not judge intent or personality. Require textual evidence and consider healthy-reasoning cues.</x:v>
      </x:c>
      <x:c r="R228" s="13" t="str">
        <x:v>Stub: A claim relies on sample, selection, or representativeness is central to support a conclusion without adequate qualification.</x:v>
      </x:c>
      <x:c r="S228" s="13" t="str">
        <x:v>Stub: A claim discusses non-comparable groups with caveats, balanced evidence, or no argumentative use of the pattern.</x:v>
      </x:c>
      <x:c r="T228" s="13" t="str">
        <x:v>Mild or ambiguous cue; do not classify without clear evidence span.</x:v>
      </x:c>
      <x:c r="U228" s="13" t="str">
        <x:v>Clear claim-level pattern with some argumentative impact.</x:v>
      </x:c>
      <x:c r="V228" s="13" t="str">
        <x:v>Strong pattern central to the conclusion and likely to materially distort reasoning.</x:v>
      </x:c>
      <x:c r="W228" s="13" t="str"/>
      <x:c r="X228" s="13" t="str">
        <x:v>toulmin_uses_argument</x:v>
      </x:c>
      <x:c r="Y228" s="13" t="str">
        <x:v>https://doi.org/10.1017/CBO9780511840005</x:v>
      </x:c>
      <x:c r="Z228" s="13" t="str">
        <x:v>Review before enabling. This workbook is a living taxonomy scaffold, not a validated scientific benchmark.</x:v>
      </x:c>
      <x:c r="AA228" s="13" t="str">
        <x:v>0.1.0-draft</x:v>
      </x:c>
      <x:c r="AB228" s="12" t="str">
        <x:f>IF(ISNUMBER(SEARCH("healthy",F228)),"healthy_reasoning_patterns",IF(ISNUMBER(SEARCH("statistical",F228)),"statistical_reasoning",IF(ISNUMBER(SEARCH("causal",F228)),"causal_reasoning",IF(ISNUMBER(SEARCH("social",F228)),"social_influence",IF(ISNUMBER(SEARCH("rhetoric",F228)),"rhetoric_discourse",IF(ISNUMBER(SEARCH("behavior",F228)),"behavioural_economics",IF(ISNUMBER(SEARCH("cognitive",F228)),"cognitive_biases",IF(J228="protective_pattern","healthy_reasoning_patterns",IF(L228="P0","core_mvp","extended_fallacies")))))))))</x:f>
        <x:v>extended_fallacies</x:v>
      </x:c>
      <x:c r="AC228" s="12" t="str">
        <x:f>IF(ISNUMBER(SEARCH("operational",J228)),"operational",IF(ISNUMBER(SEARCH("deprecated",J228)),"deprecated",IF(L228="P0","canonical","recognized_subtype")))</x:f>
        <x:v>operational</x:v>
      </x:c>
      <x:c r="AD228" s="12" t="str">
        <x:f>IF(AC228="canonical","high",IF(AC228="recognized_subtype","medium",IF(AC228="operational","operational_only","debated")))</x:f>
        <x:v>operational_only</x:v>
      </x:c>
      <x:c r="AE228" s="12" t="str">
        <x:f>IF(AC228="deprecated","deprecated",IF(M228="yes","active",IF(M228="review","review_required","backlog")))</x:f>
        <x:v>backlog</x:v>
      </x:c>
      <x:c r="AF228" s="12" t="str">
        <x:f>IF(OR(AE228="active",AE228="review_required"),"yes","no")</x:f>
        <x:v>no</x:v>
      </x:c>
      <x:c r="AG228" s="12" t="str">
        <x:f>IF(AND(AE228="active",M228="yes",NOT(ISNUMBER(SEARCH("healthy",AB228)))),"yes","no")</x:f>
        <x:v>no</x:v>
      </x:c>
      <x:c r="AH228" s="12" t="str">
        <x:f>IF(OR(H228="contextual",H228="dialogue",H228="discourse",I228="claim+context",I228="discourse_segment"),"yes","no")</x:f>
        <x:v>yes</x:v>
      </x:c>
      <x:c r="AI228" s="12" t="str">
        <x:f>IF(OR(AH228="yes",AD228="debated",AC228="operational"),"yes","no")</x:f>
        <x:v>yes</x:v>
      </x:c>
      <x:c r="AJ228" s="12" t="str">
        <x:f>IF(OR(AH228="yes",AC228="operational",AD228="debated"),"high",IF(AND(AG228="yes",L228="P0"),"medium","low"))</x:f>
        <x:v>high</x:v>
      </x:c>
      <x:c r="AK228" s="12" t="str">
        <x:f>IF(ISNUMBER(SEARCH("healthy",AB228)),"yes","no")</x:f>
        <x:v>no</x:v>
      </x:c>
      <x:c r="AL228" s="12" t="str">
        <x:f>IF(AG228="yes","yes","candidate_only")</x:f>
        <x:v>candidate_only</x:v>
      </x:c>
      <x:c r="AM228" s="12" t="str">
        <x:f>IF(OR(AC228="canonical",AG228="yes"),"yes","recommended")</x:f>
        <x:v>recommended</x:v>
      </x:c>
      <x:c r="AN228" s="12" t="str">
        <x:f>IF(AC228="deprecated","exclude",IF(AND(AG228="yes",AJ228="high"),"import_but_human_review_required",IF(AG228="yes","import_as_active","import_as_backlog")))</x:f>
        <x:v>import_as_backlog</x:v>
      </x:c>
      <x:c r="AO228" s="12" t="str">
        <x:f>IF(AND(AG228="yes",OR(P228="",Q228="",R228="",S228="")),"missing_required_mvp_fields",IF(AND(AC228="canonical",Y228=""),"missing_source_ref","ok"))</x:f>
        <x:v>ok</x:v>
      </x:c>
      <x:c r="AP228" s="12" t="str">
        <x:f>IF(AO228="ok","ready_for_codex_import","needs_review")</x:f>
        <x:v>ready_for_codex_import</x:v>
      </x:c>
      <x:c r="AQ228" s="12"/>
      <x:c r="AR228" s="12" t="str">
        <x:v>Added v2 operational fields. Review before classification activation.</x:v>
      </x:c>
    </x:row>
    <x:row r="229">
      <x:c r="A229" s="13" t="str">
        <x:v>uncontrolled_comparison_sample_problem</x:v>
      </x:c>
      <x:c r="B229" s="13" t="str">
        <x:v>uncontrolled_comparison</x:v>
      </x:c>
      <x:c r="C229" s="13" t="str">
        <x:v>Uncontrolled comparison</x:v>
      </x:c>
      <x:c r="D229" s="13" t="str">
        <x:v>مقایسه بدون کنترل</x:v>
      </x:c>
      <x:c r="E229" s="13" t="str">
        <x:v>Sample-quality variant</x:v>
      </x:c>
      <x:c r="F229" s="13" t="str">
        <x:v>evidence_failures</x:v>
      </x:c>
      <x:c r="G229" s="13" t="str">
        <x:v>operational_variant</x:v>
      </x:c>
      <x:c r="H229" s="13" t="str">
        <x:v>contextual</x:v>
      </x:c>
      <x:c r="I229" s="13" t="str">
        <x:v>claim+context</x:v>
      </x:c>
      <x:c r="J229" s="13" t="str">
        <x:v>derived_operational_subtype</x:v>
      </x:c>
      <x:c r="K229" s="13" t="str">
        <x:v>derived_from_established_parent_review_required</x:v>
      </x:c>
      <x:c r="L229" s="13" t="str">
        <x:v>P3</x:v>
      </x:c>
      <x:c r="M229" s="13" t="str">
        <x:v>no</x:v>
      </x:c>
      <x:c r="N229" s="13" t="str">
        <x:v>Operational subtype under Uncontrolled comparison: sample, selection, or representativeness is central. Parent definition: Drawing a strong conclusion from comparisons without controls or caveats.</x:v>
      </x:c>
      <x:c r="O229" s="13" t="str">
        <x:v>Look for: explicit claim-level evidence; parent-family cues for Uncontrolled comparison; variant cue: sample, selection, or representativeness is central; avoid author-level inference.</x:v>
      </x:c>
      <x:c r="P229" s="13" t="str">
        <x:v>Exact evidence span in text plus claim-level reasoning link; for contextual/discourse entries, require surrounding context.</x:v>
      </x:c>
      <x:c r="Q229" s="13" t="str">
        <x:v>Do not label merely because topic is controversial, emotional, or wrong. Do not judge intent or personality. Require textual evidence and consider healthy-reasoning cues.</x:v>
      </x:c>
      <x:c r="R229" s="13" t="str">
        <x:v>Stub: A claim relies on sample, selection, or representativeness is central to support a conclusion without adequate qualification.</x:v>
      </x:c>
      <x:c r="S229" s="13" t="str">
        <x:v>Stub: A claim discusses uncontrolled comparison with caveats, balanced evidence, or no argumentative use of the pattern.</x:v>
      </x:c>
      <x:c r="T229" s="13" t="str">
        <x:v>Mild or ambiguous cue; do not classify without clear evidence span.</x:v>
      </x:c>
      <x:c r="U229" s="13" t="str">
        <x:v>Clear claim-level pattern with some argumentative impact.</x:v>
      </x:c>
      <x:c r="V229" s="13" t="str">
        <x:v>Strong pattern central to the conclusion and likely to materially distort reasoning.</x:v>
      </x:c>
      <x:c r="W229" s="13" t="str"/>
      <x:c r="X229" s="13" t="str">
        <x:v>toulmin_uses_argument</x:v>
      </x:c>
      <x:c r="Y229" s="13" t="str">
        <x:v>https://doi.org/10.1017/CBO9780511840005</x:v>
      </x:c>
      <x:c r="Z229" s="13" t="str">
        <x:v>Review before enabling. This workbook is a living taxonomy scaffold, not a validated scientific benchmark.</x:v>
      </x:c>
      <x:c r="AA229" s="13" t="str">
        <x:v>0.1.0-draft</x:v>
      </x:c>
      <x:c r="AB229" s="12" t="str">
        <x:f>IF(ISNUMBER(SEARCH("healthy",F229)),"healthy_reasoning_patterns",IF(ISNUMBER(SEARCH("statistical",F229)),"statistical_reasoning",IF(ISNUMBER(SEARCH("causal",F229)),"causal_reasoning",IF(ISNUMBER(SEARCH("social",F229)),"social_influence",IF(ISNUMBER(SEARCH("rhetoric",F229)),"rhetoric_discourse",IF(ISNUMBER(SEARCH("behavior",F229)),"behavioural_economics",IF(ISNUMBER(SEARCH("cognitive",F229)),"cognitive_biases",IF(J229="protective_pattern","healthy_reasoning_patterns",IF(L229="P0","core_mvp","extended_fallacies")))))))))</x:f>
        <x:v>extended_fallacies</x:v>
      </x:c>
      <x:c r="AC229" s="12" t="str">
        <x:f>IF(ISNUMBER(SEARCH("operational",J229)),"operational",IF(ISNUMBER(SEARCH("deprecated",J229)),"deprecated",IF(L229="P0","canonical","recognized_subtype")))</x:f>
        <x:v>operational</x:v>
      </x:c>
      <x:c r="AD229" s="12" t="str">
        <x:f>IF(AC229="canonical","high",IF(AC229="recognized_subtype","medium",IF(AC229="operational","operational_only","debated")))</x:f>
        <x:v>operational_only</x:v>
      </x:c>
      <x:c r="AE229" s="12" t="str">
        <x:f>IF(AC229="deprecated","deprecated",IF(M229="yes","active",IF(M229="review","review_required","backlog")))</x:f>
        <x:v>backlog</x:v>
      </x:c>
      <x:c r="AF229" s="12" t="str">
        <x:f>IF(OR(AE229="active",AE229="review_required"),"yes","no")</x:f>
        <x:v>no</x:v>
      </x:c>
      <x:c r="AG229" s="12" t="str">
        <x:f>IF(AND(AE229="active",M229="yes",NOT(ISNUMBER(SEARCH("healthy",AB229)))),"yes","no")</x:f>
        <x:v>no</x:v>
      </x:c>
      <x:c r="AH229" s="12" t="str">
        <x:f>IF(OR(H229="contextual",H229="dialogue",H229="discourse",I229="claim+context",I229="discourse_segment"),"yes","no")</x:f>
        <x:v>yes</x:v>
      </x:c>
      <x:c r="AI229" s="12" t="str">
        <x:f>IF(OR(AH229="yes",AD229="debated",AC229="operational"),"yes","no")</x:f>
        <x:v>yes</x:v>
      </x:c>
      <x:c r="AJ229" s="12" t="str">
        <x:f>IF(OR(AH229="yes",AC229="operational",AD229="debated"),"high",IF(AND(AG229="yes",L229="P0"),"medium","low"))</x:f>
        <x:v>high</x:v>
      </x:c>
      <x:c r="AK229" s="12" t="str">
        <x:f>IF(ISNUMBER(SEARCH("healthy",AB229)),"yes","no")</x:f>
        <x:v>no</x:v>
      </x:c>
      <x:c r="AL229" s="12" t="str">
        <x:f>IF(AG229="yes","yes","candidate_only")</x:f>
        <x:v>candidate_only</x:v>
      </x:c>
      <x:c r="AM229" s="12" t="str">
        <x:f>IF(OR(AC229="canonical",AG229="yes"),"yes","recommended")</x:f>
        <x:v>recommended</x:v>
      </x:c>
      <x:c r="AN229" s="12" t="str">
        <x:f>IF(AC229="deprecated","exclude",IF(AND(AG229="yes",AJ229="high"),"import_but_human_review_required",IF(AG229="yes","import_as_active","import_as_backlog")))</x:f>
        <x:v>import_as_backlog</x:v>
      </x:c>
      <x:c r="AO229" s="12" t="str">
        <x:f>IF(AND(AG229="yes",OR(P229="",Q229="",R229="",S229="")),"missing_required_mvp_fields",IF(AND(AC229="canonical",Y229=""),"missing_source_ref","ok"))</x:f>
        <x:v>ok</x:v>
      </x:c>
      <x:c r="AP229" s="12" t="str">
        <x:f>IF(AO229="ok","ready_for_codex_import","needs_review")</x:f>
        <x:v>ready_for_codex_import</x:v>
      </x:c>
      <x:c r="AQ229" s="12"/>
      <x:c r="AR229" s="12" t="str">
        <x:v>Added v2 operational fields. Review before classification activation.</x:v>
      </x:c>
    </x:row>
    <x:row r="230">
      <x:c r="A230" s="13" t="str">
        <x:v>causality_without_design_sample_problem</x:v>
      </x:c>
      <x:c r="B230" s="13" t="str">
        <x:v>causality_without_design</x:v>
      </x:c>
      <x:c r="C230" s="13" t="str">
        <x:v>Causal claim without causal design</x:v>
      </x:c>
      <x:c r="D230" s="13" t="str">
        <x:v>ادعای علی بدون طراحی علی</x:v>
      </x:c>
      <x:c r="E230" s="13" t="str">
        <x:v>Sample-quality variant</x:v>
      </x:c>
      <x:c r="F230" s="13" t="str">
        <x:v>evidence_failures</x:v>
      </x:c>
      <x:c r="G230" s="13" t="str">
        <x:v>operational_variant</x:v>
      </x:c>
      <x:c r="H230" s="13" t="str">
        <x:v>contextual</x:v>
      </x:c>
      <x:c r="I230" s="13" t="str">
        <x:v>claim+context</x:v>
      </x:c>
      <x:c r="J230" s="13" t="str">
        <x:v>derived_operational_subtype</x:v>
      </x:c>
      <x:c r="K230" s="13" t="str">
        <x:v>derived_from_established_parent_review_required</x:v>
      </x:c>
      <x:c r="L230" s="13" t="str">
        <x:v>P3</x:v>
      </x:c>
      <x:c r="M230" s="13" t="str">
        <x:v>no</x:v>
      </x:c>
      <x:c r="N230" s="13" t="str">
        <x:v>Operational subtype under Causal claim without causal design: sample, selection, or representativeness is central. Parent definition: Making causal claims without design or evidence suited to causal inference.</x:v>
      </x:c>
      <x:c r="O230" s="13" t="str">
        <x:v>Look for: explicit claim-level evidence; parent-family cues for Causal claim without causal design; variant cue: sample, selection, or representativeness is central; avoid author-level inference.</x:v>
      </x:c>
      <x:c r="P230" s="13" t="str">
        <x:v>Exact evidence span in text plus claim-level reasoning link; for contextual/discourse entries, require surrounding context.</x:v>
      </x:c>
      <x:c r="Q230" s="13" t="str">
        <x:v>Do not label merely because topic is controversial, emotional, or wrong. Do not judge intent or personality. Require textual evidence and consider healthy-reasoning cues.</x:v>
      </x:c>
      <x:c r="R230" s="13" t="str">
        <x:v>Stub: A claim relies on sample, selection, or representativeness is central to support a conclusion without adequate qualification.</x:v>
      </x:c>
      <x:c r="S230" s="13" t="str">
        <x:v>Stub: A claim discusses causal claim without causal design with caveats, balanced evidence, or no argumentative use of the pattern.</x:v>
      </x:c>
      <x:c r="T230" s="13" t="str">
        <x:v>Mild or ambiguous cue; do not classify without clear evidence span.</x:v>
      </x:c>
      <x:c r="U230" s="13" t="str">
        <x:v>Clear claim-level pattern with some argumentative impact.</x:v>
      </x:c>
      <x:c r="V230" s="13" t="str">
        <x:v>Strong pattern central to the conclusion and likely to materially distort reasoning.</x:v>
      </x:c>
      <x:c r="W230" s="13" t="str">
        <x:v>post_hoc; cum_hoc; alternative_explanation_neglect</x:v>
      </x:c>
      <x:c r="X230" s="13" t="str">
        <x:v>toulmin_uses_argument</x:v>
      </x:c>
      <x:c r="Y230" s="13" t="str">
        <x:v>https://doi.org/10.1017/CBO9780511840005</x:v>
      </x:c>
      <x:c r="Z230" s="13" t="str">
        <x:v>Review before enabling. This workbook is a living taxonomy scaffold, not a validated scientific benchmark.</x:v>
      </x:c>
      <x:c r="AA230" s="13" t="str">
        <x:v>0.1.0-draft</x:v>
      </x:c>
      <x:c r="AB230" s="12" t="str">
        <x:f>IF(ISNUMBER(SEARCH("healthy",F230)),"healthy_reasoning_patterns",IF(ISNUMBER(SEARCH("statistical",F230)),"statistical_reasoning",IF(ISNUMBER(SEARCH("causal",F230)),"causal_reasoning",IF(ISNUMBER(SEARCH("social",F230)),"social_influence",IF(ISNUMBER(SEARCH("rhetoric",F230)),"rhetoric_discourse",IF(ISNUMBER(SEARCH("behavior",F230)),"behavioural_economics",IF(ISNUMBER(SEARCH("cognitive",F230)),"cognitive_biases",IF(J230="protective_pattern","healthy_reasoning_patterns",IF(L230="P0","core_mvp","extended_fallacies")))))))))</x:f>
        <x:v>extended_fallacies</x:v>
      </x:c>
      <x:c r="AC230" s="12" t="str">
        <x:f>IF(ISNUMBER(SEARCH("operational",J230)),"operational",IF(ISNUMBER(SEARCH("deprecated",J230)),"deprecated",IF(L230="P0","canonical","recognized_subtype")))</x:f>
        <x:v>operational</x:v>
      </x:c>
      <x:c r="AD230" s="12" t="str">
        <x:f>IF(AC230="canonical","high",IF(AC230="recognized_subtype","medium",IF(AC230="operational","operational_only","debated")))</x:f>
        <x:v>operational_only</x:v>
      </x:c>
      <x:c r="AE230" s="12" t="str">
        <x:f>IF(AC230="deprecated","deprecated",IF(M230="yes","active",IF(M230="review","review_required","backlog")))</x:f>
        <x:v>backlog</x:v>
      </x:c>
      <x:c r="AF230" s="12" t="str">
        <x:f>IF(OR(AE230="active",AE230="review_required"),"yes","no")</x:f>
        <x:v>no</x:v>
      </x:c>
      <x:c r="AG230" s="12" t="str">
        <x:f>IF(AND(AE230="active",M230="yes",NOT(ISNUMBER(SEARCH("healthy",AB230)))),"yes","no")</x:f>
        <x:v>no</x:v>
      </x:c>
      <x:c r="AH230" s="12" t="str">
        <x:f>IF(OR(H230="contextual",H230="dialogue",H230="discourse",I230="claim+context",I230="discourse_segment"),"yes","no")</x:f>
        <x:v>yes</x:v>
      </x:c>
      <x:c r="AI230" s="12" t="str">
        <x:f>IF(OR(AH230="yes",AD230="debated",AC230="operational"),"yes","no")</x:f>
        <x:v>yes</x:v>
      </x:c>
      <x:c r="AJ230" s="12" t="str">
        <x:f>IF(OR(AH230="yes",AC230="operational",AD230="debated"),"high",IF(AND(AG230="yes",L230="P0"),"medium","low"))</x:f>
        <x:v>high</x:v>
      </x:c>
      <x:c r="AK230" s="12" t="str">
        <x:f>IF(ISNUMBER(SEARCH("healthy",AB230)),"yes","no")</x:f>
        <x:v>no</x:v>
      </x:c>
      <x:c r="AL230" s="12" t="str">
        <x:f>IF(AG230="yes","yes","candidate_only")</x:f>
        <x:v>candidate_only</x:v>
      </x:c>
      <x:c r="AM230" s="12" t="str">
        <x:f>IF(OR(AC230="canonical",AG230="yes"),"yes","recommended")</x:f>
        <x:v>recommended</x:v>
      </x:c>
      <x:c r="AN230" s="12" t="str">
        <x:f>IF(AC230="deprecated","exclude",IF(AND(AG230="yes",AJ230="high"),"import_but_human_review_required",IF(AG230="yes","import_as_active","import_as_backlog")))</x:f>
        <x:v>import_as_backlog</x:v>
      </x:c>
      <x:c r="AO230" s="12" t="str">
        <x:f>IF(AND(AG230="yes",OR(P230="",Q230="",R230="",S230="")),"missing_required_mvp_fields",IF(AND(AC230="canonical",Y230=""),"missing_source_ref","ok"))</x:f>
        <x:v>ok</x:v>
      </x:c>
      <x:c r="AP230" s="12" t="str">
        <x:f>IF(AO230="ok","ready_for_codex_import","needs_review")</x:f>
        <x:v>ready_for_codex_import</x:v>
      </x:c>
      <x:c r="AQ230" s="12"/>
      <x:c r="AR230" s="12" t="str">
        <x:v>Added v2 operational fields. Review before classification activation.</x:v>
      </x:c>
    </x:row>
    <x:row r="231">
      <x:c r="A231" s="13" t="str">
        <x:v>temporal_misalignment_sample_problem</x:v>
      </x:c>
      <x:c r="B231" s="13" t="str">
        <x:v>temporal_misalignment</x:v>
      </x:c>
      <x:c r="C231" s="13" t="str">
        <x:v>Temporal misalignment</x:v>
      </x:c>
      <x:c r="D231" s="13" t="str">
        <x:v>ناهماهنگی زمانی داده و ادعا</x:v>
      </x:c>
      <x:c r="E231" s="13" t="str">
        <x:v>Sample-quality variant</x:v>
      </x:c>
      <x:c r="F231" s="13" t="str">
        <x:v>evidence_failures</x:v>
      </x:c>
      <x:c r="G231" s="13" t="str">
        <x:v>operational_variant</x:v>
      </x:c>
      <x:c r="H231" s="13" t="str">
        <x:v>contextual</x:v>
      </x:c>
      <x:c r="I231" s="13" t="str">
        <x:v>claim+context</x:v>
      </x:c>
      <x:c r="J231" s="13" t="str">
        <x:v>derived_operational_subtype</x:v>
      </x:c>
      <x:c r="K231" s="13" t="str">
        <x:v>derived_from_established_parent_review_required</x:v>
      </x:c>
      <x:c r="L231" s="13" t="str">
        <x:v>P3</x:v>
      </x:c>
      <x:c r="M231" s="13" t="str">
        <x:v>no</x:v>
      </x:c>
      <x:c r="N231" s="13" t="str">
        <x:v>Operational subtype under Temporal misalignment: sample, selection, or representativeness is central. Parent definition: Using evidence from a time frame that does not match the claim.</x:v>
      </x:c>
      <x:c r="O231" s="13" t="str">
        <x:v>Look for: explicit claim-level evidence; parent-family cues for Temporal misalignment; variant cue: sample, selection, or representativeness is central; avoid author-level inference.</x:v>
      </x:c>
      <x:c r="P231" s="13" t="str">
        <x:v>Exact evidence span in text plus claim-level reasoning link; for contextual/discourse entries, require surrounding context.</x:v>
      </x:c>
      <x:c r="Q231" s="13" t="str">
        <x:v>Do not label merely because topic is controversial, emotional, or wrong. Do not judge intent or personality. Require textual evidence and consider healthy-reasoning cues.</x:v>
      </x:c>
      <x:c r="R231" s="13" t="str">
        <x:v>Stub: A claim relies on sample, selection, or representativeness is central to support a conclusion without adequate qualification.</x:v>
      </x:c>
      <x:c r="S231" s="13" t="str">
        <x:v>Stub: A claim discusses temporal misalignment with caveats, balanced evidence, or no argumentative use of the pattern.</x:v>
      </x:c>
      <x:c r="T231" s="13" t="str">
        <x:v>Mild or ambiguous cue; do not classify without clear evidence span.</x:v>
      </x:c>
      <x:c r="U231" s="13" t="str">
        <x:v>Clear claim-level pattern with some argumentative impact.</x:v>
      </x:c>
      <x:c r="V231" s="13" t="str">
        <x:v>Strong pattern central to the conclusion and likely to materially distort reasoning.</x:v>
      </x:c>
      <x:c r="W231" s="13" t="str">
        <x:v>cherry_picking; missing_counterevidence; evidence_grading</x:v>
      </x:c>
      <x:c r="X231" s="13" t="str">
        <x:v>toulmin_uses_argument</x:v>
      </x:c>
      <x:c r="Y231" s="13" t="str">
        <x:v>https://doi.org/10.1017/CBO9780511840005</x:v>
      </x:c>
      <x:c r="Z231" s="13" t="str">
        <x:v>Review before enabling. This workbook is a living taxonomy scaffold, not a validated scientific benchmark.</x:v>
      </x:c>
      <x:c r="AA231" s="13" t="str">
        <x:v>0.1.0-draft</x:v>
      </x:c>
      <x:c r="AB231" s="12" t="str">
        <x:f>IF(ISNUMBER(SEARCH("healthy",F231)),"healthy_reasoning_patterns",IF(ISNUMBER(SEARCH("statistical",F231)),"statistical_reasoning",IF(ISNUMBER(SEARCH("causal",F231)),"causal_reasoning",IF(ISNUMBER(SEARCH("social",F231)),"social_influence",IF(ISNUMBER(SEARCH("rhetoric",F231)),"rhetoric_discourse",IF(ISNUMBER(SEARCH("behavior",F231)),"behavioural_economics",IF(ISNUMBER(SEARCH("cognitive",F231)),"cognitive_biases",IF(J231="protective_pattern","healthy_reasoning_patterns",IF(L231="P0","core_mvp","extended_fallacies")))))))))</x:f>
        <x:v>extended_fallacies</x:v>
      </x:c>
      <x:c r="AC231" s="12" t="str">
        <x:f>IF(ISNUMBER(SEARCH("operational",J231)),"operational",IF(ISNUMBER(SEARCH("deprecated",J231)),"deprecated",IF(L231="P0","canonical","recognized_subtype")))</x:f>
        <x:v>operational</x:v>
      </x:c>
      <x:c r="AD231" s="12" t="str">
        <x:f>IF(AC231="canonical","high",IF(AC231="recognized_subtype","medium",IF(AC231="operational","operational_only","debated")))</x:f>
        <x:v>operational_only</x:v>
      </x:c>
      <x:c r="AE231" s="12" t="str">
        <x:f>IF(AC231="deprecated","deprecated",IF(M231="yes","active",IF(M231="review","review_required","backlog")))</x:f>
        <x:v>backlog</x:v>
      </x:c>
      <x:c r="AF231" s="12" t="str">
        <x:f>IF(OR(AE231="active",AE231="review_required"),"yes","no")</x:f>
        <x:v>no</x:v>
      </x:c>
      <x:c r="AG231" s="12" t="str">
        <x:f>IF(AND(AE231="active",M231="yes",NOT(ISNUMBER(SEARCH("healthy",AB231)))),"yes","no")</x:f>
        <x:v>no</x:v>
      </x:c>
      <x:c r="AH231" s="12" t="str">
        <x:f>IF(OR(H231="contextual",H231="dialogue",H231="discourse",I231="claim+context",I231="discourse_segment"),"yes","no")</x:f>
        <x:v>yes</x:v>
      </x:c>
      <x:c r="AI231" s="12" t="str">
        <x:f>IF(OR(AH231="yes",AD231="debated",AC231="operational"),"yes","no")</x:f>
        <x:v>yes</x:v>
      </x:c>
      <x:c r="AJ231" s="12" t="str">
        <x:f>IF(OR(AH231="yes",AC231="operational",AD231="debated"),"high",IF(AND(AG231="yes",L231="P0"),"medium","low"))</x:f>
        <x:v>high</x:v>
      </x:c>
      <x:c r="AK231" s="12" t="str">
        <x:f>IF(ISNUMBER(SEARCH("healthy",AB231)),"yes","no")</x:f>
        <x:v>no</x:v>
      </x:c>
      <x:c r="AL231" s="12" t="str">
        <x:f>IF(AG231="yes","yes","candidate_only")</x:f>
        <x:v>candidate_only</x:v>
      </x:c>
      <x:c r="AM231" s="12" t="str">
        <x:f>IF(OR(AC231="canonical",AG231="yes"),"yes","recommended")</x:f>
        <x:v>recommended</x:v>
      </x:c>
      <x:c r="AN231" s="12" t="str">
        <x:f>IF(AC231="deprecated","exclude",IF(AND(AG231="yes",AJ231="high"),"import_but_human_review_required",IF(AG231="yes","import_as_active","import_as_backlog")))</x:f>
        <x:v>import_as_backlog</x:v>
      </x:c>
      <x:c r="AO231" s="12" t="str">
        <x:f>IF(AND(AG231="yes",OR(P231="",Q231="",R231="",S231="")),"missing_required_mvp_fields",IF(AND(AC231="canonical",Y231=""),"missing_source_ref","ok"))</x:f>
        <x:v>ok</x:v>
      </x:c>
      <x:c r="AP231" s="12" t="str">
        <x:f>IF(AO231="ok","ready_for_codex_import","needs_review")</x:f>
        <x:v>ready_for_codex_import</x:v>
      </x:c>
      <x:c r="AQ231" s="12"/>
      <x:c r="AR231" s="12" t="str">
        <x:v>Added v2 operational fields. Review before classification activation.</x:v>
      </x:c>
    </x:row>
    <x:row r="232">
      <x:c r="A232" s="13" t="str">
        <x:v>data_dredging_sample_problem</x:v>
      </x:c>
      <x:c r="B232" s="13" t="str">
        <x:v>data_dredging</x:v>
      </x:c>
      <x:c r="C232" s="13" t="str">
        <x:v>Data dredging</x:v>
      </x:c>
      <x:c r="D232" s="13" t="str">
        <x:v>داده‌کاوی بی‌قاعده</x:v>
      </x:c>
      <x:c r="E232" s="13" t="str">
        <x:v>Sample-quality variant</x:v>
      </x:c>
      <x:c r="F232" s="13" t="str">
        <x:v>evidence_failures</x:v>
      </x:c>
      <x:c r="G232" s="13" t="str">
        <x:v>operational_variant</x:v>
      </x:c>
      <x:c r="H232" s="13" t="str">
        <x:v>contextual</x:v>
      </x:c>
      <x:c r="I232" s="13" t="str">
        <x:v>claim+context</x:v>
      </x:c>
      <x:c r="J232" s="13" t="str">
        <x:v>derived_operational_subtype</x:v>
      </x:c>
      <x:c r="K232" s="13" t="str">
        <x:v>derived_from_established_parent_review_required</x:v>
      </x:c>
      <x:c r="L232" s="13" t="str">
        <x:v>P3</x:v>
      </x:c>
      <x:c r="M232" s="13" t="str">
        <x:v>no</x:v>
      </x:c>
      <x:c r="N232" s="13" t="str">
        <x:v>Operational subtype under Data dredging: sample, selection, or representativeness is central. Parent definition: Searching many patterns and presenting selected ones as planned evidence.</x:v>
      </x:c>
      <x:c r="O232" s="13" t="str">
        <x:v>Look for: explicit claim-level evidence; parent-family cues for Data dredging; variant cue: sample, selection, or representativeness is central; avoid author-level inference.</x:v>
      </x:c>
      <x:c r="P232" s="13" t="str">
        <x:v>Exact evidence span in text plus claim-level reasoning link; for contextual/discourse entries, require surrounding context.</x:v>
      </x:c>
      <x:c r="Q232" s="13" t="str">
        <x:v>Do not label merely because topic is controversial, emotional, or wrong. Do not judge intent or personality. Require textual evidence and consider healthy-reasoning cues.</x:v>
      </x:c>
      <x:c r="R232" s="13" t="str">
        <x:v>Stub: A claim relies on sample, selection, or representativeness is central to support a conclusion without adequate qualification.</x:v>
      </x:c>
      <x:c r="S232" s="13" t="str">
        <x:v>Stub: A claim discusses data dredging with caveats, balanced evidence, or no argumentative use of the pattern.</x:v>
      </x:c>
      <x:c r="T232" s="13" t="str">
        <x:v>Mild or ambiguous cue; do not classify without clear evidence span.</x:v>
      </x:c>
      <x:c r="U232" s="13" t="str">
        <x:v>Clear claim-level pattern with some argumentative impact.</x:v>
      </x:c>
      <x:c r="V232" s="13" t="str">
        <x:v>Strong pattern central to the conclusion and likely to materially distort reasoning.</x:v>
      </x:c>
      <x:c r="W232" s="13" t="str">
        <x:v>cherry_picking; missing_counterevidence; evidence_grading</x:v>
      </x:c>
      <x:c r="X232" s="13" t="str">
        <x:v>stanovich_dual_process</x:v>
      </x:c>
      <x:c r="Y232" s="13" t="str">
        <x:v>https://global.oup.com/academic/product/rationality-and-the-reflective-mind-9780195341140</x:v>
      </x:c>
      <x:c r="Z232" s="13" t="str">
        <x:v>Review before enabling. This workbook is a living taxonomy scaffold, not a validated scientific benchmark.</x:v>
      </x:c>
      <x:c r="AA232" s="13" t="str">
        <x:v>0.1.0-draft</x:v>
      </x:c>
      <x:c r="AB232" s="12" t="str">
        <x:f>IF(ISNUMBER(SEARCH("healthy",F232)),"healthy_reasoning_patterns",IF(ISNUMBER(SEARCH("statistical",F232)),"statistical_reasoning",IF(ISNUMBER(SEARCH("causal",F232)),"causal_reasoning",IF(ISNUMBER(SEARCH("social",F232)),"social_influence",IF(ISNUMBER(SEARCH("rhetoric",F232)),"rhetoric_discourse",IF(ISNUMBER(SEARCH("behavior",F232)),"behavioural_economics",IF(ISNUMBER(SEARCH("cognitive",F232)),"cognitive_biases",IF(J232="protective_pattern","healthy_reasoning_patterns",IF(L232="P0","core_mvp","extended_fallacies")))))))))</x:f>
        <x:v>extended_fallacies</x:v>
      </x:c>
      <x:c r="AC232" s="12" t="str">
        <x:f>IF(ISNUMBER(SEARCH("operational",J232)),"operational",IF(ISNUMBER(SEARCH("deprecated",J232)),"deprecated",IF(L232="P0","canonical","recognized_subtype")))</x:f>
        <x:v>operational</x:v>
      </x:c>
      <x:c r="AD232" s="12" t="str">
        <x:f>IF(AC232="canonical","high",IF(AC232="recognized_subtype","medium",IF(AC232="operational","operational_only","debated")))</x:f>
        <x:v>operational_only</x:v>
      </x:c>
      <x:c r="AE232" s="12" t="str">
        <x:f>IF(AC232="deprecated","deprecated",IF(M232="yes","active",IF(M232="review","review_required","backlog")))</x:f>
        <x:v>backlog</x:v>
      </x:c>
      <x:c r="AF232" s="12" t="str">
        <x:f>IF(OR(AE232="active",AE232="review_required"),"yes","no")</x:f>
        <x:v>no</x:v>
      </x:c>
      <x:c r="AG232" s="12" t="str">
        <x:f>IF(AND(AE232="active",M232="yes",NOT(ISNUMBER(SEARCH("healthy",AB232)))),"yes","no")</x:f>
        <x:v>no</x:v>
      </x:c>
      <x:c r="AH232" s="12" t="str">
        <x:f>IF(OR(H232="contextual",H232="dialogue",H232="discourse",I232="claim+context",I232="discourse_segment"),"yes","no")</x:f>
        <x:v>yes</x:v>
      </x:c>
      <x:c r="AI232" s="12" t="str">
        <x:f>IF(OR(AH232="yes",AD232="debated",AC232="operational"),"yes","no")</x:f>
        <x:v>yes</x:v>
      </x:c>
      <x:c r="AJ232" s="12" t="str">
        <x:f>IF(OR(AH232="yes",AC232="operational",AD232="debated"),"high",IF(AND(AG232="yes",L232="P0"),"medium","low"))</x:f>
        <x:v>high</x:v>
      </x:c>
      <x:c r="AK232" s="12" t="str">
        <x:f>IF(ISNUMBER(SEARCH("healthy",AB232)),"yes","no")</x:f>
        <x:v>no</x:v>
      </x:c>
      <x:c r="AL232" s="12" t="str">
        <x:f>IF(AG232="yes","yes","candidate_only")</x:f>
        <x:v>candidate_only</x:v>
      </x:c>
      <x:c r="AM232" s="12" t="str">
        <x:f>IF(OR(AC232="canonical",AG232="yes"),"yes","recommended")</x:f>
        <x:v>recommended</x:v>
      </x:c>
      <x:c r="AN232" s="12" t="str">
        <x:f>IF(AC232="deprecated","exclude",IF(AND(AG232="yes",AJ232="high"),"import_but_human_review_required",IF(AG232="yes","import_as_active","import_as_backlog")))</x:f>
        <x:v>import_as_backlog</x:v>
      </x:c>
      <x:c r="AO232" s="12" t="str">
        <x:f>IF(AND(AG232="yes",OR(P232="",Q232="",R232="",S232="")),"missing_required_mvp_fields",IF(AND(AC232="canonical",Y232=""),"missing_source_ref","ok"))</x:f>
        <x:v>ok</x:v>
      </x:c>
      <x:c r="AP232" s="12" t="str">
        <x:f>IF(AO232="ok","ready_for_codex_import","needs_review")</x:f>
        <x:v>ready_for_codex_import</x:v>
      </x:c>
      <x:c r="AQ232" s="12"/>
      <x:c r="AR232" s="12" t="str">
        <x:v>Added v2 operational fields. Review before classification activation.</x:v>
      </x:c>
    </x:row>
    <x:row r="233">
      <x:c r="A233" s="13" t="str">
        <x:v>multiple_comparisons_ignored_sample_problem</x:v>
      </x:c>
      <x:c r="B233" s="13" t="str">
        <x:v>multiple_comparisons_ignored</x:v>
      </x:c>
      <x:c r="C233" s="13" t="str">
        <x:v>Multiple comparisons ignored</x:v>
      </x:c>
      <x:c r="D233" s="13" t="str">
        <x:v>نادیده‌گرفتن مقایسه‌های متعدد</x:v>
      </x:c>
      <x:c r="E233" s="13" t="str">
        <x:v>Sample-quality variant</x:v>
      </x:c>
      <x:c r="F233" s="13" t="str">
        <x:v>evidence_failures</x:v>
      </x:c>
      <x:c r="G233" s="13" t="str">
        <x:v>operational_variant</x:v>
      </x:c>
      <x:c r="H233" s="13" t="str">
        <x:v>contextual</x:v>
      </x:c>
      <x:c r="I233" s="13" t="str">
        <x:v>claim+context</x:v>
      </x:c>
      <x:c r="J233" s="13" t="str">
        <x:v>derived_operational_subtype</x:v>
      </x:c>
      <x:c r="K233" s="13" t="str">
        <x:v>derived_from_established_parent_review_required</x:v>
      </x:c>
      <x:c r="L233" s="13" t="str">
        <x:v>P3</x:v>
      </x:c>
      <x:c r="M233" s="13" t="str">
        <x:v>no</x:v>
      </x:c>
      <x:c r="N233" s="13" t="str">
        <x:v>Operational subtype under Multiple comparisons ignored: sample, selection, or representativeness is central. Parent definition: Drawing a conclusion from many tested comparisons without adjustment or caveat.</x:v>
      </x:c>
      <x:c r="O233" s="13" t="str">
        <x:v>Look for: explicit claim-level evidence; parent-family cues for Multiple comparisons ignored; variant cue: sample, selection, or representativeness is central; avoid author-level inference.</x:v>
      </x:c>
      <x:c r="P233" s="13" t="str">
        <x:v>Exact evidence span in text plus claim-level reasoning link; for contextual/discourse entries, require surrounding context.</x:v>
      </x:c>
      <x:c r="Q233" s="13" t="str">
        <x:v>Do not label merely because topic is controversial, emotional, or wrong. Do not judge intent or personality. Require textual evidence and consider healthy-reasoning cues.</x:v>
      </x:c>
      <x:c r="R233" s="13" t="str">
        <x:v>Stub: A claim relies on sample, selection, or representativeness is central to support a conclusion without adequate qualification.</x:v>
      </x:c>
      <x:c r="S233" s="13" t="str">
        <x:v>Stub: A claim discusses multiple comparisons ignored with caveats, balanced evidence, or no argumentative use of the pattern.</x:v>
      </x:c>
      <x:c r="T233" s="13" t="str">
        <x:v>Mild or ambiguous cue; do not classify without clear evidence span.</x:v>
      </x:c>
      <x:c r="U233" s="13" t="str">
        <x:v>Clear claim-level pattern with some argumentative impact.</x:v>
      </x:c>
      <x:c r="V233" s="13" t="str">
        <x:v>Strong pattern central to the conclusion and likely to materially distort reasoning.</x:v>
      </x:c>
      <x:c r="W233" s="13" t="str"/>
      <x:c r="X233" s="13" t="str">
        <x:v>stanovich_dual_process</x:v>
      </x:c>
      <x:c r="Y233" s="13" t="str">
        <x:v>https://global.oup.com/academic/product/rationality-and-the-reflective-mind-9780195341140</x:v>
      </x:c>
      <x:c r="Z233" s="13" t="str">
        <x:v>Review before enabling. This workbook is a living taxonomy scaffold, not a validated scientific benchmark.</x:v>
      </x:c>
      <x:c r="AA233" s="13" t="str">
        <x:v>0.1.0-draft</x:v>
      </x:c>
      <x:c r="AB233" s="12" t="str">
        <x:f>IF(ISNUMBER(SEARCH("healthy",F233)),"healthy_reasoning_patterns",IF(ISNUMBER(SEARCH("statistical",F233)),"statistical_reasoning",IF(ISNUMBER(SEARCH("causal",F233)),"causal_reasoning",IF(ISNUMBER(SEARCH("social",F233)),"social_influence",IF(ISNUMBER(SEARCH("rhetoric",F233)),"rhetoric_discourse",IF(ISNUMBER(SEARCH("behavior",F233)),"behavioural_economics",IF(ISNUMBER(SEARCH("cognitive",F233)),"cognitive_biases",IF(J233="protective_pattern","healthy_reasoning_patterns",IF(L233="P0","core_mvp","extended_fallacies")))))))))</x:f>
        <x:v>extended_fallacies</x:v>
      </x:c>
      <x:c r="AC233" s="12" t="str">
        <x:f>IF(ISNUMBER(SEARCH("operational",J233)),"operational",IF(ISNUMBER(SEARCH("deprecated",J233)),"deprecated",IF(L233="P0","canonical","recognized_subtype")))</x:f>
        <x:v>operational</x:v>
      </x:c>
      <x:c r="AD233" s="12" t="str">
        <x:f>IF(AC233="canonical","high",IF(AC233="recognized_subtype","medium",IF(AC233="operational","operational_only","debated")))</x:f>
        <x:v>operational_only</x:v>
      </x:c>
      <x:c r="AE233" s="12" t="str">
        <x:f>IF(AC233="deprecated","deprecated",IF(M233="yes","active",IF(M233="review","review_required","backlog")))</x:f>
        <x:v>backlog</x:v>
      </x:c>
      <x:c r="AF233" s="12" t="str">
        <x:f>IF(OR(AE233="active",AE233="review_required"),"yes","no")</x:f>
        <x:v>no</x:v>
      </x:c>
      <x:c r="AG233" s="12" t="str">
        <x:f>IF(AND(AE233="active",M233="yes",NOT(ISNUMBER(SEARCH("healthy",AB233)))),"yes","no")</x:f>
        <x:v>no</x:v>
      </x:c>
      <x:c r="AH233" s="12" t="str">
        <x:f>IF(OR(H233="contextual",H233="dialogue",H233="discourse",I233="claim+context",I233="discourse_segment"),"yes","no")</x:f>
        <x:v>yes</x:v>
      </x:c>
      <x:c r="AI233" s="12" t="str">
        <x:f>IF(OR(AH233="yes",AD233="debated",AC233="operational"),"yes","no")</x:f>
        <x:v>yes</x:v>
      </x:c>
      <x:c r="AJ233" s="12" t="str">
        <x:f>IF(OR(AH233="yes",AC233="operational",AD233="debated"),"high",IF(AND(AG233="yes",L233="P0"),"medium","low"))</x:f>
        <x:v>high</x:v>
      </x:c>
      <x:c r="AK233" s="12" t="str">
        <x:f>IF(ISNUMBER(SEARCH("healthy",AB233)),"yes","no")</x:f>
        <x:v>no</x:v>
      </x:c>
      <x:c r="AL233" s="12" t="str">
        <x:f>IF(AG233="yes","yes","candidate_only")</x:f>
        <x:v>candidate_only</x:v>
      </x:c>
      <x:c r="AM233" s="12" t="str">
        <x:f>IF(OR(AC233="canonical",AG233="yes"),"yes","recommended")</x:f>
        <x:v>recommended</x:v>
      </x:c>
      <x:c r="AN233" s="12" t="str">
        <x:f>IF(AC233="deprecated","exclude",IF(AND(AG233="yes",AJ233="high"),"import_but_human_review_required",IF(AG233="yes","import_as_active","import_as_backlog")))</x:f>
        <x:v>import_as_backlog</x:v>
      </x:c>
      <x:c r="AO233" s="12" t="str">
        <x:f>IF(AND(AG233="yes",OR(P233="",Q233="",R233="",S233="")),"missing_required_mvp_fields",IF(AND(AC233="canonical",Y233=""),"missing_source_ref","ok"))</x:f>
        <x:v>ok</x:v>
      </x:c>
      <x:c r="AP233" s="12" t="str">
        <x:f>IF(AO233="ok","ready_for_codex_import","needs_review")</x:f>
        <x:v>ready_for_codex_import</x:v>
      </x:c>
      <x:c r="AQ233" s="12"/>
      <x:c r="AR233" s="12" t="str">
        <x:v>Added v2 operational fields. Review before classification activation.</x:v>
      </x:c>
    </x:row>
    <x:row r="234">
      <x:c r="A234" s="13" t="str">
        <x:v>outlier_overweighting_sample_problem</x:v>
      </x:c>
      <x:c r="B234" s="13" t="str">
        <x:v>outlier_overweighting</x:v>
      </x:c>
      <x:c r="C234" s="13" t="str">
        <x:v>Outlier overweighting</x:v>
      </x:c>
      <x:c r="D234" s="13" t="str">
        <x:v>وزن‌دهی افراطی به نقاط پرت</x:v>
      </x:c>
      <x:c r="E234" s="13" t="str">
        <x:v>Sample-quality variant</x:v>
      </x:c>
      <x:c r="F234" s="13" t="str">
        <x:v>evidence_failures</x:v>
      </x:c>
      <x:c r="G234" s="13" t="str">
        <x:v>operational_variant</x:v>
      </x:c>
      <x:c r="H234" s="13" t="str">
        <x:v>contextual</x:v>
      </x:c>
      <x:c r="I234" s="13" t="str">
        <x:v>claim+context</x:v>
      </x:c>
      <x:c r="J234" s="13" t="str">
        <x:v>derived_operational_subtype</x:v>
      </x:c>
      <x:c r="K234" s="13" t="str">
        <x:v>derived_from_established_parent_review_required</x:v>
      </x:c>
      <x:c r="L234" s="13" t="str">
        <x:v>P3</x:v>
      </x:c>
      <x:c r="M234" s="13" t="str">
        <x:v>no</x:v>
      </x:c>
      <x:c r="N234" s="13" t="str">
        <x:v>Operational subtype under Outlier overweighting: sample, selection, or representativeness is central. Parent definition: Treating exceptional observations as representative without justification.</x:v>
      </x:c>
      <x:c r="O234" s="13" t="str">
        <x:v>Look for: explicit claim-level evidence; parent-family cues for Outlier overweighting; variant cue: sample, selection, or representativeness is central; avoid author-level inference.</x:v>
      </x:c>
      <x:c r="P234" s="13" t="str">
        <x:v>Exact evidence span in text plus claim-level reasoning link; for contextual/discourse entries, require surrounding context.</x:v>
      </x:c>
      <x:c r="Q234" s="13" t="str">
        <x:v>Do not label merely because topic is controversial, emotional, or wrong. Do not judge intent or personality. Require textual evidence and consider healthy-reasoning cues.</x:v>
      </x:c>
      <x:c r="R234" s="13" t="str">
        <x:v>Stub: A claim relies on sample, selection, or representativeness is central to support a conclusion without adequate qualification.</x:v>
      </x:c>
      <x:c r="S234" s="13" t="str">
        <x:v>Stub: A claim discusses outlier overweighting with caveats, balanced evidence, or no argumentative use of the pattern.</x:v>
      </x:c>
      <x:c r="T234" s="13" t="str">
        <x:v>Mild or ambiguous cue; do not classify without clear evidence span.</x:v>
      </x:c>
      <x:c r="U234" s="13" t="str">
        <x:v>Clear claim-level pattern with some argumentative impact.</x:v>
      </x:c>
      <x:c r="V234" s="13" t="str">
        <x:v>Strong pattern central to the conclusion and likely to materially distort reasoning.</x:v>
      </x:c>
      <x:c r="W234" s="13" t="str"/>
      <x:c r="X234" s="13" t="str">
        <x:v>gilovich_heuristics_biases</x:v>
      </x:c>
      <x:c r="Y234" s="13" t="str">
        <x:v>https://www.cambridge.org/core/books/heuristics-and-biases/3C30D3B05D2F190C3B8BE5E2531EFD24</x:v>
      </x:c>
      <x:c r="Z234" s="13" t="str">
        <x:v>Review before enabling. This workbook is a living taxonomy scaffold, not a validated scientific benchmark.</x:v>
      </x:c>
      <x:c r="AA234" s="13" t="str">
        <x:v>0.1.0-draft</x:v>
      </x:c>
      <x:c r="AB234" s="12" t="str">
        <x:f>IF(ISNUMBER(SEARCH("healthy",F234)),"healthy_reasoning_patterns",IF(ISNUMBER(SEARCH("statistical",F234)),"statistical_reasoning",IF(ISNUMBER(SEARCH("causal",F234)),"causal_reasoning",IF(ISNUMBER(SEARCH("social",F234)),"social_influence",IF(ISNUMBER(SEARCH("rhetoric",F234)),"rhetoric_discourse",IF(ISNUMBER(SEARCH("behavior",F234)),"behavioural_economics",IF(ISNUMBER(SEARCH("cognitive",F234)),"cognitive_biases",IF(J234="protective_pattern","healthy_reasoning_patterns",IF(L234="P0","core_mvp","extended_fallacies")))))))))</x:f>
        <x:v>extended_fallacies</x:v>
      </x:c>
      <x:c r="AC234" s="12" t="str">
        <x:f>IF(ISNUMBER(SEARCH("operational",J234)),"operational",IF(ISNUMBER(SEARCH("deprecated",J234)),"deprecated",IF(L234="P0","canonical","recognized_subtype")))</x:f>
        <x:v>operational</x:v>
      </x:c>
      <x:c r="AD234" s="12" t="str">
        <x:f>IF(AC234="canonical","high",IF(AC234="recognized_subtype","medium",IF(AC234="operational","operational_only","debated")))</x:f>
        <x:v>operational_only</x:v>
      </x:c>
      <x:c r="AE234" s="12" t="str">
        <x:f>IF(AC234="deprecated","deprecated",IF(M234="yes","active",IF(M234="review","review_required","backlog")))</x:f>
        <x:v>backlog</x:v>
      </x:c>
      <x:c r="AF234" s="12" t="str">
        <x:f>IF(OR(AE234="active",AE234="review_required"),"yes","no")</x:f>
        <x:v>no</x:v>
      </x:c>
      <x:c r="AG234" s="12" t="str">
        <x:f>IF(AND(AE234="active",M234="yes",NOT(ISNUMBER(SEARCH("healthy",AB234)))),"yes","no")</x:f>
        <x:v>no</x:v>
      </x:c>
      <x:c r="AH234" s="12" t="str">
        <x:f>IF(OR(H234="contextual",H234="dialogue",H234="discourse",I234="claim+context",I234="discourse_segment"),"yes","no")</x:f>
        <x:v>yes</x:v>
      </x:c>
      <x:c r="AI234" s="12" t="str">
        <x:f>IF(OR(AH234="yes",AD234="debated",AC234="operational"),"yes","no")</x:f>
        <x:v>yes</x:v>
      </x:c>
      <x:c r="AJ234" s="12" t="str">
        <x:f>IF(OR(AH234="yes",AC234="operational",AD234="debated"),"high",IF(AND(AG234="yes",L234="P0"),"medium","low"))</x:f>
        <x:v>high</x:v>
      </x:c>
      <x:c r="AK234" s="12" t="str">
        <x:f>IF(ISNUMBER(SEARCH("healthy",AB234)),"yes","no")</x:f>
        <x:v>no</x:v>
      </x:c>
      <x:c r="AL234" s="12" t="str">
        <x:f>IF(AG234="yes","yes","candidate_only")</x:f>
        <x:v>candidate_only</x:v>
      </x:c>
      <x:c r="AM234" s="12" t="str">
        <x:f>IF(OR(AC234="canonical",AG234="yes"),"yes","recommended")</x:f>
        <x:v>recommended</x:v>
      </x:c>
      <x:c r="AN234" s="12" t="str">
        <x:f>IF(AC234="deprecated","exclude",IF(AND(AG234="yes",AJ234="high"),"import_but_human_review_required",IF(AG234="yes","import_as_active","import_as_backlog")))</x:f>
        <x:v>import_as_backlog</x:v>
      </x:c>
      <x:c r="AO234" s="12" t="str">
        <x:f>IF(AND(AG234="yes",OR(P234="",Q234="",R234="",S234="")),"missing_required_mvp_fields",IF(AND(AC234="canonical",Y234=""),"missing_source_ref","ok"))</x:f>
        <x:v>ok</x:v>
      </x:c>
      <x:c r="AP234" s="12" t="str">
        <x:f>IF(AO234="ok","ready_for_codex_import","needs_review")</x:f>
        <x:v>ready_for_codex_import</x:v>
      </x:c>
      <x:c r="AQ234" s="12"/>
      <x:c r="AR234" s="12" t="str">
        <x:v>Added v2 operational fields. Review before classification activation.</x:v>
      </x:c>
    </x:row>
    <x:row r="235">
      <x:c r="A235" s="13" t="str">
        <x:v>availability_of_evidence_bias_sample_problem</x:v>
      </x:c>
      <x:c r="B235" s="13" t="str">
        <x:v>availability_of_evidence_bias</x:v>
      </x:c>
      <x:c r="C235" s="13" t="str">
        <x:v>Availability of evidence bias</x:v>
      </x:c>
      <x:c r="D235" s="13" t="str">
        <x:v>دسترسی‌پذیری شواهد</x:v>
      </x:c>
      <x:c r="E235" s="13" t="str">
        <x:v>Sample-quality variant</x:v>
      </x:c>
      <x:c r="F235" s="13" t="str">
        <x:v>evidence_failures</x:v>
      </x:c>
      <x:c r="G235" s="13" t="str">
        <x:v>operational_variant</x:v>
      </x:c>
      <x:c r="H235" s="13" t="str">
        <x:v>contextual</x:v>
      </x:c>
      <x:c r="I235" s="13" t="str">
        <x:v>claim+context</x:v>
      </x:c>
      <x:c r="J235" s="13" t="str">
        <x:v>derived_operational_subtype</x:v>
      </x:c>
      <x:c r="K235" s="13" t="str">
        <x:v>derived_from_established_parent_review_required</x:v>
      </x:c>
      <x:c r="L235" s="13" t="str">
        <x:v>P3</x:v>
      </x:c>
      <x:c r="M235" s="13" t="str">
        <x:v>no</x:v>
      </x:c>
      <x:c r="N235" s="13" t="str">
        <x:v>Operational subtype under Availability of evidence bias: sample, selection, or representativeness is central. Parent definition: Treating easy-to-find evidence as if it were complete evidence.</x:v>
      </x:c>
      <x:c r="O235" s="13" t="str">
        <x:v>Look for: explicit claim-level evidence; parent-family cues for Availability of evidence bias; variant cue: sample, selection, or representativeness is central; avoid author-level inference.</x:v>
      </x:c>
      <x:c r="P235" s="13" t="str">
        <x:v>Exact evidence span in text plus claim-level reasoning link; for contextual/discourse entries, require surrounding context.</x:v>
      </x:c>
      <x:c r="Q235" s="13" t="str">
        <x:v>Do not label merely because topic is controversial, emotional, or wrong. Do not judge intent or personality. Require textual evidence and consider healthy-reasoning cues.</x:v>
      </x:c>
      <x:c r="R235" s="13" t="str">
        <x:v>Stub: A claim relies on sample, selection, or representativeness is central to support a conclusion without adequate qualification.</x:v>
      </x:c>
      <x:c r="S235" s="13" t="str">
        <x:v>Stub: A claim discusses availability of evidence bias with caveats, balanced evidence, or no argumentative use of the pattern.</x:v>
      </x:c>
      <x:c r="T235" s="13" t="str">
        <x:v>Mild or ambiguous cue; do not classify without clear evidence span.</x:v>
      </x:c>
      <x:c r="U235" s="13" t="str">
        <x:v>Clear claim-level pattern with some argumentative impact.</x:v>
      </x:c>
      <x:c r="V235" s="13" t="str">
        <x:v>Strong pattern central to the conclusion and likely to materially distort reasoning.</x:v>
      </x:c>
      <x:c r="W235" s="13" t="str">
        <x:v>cherry_picking; missing_counterevidence; evidence_grading</x:v>
      </x:c>
      <x:c r="X235" s="13" t="str">
        <x:v>gilovich_heuristics_biases</x:v>
      </x:c>
      <x:c r="Y235" s="13" t="str">
        <x:v>https://www.cambridge.org/core/books/heuristics-and-biases/3C30D3B05D2F190C3B8BE5E2531EFD24</x:v>
      </x:c>
      <x:c r="Z235" s="13" t="str">
        <x:v>Review before enabling. This workbook is a living taxonomy scaffold, not a validated scientific benchmark.</x:v>
      </x:c>
      <x:c r="AA235" s="13" t="str">
        <x:v>0.1.0-draft</x:v>
      </x:c>
      <x:c r="AB235" s="12" t="str">
        <x:f>IF(ISNUMBER(SEARCH("healthy",F235)),"healthy_reasoning_patterns",IF(ISNUMBER(SEARCH("statistical",F235)),"statistical_reasoning",IF(ISNUMBER(SEARCH("causal",F235)),"causal_reasoning",IF(ISNUMBER(SEARCH("social",F235)),"social_influence",IF(ISNUMBER(SEARCH("rhetoric",F235)),"rhetoric_discourse",IF(ISNUMBER(SEARCH("behavior",F235)),"behavioural_economics",IF(ISNUMBER(SEARCH("cognitive",F235)),"cognitive_biases",IF(J235="protective_pattern","healthy_reasoning_patterns",IF(L235="P0","core_mvp","extended_fallacies")))))))))</x:f>
        <x:v>extended_fallacies</x:v>
      </x:c>
      <x:c r="AC235" s="12" t="str">
        <x:f>IF(ISNUMBER(SEARCH("operational",J235)),"operational",IF(ISNUMBER(SEARCH("deprecated",J235)),"deprecated",IF(L235="P0","canonical","recognized_subtype")))</x:f>
        <x:v>operational</x:v>
      </x:c>
      <x:c r="AD235" s="12" t="str">
        <x:f>IF(AC235="canonical","high",IF(AC235="recognized_subtype","medium",IF(AC235="operational","operational_only","debated")))</x:f>
        <x:v>operational_only</x:v>
      </x:c>
      <x:c r="AE235" s="12" t="str">
        <x:f>IF(AC235="deprecated","deprecated",IF(M235="yes","active",IF(M235="review","review_required","backlog")))</x:f>
        <x:v>backlog</x:v>
      </x:c>
      <x:c r="AF235" s="12" t="str">
        <x:f>IF(OR(AE235="active",AE235="review_required"),"yes","no")</x:f>
        <x:v>no</x:v>
      </x:c>
      <x:c r="AG235" s="12" t="str">
        <x:f>IF(AND(AE235="active",M235="yes",NOT(ISNUMBER(SEARCH("healthy",AB235)))),"yes","no")</x:f>
        <x:v>no</x:v>
      </x:c>
      <x:c r="AH235" s="12" t="str">
        <x:f>IF(OR(H235="contextual",H235="dialogue",H235="discourse",I235="claim+context",I235="discourse_segment"),"yes","no")</x:f>
        <x:v>yes</x:v>
      </x:c>
      <x:c r="AI235" s="12" t="str">
        <x:f>IF(OR(AH235="yes",AD235="debated",AC235="operational"),"yes","no")</x:f>
        <x:v>yes</x:v>
      </x:c>
      <x:c r="AJ235" s="12" t="str">
        <x:f>IF(OR(AH235="yes",AC235="operational",AD235="debated"),"high",IF(AND(AG235="yes",L235="P0"),"medium","low"))</x:f>
        <x:v>high</x:v>
      </x:c>
      <x:c r="AK235" s="12" t="str">
        <x:f>IF(ISNUMBER(SEARCH("healthy",AB235)),"yes","no")</x:f>
        <x:v>no</x:v>
      </x:c>
      <x:c r="AL235" s="12" t="str">
        <x:f>IF(AG235="yes","yes","candidate_only")</x:f>
        <x:v>candidate_only</x:v>
      </x:c>
      <x:c r="AM235" s="12" t="str">
        <x:f>IF(OR(AC235="canonical",AG235="yes"),"yes","recommended")</x:f>
        <x:v>recommended</x:v>
      </x:c>
      <x:c r="AN235" s="12" t="str">
        <x:f>IF(AC235="deprecated","exclude",IF(AND(AG235="yes",AJ235="high"),"import_but_human_review_required",IF(AG235="yes","import_as_active","import_as_backlog")))</x:f>
        <x:v>import_as_backlog</x:v>
      </x:c>
      <x:c r="AO235" s="12" t="str">
        <x:f>IF(AND(AG235="yes",OR(P235="",Q235="",R235="",S235="")),"missing_required_mvp_fields",IF(AND(AC235="canonical",Y235=""),"missing_source_ref","ok"))</x:f>
        <x:v>ok</x:v>
      </x:c>
      <x:c r="AP235" s="12" t="str">
        <x:f>IF(AO235="ok","ready_for_codex_import","needs_review")</x:f>
        <x:v>ready_for_codex_import</x:v>
      </x:c>
      <x:c r="AQ235" s="12"/>
      <x:c r="AR235" s="12" t="str">
        <x:v>Added v2 operational fields. Review before classification activation.</x:v>
      </x:c>
    </x:row>
    <x:row r="236">
      <x:c r="A236" s="13" t="str">
        <x:v>citation_without_relevance_sample_problem</x:v>
      </x:c>
      <x:c r="B236" s="13" t="str">
        <x:v>citation_without_relevance</x:v>
      </x:c>
      <x:c r="C236" s="13" t="str">
        <x:v>Citation without relevance</x:v>
      </x:c>
      <x:c r="D236" s="13" t="str">
        <x:v>ارجاع نامرتبط</x:v>
      </x:c>
      <x:c r="E236" s="13" t="str">
        <x:v>Sample-quality variant</x:v>
      </x:c>
      <x:c r="F236" s="13" t="str">
        <x:v>evidence_failures</x:v>
      </x:c>
      <x:c r="G236" s="13" t="str">
        <x:v>operational_variant</x:v>
      </x:c>
      <x:c r="H236" s="13" t="str">
        <x:v>contextual</x:v>
      </x:c>
      <x:c r="I236" s="13" t="str">
        <x:v>claim+context</x:v>
      </x:c>
      <x:c r="J236" s="13" t="str">
        <x:v>derived_operational_subtype</x:v>
      </x:c>
      <x:c r="K236" s="13" t="str">
        <x:v>derived_from_established_parent_review_required</x:v>
      </x:c>
      <x:c r="L236" s="13" t="str">
        <x:v>P3</x:v>
      </x:c>
      <x:c r="M236" s="13" t="str">
        <x:v>no</x:v>
      </x:c>
      <x:c r="N236" s="13" t="str">
        <x:v>Operational subtype under Citation without relevance: sample, selection, or representativeness is central. Parent definition: Citing a source that does not support the specific claim made.</x:v>
      </x:c>
      <x:c r="O236" s="13" t="str">
        <x:v>Look for: explicit claim-level evidence; parent-family cues for Citation without relevance; variant cue: sample, selection, or representativeness is central; avoid author-level inference.</x:v>
      </x:c>
      <x:c r="P236" s="13" t="str">
        <x:v>Exact evidence span in text plus claim-level reasoning link; for contextual/discourse entries, require surrounding context.</x:v>
      </x:c>
      <x:c r="Q236" s="13" t="str">
        <x:v>Do not label merely because topic is controversial, emotional, or wrong. Do not judge intent or personality. Require textual evidence and consider healthy-reasoning cues.</x:v>
      </x:c>
      <x:c r="R236" s="13" t="str">
        <x:v>Stub: A claim relies on sample, selection, or representativeness is central to support a conclusion without adequate qualification.</x:v>
      </x:c>
      <x:c r="S236" s="13" t="str">
        <x:v>Stub: A claim discusses citation without relevance with caveats, balanced evidence, or no argumentative use of the pattern.</x:v>
      </x:c>
      <x:c r="T236" s="13" t="str">
        <x:v>Mild or ambiguous cue; do not classify without clear evidence span.</x:v>
      </x:c>
      <x:c r="U236" s="13" t="str">
        <x:v>Clear claim-level pattern with some argumentative impact.</x:v>
      </x:c>
      <x:c r="V236" s="13" t="str">
        <x:v>Strong pattern central to the conclusion and likely to materially distort reasoning.</x:v>
      </x:c>
      <x:c r="W236" s="13" t="str"/>
      <x:c r="X236" s="13" t="str">
        <x:v>toulmin_uses_argument</x:v>
      </x:c>
      <x:c r="Y236" s="13" t="str">
        <x:v>https://doi.org/10.1017/CBO9780511840005</x:v>
      </x:c>
      <x:c r="Z236" s="13" t="str">
        <x:v>Review before enabling. This workbook is a living taxonomy scaffold, not a validated scientific benchmark.</x:v>
      </x:c>
      <x:c r="AA236" s="13" t="str">
        <x:v>0.1.0-draft</x:v>
      </x:c>
      <x:c r="AB236" s="12" t="str">
        <x:f>IF(ISNUMBER(SEARCH("healthy",F236)),"healthy_reasoning_patterns",IF(ISNUMBER(SEARCH("statistical",F236)),"statistical_reasoning",IF(ISNUMBER(SEARCH("causal",F236)),"causal_reasoning",IF(ISNUMBER(SEARCH("social",F236)),"social_influence",IF(ISNUMBER(SEARCH("rhetoric",F236)),"rhetoric_discourse",IF(ISNUMBER(SEARCH("behavior",F236)),"behavioural_economics",IF(ISNUMBER(SEARCH("cognitive",F236)),"cognitive_biases",IF(J236="protective_pattern","healthy_reasoning_patterns",IF(L236="P0","core_mvp","extended_fallacies")))))))))</x:f>
        <x:v>extended_fallacies</x:v>
      </x:c>
      <x:c r="AC236" s="12" t="str">
        <x:f>IF(ISNUMBER(SEARCH("operational",J236)),"operational",IF(ISNUMBER(SEARCH("deprecated",J236)),"deprecated",IF(L236="P0","canonical","recognized_subtype")))</x:f>
        <x:v>operational</x:v>
      </x:c>
      <x:c r="AD236" s="12" t="str">
        <x:f>IF(AC236="canonical","high",IF(AC236="recognized_subtype","medium",IF(AC236="operational","operational_only","debated")))</x:f>
        <x:v>operational_only</x:v>
      </x:c>
      <x:c r="AE236" s="12" t="str">
        <x:f>IF(AC236="deprecated","deprecated",IF(M236="yes","active",IF(M236="review","review_required","backlog")))</x:f>
        <x:v>backlog</x:v>
      </x:c>
      <x:c r="AF236" s="12" t="str">
        <x:f>IF(OR(AE236="active",AE236="review_required"),"yes","no")</x:f>
        <x:v>no</x:v>
      </x:c>
      <x:c r="AG236" s="12" t="str">
        <x:f>IF(AND(AE236="active",M236="yes",NOT(ISNUMBER(SEARCH("healthy",AB236)))),"yes","no")</x:f>
        <x:v>no</x:v>
      </x:c>
      <x:c r="AH236" s="12" t="str">
        <x:f>IF(OR(H236="contextual",H236="dialogue",H236="discourse",I236="claim+context",I236="discourse_segment"),"yes","no")</x:f>
        <x:v>yes</x:v>
      </x:c>
      <x:c r="AI236" s="12" t="str">
        <x:f>IF(OR(AH236="yes",AD236="debated",AC236="operational"),"yes","no")</x:f>
        <x:v>yes</x:v>
      </x:c>
      <x:c r="AJ236" s="12" t="str">
        <x:f>IF(OR(AH236="yes",AC236="operational",AD236="debated"),"high",IF(AND(AG236="yes",L236="P0"),"medium","low"))</x:f>
        <x:v>high</x:v>
      </x:c>
      <x:c r="AK236" s="12" t="str">
        <x:f>IF(ISNUMBER(SEARCH("healthy",AB236)),"yes","no")</x:f>
        <x:v>no</x:v>
      </x:c>
      <x:c r="AL236" s="12" t="str">
        <x:f>IF(AG236="yes","yes","candidate_only")</x:f>
        <x:v>candidate_only</x:v>
      </x:c>
      <x:c r="AM236" s="12" t="str">
        <x:f>IF(OR(AC236="canonical",AG236="yes"),"yes","recommended")</x:f>
        <x:v>recommended</x:v>
      </x:c>
      <x:c r="AN236" s="12" t="str">
        <x:f>IF(AC236="deprecated","exclude",IF(AND(AG236="yes",AJ236="high"),"import_but_human_review_required",IF(AG236="yes","import_as_active","import_as_backlog")))</x:f>
        <x:v>import_as_backlog</x:v>
      </x:c>
      <x:c r="AO236" s="12" t="str">
        <x:f>IF(AND(AG236="yes",OR(P236="",Q236="",R236="",S236="")),"missing_required_mvp_fields",IF(AND(AC236="canonical",Y236=""),"missing_source_ref","ok"))</x:f>
        <x:v>ok</x:v>
      </x:c>
      <x:c r="AP236" s="12" t="str">
        <x:f>IF(AO236="ok","ready_for_codex_import","needs_review")</x:f>
        <x:v>ready_for_codex_import</x:v>
      </x:c>
      <x:c r="AQ236" s="12"/>
      <x:c r="AR236" s="12" t="str">
        <x:v>Added v2 operational fields. Review before classification activation.</x:v>
      </x:c>
    </x:row>
    <x:row r="237">
      <x:c r="A237" s="13" t="str">
        <x:v>quote_mining_evidence_sample_problem</x:v>
      </x:c>
      <x:c r="B237" s="13" t="str">
        <x:v>quote_mining_evidence</x:v>
      </x:c>
      <x:c r="C237" s="13" t="str">
        <x:v>Quote mining as evidence failure</x:v>
      </x:c>
      <x:c r="D237" s="13" t="str">
        <x:v>نقل‌قول گزینشی</x:v>
      </x:c>
      <x:c r="E237" s="13" t="str">
        <x:v>Sample-quality variant</x:v>
      </x:c>
      <x:c r="F237" s="13" t="str">
        <x:v>evidence_failures</x:v>
      </x:c>
      <x:c r="G237" s="13" t="str">
        <x:v>operational_variant</x:v>
      </x:c>
      <x:c r="H237" s="13" t="str">
        <x:v>contextual</x:v>
      </x:c>
      <x:c r="I237" s="13" t="str">
        <x:v>claim+context</x:v>
      </x:c>
      <x:c r="J237" s="13" t="str">
        <x:v>derived_operational_subtype</x:v>
      </x:c>
      <x:c r="K237" s="13" t="str">
        <x:v>derived_from_established_parent_review_required</x:v>
      </x:c>
      <x:c r="L237" s="13" t="str">
        <x:v>P3</x:v>
      </x:c>
      <x:c r="M237" s="13" t="str">
        <x:v>no</x:v>
      </x:c>
      <x:c r="N237" s="13" t="str">
        <x:v>Operational subtype under Quote mining as evidence failure: sample, selection, or representativeness is central. Parent definition: Extracting a quote in a way that changes its evidential meaning.</x:v>
      </x:c>
      <x:c r="O237" s="13" t="str">
        <x:v>Look for: explicit claim-level evidence; parent-family cues for Quote mining as evidence failure; variant cue: sample, selection, or representativeness is central; avoid author-level inference.</x:v>
      </x:c>
      <x:c r="P237" s="13" t="str">
        <x:v>Exact evidence span in text plus claim-level reasoning link; for contextual/discourse entries, require surrounding context.</x:v>
      </x:c>
      <x:c r="Q237" s="13" t="str">
        <x:v>Do not label merely because topic is controversial, emotional, or wrong. Do not judge intent or personality. Require textual evidence and consider healthy-reasoning cues.</x:v>
      </x:c>
      <x:c r="R237" s="13" t="str">
        <x:v>Stub: A claim relies on sample, selection, or representativeness is central to support a conclusion without adequate qualification.</x:v>
      </x:c>
      <x:c r="S237" s="13" t="str">
        <x:v>Stub: A claim discusses quote mining as evidence failure with caveats, balanced evidence, or no argumentative use of the pattern.</x:v>
      </x:c>
      <x:c r="T237" s="13" t="str">
        <x:v>Mild or ambiguous cue; do not classify without clear evidence span.</x:v>
      </x:c>
      <x:c r="U237" s="13" t="str">
        <x:v>Clear claim-level pattern with some argumentative impact.</x:v>
      </x:c>
      <x:c r="V237" s="13" t="str">
        <x:v>Strong pattern central to the conclusion and likely to materially distort reasoning.</x:v>
      </x:c>
      <x:c r="W237" s="13" t="str"/>
      <x:c r="X237" s="13" t="str">
        <x:v>sep_informal_logic</x:v>
      </x:c>
      <x:c r="Y237" s="13" t="str">
        <x:v>https://plato.stanford.edu/entries/logic-informal/</x:v>
      </x:c>
      <x:c r="Z237" s="13" t="str">
        <x:v>Review before enabling. This workbook is a living taxonomy scaffold, not a validated scientific benchmark.</x:v>
      </x:c>
      <x:c r="AA237" s="13" t="str">
        <x:v>0.1.0-draft</x:v>
      </x:c>
      <x:c r="AB237" s="12" t="str">
        <x:f>IF(ISNUMBER(SEARCH("healthy",F237)),"healthy_reasoning_patterns",IF(ISNUMBER(SEARCH("statistical",F237)),"statistical_reasoning",IF(ISNUMBER(SEARCH("causal",F237)),"causal_reasoning",IF(ISNUMBER(SEARCH("social",F237)),"social_influence",IF(ISNUMBER(SEARCH("rhetoric",F237)),"rhetoric_discourse",IF(ISNUMBER(SEARCH("behavior",F237)),"behavioural_economics",IF(ISNUMBER(SEARCH("cognitive",F237)),"cognitive_biases",IF(J237="protective_pattern","healthy_reasoning_patterns",IF(L237="P0","core_mvp","extended_fallacies")))))))))</x:f>
        <x:v>extended_fallacies</x:v>
      </x:c>
      <x:c r="AC237" s="12" t="str">
        <x:f>IF(ISNUMBER(SEARCH("operational",J237)),"operational",IF(ISNUMBER(SEARCH("deprecated",J237)),"deprecated",IF(L237="P0","canonical","recognized_subtype")))</x:f>
        <x:v>operational</x:v>
      </x:c>
      <x:c r="AD237" s="12" t="str">
        <x:f>IF(AC237="canonical","high",IF(AC237="recognized_subtype","medium",IF(AC237="operational","operational_only","debated")))</x:f>
        <x:v>operational_only</x:v>
      </x:c>
      <x:c r="AE237" s="12" t="str">
        <x:f>IF(AC237="deprecated","deprecated",IF(M237="yes","active",IF(M237="review","review_required","backlog")))</x:f>
        <x:v>backlog</x:v>
      </x:c>
      <x:c r="AF237" s="12" t="str">
        <x:f>IF(OR(AE237="active",AE237="review_required"),"yes","no")</x:f>
        <x:v>no</x:v>
      </x:c>
      <x:c r="AG237" s="12" t="str">
        <x:f>IF(AND(AE237="active",M237="yes",NOT(ISNUMBER(SEARCH("healthy",AB237)))),"yes","no")</x:f>
        <x:v>no</x:v>
      </x:c>
      <x:c r="AH237" s="12" t="str">
        <x:f>IF(OR(H237="contextual",H237="dialogue",H237="discourse",I237="claim+context",I237="discourse_segment"),"yes","no")</x:f>
        <x:v>yes</x:v>
      </x:c>
      <x:c r="AI237" s="12" t="str">
        <x:f>IF(OR(AH237="yes",AD237="debated",AC237="operational"),"yes","no")</x:f>
        <x:v>yes</x:v>
      </x:c>
      <x:c r="AJ237" s="12" t="str">
        <x:f>IF(OR(AH237="yes",AC237="operational",AD237="debated"),"high",IF(AND(AG237="yes",L237="P0"),"medium","low"))</x:f>
        <x:v>high</x:v>
      </x:c>
      <x:c r="AK237" s="12" t="str">
        <x:f>IF(ISNUMBER(SEARCH("healthy",AB237)),"yes","no")</x:f>
        <x:v>no</x:v>
      </x:c>
      <x:c r="AL237" s="12" t="str">
        <x:f>IF(AG237="yes","yes","candidate_only")</x:f>
        <x:v>candidate_only</x:v>
      </x:c>
      <x:c r="AM237" s="12" t="str">
        <x:f>IF(OR(AC237="canonical",AG237="yes"),"yes","recommended")</x:f>
        <x:v>recommended</x:v>
      </x:c>
      <x:c r="AN237" s="12" t="str">
        <x:f>IF(AC237="deprecated","exclude",IF(AND(AG237="yes",AJ237="high"),"import_but_human_review_required",IF(AG237="yes","import_as_active","import_as_backlog")))</x:f>
        <x:v>import_as_backlog</x:v>
      </x:c>
      <x:c r="AO237" s="12" t="str">
        <x:f>IF(AND(AG237="yes",OR(P237="",Q237="",R237="",S237="")),"missing_required_mvp_fields",IF(AND(AC237="canonical",Y237=""),"missing_source_ref","ok"))</x:f>
        <x:v>ok</x:v>
      </x:c>
      <x:c r="AP237" s="12" t="str">
        <x:f>IF(AO237="ok","ready_for_codex_import","needs_review")</x:f>
        <x:v>ready_for_codex_import</x:v>
      </x:c>
      <x:c r="AQ237" s="12"/>
      <x:c r="AR237" s="12" t="str">
        <x:v>Added v2 operational fields. Review before classification activation.</x:v>
      </x:c>
    </x:row>
    <x:row r="238">
      <x:c r="A238" s="13" t="str">
        <x:v>evidence_quality_mismatch_sample_problem</x:v>
      </x:c>
      <x:c r="B238" s="13" t="str">
        <x:v>evidence_quality_mismatch</x:v>
      </x:c>
      <x:c r="C238" s="13" t="str">
        <x:v>Evidence-quality mismatch</x:v>
      </x:c>
      <x:c r="D238" s="13" t="str">
        <x:v>ناسازگاری کیفیت شواهد و نتیجه</x:v>
      </x:c>
      <x:c r="E238" s="13" t="str">
        <x:v>Sample-quality variant</x:v>
      </x:c>
      <x:c r="F238" s="13" t="str">
        <x:v>evidence_failures</x:v>
      </x:c>
      <x:c r="G238" s="13" t="str">
        <x:v>operational_variant</x:v>
      </x:c>
      <x:c r="H238" s="13" t="str">
        <x:v>contextual</x:v>
      </x:c>
      <x:c r="I238" s="13" t="str">
        <x:v>claim+context</x:v>
      </x:c>
      <x:c r="J238" s="13" t="str">
        <x:v>derived_operational_subtype</x:v>
      </x:c>
      <x:c r="K238" s="13" t="str">
        <x:v>derived_from_established_parent_review_required</x:v>
      </x:c>
      <x:c r="L238" s="13" t="str">
        <x:v>P3</x:v>
      </x:c>
      <x:c r="M238" s="13" t="str">
        <x:v>no</x:v>
      </x:c>
      <x:c r="N238" s="13" t="str">
        <x:v>Operational subtype under Evidence-quality mismatch: sample, selection, or representativeness is central. Parent definition: Drawing high-strength conclusions from low-strength evidence.</x:v>
      </x:c>
      <x:c r="O238" s="13" t="str">
        <x:v>Look for: explicit claim-level evidence; parent-family cues for Evidence-quality mismatch; variant cue: sample, selection, or representativeness is central; avoid author-level inference.</x:v>
      </x:c>
      <x:c r="P238" s="13" t="str">
        <x:v>Exact evidence span in text plus claim-level reasoning link; for contextual/discourse entries, require surrounding context.</x:v>
      </x:c>
      <x:c r="Q238" s="13" t="str">
        <x:v>Do not label merely because topic is controversial, emotional, or wrong. Do not judge intent or personality. Require textual evidence and consider healthy-reasoning cues.</x:v>
      </x:c>
      <x:c r="R238" s="13" t="str">
        <x:v>Stub: A claim relies on sample, selection, or representativeness is central to support a conclusion without adequate qualification.</x:v>
      </x:c>
      <x:c r="S238" s="13" t="str">
        <x:v>Stub: A claim discusses evidence-quality mismatch with caveats, balanced evidence, or no argumentative use of the pattern.</x:v>
      </x:c>
      <x:c r="T238" s="13" t="str">
        <x:v>Mild or ambiguous cue; do not classify without clear evidence span.</x:v>
      </x:c>
      <x:c r="U238" s="13" t="str">
        <x:v>Clear claim-level pattern with some argumentative impact.</x:v>
      </x:c>
      <x:c r="V238" s="13" t="str">
        <x:v>Strong pattern central to the conclusion and likely to materially distort reasoning.</x:v>
      </x:c>
      <x:c r="W238" s="13" t="str">
        <x:v>cherry_picking; missing_counterevidence; evidence_grading</x:v>
      </x:c>
      <x:c r="X238" s="13" t="str">
        <x:v>toulmin_uses_argument</x:v>
      </x:c>
      <x:c r="Y238" s="13" t="str">
        <x:v>https://doi.org/10.1017/CBO9780511840005</x:v>
      </x:c>
      <x:c r="Z238" s="13" t="str">
        <x:v>Review before enabling. This workbook is a living taxonomy scaffold, not a validated scientific benchmark.</x:v>
      </x:c>
      <x:c r="AA238" s="13" t="str">
        <x:v>0.1.0-draft</x:v>
      </x:c>
      <x:c r="AB238" s="12" t="str">
        <x:f>IF(ISNUMBER(SEARCH("healthy",F238)),"healthy_reasoning_patterns",IF(ISNUMBER(SEARCH("statistical",F238)),"statistical_reasoning",IF(ISNUMBER(SEARCH("causal",F238)),"causal_reasoning",IF(ISNUMBER(SEARCH("social",F238)),"social_influence",IF(ISNUMBER(SEARCH("rhetoric",F238)),"rhetoric_discourse",IF(ISNUMBER(SEARCH("behavior",F238)),"behavioural_economics",IF(ISNUMBER(SEARCH("cognitive",F238)),"cognitive_biases",IF(J238="protective_pattern","healthy_reasoning_patterns",IF(L238="P0","core_mvp","extended_fallacies")))))))))</x:f>
        <x:v>extended_fallacies</x:v>
      </x:c>
      <x:c r="AC238" s="12" t="str">
        <x:f>IF(ISNUMBER(SEARCH("operational",J238)),"operational",IF(ISNUMBER(SEARCH("deprecated",J238)),"deprecated",IF(L238="P0","canonical","recognized_subtype")))</x:f>
        <x:v>operational</x:v>
      </x:c>
      <x:c r="AD238" s="12" t="str">
        <x:f>IF(AC238="canonical","high",IF(AC238="recognized_subtype","medium",IF(AC238="operational","operational_only","debated")))</x:f>
        <x:v>operational_only</x:v>
      </x:c>
      <x:c r="AE238" s="12" t="str">
        <x:f>IF(AC238="deprecated","deprecated",IF(M238="yes","active",IF(M238="review","review_required","backlog")))</x:f>
        <x:v>backlog</x:v>
      </x:c>
      <x:c r="AF238" s="12" t="str">
        <x:f>IF(OR(AE238="active",AE238="review_required"),"yes","no")</x:f>
        <x:v>no</x:v>
      </x:c>
      <x:c r="AG238" s="12" t="str">
        <x:f>IF(AND(AE238="active",M238="yes",NOT(ISNUMBER(SEARCH("healthy",AB238)))),"yes","no")</x:f>
        <x:v>no</x:v>
      </x:c>
      <x:c r="AH238" s="12" t="str">
        <x:f>IF(OR(H238="contextual",H238="dialogue",H238="discourse",I238="claim+context",I238="discourse_segment"),"yes","no")</x:f>
        <x:v>yes</x:v>
      </x:c>
      <x:c r="AI238" s="12" t="str">
        <x:f>IF(OR(AH238="yes",AD238="debated",AC238="operational"),"yes","no")</x:f>
        <x:v>yes</x:v>
      </x:c>
      <x:c r="AJ238" s="12" t="str">
        <x:f>IF(OR(AH238="yes",AC238="operational",AD238="debated"),"high",IF(AND(AG238="yes",L238="P0"),"medium","low"))</x:f>
        <x:v>high</x:v>
      </x:c>
      <x:c r="AK238" s="12" t="str">
        <x:f>IF(ISNUMBER(SEARCH("healthy",AB238)),"yes","no")</x:f>
        <x:v>no</x:v>
      </x:c>
      <x:c r="AL238" s="12" t="str">
        <x:f>IF(AG238="yes","yes","candidate_only")</x:f>
        <x:v>candidate_only</x:v>
      </x:c>
      <x:c r="AM238" s="12" t="str">
        <x:f>IF(OR(AC238="canonical",AG238="yes"),"yes","recommended")</x:f>
        <x:v>recommended</x:v>
      </x:c>
      <x:c r="AN238" s="12" t="str">
        <x:f>IF(AC238="deprecated","exclude",IF(AND(AG238="yes",AJ238="high"),"import_but_human_review_required",IF(AG238="yes","import_as_active","import_as_backlog")))</x:f>
        <x:v>import_as_backlog</x:v>
      </x:c>
      <x:c r="AO238" s="12" t="str">
        <x:f>IF(AND(AG238="yes",OR(P238="",Q238="",R238="",S238="")),"missing_required_mvp_fields",IF(AND(AC238="canonical",Y238=""),"missing_source_ref","ok"))</x:f>
        <x:v>ok</x:v>
      </x:c>
      <x:c r="AP238" s="12" t="str">
        <x:f>IF(AO238="ok","ready_for_codex_import","needs_review")</x:f>
        <x:v>ready_for_codex_import</x:v>
      </x:c>
      <x:c r="AQ238" s="12"/>
      <x:c r="AR238" s="12" t="str">
        <x:v>Added v2 operational fields. Review before classification activation.</x:v>
      </x:c>
    </x:row>
    <x:row r="239">
      <x:c r="A239" s="13" t="str">
        <x:v>cherry_picking_measurement_problem</x:v>
      </x:c>
      <x:c r="B239" s="13" t="str">
        <x:v>cherry_picking</x:v>
      </x:c>
      <x:c r="C239" s="13" t="str">
        <x:v>Cherry picking</x:v>
      </x:c>
      <x:c r="D239" s="13" t="str">
        <x:v>انتخاب گزینشی شواهد</x:v>
      </x:c>
      <x:c r="E239" s="13" t="str">
        <x:v>Measurement-validity variant</x:v>
      </x:c>
      <x:c r="F239" s="13" t="str">
        <x:v>evidence_failures</x:v>
      </x:c>
      <x:c r="G239" s="13" t="str">
        <x:v>operational_variant</x:v>
      </x:c>
      <x:c r="H239" s="13" t="str">
        <x:v>contextual</x:v>
      </x:c>
      <x:c r="I239" s="13" t="str">
        <x:v>claim+context</x:v>
      </x:c>
      <x:c r="J239" s="13" t="str">
        <x:v>derived_operational_subtype</x:v>
      </x:c>
      <x:c r="K239" s="13" t="str">
        <x:v>derived_from_established_parent_review_required</x:v>
      </x:c>
      <x:c r="L239" s="13" t="str">
        <x:v>P3</x:v>
      </x:c>
      <x:c r="M239" s="13" t="str">
        <x:v>no</x:v>
      </x:c>
      <x:c r="N239" s="13" t="str">
        <x:v>Operational subtype under Cherry picking: the evidence does not measure the intended construct well. Parent definition: Selecting supportive evidence while ignoring relevant counterevidence.</x:v>
      </x:c>
      <x:c r="O239" s="13" t="str">
        <x:v>Look for: explicit claim-level evidence; parent-family cues for Cherry picking; variant cue: the evidence does not measure the intended construct well; avoid author-level inference.</x:v>
      </x:c>
      <x:c r="P239" s="13" t="str">
        <x:v>Exact evidence span in text plus claim-level reasoning link; for contextual/discourse entries, require surrounding context.</x:v>
      </x:c>
      <x:c r="Q239" s="13" t="str">
        <x:v>Do not label merely because topic is controversial, emotional, or wrong. Do not judge intent or personality. Require textual evidence and consider healthy-reasoning cues.</x:v>
      </x:c>
      <x:c r="R239" s="13" t="str">
        <x:v>Stub: A claim relies on the evidence does not measure the intended construct well to support a conclusion without adequate qualification.</x:v>
      </x:c>
      <x:c r="S239" s="13" t="str">
        <x:v>Stub: A claim discusses cherry picking with caveats, balanced evidence, or no argumentative use of the pattern.</x:v>
      </x:c>
      <x:c r="T239" s="13" t="str">
        <x:v>Mild or ambiguous cue; do not classify without clear evidence span.</x:v>
      </x:c>
      <x:c r="U239" s="13" t="str">
        <x:v>Clear claim-level pattern with some argumentative impact.</x:v>
      </x:c>
      <x:c r="V239" s="13" t="str">
        <x:v>Strong pattern central to the conclusion and likely to materially distort reasoning.</x:v>
      </x:c>
      <x:c r="W239" s="13" t="str">
        <x:v>cherry_picking; missing_counterevidence; evidence_grading</x:v>
      </x:c>
      <x:c r="X239" s="13" t="str">
        <x:v>sep_informal_logic</x:v>
      </x:c>
      <x:c r="Y239" s="13" t="str">
        <x:v>https://plato.stanford.edu/entries/logic-informal/</x:v>
      </x:c>
      <x:c r="Z239" s="13" t="str">
        <x:v>Review before enabling. This workbook is a living taxonomy scaffold, not a validated scientific benchmark.</x:v>
      </x:c>
      <x:c r="AA239" s="13" t="str">
        <x:v>0.1.0-draft</x:v>
      </x:c>
      <x:c r="AB239" s="12" t="str">
        <x:f>IF(ISNUMBER(SEARCH("healthy",F239)),"healthy_reasoning_patterns",IF(ISNUMBER(SEARCH("statistical",F239)),"statistical_reasoning",IF(ISNUMBER(SEARCH("causal",F239)),"causal_reasoning",IF(ISNUMBER(SEARCH("social",F239)),"social_influence",IF(ISNUMBER(SEARCH("rhetoric",F239)),"rhetoric_discourse",IF(ISNUMBER(SEARCH("behavior",F239)),"behavioural_economics",IF(ISNUMBER(SEARCH("cognitive",F239)),"cognitive_biases",IF(J239="protective_pattern","healthy_reasoning_patterns",IF(L239="P0","core_mvp","extended_fallacies")))))))))</x:f>
        <x:v>extended_fallacies</x:v>
      </x:c>
      <x:c r="AC239" s="12" t="str">
        <x:f>IF(ISNUMBER(SEARCH("operational",J239)),"operational",IF(ISNUMBER(SEARCH("deprecated",J239)),"deprecated",IF(L239="P0","canonical","recognized_subtype")))</x:f>
        <x:v>operational</x:v>
      </x:c>
      <x:c r="AD239" s="12" t="str">
        <x:f>IF(AC239="canonical","high",IF(AC239="recognized_subtype","medium",IF(AC239="operational","operational_only","debated")))</x:f>
        <x:v>operational_only</x:v>
      </x:c>
      <x:c r="AE239" s="12" t="str">
        <x:f>IF(AC239="deprecated","deprecated",IF(M239="yes","active",IF(M239="review","review_required","backlog")))</x:f>
        <x:v>backlog</x:v>
      </x:c>
      <x:c r="AF239" s="12" t="str">
        <x:f>IF(OR(AE239="active",AE239="review_required"),"yes","no")</x:f>
        <x:v>no</x:v>
      </x:c>
      <x:c r="AG239" s="12" t="str">
        <x:f>IF(AND(AE239="active",M239="yes",NOT(ISNUMBER(SEARCH("healthy",AB239)))),"yes","no")</x:f>
        <x:v>no</x:v>
      </x:c>
      <x:c r="AH239" s="12" t="str">
        <x:f>IF(OR(H239="contextual",H239="dialogue",H239="discourse",I239="claim+context",I239="discourse_segment"),"yes","no")</x:f>
        <x:v>yes</x:v>
      </x:c>
      <x:c r="AI239" s="12" t="str">
        <x:f>IF(OR(AH239="yes",AD239="debated",AC239="operational"),"yes","no")</x:f>
        <x:v>yes</x:v>
      </x:c>
      <x:c r="AJ239" s="12" t="str">
        <x:f>IF(OR(AH239="yes",AC239="operational",AD239="debated"),"high",IF(AND(AG239="yes",L239="P0"),"medium","low"))</x:f>
        <x:v>high</x:v>
      </x:c>
      <x:c r="AK239" s="12" t="str">
        <x:f>IF(ISNUMBER(SEARCH("healthy",AB239)),"yes","no")</x:f>
        <x:v>no</x:v>
      </x:c>
      <x:c r="AL239" s="12" t="str">
        <x:f>IF(AG239="yes","yes","candidate_only")</x:f>
        <x:v>candidate_only</x:v>
      </x:c>
      <x:c r="AM239" s="12" t="str">
        <x:f>IF(OR(AC239="canonical",AG239="yes"),"yes","recommended")</x:f>
        <x:v>recommended</x:v>
      </x:c>
      <x:c r="AN239" s="12" t="str">
        <x:f>IF(AC239="deprecated","exclude",IF(AND(AG239="yes",AJ239="high"),"import_but_human_review_required",IF(AG239="yes","import_as_active","import_as_backlog")))</x:f>
        <x:v>import_as_backlog</x:v>
      </x:c>
      <x:c r="AO239" s="12" t="str">
        <x:f>IF(AND(AG239="yes",OR(P239="",Q239="",R239="",S239="")),"missing_required_mvp_fields",IF(AND(AC239="canonical",Y239=""),"missing_source_ref","ok"))</x:f>
        <x:v>ok</x:v>
      </x:c>
      <x:c r="AP239" s="12" t="str">
        <x:f>IF(AO239="ok","ready_for_codex_import","needs_review")</x:f>
        <x:v>ready_for_codex_import</x:v>
      </x:c>
      <x:c r="AQ239" s="12"/>
      <x:c r="AR239" s="12" t="str">
        <x:v>Added v2 operational fields. Review before classification activation.</x:v>
      </x:c>
    </x:row>
    <x:row r="240">
      <x:c r="A240" s="13" t="str">
        <x:v>suppressed_evidence_measurement_problem</x:v>
      </x:c>
      <x:c r="B240" s="13" t="str">
        <x:v>suppressed_evidence</x:v>
      </x:c>
      <x:c r="C240" s="13" t="str">
        <x:v>Suppressed evidence</x:v>
      </x:c>
      <x:c r="D240" s="13" t="str">
        <x:v>حذف شواهد مهم</x:v>
      </x:c>
      <x:c r="E240" s="13" t="str">
        <x:v>Measurement-validity variant</x:v>
      </x:c>
      <x:c r="F240" s="13" t="str">
        <x:v>evidence_failures</x:v>
      </x:c>
      <x:c r="G240" s="13" t="str">
        <x:v>operational_variant</x:v>
      </x:c>
      <x:c r="H240" s="13" t="str">
        <x:v>contextual</x:v>
      </x:c>
      <x:c r="I240" s="13" t="str">
        <x:v>claim+context</x:v>
      </x:c>
      <x:c r="J240" s="13" t="str">
        <x:v>derived_operational_subtype</x:v>
      </x:c>
      <x:c r="K240" s="13" t="str">
        <x:v>derived_from_established_parent_review_required</x:v>
      </x:c>
      <x:c r="L240" s="13" t="str">
        <x:v>P3</x:v>
      </x:c>
      <x:c r="M240" s="13" t="str">
        <x:v>no</x:v>
      </x:c>
      <x:c r="N240" s="13" t="str">
        <x:v>Operational subtype under Suppressed evidence: the evidence does not measure the intended construct well. Parent definition: Omitting relevant evidence that would materially change the conclusion.</x:v>
      </x:c>
      <x:c r="O240" s="13" t="str">
        <x:v>Look for: explicit claim-level evidence; parent-family cues for Suppressed evidence; variant cue: the evidence does not measure the intended construct well; avoid author-level inference.</x:v>
      </x:c>
      <x:c r="P240" s="13" t="str">
        <x:v>Exact evidence span in text plus claim-level reasoning link; for contextual/discourse entries, require surrounding context.</x:v>
      </x:c>
      <x:c r="Q240" s="13" t="str">
        <x:v>Do not label merely because topic is controversial, emotional, or wrong. Do not judge intent or personality. Require textual evidence and consider healthy-reasoning cues.</x:v>
      </x:c>
      <x:c r="R240" s="13" t="str">
        <x:v>Stub: A claim relies on the evidence does not measure the intended construct well to support a conclusion without adequate qualification.</x:v>
      </x:c>
      <x:c r="S240" s="13" t="str">
        <x:v>Stub: A claim discusses suppressed evidence with caveats, balanced evidence, or no argumentative use of the pattern.</x:v>
      </x:c>
      <x:c r="T240" s="13" t="str">
        <x:v>Mild or ambiguous cue; do not classify without clear evidence span.</x:v>
      </x:c>
      <x:c r="U240" s="13" t="str">
        <x:v>Clear claim-level pattern with some argumentative impact.</x:v>
      </x:c>
      <x:c r="V240" s="13" t="str">
        <x:v>Strong pattern central to the conclusion and likely to materially distort reasoning.</x:v>
      </x:c>
      <x:c r="W240" s="13" t="str">
        <x:v>cherry_picking; missing_counterevidence; evidence_grading</x:v>
      </x:c>
      <x:c r="X240" s="13" t="str">
        <x:v>sep_informal_logic</x:v>
      </x:c>
      <x:c r="Y240" s="13" t="str">
        <x:v>https://plato.stanford.edu/entries/logic-informal/</x:v>
      </x:c>
      <x:c r="Z240" s="13" t="str">
        <x:v>Review before enabling. This workbook is a living taxonomy scaffold, not a validated scientific benchmark.</x:v>
      </x:c>
      <x:c r="AA240" s="13" t="str">
        <x:v>0.1.0-draft</x:v>
      </x:c>
      <x:c r="AB240" s="12" t="str">
        <x:f>IF(ISNUMBER(SEARCH("healthy",F240)),"healthy_reasoning_patterns",IF(ISNUMBER(SEARCH("statistical",F240)),"statistical_reasoning",IF(ISNUMBER(SEARCH("causal",F240)),"causal_reasoning",IF(ISNUMBER(SEARCH("social",F240)),"social_influence",IF(ISNUMBER(SEARCH("rhetoric",F240)),"rhetoric_discourse",IF(ISNUMBER(SEARCH("behavior",F240)),"behavioural_economics",IF(ISNUMBER(SEARCH("cognitive",F240)),"cognitive_biases",IF(J240="protective_pattern","healthy_reasoning_patterns",IF(L240="P0","core_mvp","extended_fallacies")))))))))</x:f>
        <x:v>extended_fallacies</x:v>
      </x:c>
      <x:c r="AC240" s="12" t="str">
        <x:f>IF(ISNUMBER(SEARCH("operational",J240)),"operational",IF(ISNUMBER(SEARCH("deprecated",J240)),"deprecated",IF(L240="P0","canonical","recognized_subtype")))</x:f>
        <x:v>operational</x:v>
      </x:c>
      <x:c r="AD240" s="12" t="str">
        <x:f>IF(AC240="canonical","high",IF(AC240="recognized_subtype","medium",IF(AC240="operational","operational_only","debated")))</x:f>
        <x:v>operational_only</x:v>
      </x:c>
      <x:c r="AE240" s="12" t="str">
        <x:f>IF(AC240="deprecated","deprecated",IF(M240="yes","active",IF(M240="review","review_required","backlog")))</x:f>
        <x:v>backlog</x:v>
      </x:c>
      <x:c r="AF240" s="12" t="str">
        <x:f>IF(OR(AE240="active",AE240="review_required"),"yes","no")</x:f>
        <x:v>no</x:v>
      </x:c>
      <x:c r="AG240" s="12" t="str">
        <x:f>IF(AND(AE240="active",M240="yes",NOT(ISNUMBER(SEARCH("healthy",AB240)))),"yes","no")</x:f>
        <x:v>no</x:v>
      </x:c>
      <x:c r="AH240" s="12" t="str">
        <x:f>IF(OR(H240="contextual",H240="dialogue",H240="discourse",I240="claim+context",I240="discourse_segment"),"yes","no")</x:f>
        <x:v>yes</x:v>
      </x:c>
      <x:c r="AI240" s="12" t="str">
        <x:f>IF(OR(AH240="yes",AD240="debated",AC240="operational"),"yes","no")</x:f>
        <x:v>yes</x:v>
      </x:c>
      <x:c r="AJ240" s="12" t="str">
        <x:f>IF(OR(AH240="yes",AC240="operational",AD240="debated"),"high",IF(AND(AG240="yes",L240="P0"),"medium","low"))</x:f>
        <x:v>high</x:v>
      </x:c>
      <x:c r="AK240" s="12" t="str">
        <x:f>IF(ISNUMBER(SEARCH("healthy",AB240)),"yes","no")</x:f>
        <x:v>no</x:v>
      </x:c>
      <x:c r="AL240" s="12" t="str">
        <x:f>IF(AG240="yes","yes","candidate_only")</x:f>
        <x:v>candidate_only</x:v>
      </x:c>
      <x:c r="AM240" s="12" t="str">
        <x:f>IF(OR(AC240="canonical",AG240="yes"),"yes","recommended")</x:f>
        <x:v>recommended</x:v>
      </x:c>
      <x:c r="AN240" s="12" t="str">
        <x:f>IF(AC240="deprecated","exclude",IF(AND(AG240="yes",AJ240="high"),"import_but_human_review_required",IF(AG240="yes","import_as_active","import_as_backlog")))</x:f>
        <x:v>import_as_backlog</x:v>
      </x:c>
      <x:c r="AO240" s="12" t="str">
        <x:f>IF(AND(AG240="yes",OR(P240="",Q240="",R240="",S240="")),"missing_required_mvp_fields",IF(AND(AC240="canonical",Y240=""),"missing_source_ref","ok"))</x:f>
        <x:v>ok</x:v>
      </x:c>
      <x:c r="AP240" s="12" t="str">
        <x:f>IF(AO240="ok","ready_for_codex_import","needs_review")</x:f>
        <x:v>ready_for_codex_import</x:v>
      </x:c>
      <x:c r="AQ240" s="12"/>
      <x:c r="AR240" s="12" t="str">
        <x:v>Added v2 operational fields. Review before classification activation.</x:v>
      </x:c>
    </x:row>
    <x:row r="241">
      <x:c r="A241" s="13" t="str">
        <x:v>anecdotal_evidence_measurement_problem</x:v>
      </x:c>
      <x:c r="B241" s="13" t="str">
        <x:v>anecdotal_evidence</x:v>
      </x:c>
      <x:c r="C241" s="13" t="str">
        <x:v>Anecdotal evidence</x:v>
      </x:c>
      <x:c r="D241" s="13" t="str">
        <x:v>اتکای بیش از حد به روایت فردی</x:v>
      </x:c>
      <x:c r="E241" s="13" t="str">
        <x:v>Measurement-validity variant</x:v>
      </x:c>
      <x:c r="F241" s="13" t="str">
        <x:v>evidence_failures</x:v>
      </x:c>
      <x:c r="G241" s="13" t="str">
        <x:v>operational_variant</x:v>
      </x:c>
      <x:c r="H241" s="13" t="str">
        <x:v>contextual</x:v>
      </x:c>
      <x:c r="I241" s="13" t="str">
        <x:v>claim+context</x:v>
      </x:c>
      <x:c r="J241" s="13" t="str">
        <x:v>derived_operational_subtype</x:v>
      </x:c>
      <x:c r="K241" s="13" t="str">
        <x:v>derived_from_established_parent_review_required</x:v>
      </x:c>
      <x:c r="L241" s="13" t="str">
        <x:v>P3</x:v>
      </x:c>
      <x:c r="M241" s="13" t="str">
        <x:v>no</x:v>
      </x:c>
      <x:c r="N241" s="13" t="str">
        <x:v>Operational subtype under Anecdotal evidence: the evidence does not measure the intended construct well. Parent definition: Using isolated stories as if they establish a general claim.</x:v>
      </x:c>
      <x:c r="O241" s="13" t="str">
        <x:v>Look for: explicit claim-level evidence; parent-family cues for Anecdotal evidence; variant cue: the evidence does not measure the intended construct well; avoid author-level inference.</x:v>
      </x:c>
      <x:c r="P241" s="13" t="str">
        <x:v>Exact evidence span in text plus claim-level reasoning link; for contextual/discourse entries, require surrounding context.</x:v>
      </x:c>
      <x:c r="Q241" s="13" t="str">
        <x:v>Do not label merely because topic is controversial, emotional, or wrong. Do not judge intent or personality. Require textual evidence and consider healthy-reasoning cues.</x:v>
      </x:c>
      <x:c r="R241" s="13" t="str">
        <x:v>Stub: A claim relies on the evidence does not measure the intended construct well to support a conclusion without adequate qualification.</x:v>
      </x:c>
      <x:c r="S241" s="13" t="str">
        <x:v>Stub: A claim discusses anecdotal evidence with caveats, balanced evidence, or no argumentative use of the pattern.</x:v>
      </x:c>
      <x:c r="T241" s="13" t="str">
        <x:v>Mild or ambiguous cue; do not classify without clear evidence span.</x:v>
      </x:c>
      <x:c r="U241" s="13" t="str">
        <x:v>Clear claim-level pattern with some argumentative impact.</x:v>
      </x:c>
      <x:c r="V241" s="13" t="str">
        <x:v>Strong pattern central to the conclusion and likely to materially distort reasoning.</x:v>
      </x:c>
      <x:c r="W241" s="13" t="str"/>
      <x:c r="X241" s="13" t="str">
        <x:v>sep_informal_logic</x:v>
      </x:c>
      <x:c r="Y241" s="13" t="str">
        <x:v>https://plato.stanford.edu/entries/logic-informal/</x:v>
      </x:c>
      <x:c r="Z241" s="13" t="str">
        <x:v>Review before enabling. This workbook is a living taxonomy scaffold, not a validated scientific benchmark.</x:v>
      </x:c>
      <x:c r="AA241" s="13" t="str">
        <x:v>0.1.0-draft</x:v>
      </x:c>
      <x:c r="AB241" s="12" t="str">
        <x:f>IF(ISNUMBER(SEARCH("healthy",F241)),"healthy_reasoning_patterns",IF(ISNUMBER(SEARCH("statistical",F241)),"statistical_reasoning",IF(ISNUMBER(SEARCH("causal",F241)),"causal_reasoning",IF(ISNUMBER(SEARCH("social",F241)),"social_influence",IF(ISNUMBER(SEARCH("rhetoric",F241)),"rhetoric_discourse",IF(ISNUMBER(SEARCH("behavior",F241)),"behavioural_economics",IF(ISNUMBER(SEARCH("cognitive",F241)),"cognitive_biases",IF(J241="protective_pattern","healthy_reasoning_patterns",IF(L241="P0","core_mvp","extended_fallacies")))))))))</x:f>
        <x:v>extended_fallacies</x:v>
      </x:c>
      <x:c r="AC241" s="12" t="str">
        <x:f>IF(ISNUMBER(SEARCH("operational",J241)),"operational",IF(ISNUMBER(SEARCH("deprecated",J241)),"deprecated",IF(L241="P0","canonical","recognized_subtype")))</x:f>
        <x:v>operational</x:v>
      </x:c>
      <x:c r="AD241" s="12" t="str">
        <x:f>IF(AC241="canonical","high",IF(AC241="recognized_subtype","medium",IF(AC241="operational","operational_only","debated")))</x:f>
        <x:v>operational_only</x:v>
      </x:c>
      <x:c r="AE241" s="12" t="str">
        <x:f>IF(AC241="deprecated","deprecated",IF(M241="yes","active",IF(M241="review","review_required","backlog")))</x:f>
        <x:v>backlog</x:v>
      </x:c>
      <x:c r="AF241" s="12" t="str">
        <x:f>IF(OR(AE241="active",AE241="review_required"),"yes","no")</x:f>
        <x:v>no</x:v>
      </x:c>
      <x:c r="AG241" s="12" t="str">
        <x:f>IF(AND(AE241="active",M241="yes",NOT(ISNUMBER(SEARCH("healthy",AB241)))),"yes","no")</x:f>
        <x:v>no</x:v>
      </x:c>
      <x:c r="AH241" s="12" t="str">
        <x:f>IF(OR(H241="contextual",H241="dialogue",H241="discourse",I241="claim+context",I241="discourse_segment"),"yes","no")</x:f>
        <x:v>yes</x:v>
      </x:c>
      <x:c r="AI241" s="12" t="str">
        <x:f>IF(OR(AH241="yes",AD241="debated",AC241="operational"),"yes","no")</x:f>
        <x:v>yes</x:v>
      </x:c>
      <x:c r="AJ241" s="12" t="str">
        <x:f>IF(OR(AH241="yes",AC241="operational",AD241="debated"),"high",IF(AND(AG241="yes",L241="P0"),"medium","low"))</x:f>
        <x:v>high</x:v>
      </x:c>
      <x:c r="AK241" s="12" t="str">
        <x:f>IF(ISNUMBER(SEARCH("healthy",AB241)),"yes","no")</x:f>
        <x:v>no</x:v>
      </x:c>
      <x:c r="AL241" s="12" t="str">
        <x:f>IF(AG241="yes","yes","candidate_only")</x:f>
        <x:v>candidate_only</x:v>
      </x:c>
      <x:c r="AM241" s="12" t="str">
        <x:f>IF(OR(AC241="canonical",AG241="yes"),"yes","recommended")</x:f>
        <x:v>recommended</x:v>
      </x:c>
      <x:c r="AN241" s="12" t="str">
        <x:f>IF(AC241="deprecated","exclude",IF(AND(AG241="yes",AJ241="high"),"import_but_human_review_required",IF(AG241="yes","import_as_active","import_as_backlog")))</x:f>
        <x:v>import_as_backlog</x:v>
      </x:c>
      <x:c r="AO241" s="12" t="str">
        <x:f>IF(AND(AG241="yes",OR(P241="",Q241="",R241="",S241="")),"missing_required_mvp_fields",IF(AND(AC241="canonical",Y241=""),"missing_source_ref","ok"))</x:f>
        <x:v>ok</x:v>
      </x:c>
      <x:c r="AP241" s="12" t="str">
        <x:f>IF(AO241="ok","ready_for_codex_import","needs_review")</x:f>
        <x:v>ready_for_codex_import</x:v>
      </x:c>
      <x:c r="AQ241" s="12"/>
      <x:c r="AR241" s="12" t="str">
        <x:v>Added v2 operational fields. Review before classification activation.</x:v>
      </x:c>
    </x:row>
    <x:row r="242">
      <x:c r="A242" s="13" t="str">
        <x:v>selection_bias_argument_measurement_problem</x:v>
      </x:c>
      <x:c r="B242" s="13" t="str">
        <x:v>selection_bias_argument</x:v>
      </x:c>
      <x:c r="C242" s="13" t="str">
        <x:v>Selection bias in argument</x:v>
      </x:c>
      <x:c r="D242" s="13" t="str">
        <x:v>سوگیری انتخاب نمونه</x:v>
      </x:c>
      <x:c r="E242" s="13" t="str">
        <x:v>Measurement-validity variant</x:v>
      </x:c>
      <x:c r="F242" s="13" t="str">
        <x:v>evidence_failures</x:v>
      </x:c>
      <x:c r="G242" s="13" t="str">
        <x:v>operational_variant</x:v>
      </x:c>
      <x:c r="H242" s="13" t="str">
        <x:v>contextual</x:v>
      </x:c>
      <x:c r="I242" s="13" t="str">
        <x:v>claim+context</x:v>
      </x:c>
      <x:c r="J242" s="13" t="str">
        <x:v>derived_operational_subtype</x:v>
      </x:c>
      <x:c r="K242" s="13" t="str">
        <x:v>derived_from_established_parent_review_required</x:v>
      </x:c>
      <x:c r="L242" s="13" t="str">
        <x:v>P3</x:v>
      </x:c>
      <x:c r="M242" s="13" t="str">
        <x:v>no</x:v>
      </x:c>
      <x:c r="N242" s="13" t="str">
        <x:v>Operational subtype under Selection bias in argument: the evidence does not measure the intended construct well. Parent definition: Basing a conclusion on a sample selected in a systematically distorted way.</x:v>
      </x:c>
      <x:c r="O242" s="13" t="str">
        <x:v>Look for: explicit claim-level evidence; parent-family cues for Selection bias in argument; variant cue: the evidence does not measure the intended construct well; avoid author-level inference.</x:v>
      </x:c>
      <x:c r="P242" s="13" t="str">
        <x:v>Exact evidence span in text plus claim-level reasoning link; for contextual/discourse entries, require surrounding context.</x:v>
      </x:c>
      <x:c r="Q242" s="13" t="str">
        <x:v>Do not label merely because topic is controversial, emotional, or wrong. Do not judge intent or personality. Require textual evidence and consider healthy-reasoning cues.</x:v>
      </x:c>
      <x:c r="R242" s="13" t="str">
        <x:v>Stub: A claim relies on the evidence does not measure the intended construct well to support a conclusion without adequate qualification.</x:v>
      </x:c>
      <x:c r="S242" s="13" t="str">
        <x:v>Stub: A claim discusses selection bias in argument with caveats, balanced evidence, or no argumentative use of the pattern.</x:v>
      </x:c>
      <x:c r="T242" s="13" t="str">
        <x:v>Mild or ambiguous cue; do not classify without clear evidence span.</x:v>
      </x:c>
      <x:c r="U242" s="13" t="str">
        <x:v>Clear claim-level pattern with some argumentative impact.</x:v>
      </x:c>
      <x:c r="V242" s="13" t="str">
        <x:v>Strong pattern central to the conclusion and likely to materially distort reasoning.</x:v>
      </x:c>
      <x:c r="W242" s="13" t="str"/>
      <x:c r="X242" s="13" t="str">
        <x:v>sep_informal_logic</x:v>
      </x:c>
      <x:c r="Y242" s="13" t="str">
        <x:v>https://plato.stanford.edu/entries/logic-informal/</x:v>
      </x:c>
      <x:c r="Z242" s="13" t="str">
        <x:v>Review before enabling. This workbook is a living taxonomy scaffold, not a validated scientific benchmark.</x:v>
      </x:c>
      <x:c r="AA242" s="13" t="str">
        <x:v>0.1.0-draft</x:v>
      </x:c>
      <x:c r="AB242" s="12" t="str">
        <x:f>IF(ISNUMBER(SEARCH("healthy",F242)),"healthy_reasoning_patterns",IF(ISNUMBER(SEARCH("statistical",F242)),"statistical_reasoning",IF(ISNUMBER(SEARCH("causal",F242)),"causal_reasoning",IF(ISNUMBER(SEARCH("social",F242)),"social_influence",IF(ISNUMBER(SEARCH("rhetoric",F242)),"rhetoric_discourse",IF(ISNUMBER(SEARCH("behavior",F242)),"behavioural_economics",IF(ISNUMBER(SEARCH("cognitive",F242)),"cognitive_biases",IF(J242="protective_pattern","healthy_reasoning_patterns",IF(L242="P0","core_mvp","extended_fallacies")))))))))</x:f>
        <x:v>extended_fallacies</x:v>
      </x:c>
      <x:c r="AC242" s="12" t="str">
        <x:f>IF(ISNUMBER(SEARCH("operational",J242)),"operational",IF(ISNUMBER(SEARCH("deprecated",J242)),"deprecated",IF(L242="P0","canonical","recognized_subtype")))</x:f>
        <x:v>operational</x:v>
      </x:c>
      <x:c r="AD242" s="12" t="str">
        <x:f>IF(AC242="canonical","high",IF(AC242="recognized_subtype","medium",IF(AC242="operational","operational_only","debated")))</x:f>
        <x:v>operational_only</x:v>
      </x:c>
      <x:c r="AE242" s="12" t="str">
        <x:f>IF(AC242="deprecated","deprecated",IF(M242="yes","active",IF(M242="review","review_required","backlog")))</x:f>
        <x:v>backlog</x:v>
      </x:c>
      <x:c r="AF242" s="12" t="str">
        <x:f>IF(OR(AE242="active",AE242="review_required"),"yes","no")</x:f>
        <x:v>no</x:v>
      </x:c>
      <x:c r="AG242" s="12" t="str">
        <x:f>IF(AND(AE242="active",M242="yes",NOT(ISNUMBER(SEARCH("healthy",AB242)))),"yes","no")</x:f>
        <x:v>no</x:v>
      </x:c>
      <x:c r="AH242" s="12" t="str">
        <x:f>IF(OR(H242="contextual",H242="dialogue",H242="discourse",I242="claim+context",I242="discourse_segment"),"yes","no")</x:f>
        <x:v>yes</x:v>
      </x:c>
      <x:c r="AI242" s="12" t="str">
        <x:f>IF(OR(AH242="yes",AD242="debated",AC242="operational"),"yes","no")</x:f>
        <x:v>yes</x:v>
      </x:c>
      <x:c r="AJ242" s="12" t="str">
        <x:f>IF(OR(AH242="yes",AC242="operational",AD242="debated"),"high",IF(AND(AG242="yes",L242="P0"),"medium","low"))</x:f>
        <x:v>high</x:v>
      </x:c>
      <x:c r="AK242" s="12" t="str">
        <x:f>IF(ISNUMBER(SEARCH("healthy",AB242)),"yes","no")</x:f>
        <x:v>no</x:v>
      </x:c>
      <x:c r="AL242" s="12" t="str">
        <x:f>IF(AG242="yes","yes","candidate_only")</x:f>
        <x:v>candidate_only</x:v>
      </x:c>
      <x:c r="AM242" s="12" t="str">
        <x:f>IF(OR(AC242="canonical",AG242="yes"),"yes","recommended")</x:f>
        <x:v>recommended</x:v>
      </x:c>
      <x:c r="AN242" s="12" t="str">
        <x:f>IF(AC242="deprecated","exclude",IF(AND(AG242="yes",AJ242="high"),"import_but_human_review_required",IF(AG242="yes","import_as_active","import_as_backlog")))</x:f>
        <x:v>import_as_backlog</x:v>
      </x:c>
      <x:c r="AO242" s="12" t="str">
        <x:f>IF(AND(AG242="yes",OR(P242="",Q242="",R242="",S242="")),"missing_required_mvp_fields",IF(AND(AC242="canonical",Y242=""),"missing_source_ref","ok"))</x:f>
        <x:v>ok</x:v>
      </x:c>
      <x:c r="AP242" s="12" t="str">
        <x:f>IF(AO242="ok","ready_for_codex_import","needs_review")</x:f>
        <x:v>ready_for_codex_import</x:v>
      </x:c>
      <x:c r="AQ242" s="12"/>
      <x:c r="AR242" s="12" t="str">
        <x:v>Added v2 operational fields. Review before classification activation.</x:v>
      </x:c>
    </x:row>
    <x:row r="243">
      <x:c r="A243" s="13" t="str">
        <x:v>sample_size_neglect_measurement_problem</x:v>
      </x:c>
      <x:c r="B243" s="13" t="str">
        <x:v>sample_size_neglect</x:v>
      </x:c>
      <x:c r="C243" s="13" t="str">
        <x:v>Sample size neglect</x:v>
      </x:c>
      <x:c r="D243" s="13" t="str">
        <x:v>نادیده‌گرفتن اندازه نمونه</x:v>
      </x:c>
      <x:c r="E243" s="13" t="str">
        <x:v>Measurement-validity variant</x:v>
      </x:c>
      <x:c r="F243" s="13" t="str">
        <x:v>evidence_failures</x:v>
      </x:c>
      <x:c r="G243" s="13" t="str">
        <x:v>operational_variant</x:v>
      </x:c>
      <x:c r="H243" s="13" t="str">
        <x:v>contextual</x:v>
      </x:c>
      <x:c r="I243" s="13" t="str">
        <x:v>claim+context</x:v>
      </x:c>
      <x:c r="J243" s="13" t="str">
        <x:v>derived_operational_subtype</x:v>
      </x:c>
      <x:c r="K243" s="13" t="str">
        <x:v>derived_from_established_parent_review_required</x:v>
      </x:c>
      <x:c r="L243" s="13" t="str">
        <x:v>P3</x:v>
      </x:c>
      <x:c r="M243" s="13" t="str">
        <x:v>no</x:v>
      </x:c>
      <x:c r="N243" s="13" t="str">
        <x:v>Operational subtype under Sample size neglect: the evidence does not measure the intended construct well. Parent definition: Ignoring whether the amount of evidence is sufficient for the inference.</x:v>
      </x:c>
      <x:c r="O243" s="13" t="str">
        <x:v>Look for: explicit claim-level evidence; parent-family cues for Sample size neglect; variant cue: the evidence does not measure the intended construct well; avoid author-level inference.</x:v>
      </x:c>
      <x:c r="P243" s="13" t="str">
        <x:v>Exact evidence span in text plus claim-level reasoning link; for contextual/discourse entries, require surrounding context.</x:v>
      </x:c>
      <x:c r="Q243" s="13" t="str">
        <x:v>Do not label merely because topic is controversial, emotional, or wrong. Do not judge intent or personality. Require textual evidence and consider healthy-reasoning cues.</x:v>
      </x:c>
      <x:c r="R243" s="13" t="str">
        <x:v>Stub: A claim relies on the evidence does not measure the intended construct well to support a conclusion without adequate qualification.</x:v>
      </x:c>
      <x:c r="S243" s="13" t="str">
        <x:v>Stub: A claim discusses sample size neglect with caveats, balanced evidence, or no argumentative use of the pattern.</x:v>
      </x:c>
      <x:c r="T243" s="13" t="str">
        <x:v>Mild or ambiguous cue; do not classify without clear evidence span.</x:v>
      </x:c>
      <x:c r="U243" s="13" t="str">
        <x:v>Clear claim-level pattern with some argumentative impact.</x:v>
      </x:c>
      <x:c r="V243" s="13" t="str">
        <x:v>Strong pattern central to the conclusion and likely to materially distort reasoning.</x:v>
      </x:c>
      <x:c r="W243" s="13" t="str">
        <x:v>cherry_picking; missing_counterevidence; evidence_grading</x:v>
      </x:c>
      <x:c r="X243" s="13" t="str">
        <x:v>kahneman_tversky_heuristics_1974</x:v>
      </x:c>
      <x:c r="Y243" s="13" t="str">
        <x:v>https://doi.org/10.1126/science.185.4157.1124</x:v>
      </x:c>
      <x:c r="Z243" s="13" t="str">
        <x:v>Review before enabling. This workbook is a living taxonomy scaffold, not a validated scientific benchmark.</x:v>
      </x:c>
      <x:c r="AA243" s="13" t="str">
        <x:v>0.1.0-draft</x:v>
      </x:c>
      <x:c r="AB243" s="12" t="str">
        <x:f>IF(ISNUMBER(SEARCH("healthy",F243)),"healthy_reasoning_patterns",IF(ISNUMBER(SEARCH("statistical",F243)),"statistical_reasoning",IF(ISNUMBER(SEARCH("causal",F243)),"causal_reasoning",IF(ISNUMBER(SEARCH("social",F243)),"social_influence",IF(ISNUMBER(SEARCH("rhetoric",F243)),"rhetoric_discourse",IF(ISNUMBER(SEARCH("behavior",F243)),"behavioural_economics",IF(ISNUMBER(SEARCH("cognitive",F243)),"cognitive_biases",IF(J243="protective_pattern","healthy_reasoning_patterns",IF(L243="P0","core_mvp","extended_fallacies")))))))))</x:f>
        <x:v>extended_fallacies</x:v>
      </x:c>
      <x:c r="AC243" s="12" t="str">
        <x:f>IF(ISNUMBER(SEARCH("operational",J243)),"operational",IF(ISNUMBER(SEARCH("deprecated",J243)),"deprecated",IF(L243="P0","canonical","recognized_subtype")))</x:f>
        <x:v>operational</x:v>
      </x:c>
      <x:c r="AD243" s="12" t="str">
        <x:f>IF(AC243="canonical","high",IF(AC243="recognized_subtype","medium",IF(AC243="operational","operational_only","debated")))</x:f>
        <x:v>operational_only</x:v>
      </x:c>
      <x:c r="AE243" s="12" t="str">
        <x:f>IF(AC243="deprecated","deprecated",IF(M243="yes","active",IF(M243="review","review_required","backlog")))</x:f>
        <x:v>backlog</x:v>
      </x:c>
      <x:c r="AF243" s="12" t="str">
        <x:f>IF(OR(AE243="active",AE243="review_required"),"yes","no")</x:f>
        <x:v>no</x:v>
      </x:c>
      <x:c r="AG243" s="12" t="str">
        <x:f>IF(AND(AE243="active",M243="yes",NOT(ISNUMBER(SEARCH("healthy",AB243)))),"yes","no")</x:f>
        <x:v>no</x:v>
      </x:c>
      <x:c r="AH243" s="12" t="str">
        <x:f>IF(OR(H243="contextual",H243="dialogue",H243="discourse",I243="claim+context",I243="discourse_segment"),"yes","no")</x:f>
        <x:v>yes</x:v>
      </x:c>
      <x:c r="AI243" s="12" t="str">
        <x:f>IF(OR(AH243="yes",AD243="debated",AC243="operational"),"yes","no")</x:f>
        <x:v>yes</x:v>
      </x:c>
      <x:c r="AJ243" s="12" t="str">
        <x:f>IF(OR(AH243="yes",AC243="operational",AD243="debated"),"high",IF(AND(AG243="yes",L243="P0"),"medium","low"))</x:f>
        <x:v>high</x:v>
      </x:c>
      <x:c r="AK243" s="12" t="str">
        <x:f>IF(ISNUMBER(SEARCH("healthy",AB243)),"yes","no")</x:f>
        <x:v>no</x:v>
      </x:c>
      <x:c r="AL243" s="12" t="str">
        <x:f>IF(AG243="yes","yes","candidate_only")</x:f>
        <x:v>candidate_only</x:v>
      </x:c>
      <x:c r="AM243" s="12" t="str">
        <x:f>IF(OR(AC243="canonical",AG243="yes"),"yes","recommended")</x:f>
        <x:v>recommended</x:v>
      </x:c>
      <x:c r="AN243" s="12" t="str">
        <x:f>IF(AC243="deprecated","exclude",IF(AND(AG243="yes",AJ243="high"),"import_but_human_review_required",IF(AG243="yes","import_as_active","import_as_backlog")))</x:f>
        <x:v>import_as_backlog</x:v>
      </x:c>
      <x:c r="AO243" s="12" t="str">
        <x:f>IF(AND(AG243="yes",OR(P243="",Q243="",R243="",S243="")),"missing_required_mvp_fields",IF(AND(AC243="canonical",Y243=""),"missing_source_ref","ok"))</x:f>
        <x:v>ok</x:v>
      </x:c>
      <x:c r="AP243" s="12" t="str">
        <x:f>IF(AO243="ok","ready_for_codex_import","needs_review")</x:f>
        <x:v>ready_for_codex_import</x:v>
      </x:c>
      <x:c r="AQ243" s="12"/>
      <x:c r="AR243" s="12" t="str">
        <x:v>Added v2 operational fields. Review before classification activation.</x:v>
      </x:c>
    </x:row>
    <x:row r="244">
      <x:c r="A244" s="13" t="str">
        <x:v>unrepresentative_sample_measurement_problem</x:v>
      </x:c>
      <x:c r="B244" s="13" t="str">
        <x:v>unrepresentative_sample</x:v>
      </x:c>
      <x:c r="C244" s="13" t="str">
        <x:v>Unrepresentative sample</x:v>
      </x:c>
      <x:c r="D244" s="13" t="str">
        <x:v>نمونه نامعرف</x:v>
      </x:c>
      <x:c r="E244" s="13" t="str">
        <x:v>Measurement-validity variant</x:v>
      </x:c>
      <x:c r="F244" s="13" t="str">
        <x:v>evidence_failures</x:v>
      </x:c>
      <x:c r="G244" s="13" t="str">
        <x:v>operational_variant</x:v>
      </x:c>
      <x:c r="H244" s="13" t="str">
        <x:v>contextual</x:v>
      </x:c>
      <x:c r="I244" s="13" t="str">
        <x:v>claim+context</x:v>
      </x:c>
      <x:c r="J244" s="13" t="str">
        <x:v>derived_operational_subtype</x:v>
      </x:c>
      <x:c r="K244" s="13" t="str">
        <x:v>derived_from_established_parent_review_required</x:v>
      </x:c>
      <x:c r="L244" s="13" t="str">
        <x:v>P3</x:v>
      </x:c>
      <x:c r="M244" s="13" t="str">
        <x:v>no</x:v>
      </x:c>
      <x:c r="N244" s="13" t="str">
        <x:v>Operational subtype under Unrepresentative sample: the evidence does not measure the intended construct well. Parent definition: Using a sample that does not plausibly represent the target population.</x:v>
      </x:c>
      <x:c r="O244" s="13" t="str">
        <x:v>Look for: explicit claim-level evidence; parent-family cues for Unrepresentative sample; variant cue: the evidence does not measure the intended construct well; avoid author-level inference.</x:v>
      </x:c>
      <x:c r="P244" s="13" t="str">
        <x:v>Exact evidence span in text plus claim-level reasoning link; for contextual/discourse entries, require surrounding context.</x:v>
      </x:c>
      <x:c r="Q244" s="13" t="str">
        <x:v>Do not label merely because topic is controversial, emotional, or wrong. Do not judge intent or personality. Require textual evidence and consider healthy-reasoning cues.</x:v>
      </x:c>
      <x:c r="R244" s="13" t="str">
        <x:v>Stub: A claim relies on the evidence does not measure the intended construct well to support a conclusion without adequate qualification.</x:v>
      </x:c>
      <x:c r="S244" s="13" t="str">
        <x:v>Stub: A claim discusses unrepresentative sample with caveats, balanced evidence, or no argumentative use of the pattern.</x:v>
      </x:c>
      <x:c r="T244" s="13" t="str">
        <x:v>Mild or ambiguous cue; do not classify without clear evidence span.</x:v>
      </x:c>
      <x:c r="U244" s="13" t="str">
        <x:v>Clear claim-level pattern with some argumentative impact.</x:v>
      </x:c>
      <x:c r="V244" s="13" t="str">
        <x:v>Strong pattern central to the conclusion and likely to materially distort reasoning.</x:v>
      </x:c>
      <x:c r="W244" s="13" t="str"/>
      <x:c r="X244" s="13" t="str">
        <x:v>sep_informal_logic</x:v>
      </x:c>
      <x:c r="Y244" s="13" t="str">
        <x:v>https://plato.stanford.edu/entries/logic-informal/</x:v>
      </x:c>
      <x:c r="Z244" s="13" t="str">
        <x:v>Review before enabling. This workbook is a living taxonomy scaffold, not a validated scientific benchmark.</x:v>
      </x:c>
      <x:c r="AA244" s="13" t="str">
        <x:v>0.1.0-draft</x:v>
      </x:c>
      <x:c r="AB244" s="12" t="str">
        <x:f>IF(ISNUMBER(SEARCH("healthy",F244)),"healthy_reasoning_patterns",IF(ISNUMBER(SEARCH("statistical",F244)),"statistical_reasoning",IF(ISNUMBER(SEARCH("causal",F244)),"causal_reasoning",IF(ISNUMBER(SEARCH("social",F244)),"social_influence",IF(ISNUMBER(SEARCH("rhetoric",F244)),"rhetoric_discourse",IF(ISNUMBER(SEARCH("behavior",F244)),"behavioural_economics",IF(ISNUMBER(SEARCH("cognitive",F244)),"cognitive_biases",IF(J244="protective_pattern","healthy_reasoning_patterns",IF(L244="P0","core_mvp","extended_fallacies")))))))))</x:f>
        <x:v>extended_fallacies</x:v>
      </x:c>
      <x:c r="AC244" s="12" t="str">
        <x:f>IF(ISNUMBER(SEARCH("operational",J244)),"operational",IF(ISNUMBER(SEARCH("deprecated",J244)),"deprecated",IF(L244="P0","canonical","recognized_subtype")))</x:f>
        <x:v>operational</x:v>
      </x:c>
      <x:c r="AD244" s="12" t="str">
        <x:f>IF(AC244="canonical","high",IF(AC244="recognized_subtype","medium",IF(AC244="operational","operational_only","debated")))</x:f>
        <x:v>operational_only</x:v>
      </x:c>
      <x:c r="AE244" s="12" t="str">
        <x:f>IF(AC244="deprecated","deprecated",IF(M244="yes","active",IF(M244="review","review_required","backlog")))</x:f>
        <x:v>backlog</x:v>
      </x:c>
      <x:c r="AF244" s="12" t="str">
        <x:f>IF(OR(AE244="active",AE244="review_required"),"yes","no")</x:f>
        <x:v>no</x:v>
      </x:c>
      <x:c r="AG244" s="12" t="str">
        <x:f>IF(AND(AE244="active",M244="yes",NOT(ISNUMBER(SEARCH("healthy",AB244)))),"yes","no")</x:f>
        <x:v>no</x:v>
      </x:c>
      <x:c r="AH244" s="12" t="str">
        <x:f>IF(OR(H244="contextual",H244="dialogue",H244="discourse",I244="claim+context",I244="discourse_segment"),"yes","no")</x:f>
        <x:v>yes</x:v>
      </x:c>
      <x:c r="AI244" s="12" t="str">
        <x:f>IF(OR(AH244="yes",AD244="debated",AC244="operational"),"yes","no")</x:f>
        <x:v>yes</x:v>
      </x:c>
      <x:c r="AJ244" s="12" t="str">
        <x:f>IF(OR(AH244="yes",AC244="operational",AD244="debated"),"high",IF(AND(AG244="yes",L244="P0"),"medium","low"))</x:f>
        <x:v>high</x:v>
      </x:c>
      <x:c r="AK244" s="12" t="str">
        <x:f>IF(ISNUMBER(SEARCH("healthy",AB244)),"yes","no")</x:f>
        <x:v>no</x:v>
      </x:c>
      <x:c r="AL244" s="12" t="str">
        <x:f>IF(AG244="yes","yes","candidate_only")</x:f>
        <x:v>candidate_only</x:v>
      </x:c>
      <x:c r="AM244" s="12" t="str">
        <x:f>IF(OR(AC244="canonical",AG244="yes"),"yes","recommended")</x:f>
        <x:v>recommended</x:v>
      </x:c>
      <x:c r="AN244" s="12" t="str">
        <x:f>IF(AC244="deprecated","exclude",IF(AND(AG244="yes",AJ244="high"),"import_but_human_review_required",IF(AG244="yes","import_as_active","import_as_backlog")))</x:f>
        <x:v>import_as_backlog</x:v>
      </x:c>
      <x:c r="AO244" s="12" t="str">
        <x:f>IF(AND(AG244="yes",OR(P244="",Q244="",R244="",S244="")),"missing_required_mvp_fields",IF(AND(AC244="canonical",Y244=""),"missing_source_ref","ok"))</x:f>
        <x:v>ok</x:v>
      </x:c>
      <x:c r="AP244" s="12" t="str">
        <x:f>IF(AO244="ok","ready_for_codex_import","needs_review")</x:f>
        <x:v>ready_for_codex_import</x:v>
      </x:c>
      <x:c r="AQ244" s="12"/>
      <x:c r="AR244" s="12" t="str">
        <x:v>Added v2 operational fields. Review before classification activation.</x:v>
      </x:c>
    </x:row>
    <x:row r="245">
      <x:c r="A245" s="13" t="str">
        <x:v>survivorship_bias_measurement_problem</x:v>
      </x:c>
      <x:c r="B245" s="13" t="str">
        <x:v>survivorship_bias</x:v>
      </x:c>
      <x:c r="C245" s="13" t="str">
        <x:v>Survivorship bias</x:v>
      </x:c>
      <x:c r="D245" s="13" t="str">
        <x:v>سوگیری بازماندگان</x:v>
      </x:c>
      <x:c r="E245" s="13" t="str">
        <x:v>Measurement-validity variant</x:v>
      </x:c>
      <x:c r="F245" s="13" t="str">
        <x:v>evidence_failures</x:v>
      </x:c>
      <x:c r="G245" s="13" t="str">
        <x:v>operational_variant</x:v>
      </x:c>
      <x:c r="H245" s="13" t="str">
        <x:v>contextual</x:v>
      </x:c>
      <x:c r="I245" s="13" t="str">
        <x:v>claim+context</x:v>
      </x:c>
      <x:c r="J245" s="13" t="str">
        <x:v>derived_operational_subtype</x:v>
      </x:c>
      <x:c r="K245" s="13" t="str">
        <x:v>derived_from_established_parent_review_required</x:v>
      </x:c>
      <x:c r="L245" s="13" t="str">
        <x:v>P3</x:v>
      </x:c>
      <x:c r="M245" s="13" t="str">
        <x:v>no</x:v>
      </x:c>
      <x:c r="N245" s="13" t="str">
        <x:v>Operational subtype under Survivorship bias: the evidence does not measure the intended construct well. Parent definition: Focusing on visible successes or survivors while ignoring missing failures.</x:v>
      </x:c>
      <x:c r="O245" s="13" t="str">
        <x:v>Look for: explicit claim-level evidence; parent-family cues for Survivorship bias; variant cue: the evidence does not measure the intended construct well; avoid author-level inference.</x:v>
      </x:c>
      <x:c r="P245" s="13" t="str">
        <x:v>Exact evidence span in text plus claim-level reasoning link; for contextual/discourse entries, require surrounding context.</x:v>
      </x:c>
      <x:c r="Q245" s="13" t="str">
        <x:v>Do not label merely because topic is controversial, emotional, or wrong. Do not judge intent or personality. Require textual evidence and consider healthy-reasoning cues.</x:v>
      </x:c>
      <x:c r="R245" s="13" t="str">
        <x:v>Stub: A claim relies on the evidence does not measure the intended construct well to support a conclusion without adequate qualification.</x:v>
      </x:c>
      <x:c r="S245" s="13" t="str">
        <x:v>Stub: A claim discusses survivorship bias with caveats, balanced evidence, or no argumentative use of the pattern.</x:v>
      </x:c>
      <x:c r="T245" s="13" t="str">
        <x:v>Mild or ambiguous cue; do not classify without clear evidence span.</x:v>
      </x:c>
      <x:c r="U245" s="13" t="str">
        <x:v>Clear claim-level pattern with some argumentative impact.</x:v>
      </x:c>
      <x:c r="V245" s="13" t="str">
        <x:v>Strong pattern central to the conclusion and likely to materially distort reasoning.</x:v>
      </x:c>
      <x:c r="W245" s="13" t="str"/>
      <x:c r="X245" s="13" t="str">
        <x:v>gilovich_heuristics_biases</x:v>
      </x:c>
      <x:c r="Y245" s="13" t="str">
        <x:v>https://www.cambridge.org/core/books/heuristics-and-biases/3C30D3B05D2F190C3B8BE5E2531EFD24</x:v>
      </x:c>
      <x:c r="Z245" s="13" t="str">
        <x:v>Review before enabling. This workbook is a living taxonomy scaffold, not a validated scientific benchmark.</x:v>
      </x:c>
      <x:c r="AA245" s="13" t="str">
        <x:v>0.1.0-draft</x:v>
      </x:c>
      <x:c r="AB245" s="12" t="str">
        <x:f>IF(ISNUMBER(SEARCH("healthy",F245)),"healthy_reasoning_patterns",IF(ISNUMBER(SEARCH("statistical",F245)),"statistical_reasoning",IF(ISNUMBER(SEARCH("causal",F245)),"causal_reasoning",IF(ISNUMBER(SEARCH("social",F245)),"social_influence",IF(ISNUMBER(SEARCH("rhetoric",F245)),"rhetoric_discourse",IF(ISNUMBER(SEARCH("behavior",F245)),"behavioural_economics",IF(ISNUMBER(SEARCH("cognitive",F245)),"cognitive_biases",IF(J245="protective_pattern","healthy_reasoning_patterns",IF(L245="P0","core_mvp","extended_fallacies")))))))))</x:f>
        <x:v>extended_fallacies</x:v>
      </x:c>
      <x:c r="AC245" s="12" t="str">
        <x:f>IF(ISNUMBER(SEARCH("operational",J245)),"operational",IF(ISNUMBER(SEARCH("deprecated",J245)),"deprecated",IF(L245="P0","canonical","recognized_subtype")))</x:f>
        <x:v>operational</x:v>
      </x:c>
      <x:c r="AD245" s="12" t="str">
        <x:f>IF(AC245="canonical","high",IF(AC245="recognized_subtype","medium",IF(AC245="operational","operational_only","debated")))</x:f>
        <x:v>operational_only</x:v>
      </x:c>
      <x:c r="AE245" s="12" t="str">
        <x:f>IF(AC245="deprecated","deprecated",IF(M245="yes","active",IF(M245="review","review_required","backlog")))</x:f>
        <x:v>backlog</x:v>
      </x:c>
      <x:c r="AF245" s="12" t="str">
        <x:f>IF(OR(AE245="active",AE245="review_required"),"yes","no")</x:f>
        <x:v>no</x:v>
      </x:c>
      <x:c r="AG245" s="12" t="str">
        <x:f>IF(AND(AE245="active",M245="yes",NOT(ISNUMBER(SEARCH("healthy",AB245)))),"yes","no")</x:f>
        <x:v>no</x:v>
      </x:c>
      <x:c r="AH245" s="12" t="str">
        <x:f>IF(OR(H245="contextual",H245="dialogue",H245="discourse",I245="claim+context",I245="discourse_segment"),"yes","no")</x:f>
        <x:v>yes</x:v>
      </x:c>
      <x:c r="AI245" s="12" t="str">
        <x:f>IF(OR(AH245="yes",AD245="debated",AC245="operational"),"yes","no")</x:f>
        <x:v>yes</x:v>
      </x:c>
      <x:c r="AJ245" s="12" t="str">
        <x:f>IF(OR(AH245="yes",AC245="operational",AD245="debated"),"high",IF(AND(AG245="yes",L245="P0"),"medium","low"))</x:f>
        <x:v>high</x:v>
      </x:c>
      <x:c r="AK245" s="12" t="str">
        <x:f>IF(ISNUMBER(SEARCH("healthy",AB245)),"yes","no")</x:f>
        <x:v>no</x:v>
      </x:c>
      <x:c r="AL245" s="12" t="str">
        <x:f>IF(AG245="yes","yes","candidate_only")</x:f>
        <x:v>candidate_only</x:v>
      </x:c>
      <x:c r="AM245" s="12" t="str">
        <x:f>IF(OR(AC245="canonical",AG245="yes"),"yes","recommended")</x:f>
        <x:v>recommended</x:v>
      </x:c>
      <x:c r="AN245" s="12" t="str">
        <x:f>IF(AC245="deprecated","exclude",IF(AND(AG245="yes",AJ245="high"),"import_but_human_review_required",IF(AG245="yes","import_as_active","import_as_backlog")))</x:f>
        <x:v>import_as_backlog</x:v>
      </x:c>
      <x:c r="AO245" s="12" t="str">
        <x:f>IF(AND(AG245="yes",OR(P245="",Q245="",R245="",S245="")),"missing_required_mvp_fields",IF(AND(AC245="canonical",Y245=""),"missing_source_ref","ok"))</x:f>
        <x:v>ok</x:v>
      </x:c>
      <x:c r="AP245" s="12" t="str">
        <x:f>IF(AO245="ok","ready_for_codex_import","needs_review")</x:f>
        <x:v>ready_for_codex_import</x:v>
      </x:c>
      <x:c r="AQ245" s="12"/>
      <x:c r="AR245" s="12" t="str">
        <x:v>Added v2 operational fields. Review before classification activation.</x:v>
      </x:c>
    </x:row>
    <x:row r="246">
      <x:c r="A246" s="13" t="str">
        <x:v>publication_bias_argument_measurement_problem</x:v>
      </x:c>
      <x:c r="B246" s="13" t="str">
        <x:v>publication_bias_argument</x:v>
      </x:c>
      <x:c r="C246" s="13" t="str">
        <x:v>Publication bias as evidence issue</x:v>
      </x:c>
      <x:c r="D246" s="13" t="str">
        <x:v>سوگیری انتشار در استدلال</x:v>
      </x:c>
      <x:c r="E246" s="13" t="str">
        <x:v>Measurement-validity variant</x:v>
      </x:c>
      <x:c r="F246" s="13" t="str">
        <x:v>evidence_failures</x:v>
      </x:c>
      <x:c r="G246" s="13" t="str">
        <x:v>operational_variant</x:v>
      </x:c>
      <x:c r="H246" s="13" t="str">
        <x:v>contextual</x:v>
      </x:c>
      <x:c r="I246" s="13" t="str">
        <x:v>claim+context</x:v>
      </x:c>
      <x:c r="J246" s="13" t="str">
        <x:v>derived_operational_subtype</x:v>
      </x:c>
      <x:c r="K246" s="13" t="str">
        <x:v>derived_from_established_parent_review_required</x:v>
      </x:c>
      <x:c r="L246" s="13" t="str">
        <x:v>P3</x:v>
      </x:c>
      <x:c r="M246" s="13" t="str">
        <x:v>no</x:v>
      </x:c>
      <x:c r="N246" s="13" t="str">
        <x:v>Operational subtype under Publication bias as evidence issue: the evidence does not measure the intended construct well. Parent definition: Relying on published evidence without considering selective publication.</x:v>
      </x:c>
      <x:c r="O246" s="13" t="str">
        <x:v>Look for: explicit claim-level evidence; parent-family cues for Publication bias as evidence issue; variant cue: the evidence does not measure the intended construct well; avoid author-level inference.</x:v>
      </x:c>
      <x:c r="P246" s="13" t="str">
        <x:v>Exact evidence span in text plus claim-level reasoning link; for contextual/discourse entries, require surrounding context.</x:v>
      </x:c>
      <x:c r="Q246" s="13" t="str">
        <x:v>Do not label merely because topic is controversial, emotional, or wrong. Do not judge intent or personality. Require textual evidence and consider healthy-reasoning cues.</x:v>
      </x:c>
      <x:c r="R246" s="13" t="str">
        <x:v>Stub: A claim relies on the evidence does not measure the intended construct well to support a conclusion without adequate qualification.</x:v>
      </x:c>
      <x:c r="S246" s="13" t="str">
        <x:v>Stub: A claim discusses publication bias as evidence issue with caveats, balanced evidence, or no argumentative use of the pattern.</x:v>
      </x:c>
      <x:c r="T246" s="13" t="str">
        <x:v>Mild or ambiguous cue; do not classify without clear evidence span.</x:v>
      </x:c>
      <x:c r="U246" s="13" t="str">
        <x:v>Clear claim-level pattern with some argumentative impact.</x:v>
      </x:c>
      <x:c r="V246" s="13" t="str">
        <x:v>Strong pattern central to the conclusion and likely to materially distort reasoning.</x:v>
      </x:c>
      <x:c r="W246" s="13" t="str">
        <x:v>cherry_picking; missing_counterevidence; evidence_grading</x:v>
      </x:c>
      <x:c r="X246" s="13" t="str">
        <x:v>sep_informal_logic</x:v>
      </x:c>
      <x:c r="Y246" s="13" t="str">
        <x:v>https://plato.stanford.edu/entries/logic-informal/</x:v>
      </x:c>
      <x:c r="Z246" s="13" t="str">
        <x:v>Review before enabling. This workbook is a living taxonomy scaffold, not a validated scientific benchmark.</x:v>
      </x:c>
      <x:c r="AA246" s="13" t="str">
        <x:v>0.1.0-draft</x:v>
      </x:c>
      <x:c r="AB246" s="12" t="str">
        <x:f>IF(ISNUMBER(SEARCH("healthy",F246)),"healthy_reasoning_patterns",IF(ISNUMBER(SEARCH("statistical",F246)),"statistical_reasoning",IF(ISNUMBER(SEARCH("causal",F246)),"causal_reasoning",IF(ISNUMBER(SEARCH("social",F246)),"social_influence",IF(ISNUMBER(SEARCH("rhetoric",F246)),"rhetoric_discourse",IF(ISNUMBER(SEARCH("behavior",F246)),"behavioural_economics",IF(ISNUMBER(SEARCH("cognitive",F246)),"cognitive_biases",IF(J246="protective_pattern","healthy_reasoning_patterns",IF(L246="P0","core_mvp","extended_fallacies")))))))))</x:f>
        <x:v>extended_fallacies</x:v>
      </x:c>
      <x:c r="AC246" s="12" t="str">
        <x:f>IF(ISNUMBER(SEARCH("operational",J246)),"operational",IF(ISNUMBER(SEARCH("deprecated",J246)),"deprecated",IF(L246="P0","canonical","recognized_subtype")))</x:f>
        <x:v>operational</x:v>
      </x:c>
      <x:c r="AD246" s="12" t="str">
        <x:f>IF(AC246="canonical","high",IF(AC246="recognized_subtype","medium",IF(AC246="operational","operational_only","debated")))</x:f>
        <x:v>operational_only</x:v>
      </x:c>
      <x:c r="AE246" s="12" t="str">
        <x:f>IF(AC246="deprecated","deprecated",IF(M246="yes","active",IF(M246="review","review_required","backlog")))</x:f>
        <x:v>backlog</x:v>
      </x:c>
      <x:c r="AF246" s="12" t="str">
        <x:f>IF(OR(AE246="active",AE246="review_required"),"yes","no")</x:f>
        <x:v>no</x:v>
      </x:c>
      <x:c r="AG246" s="12" t="str">
        <x:f>IF(AND(AE246="active",M246="yes",NOT(ISNUMBER(SEARCH("healthy",AB246)))),"yes","no")</x:f>
        <x:v>no</x:v>
      </x:c>
      <x:c r="AH246" s="12" t="str">
        <x:f>IF(OR(H246="contextual",H246="dialogue",H246="discourse",I246="claim+context",I246="discourse_segment"),"yes","no")</x:f>
        <x:v>yes</x:v>
      </x:c>
      <x:c r="AI246" s="12" t="str">
        <x:f>IF(OR(AH246="yes",AD246="debated",AC246="operational"),"yes","no")</x:f>
        <x:v>yes</x:v>
      </x:c>
      <x:c r="AJ246" s="12" t="str">
        <x:f>IF(OR(AH246="yes",AC246="operational",AD246="debated"),"high",IF(AND(AG246="yes",L246="P0"),"medium","low"))</x:f>
        <x:v>high</x:v>
      </x:c>
      <x:c r="AK246" s="12" t="str">
        <x:f>IF(ISNUMBER(SEARCH("healthy",AB246)),"yes","no")</x:f>
        <x:v>no</x:v>
      </x:c>
      <x:c r="AL246" s="12" t="str">
        <x:f>IF(AG246="yes","yes","candidate_only")</x:f>
        <x:v>candidate_only</x:v>
      </x:c>
      <x:c r="AM246" s="12" t="str">
        <x:f>IF(OR(AC246="canonical",AG246="yes"),"yes","recommended")</x:f>
        <x:v>recommended</x:v>
      </x:c>
      <x:c r="AN246" s="12" t="str">
        <x:f>IF(AC246="deprecated","exclude",IF(AND(AG246="yes",AJ246="high"),"import_but_human_review_required",IF(AG246="yes","import_as_active","import_as_backlog")))</x:f>
        <x:v>import_as_backlog</x:v>
      </x:c>
      <x:c r="AO246" s="12" t="str">
        <x:f>IF(AND(AG246="yes",OR(P246="",Q246="",R246="",S246="")),"missing_required_mvp_fields",IF(AND(AC246="canonical",Y246=""),"missing_source_ref","ok"))</x:f>
        <x:v>ok</x:v>
      </x:c>
      <x:c r="AP246" s="12" t="str">
        <x:f>IF(AO246="ok","ready_for_codex_import","needs_review")</x:f>
        <x:v>ready_for_codex_import</x:v>
      </x:c>
      <x:c r="AQ246" s="12"/>
      <x:c r="AR246" s="12" t="str">
        <x:v>Added v2 operational fields. Review before classification activation.</x:v>
      </x:c>
    </x:row>
    <x:row r="247">
      <x:c r="A247" s="13" t="str">
        <x:v>missing_counterevidence_measurement_problem</x:v>
      </x:c>
      <x:c r="B247" s="13" t="str">
        <x:v>missing_counterevidence</x:v>
      </x:c>
      <x:c r="C247" s="13" t="str">
        <x:v>Missing counterevidence</x:v>
      </x:c>
      <x:c r="D247" s="13" t="str">
        <x:v>نبود شواهد مخالف</x:v>
      </x:c>
      <x:c r="E247" s="13" t="str">
        <x:v>Measurement-validity variant</x:v>
      </x:c>
      <x:c r="F247" s="13" t="str">
        <x:v>evidence_failures</x:v>
      </x:c>
      <x:c r="G247" s="13" t="str">
        <x:v>operational_variant</x:v>
      </x:c>
      <x:c r="H247" s="13" t="str">
        <x:v>contextual</x:v>
      </x:c>
      <x:c r="I247" s="13" t="str">
        <x:v>claim+context</x:v>
      </x:c>
      <x:c r="J247" s="13" t="str">
        <x:v>derived_operational_subtype</x:v>
      </x:c>
      <x:c r="K247" s="13" t="str">
        <x:v>derived_from_established_parent_review_required</x:v>
      </x:c>
      <x:c r="L247" s="13" t="str">
        <x:v>P3</x:v>
      </x:c>
      <x:c r="M247" s="13" t="str">
        <x:v>no</x:v>
      </x:c>
      <x:c r="N247" s="13" t="str">
        <x:v>Operational subtype under Missing counterevidence: the evidence does not measure the intended construct well. Parent definition: Presenting a conclusion without acknowledging known counterarguments.</x:v>
      </x:c>
      <x:c r="O247" s="13" t="str">
        <x:v>Look for: explicit claim-level evidence; parent-family cues for Missing counterevidence; variant cue: the evidence does not measure the intended construct well; avoid author-level inference.</x:v>
      </x:c>
      <x:c r="P247" s="13" t="str">
        <x:v>Exact evidence span in text plus claim-level reasoning link; for contextual/discourse entries, require surrounding context.</x:v>
      </x:c>
      <x:c r="Q247" s="13" t="str">
        <x:v>Do not label merely because topic is controversial, emotional, or wrong. Do not judge intent or personality. Require textual evidence and consider healthy-reasoning cues.</x:v>
      </x:c>
      <x:c r="R247" s="13" t="str">
        <x:v>Stub: A claim relies on the evidence does not measure the intended construct well to support a conclusion without adequate qualification.</x:v>
      </x:c>
      <x:c r="S247" s="13" t="str">
        <x:v>Stub: A claim discusses missing counterevidence with caveats, balanced evidence, or no argumentative use of the pattern.</x:v>
      </x:c>
      <x:c r="T247" s="13" t="str">
        <x:v>Mild or ambiguous cue; do not classify without clear evidence span.</x:v>
      </x:c>
      <x:c r="U247" s="13" t="str">
        <x:v>Clear claim-level pattern with some argumentative impact.</x:v>
      </x:c>
      <x:c r="V247" s="13" t="str">
        <x:v>Strong pattern central to the conclusion and likely to materially distort reasoning.</x:v>
      </x:c>
      <x:c r="W247" s="13" t="str"/>
      <x:c r="X247" s="13" t="str">
        <x:v>toulmin_uses_argument</x:v>
      </x:c>
      <x:c r="Y247" s="13" t="str">
        <x:v>https://doi.org/10.1017/CBO9780511840005</x:v>
      </x:c>
      <x:c r="Z247" s="13" t="str">
        <x:v>Review before enabling. This workbook is a living taxonomy scaffold, not a validated scientific benchmark.</x:v>
      </x:c>
      <x:c r="AA247" s="13" t="str">
        <x:v>0.1.0-draft</x:v>
      </x:c>
      <x:c r="AB247" s="12" t="str">
        <x:f>IF(ISNUMBER(SEARCH("healthy",F247)),"healthy_reasoning_patterns",IF(ISNUMBER(SEARCH("statistical",F247)),"statistical_reasoning",IF(ISNUMBER(SEARCH("causal",F247)),"causal_reasoning",IF(ISNUMBER(SEARCH("social",F247)),"social_influence",IF(ISNUMBER(SEARCH("rhetoric",F247)),"rhetoric_discourse",IF(ISNUMBER(SEARCH("behavior",F247)),"behavioural_economics",IF(ISNUMBER(SEARCH("cognitive",F247)),"cognitive_biases",IF(J247="protective_pattern","healthy_reasoning_patterns",IF(L247="P0","core_mvp","extended_fallacies")))))))))</x:f>
        <x:v>extended_fallacies</x:v>
      </x:c>
      <x:c r="AC247" s="12" t="str">
        <x:f>IF(ISNUMBER(SEARCH("operational",J247)),"operational",IF(ISNUMBER(SEARCH("deprecated",J247)),"deprecated",IF(L247="P0","canonical","recognized_subtype")))</x:f>
        <x:v>operational</x:v>
      </x:c>
      <x:c r="AD247" s="12" t="str">
        <x:f>IF(AC247="canonical","high",IF(AC247="recognized_subtype","medium",IF(AC247="operational","operational_only","debated")))</x:f>
        <x:v>operational_only</x:v>
      </x:c>
      <x:c r="AE247" s="12" t="str">
        <x:f>IF(AC247="deprecated","deprecated",IF(M247="yes","active",IF(M247="review","review_required","backlog")))</x:f>
        <x:v>backlog</x:v>
      </x:c>
      <x:c r="AF247" s="12" t="str">
        <x:f>IF(OR(AE247="active",AE247="review_required"),"yes","no")</x:f>
        <x:v>no</x:v>
      </x:c>
      <x:c r="AG247" s="12" t="str">
        <x:f>IF(AND(AE247="active",M247="yes",NOT(ISNUMBER(SEARCH("healthy",AB247)))),"yes","no")</x:f>
        <x:v>no</x:v>
      </x:c>
      <x:c r="AH247" s="12" t="str">
        <x:f>IF(OR(H247="contextual",H247="dialogue",H247="discourse",I247="claim+context",I247="discourse_segment"),"yes","no")</x:f>
        <x:v>yes</x:v>
      </x:c>
      <x:c r="AI247" s="12" t="str">
        <x:f>IF(OR(AH247="yes",AD247="debated",AC247="operational"),"yes","no")</x:f>
        <x:v>yes</x:v>
      </x:c>
      <x:c r="AJ247" s="12" t="str">
        <x:f>IF(OR(AH247="yes",AC247="operational",AD247="debated"),"high",IF(AND(AG247="yes",L247="P0"),"medium","low"))</x:f>
        <x:v>high</x:v>
      </x:c>
      <x:c r="AK247" s="12" t="str">
        <x:f>IF(ISNUMBER(SEARCH("healthy",AB247)),"yes","no")</x:f>
        <x:v>no</x:v>
      </x:c>
      <x:c r="AL247" s="12" t="str">
        <x:f>IF(AG247="yes","yes","candidate_only")</x:f>
        <x:v>candidate_only</x:v>
      </x:c>
      <x:c r="AM247" s="12" t="str">
        <x:f>IF(OR(AC247="canonical",AG247="yes"),"yes","recommended")</x:f>
        <x:v>recommended</x:v>
      </x:c>
      <x:c r="AN247" s="12" t="str">
        <x:f>IF(AC247="deprecated","exclude",IF(AND(AG247="yes",AJ247="high"),"import_but_human_review_required",IF(AG247="yes","import_as_active","import_as_backlog")))</x:f>
        <x:v>import_as_backlog</x:v>
      </x:c>
      <x:c r="AO247" s="12" t="str">
        <x:f>IF(AND(AG247="yes",OR(P247="",Q247="",R247="",S247="")),"missing_required_mvp_fields",IF(AND(AC247="canonical",Y247=""),"missing_source_ref","ok"))</x:f>
        <x:v>ok</x:v>
      </x:c>
      <x:c r="AP247" s="12" t="str">
        <x:f>IF(AO247="ok","ready_for_codex_import","needs_review")</x:f>
        <x:v>ready_for_codex_import</x:v>
      </x:c>
      <x:c r="AQ247" s="12"/>
      <x:c r="AR247" s="12" t="str">
        <x:v>Added v2 operational fields. Review before classification activation.</x:v>
      </x:c>
    </x:row>
    <x:row r="248">
      <x:c r="A248" s="13" t="str">
        <x:v>one_sided_evidence_measurement_problem</x:v>
      </x:c>
      <x:c r="B248" s="13" t="str">
        <x:v>one_sided_evidence</x:v>
      </x:c>
      <x:c r="C248" s="13" t="str">
        <x:v>One-sided evidence</x:v>
      </x:c>
      <x:c r="D248" s="13" t="str">
        <x:v>شواهد یک‌طرفه</x:v>
      </x:c>
      <x:c r="E248" s="13" t="str">
        <x:v>Measurement-validity variant</x:v>
      </x:c>
      <x:c r="F248" s="13" t="str">
        <x:v>evidence_failures</x:v>
      </x:c>
      <x:c r="G248" s="13" t="str">
        <x:v>operational_variant</x:v>
      </x:c>
      <x:c r="H248" s="13" t="str">
        <x:v>contextual</x:v>
      </x:c>
      <x:c r="I248" s="13" t="str">
        <x:v>claim+context</x:v>
      </x:c>
      <x:c r="J248" s="13" t="str">
        <x:v>derived_operational_subtype</x:v>
      </x:c>
      <x:c r="K248" s="13" t="str">
        <x:v>derived_from_established_parent_review_required</x:v>
      </x:c>
      <x:c r="L248" s="13" t="str">
        <x:v>P3</x:v>
      </x:c>
      <x:c r="M248" s="13" t="str">
        <x:v>no</x:v>
      </x:c>
      <x:c r="N248" s="13" t="str">
        <x:v>Operational subtype under One-sided evidence: the evidence does not measure the intended construct well. Parent definition: Presenting evidence from only one side while implying completeness.</x:v>
      </x:c>
      <x:c r="O248" s="13" t="str">
        <x:v>Look for: explicit claim-level evidence; parent-family cues for One-sided evidence; variant cue: the evidence does not measure the intended construct well; avoid author-level inference.</x:v>
      </x:c>
      <x:c r="P248" s="13" t="str">
        <x:v>Exact evidence span in text plus claim-level reasoning link; for contextual/discourse entries, require surrounding context.</x:v>
      </x:c>
      <x:c r="Q248" s="13" t="str">
        <x:v>Do not label merely because topic is controversial, emotional, or wrong. Do not judge intent or personality. Require textual evidence and consider healthy-reasoning cues.</x:v>
      </x:c>
      <x:c r="R248" s="13" t="str">
        <x:v>Stub: A claim relies on the evidence does not measure the intended construct well to support a conclusion without adequate qualification.</x:v>
      </x:c>
      <x:c r="S248" s="13" t="str">
        <x:v>Stub: A claim discusses one-sided evidence with caveats, balanced evidence, or no argumentative use of the pattern.</x:v>
      </x:c>
      <x:c r="T248" s="13" t="str">
        <x:v>Mild or ambiguous cue; do not classify without clear evidence span.</x:v>
      </x:c>
      <x:c r="U248" s="13" t="str">
        <x:v>Clear claim-level pattern with some argumentative impact.</x:v>
      </x:c>
      <x:c r="V248" s="13" t="str">
        <x:v>Strong pattern central to the conclusion and likely to materially distort reasoning.</x:v>
      </x:c>
      <x:c r="W248" s="13" t="str">
        <x:v>cherry_picking; missing_counterevidence; evidence_grading</x:v>
      </x:c>
      <x:c r="X248" s="13" t="str">
        <x:v>sep_informal_logic</x:v>
      </x:c>
      <x:c r="Y248" s="13" t="str">
        <x:v>https://plato.stanford.edu/entries/logic-informal/</x:v>
      </x:c>
      <x:c r="Z248" s="13" t="str">
        <x:v>Review before enabling. This workbook is a living taxonomy scaffold, not a validated scientific benchmark.</x:v>
      </x:c>
      <x:c r="AA248" s="13" t="str">
        <x:v>0.1.0-draft</x:v>
      </x:c>
      <x:c r="AB248" s="12" t="str">
        <x:f>IF(ISNUMBER(SEARCH("healthy",F248)),"healthy_reasoning_patterns",IF(ISNUMBER(SEARCH("statistical",F248)),"statistical_reasoning",IF(ISNUMBER(SEARCH("causal",F248)),"causal_reasoning",IF(ISNUMBER(SEARCH("social",F248)),"social_influence",IF(ISNUMBER(SEARCH("rhetoric",F248)),"rhetoric_discourse",IF(ISNUMBER(SEARCH("behavior",F248)),"behavioural_economics",IF(ISNUMBER(SEARCH("cognitive",F248)),"cognitive_biases",IF(J248="protective_pattern","healthy_reasoning_patterns",IF(L248="P0","core_mvp","extended_fallacies")))))))))</x:f>
        <x:v>extended_fallacies</x:v>
      </x:c>
      <x:c r="AC248" s="12" t="str">
        <x:f>IF(ISNUMBER(SEARCH("operational",J248)),"operational",IF(ISNUMBER(SEARCH("deprecated",J248)),"deprecated",IF(L248="P0","canonical","recognized_subtype")))</x:f>
        <x:v>operational</x:v>
      </x:c>
      <x:c r="AD248" s="12" t="str">
        <x:f>IF(AC248="canonical","high",IF(AC248="recognized_subtype","medium",IF(AC248="operational","operational_only","debated")))</x:f>
        <x:v>operational_only</x:v>
      </x:c>
      <x:c r="AE248" s="12" t="str">
        <x:f>IF(AC248="deprecated","deprecated",IF(M248="yes","active",IF(M248="review","review_required","backlog")))</x:f>
        <x:v>backlog</x:v>
      </x:c>
      <x:c r="AF248" s="12" t="str">
        <x:f>IF(OR(AE248="active",AE248="review_required"),"yes","no")</x:f>
        <x:v>no</x:v>
      </x:c>
      <x:c r="AG248" s="12" t="str">
        <x:f>IF(AND(AE248="active",M248="yes",NOT(ISNUMBER(SEARCH("healthy",AB248)))),"yes","no")</x:f>
        <x:v>no</x:v>
      </x:c>
      <x:c r="AH248" s="12" t="str">
        <x:f>IF(OR(H248="contextual",H248="dialogue",H248="discourse",I248="claim+context",I248="discourse_segment"),"yes","no")</x:f>
        <x:v>yes</x:v>
      </x:c>
      <x:c r="AI248" s="12" t="str">
        <x:f>IF(OR(AH248="yes",AD248="debated",AC248="operational"),"yes","no")</x:f>
        <x:v>yes</x:v>
      </x:c>
      <x:c r="AJ248" s="12" t="str">
        <x:f>IF(OR(AH248="yes",AC248="operational",AD248="debated"),"high",IF(AND(AG248="yes",L248="P0"),"medium","low"))</x:f>
        <x:v>high</x:v>
      </x:c>
      <x:c r="AK248" s="12" t="str">
        <x:f>IF(ISNUMBER(SEARCH("healthy",AB248)),"yes","no")</x:f>
        <x:v>no</x:v>
      </x:c>
      <x:c r="AL248" s="12" t="str">
        <x:f>IF(AG248="yes","yes","candidate_only")</x:f>
        <x:v>candidate_only</x:v>
      </x:c>
      <x:c r="AM248" s="12" t="str">
        <x:f>IF(OR(AC248="canonical",AG248="yes"),"yes","recommended")</x:f>
        <x:v>recommended</x:v>
      </x:c>
      <x:c r="AN248" s="12" t="str">
        <x:f>IF(AC248="deprecated","exclude",IF(AND(AG248="yes",AJ248="high"),"import_but_human_review_required",IF(AG248="yes","import_as_active","import_as_backlog")))</x:f>
        <x:v>import_as_backlog</x:v>
      </x:c>
      <x:c r="AO248" s="12" t="str">
        <x:f>IF(AND(AG248="yes",OR(P248="",Q248="",R248="",S248="")),"missing_required_mvp_fields",IF(AND(AC248="canonical",Y248=""),"missing_source_ref","ok"))</x:f>
        <x:v>ok</x:v>
      </x:c>
      <x:c r="AP248" s="12" t="str">
        <x:f>IF(AO248="ok","ready_for_codex_import","needs_review")</x:f>
        <x:v>ready_for_codex_import</x:v>
      </x:c>
      <x:c r="AQ248" s="12"/>
      <x:c r="AR248" s="12" t="str">
        <x:v>Added v2 operational fields. Review before classification activation.</x:v>
      </x:c>
    </x:row>
    <x:row r="249">
      <x:c r="A249" s="13" t="str">
        <x:v>misleading_precision_measurement_problem</x:v>
      </x:c>
      <x:c r="B249" s="13" t="str">
        <x:v>misleading_precision</x:v>
      </x:c>
      <x:c r="C249" s="13" t="str">
        <x:v>Misleading precision</x:v>
      </x:c>
      <x:c r="D249" s="13" t="str">
        <x:v>دقت ظاهری گمراه‌کننده</x:v>
      </x:c>
      <x:c r="E249" s="13" t="str">
        <x:v>Measurement-validity variant</x:v>
      </x:c>
      <x:c r="F249" s="13" t="str">
        <x:v>evidence_failures</x:v>
      </x:c>
      <x:c r="G249" s="13" t="str">
        <x:v>operational_variant</x:v>
      </x:c>
      <x:c r="H249" s="13" t="str">
        <x:v>lexical</x:v>
      </x:c>
      <x:c r="I249" s="13" t="str">
        <x:v>claim</x:v>
      </x:c>
      <x:c r="J249" s="13" t="str">
        <x:v>derived_operational_subtype</x:v>
      </x:c>
      <x:c r="K249" s="13" t="str">
        <x:v>derived_from_established_parent_review_required</x:v>
      </x:c>
      <x:c r="L249" s="13" t="str">
        <x:v>P3</x:v>
      </x:c>
      <x:c r="M249" s="13" t="str">
        <x:v>no</x:v>
      </x:c>
      <x:c r="N249" s="13" t="str">
        <x:v>Operational subtype under Misleading precision: the evidence does not measure the intended construct well. Parent definition: Using overly precise numbers that imply certainty not supported by evidence.</x:v>
      </x:c>
      <x:c r="O249" s="13" t="str">
        <x:v>Look for: explicit claim-level evidence; parent-family cues for Misleading precision; variant cue: the evidence does not measure the intended construct well; avoid author-level inference.</x:v>
      </x:c>
      <x:c r="P249" s="13" t="str">
        <x:v>Exact evidence span in text plus claim-level reasoning link; for contextual/discourse entries, require surrounding context.</x:v>
      </x:c>
      <x:c r="Q249" s="13" t="str">
        <x:v>Do not label merely because topic is controversial, emotional, or wrong. Do not judge intent or personality. Require textual evidence and consider healthy-reasoning cues.</x:v>
      </x:c>
      <x:c r="R249" s="13" t="str">
        <x:v>Stub: A claim relies on the evidence does not measure the intended construct well to support a conclusion without adequate qualification.</x:v>
      </x:c>
      <x:c r="S249" s="13" t="str">
        <x:v>Stub: A claim discusses misleading precision with caveats, balanced evidence, or no argumentative use of the pattern.</x:v>
      </x:c>
      <x:c r="T249" s="13" t="str">
        <x:v>Mild or ambiguous cue; do not classify without clear evidence span.</x:v>
      </x:c>
      <x:c r="U249" s="13" t="str">
        <x:v>Clear claim-level pattern with some argumentative impact.</x:v>
      </x:c>
      <x:c r="V249" s="13" t="str">
        <x:v>Strong pattern central to the conclusion and likely to materially distort reasoning.</x:v>
      </x:c>
      <x:c r="W249" s="13" t="str">
        <x:v>cherry_picking; missing_counterevidence; evidence_grading</x:v>
      </x:c>
      <x:c r="X249" s="13" t="str">
        <x:v>stanovich_dual_process</x:v>
      </x:c>
      <x:c r="Y249" s="13" t="str">
        <x:v>https://global.oup.com/academic/product/rationality-and-the-reflective-mind-9780195341140</x:v>
      </x:c>
      <x:c r="Z249" s="13" t="str">
        <x:v>Review before enabling. This workbook is a living taxonomy scaffold, not a validated scientific benchmark.</x:v>
      </x:c>
      <x:c r="AA249" s="13" t="str">
        <x:v>0.1.0-draft</x:v>
      </x:c>
      <x:c r="AB249" s="12" t="str">
        <x:f>IF(ISNUMBER(SEARCH("healthy",F249)),"healthy_reasoning_patterns",IF(ISNUMBER(SEARCH("statistical",F249)),"statistical_reasoning",IF(ISNUMBER(SEARCH("causal",F249)),"causal_reasoning",IF(ISNUMBER(SEARCH("social",F249)),"social_influence",IF(ISNUMBER(SEARCH("rhetoric",F249)),"rhetoric_discourse",IF(ISNUMBER(SEARCH("behavior",F249)),"behavioural_economics",IF(ISNUMBER(SEARCH("cognitive",F249)),"cognitive_biases",IF(J249="protective_pattern","healthy_reasoning_patterns",IF(L249="P0","core_mvp","extended_fallacies")))))))))</x:f>
        <x:v>extended_fallacies</x:v>
      </x:c>
      <x:c r="AC249" s="12" t="str">
        <x:f>IF(ISNUMBER(SEARCH("operational",J249)),"operational",IF(ISNUMBER(SEARCH("deprecated",J249)),"deprecated",IF(L249="P0","canonical","recognized_subtype")))</x:f>
        <x:v>operational</x:v>
      </x:c>
      <x:c r="AD249" s="12" t="str">
        <x:f>IF(AC249="canonical","high",IF(AC249="recognized_subtype","medium",IF(AC249="operational","operational_only","debated")))</x:f>
        <x:v>operational_only</x:v>
      </x:c>
      <x:c r="AE249" s="12" t="str">
        <x:f>IF(AC249="deprecated","deprecated",IF(M249="yes","active",IF(M249="review","review_required","backlog")))</x:f>
        <x:v>backlog</x:v>
      </x:c>
      <x:c r="AF249" s="12" t="str">
        <x:f>IF(OR(AE249="active",AE249="review_required"),"yes","no")</x:f>
        <x:v>no</x:v>
      </x:c>
      <x:c r="AG249" s="12" t="str">
        <x:f>IF(AND(AE249="active",M249="yes",NOT(ISNUMBER(SEARCH("healthy",AB249)))),"yes","no")</x:f>
        <x:v>no</x:v>
      </x:c>
      <x:c r="AH249" s="12" t="str">
        <x:f>IF(OR(H249="contextual",H249="dialogue",H249="discourse",I249="claim+context",I249="discourse_segment"),"yes","no")</x:f>
        <x:v>no</x:v>
      </x:c>
      <x:c r="AI249" s="12" t="str">
        <x:f>IF(OR(AH249="yes",AD249="debated",AC249="operational"),"yes","no")</x:f>
        <x:v>yes</x:v>
      </x:c>
      <x:c r="AJ249" s="12" t="str">
        <x:f>IF(OR(AH249="yes",AC249="operational",AD249="debated"),"high",IF(AND(AG249="yes",L249="P0"),"medium","low"))</x:f>
        <x:v>high</x:v>
      </x:c>
      <x:c r="AK249" s="12" t="str">
        <x:f>IF(ISNUMBER(SEARCH("healthy",AB249)),"yes","no")</x:f>
        <x:v>no</x:v>
      </x:c>
      <x:c r="AL249" s="12" t="str">
        <x:f>IF(AG249="yes","yes","candidate_only")</x:f>
        <x:v>candidate_only</x:v>
      </x:c>
      <x:c r="AM249" s="12" t="str">
        <x:f>IF(OR(AC249="canonical",AG249="yes"),"yes","recommended")</x:f>
        <x:v>recommended</x:v>
      </x:c>
      <x:c r="AN249" s="12" t="str">
        <x:f>IF(AC249="deprecated","exclude",IF(AND(AG249="yes",AJ249="high"),"import_but_human_review_required",IF(AG249="yes","import_as_active","import_as_backlog")))</x:f>
        <x:v>import_as_backlog</x:v>
      </x:c>
      <x:c r="AO249" s="12" t="str">
        <x:f>IF(AND(AG249="yes",OR(P249="",Q249="",R249="",S249="")),"missing_required_mvp_fields",IF(AND(AC249="canonical",Y249=""),"missing_source_ref","ok"))</x:f>
        <x:v>ok</x:v>
      </x:c>
      <x:c r="AP249" s="12" t="str">
        <x:f>IF(AO249="ok","ready_for_codex_import","needs_review")</x:f>
        <x:v>ready_for_codex_import</x:v>
      </x:c>
      <x:c r="AQ249" s="12"/>
      <x:c r="AR249" s="12" t="str">
        <x:v>Added v2 operational fields. Review before classification activation.</x:v>
      </x:c>
    </x:row>
    <x:row r="250">
      <x:c r="A250" s="13" t="str">
        <x:v>measurement_validity_gap_measurement_problem</x:v>
      </x:c>
      <x:c r="B250" s="13" t="str">
        <x:v>measurement_validity_gap</x:v>
      </x:c>
      <x:c r="C250" s="13" t="str">
        <x:v>Measurement validity gap</x:v>
      </x:c>
      <x:c r="D250" s="13" t="str">
        <x:v>شکاف اعتبار سنجه</x:v>
      </x:c>
      <x:c r="E250" s="13" t="str">
        <x:v>Measurement-validity variant</x:v>
      </x:c>
      <x:c r="F250" s="13" t="str">
        <x:v>evidence_failures</x:v>
      </x:c>
      <x:c r="G250" s="13" t="str">
        <x:v>operational_variant</x:v>
      </x:c>
      <x:c r="H250" s="13" t="str">
        <x:v>contextual</x:v>
      </x:c>
      <x:c r="I250" s="13" t="str">
        <x:v>claim+context</x:v>
      </x:c>
      <x:c r="J250" s="13" t="str">
        <x:v>derived_operational_subtype</x:v>
      </x:c>
      <x:c r="K250" s="13" t="str">
        <x:v>derived_from_established_parent_review_required</x:v>
      </x:c>
      <x:c r="L250" s="13" t="str">
        <x:v>P3</x:v>
      </x:c>
      <x:c r="M250" s="13" t="str">
        <x:v>no</x:v>
      </x:c>
      <x:c r="N250" s="13" t="str">
        <x:v>Operational subtype under Measurement validity gap: the evidence does not measure the intended construct well. Parent definition: Treating a weak measure as if it directly captures the intended construct.</x:v>
      </x:c>
      <x:c r="O250" s="13" t="str">
        <x:v>Look for: explicit claim-level evidence; parent-family cues for Measurement validity gap; variant cue: the evidence does not measure the intended construct well; avoid author-level inference.</x:v>
      </x:c>
      <x:c r="P250" s="13" t="str">
        <x:v>Exact evidence span in text plus claim-level reasoning link; for contextual/discourse entries, require surrounding context.</x:v>
      </x:c>
      <x:c r="Q250" s="13" t="str">
        <x:v>Do not label merely because topic is controversial, emotional, or wrong. Do not judge intent or personality. Require textual evidence and consider healthy-reasoning cues.</x:v>
      </x:c>
      <x:c r="R250" s="13" t="str">
        <x:v>Stub: A claim relies on the evidence does not measure the intended construct well to support a conclusion without adequate qualification.</x:v>
      </x:c>
      <x:c r="S250" s="13" t="str">
        <x:v>Stub: A claim discusses measurement validity gap with caveats, balanced evidence, or no argumentative use of the pattern.</x:v>
      </x:c>
      <x:c r="T250" s="13" t="str">
        <x:v>Mild or ambiguous cue; do not classify without clear evidence span.</x:v>
      </x:c>
      <x:c r="U250" s="13" t="str">
        <x:v>Clear claim-level pattern with some argumentative impact.</x:v>
      </x:c>
      <x:c r="V250" s="13" t="str">
        <x:v>Strong pattern central to the conclusion and likely to materially distort reasoning.</x:v>
      </x:c>
      <x:c r="W250" s="13" t="str"/>
      <x:c r="X250" s="13" t="str">
        <x:v>toulmin_uses_argument</x:v>
      </x:c>
      <x:c r="Y250" s="13" t="str">
        <x:v>https://doi.org/10.1017/CBO9780511840005</x:v>
      </x:c>
      <x:c r="Z250" s="13" t="str">
        <x:v>Review before enabling. This workbook is a living taxonomy scaffold, not a validated scientific benchmark.</x:v>
      </x:c>
      <x:c r="AA250" s="13" t="str">
        <x:v>0.1.0-draft</x:v>
      </x:c>
      <x:c r="AB250" s="12" t="str">
        <x:f>IF(ISNUMBER(SEARCH("healthy",F250)),"healthy_reasoning_patterns",IF(ISNUMBER(SEARCH("statistical",F250)),"statistical_reasoning",IF(ISNUMBER(SEARCH("causal",F250)),"causal_reasoning",IF(ISNUMBER(SEARCH("social",F250)),"social_influence",IF(ISNUMBER(SEARCH("rhetoric",F250)),"rhetoric_discourse",IF(ISNUMBER(SEARCH("behavior",F250)),"behavioural_economics",IF(ISNUMBER(SEARCH("cognitive",F250)),"cognitive_biases",IF(J250="protective_pattern","healthy_reasoning_patterns",IF(L250="P0","core_mvp","extended_fallacies")))))))))</x:f>
        <x:v>extended_fallacies</x:v>
      </x:c>
      <x:c r="AC250" s="12" t="str">
        <x:f>IF(ISNUMBER(SEARCH("operational",J250)),"operational",IF(ISNUMBER(SEARCH("deprecated",J250)),"deprecated",IF(L250="P0","canonical","recognized_subtype")))</x:f>
        <x:v>operational</x:v>
      </x:c>
      <x:c r="AD250" s="12" t="str">
        <x:f>IF(AC250="canonical","high",IF(AC250="recognized_subtype","medium",IF(AC250="operational","operational_only","debated")))</x:f>
        <x:v>operational_only</x:v>
      </x:c>
      <x:c r="AE250" s="12" t="str">
        <x:f>IF(AC250="deprecated","deprecated",IF(M250="yes","active",IF(M250="review","review_required","backlog")))</x:f>
        <x:v>backlog</x:v>
      </x:c>
      <x:c r="AF250" s="12" t="str">
        <x:f>IF(OR(AE250="active",AE250="review_required"),"yes","no")</x:f>
        <x:v>no</x:v>
      </x:c>
      <x:c r="AG250" s="12" t="str">
        <x:f>IF(AND(AE250="active",M250="yes",NOT(ISNUMBER(SEARCH("healthy",AB250)))),"yes","no")</x:f>
        <x:v>no</x:v>
      </x:c>
      <x:c r="AH250" s="12" t="str">
        <x:f>IF(OR(H250="contextual",H250="dialogue",H250="discourse",I250="claim+context",I250="discourse_segment"),"yes","no")</x:f>
        <x:v>yes</x:v>
      </x:c>
      <x:c r="AI250" s="12" t="str">
        <x:f>IF(OR(AH250="yes",AD250="debated",AC250="operational"),"yes","no")</x:f>
        <x:v>yes</x:v>
      </x:c>
      <x:c r="AJ250" s="12" t="str">
        <x:f>IF(OR(AH250="yes",AC250="operational",AD250="debated"),"high",IF(AND(AG250="yes",L250="P0"),"medium","low"))</x:f>
        <x:v>high</x:v>
      </x:c>
      <x:c r="AK250" s="12" t="str">
        <x:f>IF(ISNUMBER(SEARCH("healthy",AB250)),"yes","no")</x:f>
        <x:v>no</x:v>
      </x:c>
      <x:c r="AL250" s="12" t="str">
        <x:f>IF(AG250="yes","yes","candidate_only")</x:f>
        <x:v>candidate_only</x:v>
      </x:c>
      <x:c r="AM250" s="12" t="str">
        <x:f>IF(OR(AC250="canonical",AG250="yes"),"yes","recommended")</x:f>
        <x:v>recommended</x:v>
      </x:c>
      <x:c r="AN250" s="12" t="str">
        <x:f>IF(AC250="deprecated","exclude",IF(AND(AG250="yes",AJ250="high"),"import_but_human_review_required",IF(AG250="yes","import_as_active","import_as_backlog")))</x:f>
        <x:v>import_as_backlog</x:v>
      </x:c>
      <x:c r="AO250" s="12" t="str">
        <x:f>IF(AND(AG250="yes",OR(P250="",Q250="",R250="",S250="")),"missing_required_mvp_fields",IF(AND(AC250="canonical",Y250=""),"missing_source_ref","ok"))</x:f>
        <x:v>ok</x:v>
      </x:c>
      <x:c r="AP250" s="12" t="str">
        <x:f>IF(AO250="ok","ready_for_codex_import","needs_review")</x:f>
        <x:v>ready_for_codex_import</x:v>
      </x:c>
      <x:c r="AQ250" s="12"/>
      <x:c r="AR250" s="12" t="str">
        <x:v>Added v2 operational fields. Review before classification activation.</x:v>
      </x:c>
    </x:row>
    <x:row r="251">
      <x:c r="A251" s="13" t="str">
        <x:v>proxy_mismatch_measurement_problem</x:v>
      </x:c>
      <x:c r="B251" s="13" t="str">
        <x:v>proxy_mismatch</x:v>
      </x:c>
      <x:c r="C251" s="13" t="str">
        <x:v>Proxy mismatch</x:v>
      </x:c>
      <x:c r="D251" s="13" t="str">
        <x:v>جایگزین نامتناسب برای سنجه</x:v>
      </x:c>
      <x:c r="E251" s="13" t="str">
        <x:v>Measurement-validity variant</x:v>
      </x:c>
      <x:c r="F251" s="13" t="str">
        <x:v>evidence_failures</x:v>
      </x:c>
      <x:c r="G251" s="13" t="str">
        <x:v>operational_variant</x:v>
      </x:c>
      <x:c r="H251" s="13" t="str">
        <x:v>contextual</x:v>
      </x:c>
      <x:c r="I251" s="13" t="str">
        <x:v>claim+context</x:v>
      </x:c>
      <x:c r="J251" s="13" t="str">
        <x:v>derived_operational_subtype</x:v>
      </x:c>
      <x:c r="K251" s="13" t="str">
        <x:v>derived_from_established_parent_review_required</x:v>
      </x:c>
      <x:c r="L251" s="13" t="str">
        <x:v>P3</x:v>
      </x:c>
      <x:c r="M251" s="13" t="str">
        <x:v>no</x:v>
      </x:c>
      <x:c r="N251" s="13" t="str">
        <x:v>Operational subtype under Proxy mismatch: the evidence does not measure the intended construct well. Parent definition: Using a proxy variable while overstating its relevance to the claim.</x:v>
      </x:c>
      <x:c r="O251" s="13" t="str">
        <x:v>Look for: explicit claim-level evidence; parent-family cues for Proxy mismatch; variant cue: the evidence does not measure the intended construct well; avoid author-level inference.</x:v>
      </x:c>
      <x:c r="P251" s="13" t="str">
        <x:v>Exact evidence span in text plus claim-level reasoning link; for contextual/discourse entries, require surrounding context.</x:v>
      </x:c>
      <x:c r="Q251" s="13" t="str">
        <x:v>Do not label merely because topic is controversial, emotional, or wrong. Do not judge intent or personality. Require textual evidence and consider healthy-reasoning cues.</x:v>
      </x:c>
      <x:c r="R251" s="13" t="str">
        <x:v>Stub: A claim relies on the evidence does not measure the intended construct well to support a conclusion without adequate qualification.</x:v>
      </x:c>
      <x:c r="S251" s="13" t="str">
        <x:v>Stub: A claim discusses proxy mismatch with caveats, balanced evidence, or no argumentative use of the pattern.</x:v>
      </x:c>
      <x:c r="T251" s="13" t="str">
        <x:v>Mild or ambiguous cue; do not classify without clear evidence span.</x:v>
      </x:c>
      <x:c r="U251" s="13" t="str">
        <x:v>Clear claim-level pattern with some argumentative impact.</x:v>
      </x:c>
      <x:c r="V251" s="13" t="str">
        <x:v>Strong pattern central to the conclusion and likely to materially distort reasoning.</x:v>
      </x:c>
      <x:c r="W251" s="13" t="str"/>
      <x:c r="X251" s="13" t="str">
        <x:v>toulmin_uses_argument</x:v>
      </x:c>
      <x:c r="Y251" s="13" t="str">
        <x:v>https://doi.org/10.1017/CBO9780511840005</x:v>
      </x:c>
      <x:c r="Z251" s="13" t="str">
        <x:v>Review before enabling. This workbook is a living taxonomy scaffold, not a validated scientific benchmark.</x:v>
      </x:c>
      <x:c r="AA251" s="13" t="str">
        <x:v>0.1.0-draft</x:v>
      </x:c>
      <x:c r="AB251" s="12" t="str">
        <x:f>IF(ISNUMBER(SEARCH("healthy",F251)),"healthy_reasoning_patterns",IF(ISNUMBER(SEARCH("statistical",F251)),"statistical_reasoning",IF(ISNUMBER(SEARCH("causal",F251)),"causal_reasoning",IF(ISNUMBER(SEARCH("social",F251)),"social_influence",IF(ISNUMBER(SEARCH("rhetoric",F251)),"rhetoric_discourse",IF(ISNUMBER(SEARCH("behavior",F251)),"behavioural_economics",IF(ISNUMBER(SEARCH("cognitive",F251)),"cognitive_biases",IF(J251="protective_pattern","healthy_reasoning_patterns",IF(L251="P0","core_mvp","extended_fallacies")))))))))</x:f>
        <x:v>extended_fallacies</x:v>
      </x:c>
      <x:c r="AC251" s="12" t="str">
        <x:f>IF(ISNUMBER(SEARCH("operational",J251)),"operational",IF(ISNUMBER(SEARCH("deprecated",J251)),"deprecated",IF(L251="P0","canonical","recognized_subtype")))</x:f>
        <x:v>operational</x:v>
      </x:c>
      <x:c r="AD251" s="12" t="str">
        <x:f>IF(AC251="canonical","high",IF(AC251="recognized_subtype","medium",IF(AC251="operational","operational_only","debated")))</x:f>
        <x:v>operational_only</x:v>
      </x:c>
      <x:c r="AE251" s="12" t="str">
        <x:f>IF(AC251="deprecated","deprecated",IF(M251="yes","active",IF(M251="review","review_required","backlog")))</x:f>
        <x:v>backlog</x:v>
      </x:c>
      <x:c r="AF251" s="12" t="str">
        <x:f>IF(OR(AE251="active",AE251="review_required"),"yes","no")</x:f>
        <x:v>no</x:v>
      </x:c>
      <x:c r="AG251" s="12" t="str">
        <x:f>IF(AND(AE251="active",M251="yes",NOT(ISNUMBER(SEARCH("healthy",AB251)))),"yes","no")</x:f>
        <x:v>no</x:v>
      </x:c>
      <x:c r="AH251" s="12" t="str">
        <x:f>IF(OR(H251="contextual",H251="dialogue",H251="discourse",I251="claim+context",I251="discourse_segment"),"yes","no")</x:f>
        <x:v>yes</x:v>
      </x:c>
      <x:c r="AI251" s="12" t="str">
        <x:f>IF(OR(AH251="yes",AD251="debated",AC251="operational"),"yes","no")</x:f>
        <x:v>yes</x:v>
      </x:c>
      <x:c r="AJ251" s="12" t="str">
        <x:f>IF(OR(AH251="yes",AC251="operational",AD251="debated"),"high",IF(AND(AG251="yes",L251="P0"),"medium","low"))</x:f>
        <x:v>high</x:v>
      </x:c>
      <x:c r="AK251" s="12" t="str">
        <x:f>IF(ISNUMBER(SEARCH("healthy",AB251)),"yes","no")</x:f>
        <x:v>no</x:v>
      </x:c>
      <x:c r="AL251" s="12" t="str">
        <x:f>IF(AG251="yes","yes","candidate_only")</x:f>
        <x:v>candidate_only</x:v>
      </x:c>
      <x:c r="AM251" s="12" t="str">
        <x:f>IF(OR(AC251="canonical",AG251="yes"),"yes","recommended")</x:f>
        <x:v>recommended</x:v>
      </x:c>
      <x:c r="AN251" s="12" t="str">
        <x:f>IF(AC251="deprecated","exclude",IF(AND(AG251="yes",AJ251="high"),"import_but_human_review_required",IF(AG251="yes","import_as_active","import_as_backlog")))</x:f>
        <x:v>import_as_backlog</x:v>
      </x:c>
      <x:c r="AO251" s="12" t="str">
        <x:f>IF(AND(AG251="yes",OR(P251="",Q251="",R251="",S251="")),"missing_required_mvp_fields",IF(AND(AC251="canonical",Y251=""),"missing_source_ref","ok"))</x:f>
        <x:v>ok</x:v>
      </x:c>
      <x:c r="AP251" s="12" t="str">
        <x:f>IF(AO251="ok","ready_for_codex_import","needs_review")</x:f>
        <x:v>ready_for_codex_import</x:v>
      </x:c>
      <x:c r="AQ251" s="12"/>
      <x:c r="AR251" s="12" t="str">
        <x:v>Added v2 operational fields. Review before classification activation.</x:v>
      </x:c>
    </x:row>
    <x:row r="252">
      <x:c r="A252" s="13" t="str">
        <x:v>construct_validity_gap_measurement_problem</x:v>
      </x:c>
      <x:c r="B252" s="13" t="str">
        <x:v>construct_validity_gap</x:v>
      </x:c>
      <x:c r="C252" s="13" t="str">
        <x:v>Construct validity gap</x:v>
      </x:c>
      <x:c r="D252" s="13" t="str">
        <x:v>شکاف اعتبار سازه</x:v>
      </x:c>
      <x:c r="E252" s="13" t="str">
        <x:v>Measurement-validity variant</x:v>
      </x:c>
      <x:c r="F252" s="13" t="str">
        <x:v>evidence_failures</x:v>
      </x:c>
      <x:c r="G252" s="13" t="str">
        <x:v>operational_variant</x:v>
      </x:c>
      <x:c r="H252" s="13" t="str">
        <x:v>contextual</x:v>
      </x:c>
      <x:c r="I252" s="13" t="str">
        <x:v>claim+context</x:v>
      </x:c>
      <x:c r="J252" s="13" t="str">
        <x:v>derived_operational_subtype</x:v>
      </x:c>
      <x:c r="K252" s="13" t="str">
        <x:v>derived_from_established_parent_review_required</x:v>
      </x:c>
      <x:c r="L252" s="13" t="str">
        <x:v>P3</x:v>
      </x:c>
      <x:c r="M252" s="13" t="str">
        <x:v>no</x:v>
      </x:c>
      <x:c r="N252" s="13" t="str">
        <x:v>Operational subtype under Construct validity gap: the evidence does not measure the intended construct well. Parent definition: Drawing conclusions about a construct not adequately measured by the evidence.</x:v>
      </x:c>
      <x:c r="O252" s="13" t="str">
        <x:v>Look for: explicit claim-level evidence; parent-family cues for Construct validity gap; variant cue: the evidence does not measure the intended construct well; avoid author-level inference.</x:v>
      </x:c>
      <x:c r="P252" s="13" t="str">
        <x:v>Exact evidence span in text plus claim-level reasoning link; for contextual/discourse entries, require surrounding context.</x:v>
      </x:c>
      <x:c r="Q252" s="13" t="str">
        <x:v>Do not label merely because topic is controversial, emotional, or wrong. Do not judge intent or personality. Require textual evidence and consider healthy-reasoning cues.</x:v>
      </x:c>
      <x:c r="R252" s="13" t="str">
        <x:v>Stub: A claim relies on the evidence does not measure the intended construct well to support a conclusion without adequate qualification.</x:v>
      </x:c>
      <x:c r="S252" s="13" t="str">
        <x:v>Stub: A claim discusses construct validity gap with caveats, balanced evidence, or no argumentative use of the pattern.</x:v>
      </x:c>
      <x:c r="T252" s="13" t="str">
        <x:v>Mild or ambiguous cue; do not classify without clear evidence span.</x:v>
      </x:c>
      <x:c r="U252" s="13" t="str">
        <x:v>Clear claim-level pattern with some argumentative impact.</x:v>
      </x:c>
      <x:c r="V252" s="13" t="str">
        <x:v>Strong pattern central to the conclusion and likely to materially distort reasoning.</x:v>
      </x:c>
      <x:c r="W252" s="13" t="str">
        <x:v>cherry_picking; missing_counterevidence; evidence_grading</x:v>
      </x:c>
      <x:c r="X252" s="13" t="str">
        <x:v>toulmin_uses_argument</x:v>
      </x:c>
      <x:c r="Y252" s="13" t="str">
        <x:v>https://doi.org/10.1017/CBO9780511840005</x:v>
      </x:c>
      <x:c r="Z252" s="13" t="str">
        <x:v>Review before enabling. This workbook is a living taxonomy scaffold, not a validated scientific benchmark.</x:v>
      </x:c>
      <x:c r="AA252" s="13" t="str">
        <x:v>0.1.0-draft</x:v>
      </x:c>
      <x:c r="AB252" s="12" t="str">
        <x:f>IF(ISNUMBER(SEARCH("healthy",F252)),"healthy_reasoning_patterns",IF(ISNUMBER(SEARCH("statistical",F252)),"statistical_reasoning",IF(ISNUMBER(SEARCH("causal",F252)),"causal_reasoning",IF(ISNUMBER(SEARCH("social",F252)),"social_influence",IF(ISNUMBER(SEARCH("rhetoric",F252)),"rhetoric_discourse",IF(ISNUMBER(SEARCH("behavior",F252)),"behavioural_economics",IF(ISNUMBER(SEARCH("cognitive",F252)),"cognitive_biases",IF(J252="protective_pattern","healthy_reasoning_patterns",IF(L252="P0","core_mvp","extended_fallacies")))))))))</x:f>
        <x:v>extended_fallacies</x:v>
      </x:c>
      <x:c r="AC252" s="12" t="str">
        <x:f>IF(ISNUMBER(SEARCH("operational",J252)),"operational",IF(ISNUMBER(SEARCH("deprecated",J252)),"deprecated",IF(L252="P0","canonical","recognized_subtype")))</x:f>
        <x:v>operational</x:v>
      </x:c>
      <x:c r="AD252" s="12" t="str">
        <x:f>IF(AC252="canonical","high",IF(AC252="recognized_subtype","medium",IF(AC252="operational","operational_only","debated")))</x:f>
        <x:v>operational_only</x:v>
      </x:c>
      <x:c r="AE252" s="12" t="str">
        <x:f>IF(AC252="deprecated","deprecated",IF(M252="yes","active",IF(M252="review","review_required","backlog")))</x:f>
        <x:v>backlog</x:v>
      </x:c>
      <x:c r="AF252" s="12" t="str">
        <x:f>IF(OR(AE252="active",AE252="review_required"),"yes","no")</x:f>
        <x:v>no</x:v>
      </x:c>
      <x:c r="AG252" s="12" t="str">
        <x:f>IF(AND(AE252="active",M252="yes",NOT(ISNUMBER(SEARCH("healthy",AB252)))),"yes","no")</x:f>
        <x:v>no</x:v>
      </x:c>
      <x:c r="AH252" s="12" t="str">
        <x:f>IF(OR(H252="contextual",H252="dialogue",H252="discourse",I252="claim+context",I252="discourse_segment"),"yes","no")</x:f>
        <x:v>yes</x:v>
      </x:c>
      <x:c r="AI252" s="12" t="str">
        <x:f>IF(OR(AH252="yes",AD252="debated",AC252="operational"),"yes","no")</x:f>
        <x:v>yes</x:v>
      </x:c>
      <x:c r="AJ252" s="12" t="str">
        <x:f>IF(OR(AH252="yes",AC252="operational",AD252="debated"),"high",IF(AND(AG252="yes",L252="P0"),"medium","low"))</x:f>
        <x:v>high</x:v>
      </x:c>
      <x:c r="AK252" s="12" t="str">
        <x:f>IF(ISNUMBER(SEARCH("healthy",AB252)),"yes","no")</x:f>
        <x:v>no</x:v>
      </x:c>
      <x:c r="AL252" s="12" t="str">
        <x:f>IF(AG252="yes","yes","candidate_only")</x:f>
        <x:v>candidate_only</x:v>
      </x:c>
      <x:c r="AM252" s="12" t="str">
        <x:f>IF(OR(AC252="canonical",AG252="yes"),"yes","recommended")</x:f>
        <x:v>recommended</x:v>
      </x:c>
      <x:c r="AN252" s="12" t="str">
        <x:f>IF(AC252="deprecated","exclude",IF(AND(AG252="yes",AJ252="high"),"import_but_human_review_required",IF(AG252="yes","import_as_active","import_as_backlog")))</x:f>
        <x:v>import_as_backlog</x:v>
      </x:c>
      <x:c r="AO252" s="12" t="str">
        <x:f>IF(AND(AG252="yes",OR(P252="",Q252="",R252="",S252="")),"missing_required_mvp_fields",IF(AND(AC252="canonical",Y252=""),"missing_source_ref","ok"))</x:f>
        <x:v>ok</x:v>
      </x:c>
      <x:c r="AP252" s="12" t="str">
        <x:f>IF(AO252="ok","ready_for_codex_import","needs_review")</x:f>
        <x:v>ready_for_codex_import</x:v>
      </x:c>
      <x:c r="AQ252" s="12"/>
      <x:c r="AR252" s="12" t="str">
        <x:v>Added v2 operational fields. Review before classification activation.</x:v>
      </x:c>
    </x:row>
    <x:row r="253">
      <x:c r="A253" s="13" t="str">
        <x:v>ecological_fallacy_measurement_problem</x:v>
      </x:c>
      <x:c r="B253" s="13" t="str">
        <x:v>ecological_fallacy</x:v>
      </x:c>
      <x:c r="C253" s="13" t="str">
        <x:v>Ecological fallacy</x:v>
      </x:c>
      <x:c r="D253" s="13" t="str">
        <x:v>مغالطه بوم‌شناختی</x:v>
      </x:c>
      <x:c r="E253" s="13" t="str">
        <x:v>Measurement-validity variant</x:v>
      </x:c>
      <x:c r="F253" s="13" t="str">
        <x:v>evidence_failures</x:v>
      </x:c>
      <x:c r="G253" s="13" t="str">
        <x:v>operational_variant</x:v>
      </x:c>
      <x:c r="H253" s="13" t="str">
        <x:v>contextual</x:v>
      </x:c>
      <x:c r="I253" s="13" t="str">
        <x:v>claim+context</x:v>
      </x:c>
      <x:c r="J253" s="13" t="str">
        <x:v>derived_operational_subtype</x:v>
      </x:c>
      <x:c r="K253" s="13" t="str">
        <x:v>derived_from_established_parent_review_required</x:v>
      </x:c>
      <x:c r="L253" s="13" t="str">
        <x:v>P3</x:v>
      </x:c>
      <x:c r="M253" s="13" t="str">
        <x:v>no</x:v>
      </x:c>
      <x:c r="N253" s="13" t="str">
        <x:v>Operational subtype under Ecological fallacy: the evidence does not measure the intended construct well. Parent definition: Inferring individual-level conclusions from aggregate-level data.</x:v>
      </x:c>
      <x:c r="O253" s="13" t="str">
        <x:v>Look for: explicit claim-level evidence; parent-family cues for Ecological fallacy; variant cue: the evidence does not measure the intended construct well; avoid author-level inference.</x:v>
      </x:c>
      <x:c r="P253" s="13" t="str">
        <x:v>Exact evidence span in text plus claim-level reasoning link; for contextual/discourse entries, require surrounding context.</x:v>
      </x:c>
      <x:c r="Q253" s="13" t="str">
        <x:v>Do not label merely because topic is controversial, emotional, or wrong. Do not judge intent or personality. Require textual evidence and consider healthy-reasoning cues.</x:v>
      </x:c>
      <x:c r="R253" s="13" t="str">
        <x:v>Stub: A claim relies on the evidence does not measure the intended construct well to support a conclusion without adequate qualification.</x:v>
      </x:c>
      <x:c r="S253" s="13" t="str">
        <x:v>Stub: A claim discusses ecological fallacy with caveats, balanced evidence, or no argumentative use of the pattern.</x:v>
      </x:c>
      <x:c r="T253" s="13" t="str">
        <x:v>Mild or ambiguous cue; do not classify without clear evidence span.</x:v>
      </x:c>
      <x:c r="U253" s="13" t="str">
        <x:v>Clear claim-level pattern with some argumentative impact.</x:v>
      </x:c>
      <x:c r="V253" s="13" t="str">
        <x:v>Strong pattern central to the conclusion and likely to materially distort reasoning.</x:v>
      </x:c>
      <x:c r="W253" s="13" t="str"/>
      <x:c r="X253" s="13" t="str">
        <x:v>sep_informal_logic</x:v>
      </x:c>
      <x:c r="Y253" s="13" t="str">
        <x:v>https://plato.stanford.edu/entries/logic-informal/</x:v>
      </x:c>
      <x:c r="Z253" s="13" t="str">
        <x:v>Review before enabling. This workbook is a living taxonomy scaffold, not a validated scientific benchmark.</x:v>
      </x:c>
      <x:c r="AA253" s="13" t="str">
        <x:v>0.1.0-draft</x:v>
      </x:c>
      <x:c r="AB253" s="12" t="str">
        <x:f>IF(ISNUMBER(SEARCH("healthy",F253)),"healthy_reasoning_patterns",IF(ISNUMBER(SEARCH("statistical",F253)),"statistical_reasoning",IF(ISNUMBER(SEARCH("causal",F253)),"causal_reasoning",IF(ISNUMBER(SEARCH("social",F253)),"social_influence",IF(ISNUMBER(SEARCH("rhetoric",F253)),"rhetoric_discourse",IF(ISNUMBER(SEARCH("behavior",F253)),"behavioural_economics",IF(ISNUMBER(SEARCH("cognitive",F253)),"cognitive_biases",IF(J253="protective_pattern","healthy_reasoning_patterns",IF(L253="P0","core_mvp","extended_fallacies")))))))))</x:f>
        <x:v>extended_fallacies</x:v>
      </x:c>
      <x:c r="AC253" s="12" t="str">
        <x:f>IF(ISNUMBER(SEARCH("operational",J253)),"operational",IF(ISNUMBER(SEARCH("deprecated",J253)),"deprecated",IF(L253="P0","canonical","recognized_subtype")))</x:f>
        <x:v>operational</x:v>
      </x:c>
      <x:c r="AD253" s="12" t="str">
        <x:f>IF(AC253="canonical","high",IF(AC253="recognized_subtype","medium",IF(AC253="operational","operational_only","debated")))</x:f>
        <x:v>operational_only</x:v>
      </x:c>
      <x:c r="AE253" s="12" t="str">
        <x:f>IF(AC253="deprecated","deprecated",IF(M253="yes","active",IF(M253="review","review_required","backlog")))</x:f>
        <x:v>backlog</x:v>
      </x:c>
      <x:c r="AF253" s="12" t="str">
        <x:f>IF(OR(AE253="active",AE253="review_required"),"yes","no")</x:f>
        <x:v>no</x:v>
      </x:c>
      <x:c r="AG253" s="12" t="str">
        <x:f>IF(AND(AE253="active",M253="yes",NOT(ISNUMBER(SEARCH("healthy",AB253)))),"yes","no")</x:f>
        <x:v>no</x:v>
      </x:c>
      <x:c r="AH253" s="12" t="str">
        <x:f>IF(OR(H253="contextual",H253="dialogue",H253="discourse",I253="claim+context",I253="discourse_segment"),"yes","no")</x:f>
        <x:v>yes</x:v>
      </x:c>
      <x:c r="AI253" s="12" t="str">
        <x:f>IF(OR(AH253="yes",AD253="debated",AC253="operational"),"yes","no")</x:f>
        <x:v>yes</x:v>
      </x:c>
      <x:c r="AJ253" s="12" t="str">
        <x:f>IF(OR(AH253="yes",AC253="operational",AD253="debated"),"high",IF(AND(AG253="yes",L253="P0"),"medium","low"))</x:f>
        <x:v>high</x:v>
      </x:c>
      <x:c r="AK253" s="12" t="str">
        <x:f>IF(ISNUMBER(SEARCH("healthy",AB253)),"yes","no")</x:f>
        <x:v>no</x:v>
      </x:c>
      <x:c r="AL253" s="12" t="str">
        <x:f>IF(AG253="yes","yes","candidate_only")</x:f>
        <x:v>candidate_only</x:v>
      </x:c>
      <x:c r="AM253" s="12" t="str">
        <x:f>IF(OR(AC253="canonical",AG253="yes"),"yes","recommended")</x:f>
        <x:v>recommended</x:v>
      </x:c>
      <x:c r="AN253" s="12" t="str">
        <x:f>IF(AC253="deprecated","exclude",IF(AND(AG253="yes",AJ253="high"),"import_but_human_review_required",IF(AG253="yes","import_as_active","import_as_backlog")))</x:f>
        <x:v>import_as_backlog</x:v>
      </x:c>
      <x:c r="AO253" s="12" t="str">
        <x:f>IF(AND(AG253="yes",OR(P253="",Q253="",R253="",S253="")),"missing_required_mvp_fields",IF(AND(AC253="canonical",Y253=""),"missing_source_ref","ok"))</x:f>
        <x:v>ok</x:v>
      </x:c>
      <x:c r="AP253" s="12" t="str">
        <x:f>IF(AO253="ok","ready_for_codex_import","needs_review")</x:f>
        <x:v>ready_for_codex_import</x:v>
      </x:c>
      <x:c r="AQ253" s="12"/>
      <x:c r="AR253" s="12" t="str">
        <x:v>Added v2 operational fields. Review before classification activation.</x:v>
      </x:c>
    </x:row>
    <x:row r="254">
      <x:c r="A254" s="13" t="str">
        <x:v>atomistic_fallacy_measurement_problem</x:v>
      </x:c>
      <x:c r="B254" s="13" t="str">
        <x:v>atomistic_fallacy</x:v>
      </x:c>
      <x:c r="C254" s="13" t="str">
        <x:v>Atomistic fallacy</x:v>
      </x:c>
      <x:c r="D254" s="13" t="str">
        <x:v>مغالطه فردانگارانه</x:v>
      </x:c>
      <x:c r="E254" s="13" t="str">
        <x:v>Measurement-validity variant</x:v>
      </x:c>
      <x:c r="F254" s="13" t="str">
        <x:v>evidence_failures</x:v>
      </x:c>
      <x:c r="G254" s="13" t="str">
        <x:v>operational_variant</x:v>
      </x:c>
      <x:c r="H254" s="13" t="str">
        <x:v>contextual</x:v>
      </x:c>
      <x:c r="I254" s="13" t="str">
        <x:v>claim+context</x:v>
      </x:c>
      <x:c r="J254" s="13" t="str">
        <x:v>derived_operational_subtype</x:v>
      </x:c>
      <x:c r="K254" s="13" t="str">
        <x:v>derived_from_established_parent_review_required</x:v>
      </x:c>
      <x:c r="L254" s="13" t="str">
        <x:v>P3</x:v>
      </x:c>
      <x:c r="M254" s="13" t="str">
        <x:v>no</x:v>
      </x:c>
      <x:c r="N254" s="13" t="str">
        <x:v>Operational subtype under Atomistic fallacy: the evidence does not measure the intended construct well. Parent definition: Inferring group-level conclusions from individual-level observations.</x:v>
      </x:c>
      <x:c r="O254" s="13" t="str">
        <x:v>Look for: explicit claim-level evidence; parent-family cues for Atomistic fallacy; variant cue: the evidence does not measure the intended construct well; avoid author-level inference.</x:v>
      </x:c>
      <x:c r="P254" s="13" t="str">
        <x:v>Exact evidence span in text plus claim-level reasoning link; for contextual/discourse entries, require surrounding context.</x:v>
      </x:c>
      <x:c r="Q254" s="13" t="str">
        <x:v>Do not label merely because topic is controversial, emotional, or wrong. Do not judge intent or personality. Require textual evidence and consider healthy-reasoning cues.</x:v>
      </x:c>
      <x:c r="R254" s="13" t="str">
        <x:v>Stub: A claim relies on the evidence does not measure the intended construct well to support a conclusion without adequate qualification.</x:v>
      </x:c>
      <x:c r="S254" s="13" t="str">
        <x:v>Stub: A claim discusses atomistic fallacy with caveats, balanced evidence, or no argumentative use of the pattern.</x:v>
      </x:c>
      <x:c r="T254" s="13" t="str">
        <x:v>Mild or ambiguous cue; do not classify without clear evidence span.</x:v>
      </x:c>
      <x:c r="U254" s="13" t="str">
        <x:v>Clear claim-level pattern with some argumentative impact.</x:v>
      </x:c>
      <x:c r="V254" s="13" t="str">
        <x:v>Strong pattern central to the conclusion and likely to materially distort reasoning.</x:v>
      </x:c>
      <x:c r="W254" s="13" t="str"/>
      <x:c r="X254" s="13" t="str">
        <x:v>sep_informal_logic</x:v>
      </x:c>
      <x:c r="Y254" s="13" t="str">
        <x:v>https://plato.stanford.edu/entries/logic-informal/</x:v>
      </x:c>
      <x:c r="Z254" s="13" t="str">
        <x:v>Review before enabling. This workbook is a living taxonomy scaffold, not a validated scientific benchmark.</x:v>
      </x:c>
      <x:c r="AA254" s="13" t="str">
        <x:v>0.1.0-draft</x:v>
      </x:c>
      <x:c r="AB254" s="12" t="str">
        <x:f>IF(ISNUMBER(SEARCH("healthy",F254)),"healthy_reasoning_patterns",IF(ISNUMBER(SEARCH("statistical",F254)),"statistical_reasoning",IF(ISNUMBER(SEARCH("causal",F254)),"causal_reasoning",IF(ISNUMBER(SEARCH("social",F254)),"social_influence",IF(ISNUMBER(SEARCH("rhetoric",F254)),"rhetoric_discourse",IF(ISNUMBER(SEARCH("behavior",F254)),"behavioural_economics",IF(ISNUMBER(SEARCH("cognitive",F254)),"cognitive_biases",IF(J254="protective_pattern","healthy_reasoning_patterns",IF(L254="P0","core_mvp","extended_fallacies")))))))))</x:f>
        <x:v>extended_fallacies</x:v>
      </x:c>
      <x:c r="AC254" s="12" t="str">
        <x:f>IF(ISNUMBER(SEARCH("operational",J254)),"operational",IF(ISNUMBER(SEARCH("deprecated",J254)),"deprecated",IF(L254="P0","canonical","recognized_subtype")))</x:f>
        <x:v>operational</x:v>
      </x:c>
      <x:c r="AD254" s="12" t="str">
        <x:f>IF(AC254="canonical","high",IF(AC254="recognized_subtype","medium",IF(AC254="operational","operational_only","debated")))</x:f>
        <x:v>operational_only</x:v>
      </x:c>
      <x:c r="AE254" s="12" t="str">
        <x:f>IF(AC254="deprecated","deprecated",IF(M254="yes","active",IF(M254="review","review_required","backlog")))</x:f>
        <x:v>backlog</x:v>
      </x:c>
      <x:c r="AF254" s="12" t="str">
        <x:f>IF(OR(AE254="active",AE254="review_required"),"yes","no")</x:f>
        <x:v>no</x:v>
      </x:c>
      <x:c r="AG254" s="12" t="str">
        <x:f>IF(AND(AE254="active",M254="yes",NOT(ISNUMBER(SEARCH("healthy",AB254)))),"yes","no")</x:f>
        <x:v>no</x:v>
      </x:c>
      <x:c r="AH254" s="12" t="str">
        <x:f>IF(OR(H254="contextual",H254="dialogue",H254="discourse",I254="claim+context",I254="discourse_segment"),"yes","no")</x:f>
        <x:v>yes</x:v>
      </x:c>
      <x:c r="AI254" s="12" t="str">
        <x:f>IF(OR(AH254="yes",AD254="debated",AC254="operational"),"yes","no")</x:f>
        <x:v>yes</x:v>
      </x:c>
      <x:c r="AJ254" s="12" t="str">
        <x:f>IF(OR(AH254="yes",AC254="operational",AD254="debated"),"high",IF(AND(AG254="yes",L254="P0"),"medium","low"))</x:f>
        <x:v>high</x:v>
      </x:c>
      <x:c r="AK254" s="12" t="str">
        <x:f>IF(ISNUMBER(SEARCH("healthy",AB254)),"yes","no")</x:f>
        <x:v>no</x:v>
      </x:c>
      <x:c r="AL254" s="12" t="str">
        <x:f>IF(AG254="yes","yes","candidate_only")</x:f>
        <x:v>candidate_only</x:v>
      </x:c>
      <x:c r="AM254" s="12" t="str">
        <x:f>IF(OR(AC254="canonical",AG254="yes"),"yes","recommended")</x:f>
        <x:v>recommended</x:v>
      </x:c>
      <x:c r="AN254" s="12" t="str">
        <x:f>IF(AC254="deprecated","exclude",IF(AND(AG254="yes",AJ254="high"),"import_but_human_review_required",IF(AG254="yes","import_as_active","import_as_backlog")))</x:f>
        <x:v>import_as_backlog</x:v>
      </x:c>
      <x:c r="AO254" s="12" t="str">
        <x:f>IF(AND(AG254="yes",OR(P254="",Q254="",R254="",S254="")),"missing_required_mvp_fields",IF(AND(AC254="canonical",Y254=""),"missing_source_ref","ok"))</x:f>
        <x:v>ok</x:v>
      </x:c>
      <x:c r="AP254" s="12" t="str">
        <x:f>IF(AO254="ok","ready_for_codex_import","needs_review")</x:f>
        <x:v>ready_for_codex_import</x:v>
      </x:c>
      <x:c r="AQ254" s="12"/>
      <x:c r="AR254" s="12" t="str">
        <x:v>Added v2 operational fields. Review before classification activation.</x:v>
      </x:c>
    </x:row>
    <x:row r="255">
      <x:c r="A255" s="13" t="str">
        <x:v>omitted_variable_bias_argument_measurement_problem</x:v>
      </x:c>
      <x:c r="B255" s="13" t="str">
        <x:v>omitted_variable_bias_argument</x:v>
      </x:c>
      <x:c r="C255" s="13" t="str">
        <x:v>Omitted-variable reasoning gap</x:v>
      </x:c>
      <x:c r="D255" s="13" t="str">
        <x:v>نادیده‌گرفتن متغیرهای مخدوشگر</x:v>
      </x:c>
      <x:c r="E255" s="13" t="str">
        <x:v>Measurement-validity variant</x:v>
      </x:c>
      <x:c r="F255" s="13" t="str">
        <x:v>evidence_failures</x:v>
      </x:c>
      <x:c r="G255" s="13" t="str">
        <x:v>operational_variant</x:v>
      </x:c>
      <x:c r="H255" s="13" t="str">
        <x:v>contextual</x:v>
      </x:c>
      <x:c r="I255" s="13" t="str">
        <x:v>claim+context</x:v>
      </x:c>
      <x:c r="J255" s="13" t="str">
        <x:v>derived_operational_subtype</x:v>
      </x:c>
      <x:c r="K255" s="13" t="str">
        <x:v>derived_from_established_parent_review_required</x:v>
      </x:c>
      <x:c r="L255" s="13" t="str">
        <x:v>P3</x:v>
      </x:c>
      <x:c r="M255" s="13" t="str">
        <x:v>no</x:v>
      </x:c>
      <x:c r="N255" s="13" t="str">
        <x:v>Operational subtype under Omitted-variable reasoning gap: the evidence does not measure the intended construct well. Parent definition: Ignoring plausible omitted factors that could explain the observed pattern.</x:v>
      </x:c>
      <x:c r="O255" s="13" t="str">
        <x:v>Look for: explicit claim-level evidence; parent-family cues for Omitted-variable reasoning gap; variant cue: the evidence does not measure the intended construct well; avoid author-level inference.</x:v>
      </x:c>
      <x:c r="P255" s="13" t="str">
        <x:v>Exact evidence span in text plus claim-level reasoning link; for contextual/discourse entries, require surrounding context.</x:v>
      </x:c>
      <x:c r="Q255" s="13" t="str">
        <x:v>Do not label merely because topic is controversial, emotional, or wrong. Do not judge intent or personality. Require textual evidence and consider healthy-reasoning cues.</x:v>
      </x:c>
      <x:c r="R255" s="13" t="str">
        <x:v>Stub: A claim relies on the evidence does not measure the intended construct well to support a conclusion without adequate qualification.</x:v>
      </x:c>
      <x:c r="S255" s="13" t="str">
        <x:v>Stub: A claim discusses omitted-variable reasoning gap with caveats, balanced evidence, or no argumentative use of the pattern.</x:v>
      </x:c>
      <x:c r="T255" s="13" t="str">
        <x:v>Mild or ambiguous cue; do not classify without clear evidence span.</x:v>
      </x:c>
      <x:c r="U255" s="13" t="str">
        <x:v>Clear claim-level pattern with some argumentative impact.</x:v>
      </x:c>
      <x:c r="V255" s="13" t="str">
        <x:v>Strong pattern central to the conclusion and likely to materially distort reasoning.</x:v>
      </x:c>
      <x:c r="W255" s="13" t="str"/>
      <x:c r="X255" s="13" t="str">
        <x:v>sep_informal_logic</x:v>
      </x:c>
      <x:c r="Y255" s="13" t="str">
        <x:v>https://plato.stanford.edu/entries/logic-informal/</x:v>
      </x:c>
      <x:c r="Z255" s="13" t="str">
        <x:v>Review before enabling. This workbook is a living taxonomy scaffold, not a validated scientific benchmark.</x:v>
      </x:c>
      <x:c r="AA255" s="13" t="str">
        <x:v>0.1.0-draft</x:v>
      </x:c>
      <x:c r="AB255" s="12" t="str">
        <x:f>IF(ISNUMBER(SEARCH("healthy",F255)),"healthy_reasoning_patterns",IF(ISNUMBER(SEARCH("statistical",F255)),"statistical_reasoning",IF(ISNUMBER(SEARCH("causal",F255)),"causal_reasoning",IF(ISNUMBER(SEARCH("social",F255)),"social_influence",IF(ISNUMBER(SEARCH("rhetoric",F255)),"rhetoric_discourse",IF(ISNUMBER(SEARCH("behavior",F255)),"behavioural_economics",IF(ISNUMBER(SEARCH("cognitive",F255)),"cognitive_biases",IF(J255="protective_pattern","healthy_reasoning_patterns",IF(L255="P0","core_mvp","extended_fallacies")))))))))</x:f>
        <x:v>extended_fallacies</x:v>
      </x:c>
      <x:c r="AC255" s="12" t="str">
        <x:f>IF(ISNUMBER(SEARCH("operational",J255)),"operational",IF(ISNUMBER(SEARCH("deprecated",J255)),"deprecated",IF(L255="P0","canonical","recognized_subtype")))</x:f>
        <x:v>operational</x:v>
      </x:c>
      <x:c r="AD255" s="12" t="str">
        <x:f>IF(AC255="canonical","high",IF(AC255="recognized_subtype","medium",IF(AC255="operational","operational_only","debated")))</x:f>
        <x:v>operational_only</x:v>
      </x:c>
      <x:c r="AE255" s="12" t="str">
        <x:f>IF(AC255="deprecated","deprecated",IF(M255="yes","active",IF(M255="review","review_required","backlog")))</x:f>
        <x:v>backlog</x:v>
      </x:c>
      <x:c r="AF255" s="12" t="str">
        <x:f>IF(OR(AE255="active",AE255="review_required"),"yes","no")</x:f>
        <x:v>no</x:v>
      </x:c>
      <x:c r="AG255" s="12" t="str">
        <x:f>IF(AND(AE255="active",M255="yes",NOT(ISNUMBER(SEARCH("healthy",AB255)))),"yes","no")</x:f>
        <x:v>no</x:v>
      </x:c>
      <x:c r="AH255" s="12" t="str">
        <x:f>IF(OR(H255="contextual",H255="dialogue",H255="discourse",I255="claim+context",I255="discourse_segment"),"yes","no")</x:f>
        <x:v>yes</x:v>
      </x:c>
      <x:c r="AI255" s="12" t="str">
        <x:f>IF(OR(AH255="yes",AD255="debated",AC255="operational"),"yes","no")</x:f>
        <x:v>yes</x:v>
      </x:c>
      <x:c r="AJ255" s="12" t="str">
        <x:f>IF(OR(AH255="yes",AC255="operational",AD255="debated"),"high",IF(AND(AG255="yes",L255="P0"),"medium","low"))</x:f>
        <x:v>high</x:v>
      </x:c>
      <x:c r="AK255" s="12" t="str">
        <x:f>IF(ISNUMBER(SEARCH("healthy",AB255)),"yes","no")</x:f>
        <x:v>no</x:v>
      </x:c>
      <x:c r="AL255" s="12" t="str">
        <x:f>IF(AG255="yes","yes","candidate_only")</x:f>
        <x:v>candidate_only</x:v>
      </x:c>
      <x:c r="AM255" s="12" t="str">
        <x:f>IF(OR(AC255="canonical",AG255="yes"),"yes","recommended")</x:f>
        <x:v>recommended</x:v>
      </x:c>
      <x:c r="AN255" s="12" t="str">
        <x:f>IF(AC255="deprecated","exclude",IF(AND(AG255="yes",AJ255="high"),"import_but_human_review_required",IF(AG255="yes","import_as_active","import_as_backlog")))</x:f>
        <x:v>import_as_backlog</x:v>
      </x:c>
      <x:c r="AO255" s="12" t="str">
        <x:f>IF(AND(AG255="yes",OR(P255="",Q255="",R255="",S255="")),"missing_required_mvp_fields",IF(AND(AC255="canonical",Y255=""),"missing_source_ref","ok"))</x:f>
        <x:v>ok</x:v>
      </x:c>
      <x:c r="AP255" s="12" t="str">
        <x:f>IF(AO255="ok","ready_for_codex_import","needs_review")</x:f>
        <x:v>ready_for_codex_import</x:v>
      </x:c>
      <x:c r="AQ255" s="12"/>
      <x:c r="AR255" s="12" t="str">
        <x:v>Added v2 operational fields. Review before classification activation.</x:v>
      </x:c>
    </x:row>
    <x:row r="256">
      <x:c r="A256" s="13" t="str">
        <x:v>confounding_ignored_measurement_problem</x:v>
      </x:c>
      <x:c r="B256" s="13" t="str">
        <x:v>confounding_ignored</x:v>
      </x:c>
      <x:c r="C256" s="13" t="str">
        <x:v>Ignored confounding</x:v>
      </x:c>
      <x:c r="D256" s="13" t="str">
        <x:v>نادیده‌گرفتن مخدوشگر</x:v>
      </x:c>
      <x:c r="E256" s="13" t="str">
        <x:v>Measurement-validity variant</x:v>
      </x:c>
      <x:c r="F256" s="13" t="str">
        <x:v>evidence_failures</x:v>
      </x:c>
      <x:c r="G256" s="13" t="str">
        <x:v>operational_variant</x:v>
      </x:c>
      <x:c r="H256" s="13" t="str">
        <x:v>contextual</x:v>
      </x:c>
      <x:c r="I256" s="13" t="str">
        <x:v>claim+context</x:v>
      </x:c>
      <x:c r="J256" s="13" t="str">
        <x:v>derived_operational_subtype</x:v>
      </x:c>
      <x:c r="K256" s="13" t="str">
        <x:v>derived_from_established_parent_review_required</x:v>
      </x:c>
      <x:c r="L256" s="13" t="str">
        <x:v>P3</x:v>
      </x:c>
      <x:c r="M256" s="13" t="str">
        <x:v>no</x:v>
      </x:c>
      <x:c r="N256" s="13" t="str">
        <x:v>Operational subtype under Ignored confounding: the evidence does not measure the intended construct well. Parent definition: Treating an association as direct while ignoring confounding factors.</x:v>
      </x:c>
      <x:c r="O256" s="13" t="str">
        <x:v>Look for: explicit claim-level evidence; parent-family cues for Ignored confounding; variant cue: the evidence does not measure the intended construct well; avoid author-level inference.</x:v>
      </x:c>
      <x:c r="P256" s="13" t="str">
        <x:v>Exact evidence span in text plus claim-level reasoning link; for contextual/discourse entries, require surrounding context.</x:v>
      </x:c>
      <x:c r="Q256" s="13" t="str">
        <x:v>Do not label merely because topic is controversial, emotional, or wrong. Do not judge intent or personality. Require textual evidence and consider healthy-reasoning cues.</x:v>
      </x:c>
      <x:c r="R256" s="13" t="str">
        <x:v>Stub: A claim relies on the evidence does not measure the intended construct well to support a conclusion without adequate qualification.</x:v>
      </x:c>
      <x:c r="S256" s="13" t="str">
        <x:v>Stub: A claim discusses ignored confounding with caveats, balanced evidence, or no argumentative use of the pattern.</x:v>
      </x:c>
      <x:c r="T256" s="13" t="str">
        <x:v>Mild or ambiguous cue; do not classify without clear evidence span.</x:v>
      </x:c>
      <x:c r="U256" s="13" t="str">
        <x:v>Clear claim-level pattern with some argumentative impact.</x:v>
      </x:c>
      <x:c r="V256" s="13" t="str">
        <x:v>Strong pattern central to the conclusion and likely to materially distort reasoning.</x:v>
      </x:c>
      <x:c r="W256" s="13" t="str"/>
      <x:c r="X256" s="13" t="str">
        <x:v>sep_informal_logic</x:v>
      </x:c>
      <x:c r="Y256" s="13" t="str">
        <x:v>https://plato.stanford.edu/entries/logic-informal/</x:v>
      </x:c>
      <x:c r="Z256" s="13" t="str">
        <x:v>Review before enabling. This workbook is a living taxonomy scaffold, not a validated scientific benchmark.</x:v>
      </x:c>
      <x:c r="AA256" s="13" t="str">
        <x:v>0.1.0-draft</x:v>
      </x:c>
      <x:c r="AB256" s="12" t="str">
        <x:f>IF(ISNUMBER(SEARCH("healthy",F256)),"healthy_reasoning_patterns",IF(ISNUMBER(SEARCH("statistical",F256)),"statistical_reasoning",IF(ISNUMBER(SEARCH("causal",F256)),"causal_reasoning",IF(ISNUMBER(SEARCH("social",F256)),"social_influence",IF(ISNUMBER(SEARCH("rhetoric",F256)),"rhetoric_discourse",IF(ISNUMBER(SEARCH("behavior",F256)),"behavioural_economics",IF(ISNUMBER(SEARCH("cognitive",F256)),"cognitive_biases",IF(J256="protective_pattern","healthy_reasoning_patterns",IF(L256="P0","core_mvp","extended_fallacies")))))))))</x:f>
        <x:v>extended_fallacies</x:v>
      </x:c>
      <x:c r="AC256" s="12" t="str">
        <x:f>IF(ISNUMBER(SEARCH("operational",J256)),"operational",IF(ISNUMBER(SEARCH("deprecated",J256)),"deprecated",IF(L256="P0","canonical","recognized_subtype")))</x:f>
        <x:v>operational</x:v>
      </x:c>
      <x:c r="AD256" s="12" t="str">
        <x:f>IF(AC256="canonical","high",IF(AC256="recognized_subtype","medium",IF(AC256="operational","operational_only","debated")))</x:f>
        <x:v>operational_only</x:v>
      </x:c>
      <x:c r="AE256" s="12" t="str">
        <x:f>IF(AC256="deprecated","deprecated",IF(M256="yes","active",IF(M256="review","review_required","backlog")))</x:f>
        <x:v>backlog</x:v>
      </x:c>
      <x:c r="AF256" s="12" t="str">
        <x:f>IF(OR(AE256="active",AE256="review_required"),"yes","no")</x:f>
        <x:v>no</x:v>
      </x:c>
      <x:c r="AG256" s="12" t="str">
        <x:f>IF(AND(AE256="active",M256="yes",NOT(ISNUMBER(SEARCH("healthy",AB256)))),"yes","no")</x:f>
        <x:v>no</x:v>
      </x:c>
      <x:c r="AH256" s="12" t="str">
        <x:f>IF(OR(H256="contextual",H256="dialogue",H256="discourse",I256="claim+context",I256="discourse_segment"),"yes","no")</x:f>
        <x:v>yes</x:v>
      </x:c>
      <x:c r="AI256" s="12" t="str">
        <x:f>IF(OR(AH256="yes",AD256="debated",AC256="operational"),"yes","no")</x:f>
        <x:v>yes</x:v>
      </x:c>
      <x:c r="AJ256" s="12" t="str">
        <x:f>IF(OR(AH256="yes",AC256="operational",AD256="debated"),"high",IF(AND(AG256="yes",L256="P0"),"medium","low"))</x:f>
        <x:v>high</x:v>
      </x:c>
      <x:c r="AK256" s="12" t="str">
        <x:f>IF(ISNUMBER(SEARCH("healthy",AB256)),"yes","no")</x:f>
        <x:v>no</x:v>
      </x:c>
      <x:c r="AL256" s="12" t="str">
        <x:f>IF(AG256="yes","yes","candidate_only")</x:f>
        <x:v>candidate_only</x:v>
      </x:c>
      <x:c r="AM256" s="12" t="str">
        <x:f>IF(OR(AC256="canonical",AG256="yes"),"yes","recommended")</x:f>
        <x:v>recommended</x:v>
      </x:c>
      <x:c r="AN256" s="12" t="str">
        <x:f>IF(AC256="deprecated","exclude",IF(AND(AG256="yes",AJ256="high"),"import_but_human_review_required",IF(AG256="yes","import_as_active","import_as_backlog")))</x:f>
        <x:v>import_as_backlog</x:v>
      </x:c>
      <x:c r="AO256" s="12" t="str">
        <x:f>IF(AND(AG256="yes",OR(P256="",Q256="",R256="",S256="")),"missing_required_mvp_fields",IF(AND(AC256="canonical",Y256=""),"missing_source_ref","ok"))</x:f>
        <x:v>ok</x:v>
      </x:c>
      <x:c r="AP256" s="12" t="str">
        <x:f>IF(AO256="ok","ready_for_codex_import","needs_review")</x:f>
        <x:v>ready_for_codex_import</x:v>
      </x:c>
      <x:c r="AQ256" s="12"/>
      <x:c r="AR256" s="12" t="str">
        <x:v>Added v2 operational fields. Review before classification activation.</x:v>
      </x:c>
    </x:row>
    <x:row r="257">
      <x:c r="A257" s="13" t="str">
        <x:v>noncomparable_groups_measurement_problem</x:v>
      </x:c>
      <x:c r="B257" s="13" t="str">
        <x:v>noncomparable_groups</x:v>
      </x:c>
      <x:c r="C257" s="13" t="str">
        <x:v>Non-comparable groups</x:v>
      </x:c>
      <x:c r="D257" s="13" t="str">
        <x:v>گروه‌های غیرقابل‌مقایسه</x:v>
      </x:c>
      <x:c r="E257" s="13" t="str">
        <x:v>Measurement-validity variant</x:v>
      </x:c>
      <x:c r="F257" s="13" t="str">
        <x:v>evidence_failures</x:v>
      </x:c>
      <x:c r="G257" s="13" t="str">
        <x:v>operational_variant</x:v>
      </x:c>
      <x:c r="H257" s="13" t="str">
        <x:v>contextual</x:v>
      </x:c>
      <x:c r="I257" s="13" t="str">
        <x:v>claim+context</x:v>
      </x:c>
      <x:c r="J257" s="13" t="str">
        <x:v>derived_operational_subtype</x:v>
      </x:c>
      <x:c r="K257" s="13" t="str">
        <x:v>derived_from_established_parent_review_required</x:v>
      </x:c>
      <x:c r="L257" s="13" t="str">
        <x:v>P3</x:v>
      </x:c>
      <x:c r="M257" s="13" t="str">
        <x:v>no</x:v>
      </x:c>
      <x:c r="N257" s="13" t="str">
        <x:v>Operational subtype under Non-comparable groups: the evidence does not measure the intended construct well. Parent definition: Comparing groups that differ in ways relevant to the claim.</x:v>
      </x:c>
      <x:c r="O257" s="13" t="str">
        <x:v>Look for: explicit claim-level evidence; parent-family cues for Non-comparable groups; variant cue: the evidence does not measure the intended construct well; avoid author-level inference.</x:v>
      </x:c>
      <x:c r="P257" s="13" t="str">
        <x:v>Exact evidence span in text plus claim-level reasoning link; for contextual/discourse entries, require surrounding context.</x:v>
      </x:c>
      <x:c r="Q257" s="13" t="str">
        <x:v>Do not label merely because topic is controversial, emotional, or wrong. Do not judge intent or personality. Require textual evidence and consider healthy-reasoning cues.</x:v>
      </x:c>
      <x:c r="R257" s="13" t="str">
        <x:v>Stub: A claim relies on the evidence does not measure the intended construct well to support a conclusion without adequate qualification.</x:v>
      </x:c>
      <x:c r="S257" s="13" t="str">
        <x:v>Stub: A claim discusses non-comparable groups with caveats, balanced evidence, or no argumentative use of the pattern.</x:v>
      </x:c>
      <x:c r="T257" s="13" t="str">
        <x:v>Mild or ambiguous cue; do not classify without clear evidence span.</x:v>
      </x:c>
      <x:c r="U257" s="13" t="str">
        <x:v>Clear claim-level pattern with some argumentative impact.</x:v>
      </x:c>
      <x:c r="V257" s="13" t="str">
        <x:v>Strong pattern central to the conclusion and likely to materially distort reasoning.</x:v>
      </x:c>
      <x:c r="W257" s="13" t="str"/>
      <x:c r="X257" s="13" t="str">
        <x:v>toulmin_uses_argument</x:v>
      </x:c>
      <x:c r="Y257" s="13" t="str">
        <x:v>https://doi.org/10.1017/CBO9780511840005</x:v>
      </x:c>
      <x:c r="Z257" s="13" t="str">
        <x:v>Review before enabling. This workbook is a living taxonomy scaffold, not a validated scientific benchmark.</x:v>
      </x:c>
      <x:c r="AA257" s="13" t="str">
        <x:v>0.1.0-draft</x:v>
      </x:c>
      <x:c r="AB257" s="12" t="str">
        <x:f>IF(ISNUMBER(SEARCH("healthy",F257)),"healthy_reasoning_patterns",IF(ISNUMBER(SEARCH("statistical",F257)),"statistical_reasoning",IF(ISNUMBER(SEARCH("causal",F257)),"causal_reasoning",IF(ISNUMBER(SEARCH("social",F257)),"social_influence",IF(ISNUMBER(SEARCH("rhetoric",F257)),"rhetoric_discourse",IF(ISNUMBER(SEARCH("behavior",F257)),"behavioural_economics",IF(ISNUMBER(SEARCH("cognitive",F257)),"cognitive_biases",IF(J257="protective_pattern","healthy_reasoning_patterns",IF(L257="P0","core_mvp","extended_fallacies")))))))))</x:f>
        <x:v>extended_fallacies</x:v>
      </x:c>
      <x:c r="AC257" s="12" t="str">
        <x:f>IF(ISNUMBER(SEARCH("operational",J257)),"operational",IF(ISNUMBER(SEARCH("deprecated",J257)),"deprecated",IF(L257="P0","canonical","recognized_subtype")))</x:f>
        <x:v>operational</x:v>
      </x:c>
      <x:c r="AD257" s="12" t="str">
        <x:f>IF(AC257="canonical","high",IF(AC257="recognized_subtype","medium",IF(AC257="operational","operational_only","debated")))</x:f>
        <x:v>operational_only</x:v>
      </x:c>
      <x:c r="AE257" s="12" t="str">
        <x:f>IF(AC257="deprecated","deprecated",IF(M257="yes","active",IF(M257="review","review_required","backlog")))</x:f>
        <x:v>backlog</x:v>
      </x:c>
      <x:c r="AF257" s="12" t="str">
        <x:f>IF(OR(AE257="active",AE257="review_required"),"yes","no")</x:f>
        <x:v>no</x:v>
      </x:c>
      <x:c r="AG257" s="12" t="str">
        <x:f>IF(AND(AE257="active",M257="yes",NOT(ISNUMBER(SEARCH("healthy",AB257)))),"yes","no")</x:f>
        <x:v>no</x:v>
      </x:c>
      <x:c r="AH257" s="12" t="str">
        <x:f>IF(OR(H257="contextual",H257="dialogue",H257="discourse",I257="claim+context",I257="discourse_segment"),"yes","no")</x:f>
        <x:v>yes</x:v>
      </x:c>
      <x:c r="AI257" s="12" t="str">
        <x:f>IF(OR(AH257="yes",AD257="debated",AC257="operational"),"yes","no")</x:f>
        <x:v>yes</x:v>
      </x:c>
      <x:c r="AJ257" s="12" t="str">
        <x:f>IF(OR(AH257="yes",AC257="operational",AD257="debated"),"high",IF(AND(AG257="yes",L257="P0"),"medium","low"))</x:f>
        <x:v>high</x:v>
      </x:c>
      <x:c r="AK257" s="12" t="str">
        <x:f>IF(ISNUMBER(SEARCH("healthy",AB257)),"yes","no")</x:f>
        <x:v>no</x:v>
      </x:c>
      <x:c r="AL257" s="12" t="str">
        <x:f>IF(AG257="yes","yes","candidate_only")</x:f>
        <x:v>candidate_only</x:v>
      </x:c>
      <x:c r="AM257" s="12" t="str">
        <x:f>IF(OR(AC257="canonical",AG257="yes"),"yes","recommended")</x:f>
        <x:v>recommended</x:v>
      </x:c>
      <x:c r="AN257" s="12" t="str">
        <x:f>IF(AC257="deprecated","exclude",IF(AND(AG257="yes",AJ257="high"),"import_but_human_review_required",IF(AG257="yes","import_as_active","import_as_backlog")))</x:f>
        <x:v>import_as_backlog</x:v>
      </x:c>
      <x:c r="AO257" s="12" t="str">
        <x:f>IF(AND(AG257="yes",OR(P257="",Q257="",R257="",S257="")),"missing_required_mvp_fields",IF(AND(AC257="canonical",Y257=""),"missing_source_ref","ok"))</x:f>
        <x:v>ok</x:v>
      </x:c>
      <x:c r="AP257" s="12" t="str">
        <x:f>IF(AO257="ok","ready_for_codex_import","needs_review")</x:f>
        <x:v>ready_for_codex_import</x:v>
      </x:c>
      <x:c r="AQ257" s="12"/>
      <x:c r="AR257" s="12" t="str">
        <x:v>Added v2 operational fields. Review before classification activation.</x:v>
      </x:c>
    </x:row>
    <x:row r="258">
      <x:c r="A258" s="13" t="str">
        <x:v>uncontrolled_comparison_measurement_problem</x:v>
      </x:c>
      <x:c r="B258" s="13" t="str">
        <x:v>uncontrolled_comparison</x:v>
      </x:c>
      <x:c r="C258" s="13" t="str">
        <x:v>Uncontrolled comparison</x:v>
      </x:c>
      <x:c r="D258" s="13" t="str">
        <x:v>مقایسه بدون کنترل</x:v>
      </x:c>
      <x:c r="E258" s="13" t="str">
        <x:v>Measurement-validity variant</x:v>
      </x:c>
      <x:c r="F258" s="13" t="str">
        <x:v>evidence_failures</x:v>
      </x:c>
      <x:c r="G258" s="13" t="str">
        <x:v>operational_variant</x:v>
      </x:c>
      <x:c r="H258" s="13" t="str">
        <x:v>contextual</x:v>
      </x:c>
      <x:c r="I258" s="13" t="str">
        <x:v>claim+context</x:v>
      </x:c>
      <x:c r="J258" s="13" t="str">
        <x:v>derived_operational_subtype</x:v>
      </x:c>
      <x:c r="K258" s="13" t="str">
        <x:v>derived_from_established_parent_review_required</x:v>
      </x:c>
      <x:c r="L258" s="13" t="str">
        <x:v>P3</x:v>
      </x:c>
      <x:c r="M258" s="13" t="str">
        <x:v>no</x:v>
      </x:c>
      <x:c r="N258" s="13" t="str">
        <x:v>Operational subtype under Uncontrolled comparison: the evidence does not measure the intended construct well. Parent definition: Drawing a strong conclusion from comparisons without controls or caveats.</x:v>
      </x:c>
      <x:c r="O258" s="13" t="str">
        <x:v>Look for: explicit claim-level evidence; parent-family cues for Uncontrolled comparison; variant cue: the evidence does not measure the intended construct well; avoid author-level inference.</x:v>
      </x:c>
      <x:c r="P258" s="13" t="str">
        <x:v>Exact evidence span in text plus claim-level reasoning link; for contextual/discourse entries, require surrounding context.</x:v>
      </x:c>
      <x:c r="Q258" s="13" t="str">
        <x:v>Do not label merely because topic is controversial, emotional, or wrong. Do not judge intent or personality. Require textual evidence and consider healthy-reasoning cues.</x:v>
      </x:c>
      <x:c r="R258" s="13" t="str">
        <x:v>Stub: A claim relies on the evidence does not measure the intended construct well to support a conclusion without adequate qualification.</x:v>
      </x:c>
      <x:c r="S258" s="13" t="str">
        <x:v>Stub: A claim discusses uncontrolled comparison with caveats, balanced evidence, or no argumentative use of the pattern.</x:v>
      </x:c>
      <x:c r="T258" s="13" t="str">
        <x:v>Mild or ambiguous cue; do not classify without clear evidence span.</x:v>
      </x:c>
      <x:c r="U258" s="13" t="str">
        <x:v>Clear claim-level pattern with some argumentative impact.</x:v>
      </x:c>
      <x:c r="V258" s="13" t="str">
        <x:v>Strong pattern central to the conclusion and likely to materially distort reasoning.</x:v>
      </x:c>
      <x:c r="W258" s="13" t="str"/>
      <x:c r="X258" s="13" t="str">
        <x:v>toulmin_uses_argument</x:v>
      </x:c>
      <x:c r="Y258" s="13" t="str">
        <x:v>https://doi.org/10.1017/CBO9780511840005</x:v>
      </x:c>
      <x:c r="Z258" s="13" t="str">
        <x:v>Review before enabling. This workbook is a living taxonomy scaffold, not a validated scientific benchmark.</x:v>
      </x:c>
      <x:c r="AA258" s="13" t="str">
        <x:v>0.1.0-draft</x:v>
      </x:c>
      <x:c r="AB258" s="12" t="str">
        <x:f>IF(ISNUMBER(SEARCH("healthy",F258)),"healthy_reasoning_patterns",IF(ISNUMBER(SEARCH("statistical",F258)),"statistical_reasoning",IF(ISNUMBER(SEARCH("causal",F258)),"causal_reasoning",IF(ISNUMBER(SEARCH("social",F258)),"social_influence",IF(ISNUMBER(SEARCH("rhetoric",F258)),"rhetoric_discourse",IF(ISNUMBER(SEARCH("behavior",F258)),"behavioural_economics",IF(ISNUMBER(SEARCH("cognitive",F258)),"cognitive_biases",IF(J258="protective_pattern","healthy_reasoning_patterns",IF(L258="P0","core_mvp","extended_fallacies")))))))))</x:f>
        <x:v>extended_fallacies</x:v>
      </x:c>
      <x:c r="AC258" s="12" t="str">
        <x:f>IF(ISNUMBER(SEARCH("operational",J258)),"operational",IF(ISNUMBER(SEARCH("deprecated",J258)),"deprecated",IF(L258="P0","canonical","recognized_subtype")))</x:f>
        <x:v>operational</x:v>
      </x:c>
      <x:c r="AD258" s="12" t="str">
        <x:f>IF(AC258="canonical","high",IF(AC258="recognized_subtype","medium",IF(AC258="operational","operational_only","debated")))</x:f>
        <x:v>operational_only</x:v>
      </x:c>
      <x:c r="AE258" s="12" t="str">
        <x:f>IF(AC258="deprecated","deprecated",IF(M258="yes","active",IF(M258="review","review_required","backlog")))</x:f>
        <x:v>backlog</x:v>
      </x:c>
      <x:c r="AF258" s="12" t="str">
        <x:f>IF(OR(AE258="active",AE258="review_required"),"yes","no")</x:f>
        <x:v>no</x:v>
      </x:c>
      <x:c r="AG258" s="12" t="str">
        <x:f>IF(AND(AE258="active",M258="yes",NOT(ISNUMBER(SEARCH("healthy",AB258)))),"yes","no")</x:f>
        <x:v>no</x:v>
      </x:c>
      <x:c r="AH258" s="12" t="str">
        <x:f>IF(OR(H258="contextual",H258="dialogue",H258="discourse",I258="claim+context",I258="discourse_segment"),"yes","no")</x:f>
        <x:v>yes</x:v>
      </x:c>
      <x:c r="AI258" s="12" t="str">
        <x:f>IF(OR(AH258="yes",AD258="debated",AC258="operational"),"yes","no")</x:f>
        <x:v>yes</x:v>
      </x:c>
      <x:c r="AJ258" s="12" t="str">
        <x:f>IF(OR(AH258="yes",AC258="operational",AD258="debated"),"high",IF(AND(AG258="yes",L258="P0"),"medium","low"))</x:f>
        <x:v>high</x:v>
      </x:c>
      <x:c r="AK258" s="12" t="str">
        <x:f>IF(ISNUMBER(SEARCH("healthy",AB258)),"yes","no")</x:f>
        <x:v>no</x:v>
      </x:c>
      <x:c r="AL258" s="12" t="str">
        <x:f>IF(AG258="yes","yes","candidate_only")</x:f>
        <x:v>candidate_only</x:v>
      </x:c>
      <x:c r="AM258" s="12" t="str">
        <x:f>IF(OR(AC258="canonical",AG258="yes"),"yes","recommended")</x:f>
        <x:v>recommended</x:v>
      </x:c>
      <x:c r="AN258" s="12" t="str">
        <x:f>IF(AC258="deprecated","exclude",IF(AND(AG258="yes",AJ258="high"),"import_but_human_review_required",IF(AG258="yes","import_as_active","import_as_backlog")))</x:f>
        <x:v>import_as_backlog</x:v>
      </x:c>
      <x:c r="AO258" s="12" t="str">
        <x:f>IF(AND(AG258="yes",OR(P258="",Q258="",R258="",S258="")),"missing_required_mvp_fields",IF(AND(AC258="canonical",Y258=""),"missing_source_ref","ok"))</x:f>
        <x:v>ok</x:v>
      </x:c>
      <x:c r="AP258" s="12" t="str">
        <x:f>IF(AO258="ok","ready_for_codex_import","needs_review")</x:f>
        <x:v>ready_for_codex_import</x:v>
      </x:c>
      <x:c r="AQ258" s="12"/>
      <x:c r="AR258" s="12" t="str">
        <x:v>Added v2 operational fields. Review before classification activation.</x:v>
      </x:c>
    </x:row>
    <x:row r="259">
      <x:c r="A259" s="13" t="str">
        <x:v>causality_without_design_measurement_problem</x:v>
      </x:c>
      <x:c r="B259" s="13" t="str">
        <x:v>causality_without_design</x:v>
      </x:c>
      <x:c r="C259" s="13" t="str">
        <x:v>Causal claim without causal design</x:v>
      </x:c>
      <x:c r="D259" s="13" t="str">
        <x:v>ادعای علی بدون طراحی علی</x:v>
      </x:c>
      <x:c r="E259" s="13" t="str">
        <x:v>Measurement-validity variant</x:v>
      </x:c>
      <x:c r="F259" s="13" t="str">
        <x:v>evidence_failures</x:v>
      </x:c>
      <x:c r="G259" s="13" t="str">
        <x:v>operational_variant</x:v>
      </x:c>
      <x:c r="H259" s="13" t="str">
        <x:v>contextual</x:v>
      </x:c>
      <x:c r="I259" s="13" t="str">
        <x:v>claim+context</x:v>
      </x:c>
      <x:c r="J259" s="13" t="str">
        <x:v>derived_operational_subtype</x:v>
      </x:c>
      <x:c r="K259" s="13" t="str">
        <x:v>derived_from_established_parent_review_required</x:v>
      </x:c>
      <x:c r="L259" s="13" t="str">
        <x:v>P3</x:v>
      </x:c>
      <x:c r="M259" s="13" t="str">
        <x:v>no</x:v>
      </x:c>
      <x:c r="N259" s="13" t="str">
        <x:v>Operational subtype under Causal claim without causal design: the evidence does not measure the intended construct well. Parent definition: Making causal claims without design or evidence suited to causal inference.</x:v>
      </x:c>
      <x:c r="O259" s="13" t="str">
        <x:v>Look for: explicit claim-level evidence; parent-family cues for Causal claim without causal design; variant cue: the evidence does not measure the intended construct well; avoid author-level inference.</x:v>
      </x:c>
      <x:c r="P259" s="13" t="str">
        <x:v>Exact evidence span in text plus claim-level reasoning link; for contextual/discourse entries, require surrounding context.</x:v>
      </x:c>
      <x:c r="Q259" s="13" t="str">
        <x:v>Do not label merely because topic is controversial, emotional, or wrong. Do not judge intent or personality. Require textual evidence and consider healthy-reasoning cues.</x:v>
      </x:c>
      <x:c r="R259" s="13" t="str">
        <x:v>Stub: A claim relies on the evidence does not measure the intended construct well to support a conclusion without adequate qualification.</x:v>
      </x:c>
      <x:c r="S259" s="13" t="str">
        <x:v>Stub: A claim discusses causal claim without causal design with caveats, balanced evidence, or no argumentative use of the pattern.</x:v>
      </x:c>
      <x:c r="T259" s="13" t="str">
        <x:v>Mild or ambiguous cue; do not classify without clear evidence span.</x:v>
      </x:c>
      <x:c r="U259" s="13" t="str">
        <x:v>Clear claim-level pattern with some argumentative impact.</x:v>
      </x:c>
      <x:c r="V259" s="13" t="str">
        <x:v>Strong pattern central to the conclusion and likely to materially distort reasoning.</x:v>
      </x:c>
      <x:c r="W259" s="13" t="str">
        <x:v>post_hoc; cum_hoc; alternative_explanation_neglect</x:v>
      </x:c>
      <x:c r="X259" s="13" t="str">
        <x:v>toulmin_uses_argument</x:v>
      </x:c>
      <x:c r="Y259" s="13" t="str">
        <x:v>https://doi.org/10.1017/CBO9780511840005</x:v>
      </x:c>
      <x:c r="Z259" s="13" t="str">
        <x:v>Review before enabling. This workbook is a living taxonomy scaffold, not a validated scientific benchmark.</x:v>
      </x:c>
      <x:c r="AA259" s="13" t="str">
        <x:v>0.1.0-draft</x:v>
      </x:c>
      <x:c r="AB259" s="12" t="str">
        <x:f>IF(ISNUMBER(SEARCH("healthy",F259)),"healthy_reasoning_patterns",IF(ISNUMBER(SEARCH("statistical",F259)),"statistical_reasoning",IF(ISNUMBER(SEARCH("causal",F259)),"causal_reasoning",IF(ISNUMBER(SEARCH("social",F259)),"social_influence",IF(ISNUMBER(SEARCH("rhetoric",F259)),"rhetoric_discourse",IF(ISNUMBER(SEARCH("behavior",F259)),"behavioural_economics",IF(ISNUMBER(SEARCH("cognitive",F259)),"cognitive_biases",IF(J259="protective_pattern","healthy_reasoning_patterns",IF(L259="P0","core_mvp","extended_fallacies")))))))))</x:f>
        <x:v>extended_fallacies</x:v>
      </x:c>
      <x:c r="AC259" s="12" t="str">
        <x:f>IF(ISNUMBER(SEARCH("operational",J259)),"operational",IF(ISNUMBER(SEARCH("deprecated",J259)),"deprecated",IF(L259="P0","canonical","recognized_subtype")))</x:f>
        <x:v>operational</x:v>
      </x:c>
      <x:c r="AD259" s="12" t="str">
        <x:f>IF(AC259="canonical","high",IF(AC259="recognized_subtype","medium",IF(AC259="operational","operational_only","debated")))</x:f>
        <x:v>operational_only</x:v>
      </x:c>
      <x:c r="AE259" s="12" t="str">
        <x:f>IF(AC259="deprecated","deprecated",IF(M259="yes","active",IF(M259="review","review_required","backlog")))</x:f>
        <x:v>backlog</x:v>
      </x:c>
      <x:c r="AF259" s="12" t="str">
        <x:f>IF(OR(AE259="active",AE259="review_required"),"yes","no")</x:f>
        <x:v>no</x:v>
      </x:c>
      <x:c r="AG259" s="12" t="str">
        <x:f>IF(AND(AE259="active",M259="yes",NOT(ISNUMBER(SEARCH("healthy",AB259)))),"yes","no")</x:f>
        <x:v>no</x:v>
      </x:c>
      <x:c r="AH259" s="12" t="str">
        <x:f>IF(OR(H259="contextual",H259="dialogue",H259="discourse",I259="claim+context",I259="discourse_segment"),"yes","no")</x:f>
        <x:v>yes</x:v>
      </x:c>
      <x:c r="AI259" s="12" t="str">
        <x:f>IF(OR(AH259="yes",AD259="debated",AC259="operational"),"yes","no")</x:f>
        <x:v>yes</x:v>
      </x:c>
      <x:c r="AJ259" s="12" t="str">
        <x:f>IF(OR(AH259="yes",AC259="operational",AD259="debated"),"high",IF(AND(AG259="yes",L259="P0"),"medium","low"))</x:f>
        <x:v>high</x:v>
      </x:c>
      <x:c r="AK259" s="12" t="str">
        <x:f>IF(ISNUMBER(SEARCH("healthy",AB259)),"yes","no")</x:f>
        <x:v>no</x:v>
      </x:c>
      <x:c r="AL259" s="12" t="str">
        <x:f>IF(AG259="yes","yes","candidate_only")</x:f>
        <x:v>candidate_only</x:v>
      </x:c>
      <x:c r="AM259" s="12" t="str">
        <x:f>IF(OR(AC259="canonical",AG259="yes"),"yes","recommended")</x:f>
        <x:v>recommended</x:v>
      </x:c>
      <x:c r="AN259" s="12" t="str">
        <x:f>IF(AC259="deprecated","exclude",IF(AND(AG259="yes",AJ259="high"),"import_but_human_review_required",IF(AG259="yes","import_as_active","import_as_backlog")))</x:f>
        <x:v>import_as_backlog</x:v>
      </x:c>
      <x:c r="AO259" s="12" t="str">
        <x:f>IF(AND(AG259="yes",OR(P259="",Q259="",R259="",S259="")),"missing_required_mvp_fields",IF(AND(AC259="canonical",Y259=""),"missing_source_ref","ok"))</x:f>
        <x:v>ok</x:v>
      </x:c>
      <x:c r="AP259" s="12" t="str">
        <x:f>IF(AO259="ok","ready_for_codex_import","needs_review")</x:f>
        <x:v>ready_for_codex_import</x:v>
      </x:c>
      <x:c r="AQ259" s="12"/>
      <x:c r="AR259" s="12" t="str">
        <x:v>Added v2 operational fields. Review before classification activation.</x:v>
      </x:c>
    </x:row>
    <x:row r="260">
      <x:c r="A260" s="13" t="str">
        <x:v>temporal_misalignment_measurement_problem</x:v>
      </x:c>
      <x:c r="B260" s="13" t="str">
        <x:v>temporal_misalignment</x:v>
      </x:c>
      <x:c r="C260" s="13" t="str">
        <x:v>Temporal misalignment</x:v>
      </x:c>
      <x:c r="D260" s="13" t="str">
        <x:v>ناهماهنگی زمانی داده و ادعا</x:v>
      </x:c>
      <x:c r="E260" s="13" t="str">
        <x:v>Measurement-validity variant</x:v>
      </x:c>
      <x:c r="F260" s="13" t="str">
        <x:v>evidence_failures</x:v>
      </x:c>
      <x:c r="G260" s="13" t="str">
        <x:v>operational_variant</x:v>
      </x:c>
      <x:c r="H260" s="13" t="str">
        <x:v>contextual</x:v>
      </x:c>
      <x:c r="I260" s="13" t="str">
        <x:v>claim+context</x:v>
      </x:c>
      <x:c r="J260" s="13" t="str">
        <x:v>derived_operational_subtype</x:v>
      </x:c>
      <x:c r="K260" s="13" t="str">
        <x:v>derived_from_established_parent_review_required</x:v>
      </x:c>
      <x:c r="L260" s="13" t="str">
        <x:v>P3</x:v>
      </x:c>
      <x:c r="M260" s="13" t="str">
        <x:v>no</x:v>
      </x:c>
      <x:c r="N260" s="13" t="str">
        <x:v>Operational subtype under Temporal misalignment: the evidence does not measure the intended construct well. Parent definition: Using evidence from a time frame that does not match the claim.</x:v>
      </x:c>
      <x:c r="O260" s="13" t="str">
        <x:v>Look for: explicit claim-level evidence; parent-family cues for Temporal misalignment; variant cue: the evidence does not measure the intended construct well; avoid author-level inference.</x:v>
      </x:c>
      <x:c r="P260" s="13" t="str">
        <x:v>Exact evidence span in text plus claim-level reasoning link; for contextual/discourse entries, require surrounding context.</x:v>
      </x:c>
      <x:c r="Q260" s="13" t="str">
        <x:v>Do not label merely because topic is controversial, emotional, or wrong. Do not judge intent or personality. Require textual evidence and consider healthy-reasoning cues.</x:v>
      </x:c>
      <x:c r="R260" s="13" t="str">
        <x:v>Stub: A claim relies on the evidence does not measure the intended construct well to support a conclusion without adequate qualification.</x:v>
      </x:c>
      <x:c r="S260" s="13" t="str">
        <x:v>Stub: A claim discusses temporal misalignment with caveats, balanced evidence, or no argumentative use of the pattern.</x:v>
      </x:c>
      <x:c r="T260" s="13" t="str">
        <x:v>Mild or ambiguous cue; do not classify without clear evidence span.</x:v>
      </x:c>
      <x:c r="U260" s="13" t="str">
        <x:v>Clear claim-level pattern with some argumentative impact.</x:v>
      </x:c>
      <x:c r="V260" s="13" t="str">
        <x:v>Strong pattern central to the conclusion and likely to materially distort reasoning.</x:v>
      </x:c>
      <x:c r="W260" s="13" t="str">
        <x:v>cherry_picking; missing_counterevidence; evidence_grading</x:v>
      </x:c>
      <x:c r="X260" s="13" t="str">
        <x:v>toulmin_uses_argument</x:v>
      </x:c>
      <x:c r="Y260" s="13" t="str">
        <x:v>https://doi.org/10.1017/CBO9780511840005</x:v>
      </x:c>
      <x:c r="Z260" s="13" t="str">
        <x:v>Review before enabling. This workbook is a living taxonomy scaffold, not a validated scientific benchmark.</x:v>
      </x:c>
      <x:c r="AA260" s="13" t="str">
        <x:v>0.1.0-draft</x:v>
      </x:c>
      <x:c r="AB260" s="12" t="str">
        <x:f>IF(ISNUMBER(SEARCH("healthy",F260)),"healthy_reasoning_patterns",IF(ISNUMBER(SEARCH("statistical",F260)),"statistical_reasoning",IF(ISNUMBER(SEARCH("causal",F260)),"causal_reasoning",IF(ISNUMBER(SEARCH("social",F260)),"social_influence",IF(ISNUMBER(SEARCH("rhetoric",F260)),"rhetoric_discourse",IF(ISNUMBER(SEARCH("behavior",F260)),"behavioural_economics",IF(ISNUMBER(SEARCH("cognitive",F260)),"cognitive_biases",IF(J260="protective_pattern","healthy_reasoning_patterns",IF(L260="P0","core_mvp","extended_fallacies")))))))))</x:f>
        <x:v>extended_fallacies</x:v>
      </x:c>
      <x:c r="AC260" s="12" t="str">
        <x:f>IF(ISNUMBER(SEARCH("operational",J260)),"operational",IF(ISNUMBER(SEARCH("deprecated",J260)),"deprecated",IF(L260="P0","canonical","recognized_subtype")))</x:f>
        <x:v>operational</x:v>
      </x:c>
      <x:c r="AD260" s="12" t="str">
        <x:f>IF(AC260="canonical","high",IF(AC260="recognized_subtype","medium",IF(AC260="operational","operational_only","debated")))</x:f>
        <x:v>operational_only</x:v>
      </x:c>
      <x:c r="AE260" s="12" t="str">
        <x:f>IF(AC260="deprecated","deprecated",IF(M260="yes","active",IF(M260="review","review_required","backlog")))</x:f>
        <x:v>backlog</x:v>
      </x:c>
      <x:c r="AF260" s="12" t="str">
        <x:f>IF(OR(AE260="active",AE260="review_required"),"yes","no")</x:f>
        <x:v>no</x:v>
      </x:c>
      <x:c r="AG260" s="12" t="str">
        <x:f>IF(AND(AE260="active",M260="yes",NOT(ISNUMBER(SEARCH("healthy",AB260)))),"yes","no")</x:f>
        <x:v>no</x:v>
      </x:c>
      <x:c r="AH260" s="12" t="str">
        <x:f>IF(OR(H260="contextual",H260="dialogue",H260="discourse",I260="claim+context",I260="discourse_segment"),"yes","no")</x:f>
        <x:v>yes</x:v>
      </x:c>
      <x:c r="AI260" s="12" t="str">
        <x:f>IF(OR(AH260="yes",AD260="debated",AC260="operational"),"yes","no")</x:f>
        <x:v>yes</x:v>
      </x:c>
      <x:c r="AJ260" s="12" t="str">
        <x:f>IF(OR(AH260="yes",AC260="operational",AD260="debated"),"high",IF(AND(AG260="yes",L260="P0"),"medium","low"))</x:f>
        <x:v>high</x:v>
      </x:c>
      <x:c r="AK260" s="12" t="str">
        <x:f>IF(ISNUMBER(SEARCH("healthy",AB260)),"yes","no")</x:f>
        <x:v>no</x:v>
      </x:c>
      <x:c r="AL260" s="12" t="str">
        <x:f>IF(AG260="yes","yes","candidate_only")</x:f>
        <x:v>candidate_only</x:v>
      </x:c>
      <x:c r="AM260" s="12" t="str">
        <x:f>IF(OR(AC260="canonical",AG260="yes"),"yes","recommended")</x:f>
        <x:v>recommended</x:v>
      </x:c>
      <x:c r="AN260" s="12" t="str">
        <x:f>IF(AC260="deprecated","exclude",IF(AND(AG260="yes",AJ260="high"),"import_but_human_review_required",IF(AG260="yes","import_as_active","import_as_backlog")))</x:f>
        <x:v>import_as_backlog</x:v>
      </x:c>
      <x:c r="AO260" s="12" t="str">
        <x:f>IF(AND(AG260="yes",OR(P260="",Q260="",R260="",S260="")),"missing_required_mvp_fields",IF(AND(AC260="canonical",Y260=""),"missing_source_ref","ok"))</x:f>
        <x:v>ok</x:v>
      </x:c>
      <x:c r="AP260" s="12" t="str">
        <x:f>IF(AO260="ok","ready_for_codex_import","needs_review")</x:f>
        <x:v>ready_for_codex_import</x:v>
      </x:c>
      <x:c r="AQ260" s="12"/>
      <x:c r="AR260" s="12" t="str">
        <x:v>Added v2 operational fields. Review before classification activation.</x:v>
      </x:c>
    </x:row>
    <x:row r="261">
      <x:c r="A261" s="13" t="str">
        <x:v>data_dredging_measurement_problem</x:v>
      </x:c>
      <x:c r="B261" s="13" t="str">
        <x:v>data_dredging</x:v>
      </x:c>
      <x:c r="C261" s="13" t="str">
        <x:v>Data dredging</x:v>
      </x:c>
      <x:c r="D261" s="13" t="str">
        <x:v>داده‌کاوی بی‌قاعده</x:v>
      </x:c>
      <x:c r="E261" s="13" t="str">
        <x:v>Measurement-validity variant</x:v>
      </x:c>
      <x:c r="F261" s="13" t="str">
        <x:v>evidence_failures</x:v>
      </x:c>
      <x:c r="G261" s="13" t="str">
        <x:v>operational_variant</x:v>
      </x:c>
      <x:c r="H261" s="13" t="str">
        <x:v>contextual</x:v>
      </x:c>
      <x:c r="I261" s="13" t="str">
        <x:v>claim+context</x:v>
      </x:c>
      <x:c r="J261" s="13" t="str">
        <x:v>derived_operational_subtype</x:v>
      </x:c>
      <x:c r="K261" s="13" t="str">
        <x:v>derived_from_established_parent_review_required</x:v>
      </x:c>
      <x:c r="L261" s="13" t="str">
        <x:v>P3</x:v>
      </x:c>
      <x:c r="M261" s="13" t="str">
        <x:v>no</x:v>
      </x:c>
      <x:c r="N261" s="13" t="str">
        <x:v>Operational subtype under Data dredging: the evidence does not measure the intended construct well. Parent definition: Searching many patterns and presenting selected ones as planned evidence.</x:v>
      </x:c>
      <x:c r="O261" s="13" t="str">
        <x:v>Look for: explicit claim-level evidence; parent-family cues for Data dredging; variant cue: the evidence does not measure the intended construct well; avoid author-level inference.</x:v>
      </x:c>
      <x:c r="P261" s="13" t="str">
        <x:v>Exact evidence span in text plus claim-level reasoning link; for contextual/discourse entries, require surrounding context.</x:v>
      </x:c>
      <x:c r="Q261" s="13" t="str">
        <x:v>Do not label merely because topic is controversial, emotional, or wrong. Do not judge intent or personality. Require textual evidence and consider healthy-reasoning cues.</x:v>
      </x:c>
      <x:c r="R261" s="13" t="str">
        <x:v>Stub: A claim relies on the evidence does not measure the intended construct well to support a conclusion without adequate qualification.</x:v>
      </x:c>
      <x:c r="S261" s="13" t="str">
        <x:v>Stub: A claim discusses data dredging with caveats, balanced evidence, or no argumentative use of the pattern.</x:v>
      </x:c>
      <x:c r="T261" s="13" t="str">
        <x:v>Mild or ambiguous cue; do not classify without clear evidence span.</x:v>
      </x:c>
      <x:c r="U261" s="13" t="str">
        <x:v>Clear claim-level pattern with some argumentative impact.</x:v>
      </x:c>
      <x:c r="V261" s="13" t="str">
        <x:v>Strong pattern central to the conclusion and likely to materially distort reasoning.</x:v>
      </x:c>
      <x:c r="W261" s="13" t="str">
        <x:v>cherry_picking; missing_counterevidence; evidence_grading</x:v>
      </x:c>
      <x:c r="X261" s="13" t="str">
        <x:v>stanovich_dual_process</x:v>
      </x:c>
      <x:c r="Y261" s="13" t="str">
        <x:v>https://global.oup.com/academic/product/rationality-and-the-reflective-mind-9780195341140</x:v>
      </x:c>
      <x:c r="Z261" s="13" t="str">
        <x:v>Review before enabling. This workbook is a living taxonomy scaffold, not a validated scientific benchmark.</x:v>
      </x:c>
      <x:c r="AA261" s="13" t="str">
        <x:v>0.1.0-draft</x:v>
      </x:c>
      <x:c r="AB261" s="12" t="str">
        <x:f>IF(ISNUMBER(SEARCH("healthy",F261)),"healthy_reasoning_patterns",IF(ISNUMBER(SEARCH("statistical",F261)),"statistical_reasoning",IF(ISNUMBER(SEARCH("causal",F261)),"causal_reasoning",IF(ISNUMBER(SEARCH("social",F261)),"social_influence",IF(ISNUMBER(SEARCH("rhetoric",F261)),"rhetoric_discourse",IF(ISNUMBER(SEARCH("behavior",F261)),"behavioural_economics",IF(ISNUMBER(SEARCH("cognitive",F261)),"cognitive_biases",IF(J261="protective_pattern","healthy_reasoning_patterns",IF(L261="P0","core_mvp","extended_fallacies")))))))))</x:f>
        <x:v>extended_fallacies</x:v>
      </x:c>
      <x:c r="AC261" s="12" t="str">
        <x:f>IF(ISNUMBER(SEARCH("operational",J261)),"operational",IF(ISNUMBER(SEARCH("deprecated",J261)),"deprecated",IF(L261="P0","canonical","recognized_subtype")))</x:f>
        <x:v>operational</x:v>
      </x:c>
      <x:c r="AD261" s="12" t="str">
        <x:f>IF(AC261="canonical","high",IF(AC261="recognized_subtype","medium",IF(AC261="operational","operational_only","debated")))</x:f>
        <x:v>operational_only</x:v>
      </x:c>
      <x:c r="AE261" s="12" t="str">
        <x:f>IF(AC261="deprecated","deprecated",IF(M261="yes","active",IF(M261="review","review_required","backlog")))</x:f>
        <x:v>backlog</x:v>
      </x:c>
      <x:c r="AF261" s="12" t="str">
        <x:f>IF(OR(AE261="active",AE261="review_required"),"yes","no")</x:f>
        <x:v>no</x:v>
      </x:c>
      <x:c r="AG261" s="12" t="str">
        <x:f>IF(AND(AE261="active",M261="yes",NOT(ISNUMBER(SEARCH("healthy",AB261)))),"yes","no")</x:f>
        <x:v>no</x:v>
      </x:c>
      <x:c r="AH261" s="12" t="str">
        <x:f>IF(OR(H261="contextual",H261="dialogue",H261="discourse",I261="claim+context",I261="discourse_segment"),"yes","no")</x:f>
        <x:v>yes</x:v>
      </x:c>
      <x:c r="AI261" s="12" t="str">
        <x:f>IF(OR(AH261="yes",AD261="debated",AC261="operational"),"yes","no")</x:f>
        <x:v>yes</x:v>
      </x:c>
      <x:c r="AJ261" s="12" t="str">
        <x:f>IF(OR(AH261="yes",AC261="operational",AD261="debated"),"high",IF(AND(AG261="yes",L261="P0"),"medium","low"))</x:f>
        <x:v>high</x:v>
      </x:c>
      <x:c r="AK261" s="12" t="str">
        <x:f>IF(ISNUMBER(SEARCH("healthy",AB261)),"yes","no")</x:f>
        <x:v>no</x:v>
      </x:c>
      <x:c r="AL261" s="12" t="str">
        <x:f>IF(AG261="yes","yes","candidate_only")</x:f>
        <x:v>candidate_only</x:v>
      </x:c>
      <x:c r="AM261" s="12" t="str">
        <x:f>IF(OR(AC261="canonical",AG261="yes"),"yes","recommended")</x:f>
        <x:v>recommended</x:v>
      </x:c>
      <x:c r="AN261" s="12" t="str">
        <x:f>IF(AC261="deprecated","exclude",IF(AND(AG261="yes",AJ261="high"),"import_but_human_review_required",IF(AG261="yes","import_as_active","import_as_backlog")))</x:f>
        <x:v>import_as_backlog</x:v>
      </x:c>
      <x:c r="AO261" s="12" t="str">
        <x:f>IF(AND(AG261="yes",OR(P261="",Q261="",R261="",S261="")),"missing_required_mvp_fields",IF(AND(AC261="canonical",Y261=""),"missing_source_ref","ok"))</x:f>
        <x:v>ok</x:v>
      </x:c>
      <x:c r="AP261" s="12" t="str">
        <x:f>IF(AO261="ok","ready_for_codex_import","needs_review")</x:f>
        <x:v>ready_for_codex_import</x:v>
      </x:c>
      <x:c r="AQ261" s="12"/>
      <x:c r="AR261" s="12" t="str">
        <x:v>Added v2 operational fields. Review before classification activation.</x:v>
      </x:c>
    </x:row>
    <x:row r="262">
      <x:c r="A262" s="13" t="str">
        <x:v>multiple_comparisons_ignored_measurement_problem</x:v>
      </x:c>
      <x:c r="B262" s="13" t="str">
        <x:v>multiple_comparisons_ignored</x:v>
      </x:c>
      <x:c r="C262" s="13" t="str">
        <x:v>Multiple comparisons ignored</x:v>
      </x:c>
      <x:c r="D262" s="13" t="str">
        <x:v>نادیده‌گرفتن مقایسه‌های متعدد</x:v>
      </x:c>
      <x:c r="E262" s="13" t="str">
        <x:v>Measurement-validity variant</x:v>
      </x:c>
      <x:c r="F262" s="13" t="str">
        <x:v>evidence_failures</x:v>
      </x:c>
      <x:c r="G262" s="13" t="str">
        <x:v>operational_variant</x:v>
      </x:c>
      <x:c r="H262" s="13" t="str">
        <x:v>contextual</x:v>
      </x:c>
      <x:c r="I262" s="13" t="str">
        <x:v>claim+context</x:v>
      </x:c>
      <x:c r="J262" s="13" t="str">
        <x:v>derived_operational_subtype</x:v>
      </x:c>
      <x:c r="K262" s="13" t="str">
        <x:v>derived_from_established_parent_review_required</x:v>
      </x:c>
      <x:c r="L262" s="13" t="str">
        <x:v>P3</x:v>
      </x:c>
      <x:c r="M262" s="13" t="str">
        <x:v>no</x:v>
      </x:c>
      <x:c r="N262" s="13" t="str">
        <x:v>Operational subtype under Multiple comparisons ignored: the evidence does not measure the intended construct well. Parent definition: Drawing a conclusion from many tested comparisons without adjustment or caveat.</x:v>
      </x:c>
      <x:c r="O262" s="13" t="str">
        <x:v>Look for: explicit claim-level evidence; parent-family cues for Multiple comparisons ignored; variant cue: the evidence does not measure the intended construct well; avoid author-level inference.</x:v>
      </x:c>
      <x:c r="P262" s="13" t="str">
        <x:v>Exact evidence span in text plus claim-level reasoning link; for contextual/discourse entries, require surrounding context.</x:v>
      </x:c>
      <x:c r="Q262" s="13" t="str">
        <x:v>Do not label merely because topic is controversial, emotional, or wrong. Do not judge intent or personality. Require textual evidence and consider healthy-reasoning cues.</x:v>
      </x:c>
      <x:c r="R262" s="13" t="str">
        <x:v>Stub: A claim relies on the evidence does not measure the intended construct well to support a conclusion without adequate qualification.</x:v>
      </x:c>
      <x:c r="S262" s="13" t="str">
        <x:v>Stub: A claim discusses multiple comparisons ignored with caveats, balanced evidence, or no argumentative use of the pattern.</x:v>
      </x:c>
      <x:c r="T262" s="13" t="str">
        <x:v>Mild or ambiguous cue; do not classify without clear evidence span.</x:v>
      </x:c>
      <x:c r="U262" s="13" t="str">
        <x:v>Clear claim-level pattern with some argumentative impact.</x:v>
      </x:c>
      <x:c r="V262" s="13" t="str">
        <x:v>Strong pattern central to the conclusion and likely to materially distort reasoning.</x:v>
      </x:c>
      <x:c r="W262" s="13" t="str"/>
      <x:c r="X262" s="13" t="str">
        <x:v>stanovich_dual_process</x:v>
      </x:c>
      <x:c r="Y262" s="13" t="str">
        <x:v>https://global.oup.com/academic/product/rationality-and-the-reflective-mind-9780195341140</x:v>
      </x:c>
      <x:c r="Z262" s="13" t="str">
        <x:v>Review before enabling. This workbook is a living taxonomy scaffold, not a validated scientific benchmark.</x:v>
      </x:c>
      <x:c r="AA262" s="13" t="str">
        <x:v>0.1.0-draft</x:v>
      </x:c>
      <x:c r="AB262" s="12" t="str">
        <x:f>IF(ISNUMBER(SEARCH("healthy",F262)),"healthy_reasoning_patterns",IF(ISNUMBER(SEARCH("statistical",F262)),"statistical_reasoning",IF(ISNUMBER(SEARCH("causal",F262)),"causal_reasoning",IF(ISNUMBER(SEARCH("social",F262)),"social_influence",IF(ISNUMBER(SEARCH("rhetoric",F262)),"rhetoric_discourse",IF(ISNUMBER(SEARCH("behavior",F262)),"behavioural_economics",IF(ISNUMBER(SEARCH("cognitive",F262)),"cognitive_biases",IF(J262="protective_pattern","healthy_reasoning_patterns",IF(L262="P0","core_mvp","extended_fallacies")))))))))</x:f>
        <x:v>extended_fallacies</x:v>
      </x:c>
      <x:c r="AC262" s="12" t="str">
        <x:f>IF(ISNUMBER(SEARCH("operational",J262)),"operational",IF(ISNUMBER(SEARCH("deprecated",J262)),"deprecated",IF(L262="P0","canonical","recognized_subtype")))</x:f>
        <x:v>operational</x:v>
      </x:c>
      <x:c r="AD262" s="12" t="str">
        <x:f>IF(AC262="canonical","high",IF(AC262="recognized_subtype","medium",IF(AC262="operational","operational_only","debated")))</x:f>
        <x:v>operational_only</x:v>
      </x:c>
      <x:c r="AE262" s="12" t="str">
        <x:f>IF(AC262="deprecated","deprecated",IF(M262="yes","active",IF(M262="review","review_required","backlog")))</x:f>
        <x:v>backlog</x:v>
      </x:c>
      <x:c r="AF262" s="12" t="str">
        <x:f>IF(OR(AE262="active",AE262="review_required"),"yes","no")</x:f>
        <x:v>no</x:v>
      </x:c>
      <x:c r="AG262" s="12" t="str">
        <x:f>IF(AND(AE262="active",M262="yes",NOT(ISNUMBER(SEARCH("healthy",AB262)))),"yes","no")</x:f>
        <x:v>no</x:v>
      </x:c>
      <x:c r="AH262" s="12" t="str">
        <x:f>IF(OR(H262="contextual",H262="dialogue",H262="discourse",I262="claim+context",I262="discourse_segment"),"yes","no")</x:f>
        <x:v>yes</x:v>
      </x:c>
      <x:c r="AI262" s="12" t="str">
        <x:f>IF(OR(AH262="yes",AD262="debated",AC262="operational"),"yes","no")</x:f>
        <x:v>yes</x:v>
      </x:c>
      <x:c r="AJ262" s="12" t="str">
        <x:f>IF(OR(AH262="yes",AC262="operational",AD262="debated"),"high",IF(AND(AG262="yes",L262="P0"),"medium","low"))</x:f>
        <x:v>high</x:v>
      </x:c>
      <x:c r="AK262" s="12" t="str">
        <x:f>IF(ISNUMBER(SEARCH("healthy",AB262)),"yes","no")</x:f>
        <x:v>no</x:v>
      </x:c>
      <x:c r="AL262" s="12" t="str">
        <x:f>IF(AG262="yes","yes","candidate_only")</x:f>
        <x:v>candidate_only</x:v>
      </x:c>
      <x:c r="AM262" s="12" t="str">
        <x:f>IF(OR(AC262="canonical",AG262="yes"),"yes","recommended")</x:f>
        <x:v>recommended</x:v>
      </x:c>
      <x:c r="AN262" s="12" t="str">
        <x:f>IF(AC262="deprecated","exclude",IF(AND(AG262="yes",AJ262="high"),"import_but_human_review_required",IF(AG262="yes","import_as_active","import_as_backlog")))</x:f>
        <x:v>import_as_backlog</x:v>
      </x:c>
      <x:c r="AO262" s="12" t="str">
        <x:f>IF(AND(AG262="yes",OR(P262="",Q262="",R262="",S262="")),"missing_required_mvp_fields",IF(AND(AC262="canonical",Y262=""),"missing_source_ref","ok"))</x:f>
        <x:v>ok</x:v>
      </x:c>
      <x:c r="AP262" s="12" t="str">
        <x:f>IF(AO262="ok","ready_for_codex_import","needs_review")</x:f>
        <x:v>ready_for_codex_import</x:v>
      </x:c>
      <x:c r="AQ262" s="12"/>
      <x:c r="AR262" s="12" t="str">
        <x:v>Added v2 operational fields. Review before classification activation.</x:v>
      </x:c>
    </x:row>
    <x:row r="263">
      <x:c r="A263" s="13" t="str">
        <x:v>outlier_overweighting_measurement_problem</x:v>
      </x:c>
      <x:c r="B263" s="13" t="str">
        <x:v>outlier_overweighting</x:v>
      </x:c>
      <x:c r="C263" s="13" t="str">
        <x:v>Outlier overweighting</x:v>
      </x:c>
      <x:c r="D263" s="13" t="str">
        <x:v>وزن‌دهی افراطی به نقاط پرت</x:v>
      </x:c>
      <x:c r="E263" s="13" t="str">
        <x:v>Measurement-validity variant</x:v>
      </x:c>
      <x:c r="F263" s="13" t="str">
        <x:v>evidence_failures</x:v>
      </x:c>
      <x:c r="G263" s="13" t="str">
        <x:v>operational_variant</x:v>
      </x:c>
      <x:c r="H263" s="13" t="str">
        <x:v>contextual</x:v>
      </x:c>
      <x:c r="I263" s="13" t="str">
        <x:v>claim+context</x:v>
      </x:c>
      <x:c r="J263" s="13" t="str">
        <x:v>derived_operational_subtype</x:v>
      </x:c>
      <x:c r="K263" s="13" t="str">
        <x:v>derived_from_established_parent_review_required</x:v>
      </x:c>
      <x:c r="L263" s="13" t="str">
        <x:v>P3</x:v>
      </x:c>
      <x:c r="M263" s="13" t="str">
        <x:v>no</x:v>
      </x:c>
      <x:c r="N263" s="13" t="str">
        <x:v>Operational subtype under Outlier overweighting: the evidence does not measure the intended construct well. Parent definition: Treating exceptional observations as representative without justification.</x:v>
      </x:c>
      <x:c r="O263" s="13" t="str">
        <x:v>Look for: explicit claim-level evidence; parent-family cues for Outlier overweighting; variant cue: the evidence does not measure the intended construct well; avoid author-level inference.</x:v>
      </x:c>
      <x:c r="P263" s="13" t="str">
        <x:v>Exact evidence span in text plus claim-level reasoning link; for contextual/discourse entries, require surrounding context.</x:v>
      </x:c>
      <x:c r="Q263" s="13" t="str">
        <x:v>Do not label merely because topic is controversial, emotional, or wrong. Do not judge intent or personality. Require textual evidence and consider healthy-reasoning cues.</x:v>
      </x:c>
      <x:c r="R263" s="13" t="str">
        <x:v>Stub: A claim relies on the evidence does not measure the intended construct well to support a conclusion without adequate qualification.</x:v>
      </x:c>
      <x:c r="S263" s="13" t="str">
        <x:v>Stub: A claim discusses outlier overweighting with caveats, balanced evidence, or no argumentative use of the pattern.</x:v>
      </x:c>
      <x:c r="T263" s="13" t="str">
        <x:v>Mild or ambiguous cue; do not classify without clear evidence span.</x:v>
      </x:c>
      <x:c r="U263" s="13" t="str">
        <x:v>Clear claim-level pattern with some argumentative impact.</x:v>
      </x:c>
      <x:c r="V263" s="13" t="str">
        <x:v>Strong pattern central to the conclusion and likely to materially distort reasoning.</x:v>
      </x:c>
      <x:c r="W263" s="13" t="str"/>
      <x:c r="X263" s="13" t="str">
        <x:v>gilovich_heuristics_biases</x:v>
      </x:c>
      <x:c r="Y263" s="13" t="str">
        <x:v>https://www.cambridge.org/core/books/heuristics-and-biases/3C30D3B05D2F190C3B8BE5E2531EFD24</x:v>
      </x:c>
      <x:c r="Z263" s="13" t="str">
        <x:v>Review before enabling. This workbook is a living taxonomy scaffold, not a validated scientific benchmark.</x:v>
      </x:c>
      <x:c r="AA263" s="13" t="str">
        <x:v>0.1.0-draft</x:v>
      </x:c>
      <x:c r="AB263" s="12" t="str">
        <x:f>IF(ISNUMBER(SEARCH("healthy",F263)),"healthy_reasoning_patterns",IF(ISNUMBER(SEARCH("statistical",F263)),"statistical_reasoning",IF(ISNUMBER(SEARCH("causal",F263)),"causal_reasoning",IF(ISNUMBER(SEARCH("social",F263)),"social_influence",IF(ISNUMBER(SEARCH("rhetoric",F263)),"rhetoric_discourse",IF(ISNUMBER(SEARCH("behavior",F263)),"behavioural_economics",IF(ISNUMBER(SEARCH("cognitive",F263)),"cognitive_biases",IF(J263="protective_pattern","healthy_reasoning_patterns",IF(L263="P0","core_mvp","extended_fallacies")))))))))</x:f>
        <x:v>extended_fallacies</x:v>
      </x:c>
      <x:c r="AC263" s="12" t="str">
        <x:f>IF(ISNUMBER(SEARCH("operational",J263)),"operational",IF(ISNUMBER(SEARCH("deprecated",J263)),"deprecated",IF(L263="P0","canonical","recognized_subtype")))</x:f>
        <x:v>operational</x:v>
      </x:c>
      <x:c r="AD263" s="12" t="str">
        <x:f>IF(AC263="canonical","high",IF(AC263="recognized_subtype","medium",IF(AC263="operational","operational_only","debated")))</x:f>
        <x:v>operational_only</x:v>
      </x:c>
      <x:c r="AE263" s="12" t="str">
        <x:f>IF(AC263="deprecated","deprecated",IF(M263="yes","active",IF(M263="review","review_required","backlog")))</x:f>
        <x:v>backlog</x:v>
      </x:c>
      <x:c r="AF263" s="12" t="str">
        <x:f>IF(OR(AE263="active",AE263="review_required"),"yes","no")</x:f>
        <x:v>no</x:v>
      </x:c>
      <x:c r="AG263" s="12" t="str">
        <x:f>IF(AND(AE263="active",M263="yes",NOT(ISNUMBER(SEARCH("healthy",AB263)))),"yes","no")</x:f>
        <x:v>no</x:v>
      </x:c>
      <x:c r="AH263" s="12" t="str">
        <x:f>IF(OR(H263="contextual",H263="dialogue",H263="discourse",I263="claim+context",I263="discourse_segment"),"yes","no")</x:f>
        <x:v>yes</x:v>
      </x:c>
      <x:c r="AI263" s="12" t="str">
        <x:f>IF(OR(AH263="yes",AD263="debated",AC263="operational"),"yes","no")</x:f>
        <x:v>yes</x:v>
      </x:c>
      <x:c r="AJ263" s="12" t="str">
        <x:f>IF(OR(AH263="yes",AC263="operational",AD263="debated"),"high",IF(AND(AG263="yes",L263="P0"),"medium","low"))</x:f>
        <x:v>high</x:v>
      </x:c>
      <x:c r="AK263" s="12" t="str">
        <x:f>IF(ISNUMBER(SEARCH("healthy",AB263)),"yes","no")</x:f>
        <x:v>no</x:v>
      </x:c>
      <x:c r="AL263" s="12" t="str">
        <x:f>IF(AG263="yes","yes","candidate_only")</x:f>
        <x:v>candidate_only</x:v>
      </x:c>
      <x:c r="AM263" s="12" t="str">
        <x:f>IF(OR(AC263="canonical",AG263="yes"),"yes","recommended")</x:f>
        <x:v>recommended</x:v>
      </x:c>
      <x:c r="AN263" s="12" t="str">
        <x:f>IF(AC263="deprecated","exclude",IF(AND(AG263="yes",AJ263="high"),"import_but_human_review_required",IF(AG263="yes","import_as_active","import_as_backlog")))</x:f>
        <x:v>import_as_backlog</x:v>
      </x:c>
      <x:c r="AO263" s="12" t="str">
        <x:f>IF(AND(AG263="yes",OR(P263="",Q263="",R263="",S263="")),"missing_required_mvp_fields",IF(AND(AC263="canonical",Y263=""),"missing_source_ref","ok"))</x:f>
        <x:v>ok</x:v>
      </x:c>
      <x:c r="AP263" s="12" t="str">
        <x:f>IF(AO263="ok","ready_for_codex_import","needs_review")</x:f>
        <x:v>ready_for_codex_import</x:v>
      </x:c>
      <x:c r="AQ263" s="12"/>
      <x:c r="AR263" s="12" t="str">
        <x:v>Added v2 operational fields. Review before classification activation.</x:v>
      </x:c>
    </x:row>
    <x:row r="264">
      <x:c r="A264" s="13" t="str">
        <x:v>availability_of_evidence_bias_measurement_problem</x:v>
      </x:c>
      <x:c r="B264" s="13" t="str">
        <x:v>availability_of_evidence_bias</x:v>
      </x:c>
      <x:c r="C264" s="13" t="str">
        <x:v>Availability of evidence bias</x:v>
      </x:c>
      <x:c r="D264" s="13" t="str">
        <x:v>دسترسی‌پذیری شواهد</x:v>
      </x:c>
      <x:c r="E264" s="13" t="str">
        <x:v>Measurement-validity variant</x:v>
      </x:c>
      <x:c r="F264" s="13" t="str">
        <x:v>evidence_failures</x:v>
      </x:c>
      <x:c r="G264" s="13" t="str">
        <x:v>operational_variant</x:v>
      </x:c>
      <x:c r="H264" s="13" t="str">
        <x:v>contextual</x:v>
      </x:c>
      <x:c r="I264" s="13" t="str">
        <x:v>claim+context</x:v>
      </x:c>
      <x:c r="J264" s="13" t="str">
        <x:v>derived_operational_subtype</x:v>
      </x:c>
      <x:c r="K264" s="13" t="str">
        <x:v>derived_from_established_parent_review_required</x:v>
      </x:c>
      <x:c r="L264" s="13" t="str">
        <x:v>P3</x:v>
      </x:c>
      <x:c r="M264" s="13" t="str">
        <x:v>no</x:v>
      </x:c>
      <x:c r="N264" s="13" t="str">
        <x:v>Operational subtype under Availability of evidence bias: the evidence does not measure the intended construct well. Parent definition: Treating easy-to-find evidence as if it were complete evidence.</x:v>
      </x:c>
      <x:c r="O264" s="13" t="str">
        <x:v>Look for: explicit claim-level evidence; parent-family cues for Availability of evidence bias; variant cue: the evidence does not measure the intended construct well; avoid author-level inference.</x:v>
      </x:c>
      <x:c r="P264" s="13" t="str">
        <x:v>Exact evidence span in text plus claim-level reasoning link; for contextual/discourse entries, require surrounding context.</x:v>
      </x:c>
      <x:c r="Q264" s="13" t="str">
        <x:v>Do not label merely because topic is controversial, emotional, or wrong. Do not judge intent or personality. Require textual evidence and consider healthy-reasoning cues.</x:v>
      </x:c>
      <x:c r="R264" s="13" t="str">
        <x:v>Stub: A claim relies on the evidence does not measure the intended construct well to support a conclusion without adequate qualification.</x:v>
      </x:c>
      <x:c r="S264" s="13" t="str">
        <x:v>Stub: A claim discusses availability of evidence bias with caveats, balanced evidence, or no argumentative use of the pattern.</x:v>
      </x:c>
      <x:c r="T264" s="13" t="str">
        <x:v>Mild or ambiguous cue; do not classify without clear evidence span.</x:v>
      </x:c>
      <x:c r="U264" s="13" t="str">
        <x:v>Clear claim-level pattern with some argumentative impact.</x:v>
      </x:c>
      <x:c r="V264" s="13" t="str">
        <x:v>Strong pattern central to the conclusion and likely to materially distort reasoning.</x:v>
      </x:c>
      <x:c r="W264" s="13" t="str">
        <x:v>cherry_picking; missing_counterevidence; evidence_grading</x:v>
      </x:c>
      <x:c r="X264" s="13" t="str">
        <x:v>gilovich_heuristics_biases</x:v>
      </x:c>
      <x:c r="Y264" s="13" t="str">
        <x:v>https://www.cambridge.org/core/books/heuristics-and-biases/3C30D3B05D2F190C3B8BE5E2531EFD24</x:v>
      </x:c>
      <x:c r="Z264" s="13" t="str">
        <x:v>Review before enabling. This workbook is a living taxonomy scaffold, not a validated scientific benchmark.</x:v>
      </x:c>
      <x:c r="AA264" s="13" t="str">
        <x:v>0.1.0-draft</x:v>
      </x:c>
      <x:c r="AB264" s="12" t="str">
        <x:f>IF(ISNUMBER(SEARCH("healthy",F264)),"healthy_reasoning_patterns",IF(ISNUMBER(SEARCH("statistical",F264)),"statistical_reasoning",IF(ISNUMBER(SEARCH("causal",F264)),"causal_reasoning",IF(ISNUMBER(SEARCH("social",F264)),"social_influence",IF(ISNUMBER(SEARCH("rhetoric",F264)),"rhetoric_discourse",IF(ISNUMBER(SEARCH("behavior",F264)),"behavioural_economics",IF(ISNUMBER(SEARCH("cognitive",F264)),"cognitive_biases",IF(J264="protective_pattern","healthy_reasoning_patterns",IF(L264="P0","core_mvp","extended_fallacies")))))))))</x:f>
        <x:v>extended_fallacies</x:v>
      </x:c>
      <x:c r="AC264" s="12" t="str">
        <x:f>IF(ISNUMBER(SEARCH("operational",J264)),"operational",IF(ISNUMBER(SEARCH("deprecated",J264)),"deprecated",IF(L264="P0","canonical","recognized_subtype")))</x:f>
        <x:v>operational</x:v>
      </x:c>
      <x:c r="AD264" s="12" t="str">
        <x:f>IF(AC264="canonical","high",IF(AC264="recognized_subtype","medium",IF(AC264="operational","operational_only","debated")))</x:f>
        <x:v>operational_only</x:v>
      </x:c>
      <x:c r="AE264" s="12" t="str">
        <x:f>IF(AC264="deprecated","deprecated",IF(M264="yes","active",IF(M264="review","review_required","backlog")))</x:f>
        <x:v>backlog</x:v>
      </x:c>
      <x:c r="AF264" s="12" t="str">
        <x:f>IF(OR(AE264="active",AE264="review_required"),"yes","no")</x:f>
        <x:v>no</x:v>
      </x:c>
      <x:c r="AG264" s="12" t="str">
        <x:f>IF(AND(AE264="active",M264="yes",NOT(ISNUMBER(SEARCH("healthy",AB264)))),"yes","no")</x:f>
        <x:v>no</x:v>
      </x:c>
      <x:c r="AH264" s="12" t="str">
        <x:f>IF(OR(H264="contextual",H264="dialogue",H264="discourse",I264="claim+context",I264="discourse_segment"),"yes","no")</x:f>
        <x:v>yes</x:v>
      </x:c>
      <x:c r="AI264" s="12" t="str">
        <x:f>IF(OR(AH264="yes",AD264="debated",AC264="operational"),"yes","no")</x:f>
        <x:v>yes</x:v>
      </x:c>
      <x:c r="AJ264" s="12" t="str">
        <x:f>IF(OR(AH264="yes",AC264="operational",AD264="debated"),"high",IF(AND(AG264="yes",L264="P0"),"medium","low"))</x:f>
        <x:v>high</x:v>
      </x:c>
      <x:c r="AK264" s="12" t="str">
        <x:f>IF(ISNUMBER(SEARCH("healthy",AB264)),"yes","no")</x:f>
        <x:v>no</x:v>
      </x:c>
      <x:c r="AL264" s="12" t="str">
        <x:f>IF(AG264="yes","yes","candidate_only")</x:f>
        <x:v>candidate_only</x:v>
      </x:c>
      <x:c r="AM264" s="12" t="str">
        <x:f>IF(OR(AC264="canonical",AG264="yes"),"yes","recommended")</x:f>
        <x:v>recommended</x:v>
      </x:c>
      <x:c r="AN264" s="12" t="str">
        <x:f>IF(AC264="deprecated","exclude",IF(AND(AG264="yes",AJ264="high"),"import_but_human_review_required",IF(AG264="yes","import_as_active","import_as_backlog")))</x:f>
        <x:v>import_as_backlog</x:v>
      </x:c>
      <x:c r="AO264" s="12" t="str">
        <x:f>IF(AND(AG264="yes",OR(P264="",Q264="",R264="",S264="")),"missing_required_mvp_fields",IF(AND(AC264="canonical",Y264=""),"missing_source_ref","ok"))</x:f>
        <x:v>ok</x:v>
      </x:c>
      <x:c r="AP264" s="12" t="str">
        <x:f>IF(AO264="ok","ready_for_codex_import","needs_review")</x:f>
        <x:v>ready_for_codex_import</x:v>
      </x:c>
      <x:c r="AQ264" s="12"/>
      <x:c r="AR264" s="12" t="str">
        <x:v>Added v2 operational fields. Review before classification activation.</x:v>
      </x:c>
    </x:row>
    <x:row r="265">
      <x:c r="A265" s="13" t="str">
        <x:v>citation_without_relevance_measurement_problem</x:v>
      </x:c>
      <x:c r="B265" s="13" t="str">
        <x:v>citation_without_relevance</x:v>
      </x:c>
      <x:c r="C265" s="13" t="str">
        <x:v>Citation without relevance</x:v>
      </x:c>
      <x:c r="D265" s="13" t="str">
        <x:v>ارجاع نامرتبط</x:v>
      </x:c>
      <x:c r="E265" s="13" t="str">
        <x:v>Measurement-validity variant</x:v>
      </x:c>
      <x:c r="F265" s="13" t="str">
        <x:v>evidence_failures</x:v>
      </x:c>
      <x:c r="G265" s="13" t="str">
        <x:v>operational_variant</x:v>
      </x:c>
      <x:c r="H265" s="13" t="str">
        <x:v>contextual</x:v>
      </x:c>
      <x:c r="I265" s="13" t="str">
        <x:v>claim+context</x:v>
      </x:c>
      <x:c r="J265" s="13" t="str">
        <x:v>derived_operational_subtype</x:v>
      </x:c>
      <x:c r="K265" s="13" t="str">
        <x:v>derived_from_established_parent_review_required</x:v>
      </x:c>
      <x:c r="L265" s="13" t="str">
        <x:v>P3</x:v>
      </x:c>
      <x:c r="M265" s="13" t="str">
        <x:v>no</x:v>
      </x:c>
      <x:c r="N265" s="13" t="str">
        <x:v>Operational subtype under Citation without relevance: the evidence does not measure the intended construct well. Parent definition: Citing a source that does not support the specific claim made.</x:v>
      </x:c>
      <x:c r="O265" s="13" t="str">
        <x:v>Look for: explicit claim-level evidence; parent-family cues for Citation without relevance; variant cue: the evidence does not measure the intended construct well; avoid author-level inference.</x:v>
      </x:c>
      <x:c r="P265" s="13" t="str">
        <x:v>Exact evidence span in text plus claim-level reasoning link; for contextual/discourse entries, require surrounding context.</x:v>
      </x:c>
      <x:c r="Q265" s="13" t="str">
        <x:v>Do not label merely because topic is controversial, emotional, or wrong. Do not judge intent or personality. Require textual evidence and consider healthy-reasoning cues.</x:v>
      </x:c>
      <x:c r="R265" s="13" t="str">
        <x:v>Stub: A claim relies on the evidence does not measure the intended construct well to support a conclusion without adequate qualification.</x:v>
      </x:c>
      <x:c r="S265" s="13" t="str">
        <x:v>Stub: A claim discusses citation without relevance with caveats, balanced evidence, or no argumentative use of the pattern.</x:v>
      </x:c>
      <x:c r="T265" s="13" t="str">
        <x:v>Mild or ambiguous cue; do not classify without clear evidence span.</x:v>
      </x:c>
      <x:c r="U265" s="13" t="str">
        <x:v>Clear claim-level pattern with some argumentative impact.</x:v>
      </x:c>
      <x:c r="V265" s="13" t="str">
        <x:v>Strong pattern central to the conclusion and likely to materially distort reasoning.</x:v>
      </x:c>
      <x:c r="W265" s="13" t="str"/>
      <x:c r="X265" s="13" t="str">
        <x:v>toulmin_uses_argument</x:v>
      </x:c>
      <x:c r="Y265" s="13" t="str">
        <x:v>https://doi.org/10.1017/CBO9780511840005</x:v>
      </x:c>
      <x:c r="Z265" s="13" t="str">
        <x:v>Review before enabling. This workbook is a living taxonomy scaffold, not a validated scientific benchmark.</x:v>
      </x:c>
      <x:c r="AA265" s="13" t="str">
        <x:v>0.1.0-draft</x:v>
      </x:c>
      <x:c r="AB265" s="12" t="str">
        <x:f>IF(ISNUMBER(SEARCH("healthy",F265)),"healthy_reasoning_patterns",IF(ISNUMBER(SEARCH("statistical",F265)),"statistical_reasoning",IF(ISNUMBER(SEARCH("causal",F265)),"causal_reasoning",IF(ISNUMBER(SEARCH("social",F265)),"social_influence",IF(ISNUMBER(SEARCH("rhetoric",F265)),"rhetoric_discourse",IF(ISNUMBER(SEARCH("behavior",F265)),"behavioural_economics",IF(ISNUMBER(SEARCH("cognitive",F265)),"cognitive_biases",IF(J265="protective_pattern","healthy_reasoning_patterns",IF(L265="P0","core_mvp","extended_fallacies")))))))))</x:f>
        <x:v>extended_fallacies</x:v>
      </x:c>
      <x:c r="AC265" s="12" t="str">
        <x:f>IF(ISNUMBER(SEARCH("operational",J265)),"operational",IF(ISNUMBER(SEARCH("deprecated",J265)),"deprecated",IF(L265="P0","canonical","recognized_subtype")))</x:f>
        <x:v>operational</x:v>
      </x:c>
      <x:c r="AD265" s="12" t="str">
        <x:f>IF(AC265="canonical","high",IF(AC265="recognized_subtype","medium",IF(AC265="operational","operational_only","debated")))</x:f>
        <x:v>operational_only</x:v>
      </x:c>
      <x:c r="AE265" s="12" t="str">
        <x:f>IF(AC265="deprecated","deprecated",IF(M265="yes","active",IF(M265="review","review_required","backlog")))</x:f>
        <x:v>backlog</x:v>
      </x:c>
      <x:c r="AF265" s="12" t="str">
        <x:f>IF(OR(AE265="active",AE265="review_required"),"yes","no")</x:f>
        <x:v>no</x:v>
      </x:c>
      <x:c r="AG265" s="12" t="str">
        <x:f>IF(AND(AE265="active",M265="yes",NOT(ISNUMBER(SEARCH("healthy",AB265)))),"yes","no")</x:f>
        <x:v>no</x:v>
      </x:c>
      <x:c r="AH265" s="12" t="str">
        <x:f>IF(OR(H265="contextual",H265="dialogue",H265="discourse",I265="claim+context",I265="discourse_segment"),"yes","no")</x:f>
        <x:v>yes</x:v>
      </x:c>
      <x:c r="AI265" s="12" t="str">
        <x:f>IF(OR(AH265="yes",AD265="debated",AC265="operational"),"yes","no")</x:f>
        <x:v>yes</x:v>
      </x:c>
      <x:c r="AJ265" s="12" t="str">
        <x:f>IF(OR(AH265="yes",AC265="operational",AD265="debated"),"high",IF(AND(AG265="yes",L265="P0"),"medium","low"))</x:f>
        <x:v>high</x:v>
      </x:c>
      <x:c r="AK265" s="12" t="str">
        <x:f>IF(ISNUMBER(SEARCH("healthy",AB265)),"yes","no")</x:f>
        <x:v>no</x:v>
      </x:c>
      <x:c r="AL265" s="12" t="str">
        <x:f>IF(AG265="yes","yes","candidate_only")</x:f>
        <x:v>candidate_only</x:v>
      </x:c>
      <x:c r="AM265" s="12" t="str">
        <x:f>IF(OR(AC265="canonical",AG265="yes"),"yes","recommended")</x:f>
        <x:v>recommended</x:v>
      </x:c>
      <x:c r="AN265" s="12" t="str">
        <x:f>IF(AC265="deprecated","exclude",IF(AND(AG265="yes",AJ265="high"),"import_but_human_review_required",IF(AG265="yes","import_as_active","import_as_backlog")))</x:f>
        <x:v>import_as_backlog</x:v>
      </x:c>
      <x:c r="AO265" s="12" t="str">
        <x:f>IF(AND(AG265="yes",OR(P265="",Q265="",R265="",S265="")),"missing_required_mvp_fields",IF(AND(AC265="canonical",Y265=""),"missing_source_ref","ok"))</x:f>
        <x:v>ok</x:v>
      </x:c>
      <x:c r="AP265" s="12" t="str">
        <x:f>IF(AO265="ok","ready_for_codex_import","needs_review")</x:f>
        <x:v>ready_for_codex_import</x:v>
      </x:c>
      <x:c r="AQ265" s="12"/>
      <x:c r="AR265" s="12" t="str">
        <x:v>Added v2 operational fields. Review before classification activation.</x:v>
      </x:c>
    </x:row>
    <x:row r="266">
      <x:c r="A266" s="13" t="str">
        <x:v>quote_mining_evidence_measurement_problem</x:v>
      </x:c>
      <x:c r="B266" s="13" t="str">
        <x:v>quote_mining_evidence</x:v>
      </x:c>
      <x:c r="C266" s="13" t="str">
        <x:v>Quote mining as evidence failure</x:v>
      </x:c>
      <x:c r="D266" s="13" t="str">
        <x:v>نقل‌قول گزینشی</x:v>
      </x:c>
      <x:c r="E266" s="13" t="str">
        <x:v>Measurement-validity variant</x:v>
      </x:c>
      <x:c r="F266" s="13" t="str">
        <x:v>evidence_failures</x:v>
      </x:c>
      <x:c r="G266" s="13" t="str">
        <x:v>operational_variant</x:v>
      </x:c>
      <x:c r="H266" s="13" t="str">
        <x:v>contextual</x:v>
      </x:c>
      <x:c r="I266" s="13" t="str">
        <x:v>claim+context</x:v>
      </x:c>
      <x:c r="J266" s="13" t="str">
        <x:v>derived_operational_subtype</x:v>
      </x:c>
      <x:c r="K266" s="13" t="str">
        <x:v>derived_from_established_parent_review_required</x:v>
      </x:c>
      <x:c r="L266" s="13" t="str">
        <x:v>P3</x:v>
      </x:c>
      <x:c r="M266" s="13" t="str">
        <x:v>no</x:v>
      </x:c>
      <x:c r="N266" s="13" t="str">
        <x:v>Operational subtype under Quote mining as evidence failure: the evidence does not measure the intended construct well. Parent definition: Extracting a quote in a way that changes its evidential meaning.</x:v>
      </x:c>
      <x:c r="O266" s="13" t="str">
        <x:v>Look for: explicit claim-level evidence; parent-family cues for Quote mining as evidence failure; variant cue: the evidence does not measure the intended construct well; avoid author-level inference.</x:v>
      </x:c>
      <x:c r="P266" s="13" t="str">
        <x:v>Exact evidence span in text plus claim-level reasoning link; for contextual/discourse entries, require surrounding context.</x:v>
      </x:c>
      <x:c r="Q266" s="13" t="str">
        <x:v>Do not label merely because topic is controversial, emotional, or wrong. Do not judge intent or personality. Require textual evidence and consider healthy-reasoning cues.</x:v>
      </x:c>
      <x:c r="R266" s="13" t="str">
        <x:v>Stub: A claim relies on the evidence does not measure the intended construct well to support a conclusion without adequate qualification.</x:v>
      </x:c>
      <x:c r="S266" s="13" t="str">
        <x:v>Stub: A claim discusses quote mining as evidence failure with caveats, balanced evidence, or no argumentative use of the pattern.</x:v>
      </x:c>
      <x:c r="T266" s="13" t="str">
        <x:v>Mild or ambiguous cue; do not classify without clear evidence span.</x:v>
      </x:c>
      <x:c r="U266" s="13" t="str">
        <x:v>Clear claim-level pattern with some argumentative impact.</x:v>
      </x:c>
      <x:c r="V266" s="13" t="str">
        <x:v>Strong pattern central to the conclusion and likely to materially distort reasoning.</x:v>
      </x:c>
      <x:c r="W266" s="13" t="str"/>
      <x:c r="X266" s="13" t="str">
        <x:v>sep_informal_logic</x:v>
      </x:c>
      <x:c r="Y266" s="13" t="str">
        <x:v>https://plato.stanford.edu/entries/logic-informal/</x:v>
      </x:c>
      <x:c r="Z266" s="13" t="str">
        <x:v>Review before enabling. This workbook is a living taxonomy scaffold, not a validated scientific benchmark.</x:v>
      </x:c>
      <x:c r="AA266" s="13" t="str">
        <x:v>0.1.0-draft</x:v>
      </x:c>
      <x:c r="AB266" s="12" t="str">
        <x:f>IF(ISNUMBER(SEARCH("healthy",F266)),"healthy_reasoning_patterns",IF(ISNUMBER(SEARCH("statistical",F266)),"statistical_reasoning",IF(ISNUMBER(SEARCH("causal",F266)),"causal_reasoning",IF(ISNUMBER(SEARCH("social",F266)),"social_influence",IF(ISNUMBER(SEARCH("rhetoric",F266)),"rhetoric_discourse",IF(ISNUMBER(SEARCH("behavior",F266)),"behavioural_economics",IF(ISNUMBER(SEARCH("cognitive",F266)),"cognitive_biases",IF(J266="protective_pattern","healthy_reasoning_patterns",IF(L266="P0","core_mvp","extended_fallacies")))))))))</x:f>
        <x:v>extended_fallacies</x:v>
      </x:c>
      <x:c r="AC266" s="12" t="str">
        <x:f>IF(ISNUMBER(SEARCH("operational",J266)),"operational",IF(ISNUMBER(SEARCH("deprecated",J266)),"deprecated",IF(L266="P0","canonical","recognized_subtype")))</x:f>
        <x:v>operational</x:v>
      </x:c>
      <x:c r="AD266" s="12" t="str">
        <x:f>IF(AC266="canonical","high",IF(AC266="recognized_subtype","medium",IF(AC266="operational","operational_only","debated")))</x:f>
        <x:v>operational_only</x:v>
      </x:c>
      <x:c r="AE266" s="12" t="str">
        <x:f>IF(AC266="deprecated","deprecated",IF(M266="yes","active",IF(M266="review","review_required","backlog")))</x:f>
        <x:v>backlog</x:v>
      </x:c>
      <x:c r="AF266" s="12" t="str">
        <x:f>IF(OR(AE266="active",AE266="review_required"),"yes","no")</x:f>
        <x:v>no</x:v>
      </x:c>
      <x:c r="AG266" s="12" t="str">
        <x:f>IF(AND(AE266="active",M266="yes",NOT(ISNUMBER(SEARCH("healthy",AB266)))),"yes","no")</x:f>
        <x:v>no</x:v>
      </x:c>
      <x:c r="AH266" s="12" t="str">
        <x:f>IF(OR(H266="contextual",H266="dialogue",H266="discourse",I266="claim+context",I266="discourse_segment"),"yes","no")</x:f>
        <x:v>yes</x:v>
      </x:c>
      <x:c r="AI266" s="12" t="str">
        <x:f>IF(OR(AH266="yes",AD266="debated",AC266="operational"),"yes","no")</x:f>
        <x:v>yes</x:v>
      </x:c>
      <x:c r="AJ266" s="12" t="str">
        <x:f>IF(OR(AH266="yes",AC266="operational",AD266="debated"),"high",IF(AND(AG266="yes",L266="P0"),"medium","low"))</x:f>
        <x:v>high</x:v>
      </x:c>
      <x:c r="AK266" s="12" t="str">
        <x:f>IF(ISNUMBER(SEARCH("healthy",AB266)),"yes","no")</x:f>
        <x:v>no</x:v>
      </x:c>
      <x:c r="AL266" s="12" t="str">
        <x:f>IF(AG266="yes","yes","candidate_only")</x:f>
        <x:v>candidate_only</x:v>
      </x:c>
      <x:c r="AM266" s="12" t="str">
        <x:f>IF(OR(AC266="canonical",AG266="yes"),"yes","recommended")</x:f>
        <x:v>recommended</x:v>
      </x:c>
      <x:c r="AN266" s="12" t="str">
        <x:f>IF(AC266="deprecated","exclude",IF(AND(AG266="yes",AJ266="high"),"import_but_human_review_required",IF(AG266="yes","import_as_active","import_as_backlog")))</x:f>
        <x:v>import_as_backlog</x:v>
      </x:c>
      <x:c r="AO266" s="12" t="str">
        <x:f>IF(AND(AG266="yes",OR(P266="",Q266="",R266="",S266="")),"missing_required_mvp_fields",IF(AND(AC266="canonical",Y266=""),"missing_source_ref","ok"))</x:f>
        <x:v>ok</x:v>
      </x:c>
      <x:c r="AP266" s="12" t="str">
        <x:f>IF(AO266="ok","ready_for_codex_import","needs_review")</x:f>
        <x:v>ready_for_codex_import</x:v>
      </x:c>
      <x:c r="AQ266" s="12"/>
      <x:c r="AR266" s="12" t="str">
        <x:v>Added v2 operational fields. Review before classification activation.</x:v>
      </x:c>
    </x:row>
    <x:row r="267">
      <x:c r="A267" s="13" t="str">
        <x:v>evidence_quality_mismatch_measurement_problem</x:v>
      </x:c>
      <x:c r="B267" s="13" t="str">
        <x:v>evidence_quality_mismatch</x:v>
      </x:c>
      <x:c r="C267" s="13" t="str">
        <x:v>Evidence-quality mismatch</x:v>
      </x:c>
      <x:c r="D267" s="13" t="str">
        <x:v>ناسازگاری کیفیت شواهد و نتیجه</x:v>
      </x:c>
      <x:c r="E267" s="13" t="str">
        <x:v>Measurement-validity variant</x:v>
      </x:c>
      <x:c r="F267" s="13" t="str">
        <x:v>evidence_failures</x:v>
      </x:c>
      <x:c r="G267" s="13" t="str">
        <x:v>operational_variant</x:v>
      </x:c>
      <x:c r="H267" s="13" t="str">
        <x:v>contextual</x:v>
      </x:c>
      <x:c r="I267" s="13" t="str">
        <x:v>claim+context</x:v>
      </x:c>
      <x:c r="J267" s="13" t="str">
        <x:v>derived_operational_subtype</x:v>
      </x:c>
      <x:c r="K267" s="13" t="str">
        <x:v>derived_from_established_parent_review_required</x:v>
      </x:c>
      <x:c r="L267" s="13" t="str">
        <x:v>P3</x:v>
      </x:c>
      <x:c r="M267" s="13" t="str">
        <x:v>no</x:v>
      </x:c>
      <x:c r="N267" s="13" t="str">
        <x:v>Operational subtype under Evidence-quality mismatch: the evidence does not measure the intended construct well. Parent definition: Drawing high-strength conclusions from low-strength evidence.</x:v>
      </x:c>
      <x:c r="O267" s="13" t="str">
        <x:v>Look for: explicit claim-level evidence; parent-family cues for Evidence-quality mismatch; variant cue: the evidence does not measure the intended construct well; avoid author-level inference.</x:v>
      </x:c>
      <x:c r="P267" s="13" t="str">
        <x:v>Exact evidence span in text plus claim-level reasoning link; for contextual/discourse entries, require surrounding context.</x:v>
      </x:c>
      <x:c r="Q267" s="13" t="str">
        <x:v>Do not label merely because topic is controversial, emotional, or wrong. Do not judge intent or personality. Require textual evidence and consider healthy-reasoning cues.</x:v>
      </x:c>
      <x:c r="R267" s="13" t="str">
        <x:v>Stub: A claim relies on the evidence does not measure the intended construct well to support a conclusion without adequate qualification.</x:v>
      </x:c>
      <x:c r="S267" s="13" t="str">
        <x:v>Stub: A claim discusses evidence-quality mismatch with caveats, balanced evidence, or no argumentative use of the pattern.</x:v>
      </x:c>
      <x:c r="T267" s="13" t="str">
        <x:v>Mild or ambiguous cue; do not classify without clear evidence span.</x:v>
      </x:c>
      <x:c r="U267" s="13" t="str">
        <x:v>Clear claim-level pattern with some argumentative impact.</x:v>
      </x:c>
      <x:c r="V267" s="13" t="str">
        <x:v>Strong pattern central to the conclusion and likely to materially distort reasoning.</x:v>
      </x:c>
      <x:c r="W267" s="13" t="str">
        <x:v>cherry_picking; missing_counterevidence; evidence_grading</x:v>
      </x:c>
      <x:c r="X267" s="13" t="str">
        <x:v>toulmin_uses_argument</x:v>
      </x:c>
      <x:c r="Y267" s="13" t="str">
        <x:v>https://doi.org/10.1017/CBO9780511840005</x:v>
      </x:c>
      <x:c r="Z267" s="13" t="str">
        <x:v>Review before enabling. This workbook is a living taxonomy scaffold, not a validated scientific benchmark.</x:v>
      </x:c>
      <x:c r="AA267" s="13" t="str">
        <x:v>0.1.0-draft</x:v>
      </x:c>
      <x:c r="AB267" s="12" t="str">
        <x:f>IF(ISNUMBER(SEARCH("healthy",F267)),"healthy_reasoning_patterns",IF(ISNUMBER(SEARCH("statistical",F267)),"statistical_reasoning",IF(ISNUMBER(SEARCH("causal",F267)),"causal_reasoning",IF(ISNUMBER(SEARCH("social",F267)),"social_influence",IF(ISNUMBER(SEARCH("rhetoric",F267)),"rhetoric_discourse",IF(ISNUMBER(SEARCH("behavior",F267)),"behavioural_economics",IF(ISNUMBER(SEARCH("cognitive",F267)),"cognitive_biases",IF(J267="protective_pattern","healthy_reasoning_patterns",IF(L267="P0","core_mvp","extended_fallacies")))))))))</x:f>
        <x:v>extended_fallacies</x:v>
      </x:c>
      <x:c r="AC267" s="12" t="str">
        <x:f>IF(ISNUMBER(SEARCH("operational",J267)),"operational",IF(ISNUMBER(SEARCH("deprecated",J267)),"deprecated",IF(L267="P0","canonical","recognized_subtype")))</x:f>
        <x:v>operational</x:v>
      </x:c>
      <x:c r="AD267" s="12" t="str">
        <x:f>IF(AC267="canonical","high",IF(AC267="recognized_subtype","medium",IF(AC267="operational","operational_only","debated")))</x:f>
        <x:v>operational_only</x:v>
      </x:c>
      <x:c r="AE267" s="12" t="str">
        <x:f>IF(AC267="deprecated","deprecated",IF(M267="yes","active",IF(M267="review","review_required","backlog")))</x:f>
        <x:v>backlog</x:v>
      </x:c>
      <x:c r="AF267" s="12" t="str">
        <x:f>IF(OR(AE267="active",AE267="review_required"),"yes","no")</x:f>
        <x:v>no</x:v>
      </x:c>
      <x:c r="AG267" s="12" t="str">
        <x:f>IF(AND(AE267="active",M267="yes",NOT(ISNUMBER(SEARCH("healthy",AB267)))),"yes","no")</x:f>
        <x:v>no</x:v>
      </x:c>
      <x:c r="AH267" s="12" t="str">
        <x:f>IF(OR(H267="contextual",H267="dialogue",H267="discourse",I267="claim+context",I267="discourse_segment"),"yes","no")</x:f>
        <x:v>yes</x:v>
      </x:c>
      <x:c r="AI267" s="12" t="str">
        <x:f>IF(OR(AH267="yes",AD267="debated",AC267="operational"),"yes","no")</x:f>
        <x:v>yes</x:v>
      </x:c>
      <x:c r="AJ267" s="12" t="str">
        <x:f>IF(OR(AH267="yes",AC267="operational",AD267="debated"),"high",IF(AND(AG267="yes",L267="P0"),"medium","low"))</x:f>
        <x:v>high</x:v>
      </x:c>
      <x:c r="AK267" s="12" t="str">
        <x:f>IF(ISNUMBER(SEARCH("healthy",AB267)),"yes","no")</x:f>
        <x:v>no</x:v>
      </x:c>
      <x:c r="AL267" s="12" t="str">
        <x:f>IF(AG267="yes","yes","candidate_only")</x:f>
        <x:v>candidate_only</x:v>
      </x:c>
      <x:c r="AM267" s="12" t="str">
        <x:f>IF(OR(AC267="canonical",AG267="yes"),"yes","recommended")</x:f>
        <x:v>recommended</x:v>
      </x:c>
      <x:c r="AN267" s="12" t="str">
        <x:f>IF(AC267="deprecated","exclude",IF(AND(AG267="yes",AJ267="high"),"import_but_human_review_required",IF(AG267="yes","import_as_active","import_as_backlog")))</x:f>
        <x:v>import_as_backlog</x:v>
      </x:c>
      <x:c r="AO267" s="12" t="str">
        <x:f>IF(AND(AG267="yes",OR(P267="",Q267="",R267="",S267="")),"missing_required_mvp_fields",IF(AND(AC267="canonical",Y267=""),"missing_source_ref","ok"))</x:f>
        <x:v>ok</x:v>
      </x:c>
      <x:c r="AP267" s="12" t="str">
        <x:f>IF(AO267="ok","ready_for_codex_import","needs_review")</x:f>
        <x:v>ready_for_codex_import</x:v>
      </x:c>
      <x:c r="AQ267" s="12"/>
      <x:c r="AR267" s="12" t="str">
        <x:v>Added v2 operational fields. Review before classification activation.</x:v>
      </x:c>
    </x:row>
    <x:row r="268">
      <x:c r="A268" s="13" t="str">
        <x:v>cherry_picking_counterevidence_omission</x:v>
      </x:c>
      <x:c r="B268" s="13" t="str">
        <x:v>cherry_picking</x:v>
      </x:c>
      <x:c r="C268" s="13" t="str">
        <x:v>Cherry picking</x:v>
      </x:c>
      <x:c r="D268" s="13" t="str">
        <x:v>انتخاب گزینشی شواهد</x:v>
      </x:c>
      <x:c r="E268" s="13" t="str">
        <x:v>Counterevidence omission</x:v>
      </x:c>
      <x:c r="F268" s="13" t="str">
        <x:v>evidence_failures</x:v>
      </x:c>
      <x:c r="G268" s="13" t="str">
        <x:v>operational_variant</x:v>
      </x:c>
      <x:c r="H268" s="13" t="str">
        <x:v>contextual</x:v>
      </x:c>
      <x:c r="I268" s="13" t="str">
        <x:v>claim+context</x:v>
      </x:c>
      <x:c r="J268" s="13" t="str">
        <x:v>derived_operational_subtype</x:v>
      </x:c>
      <x:c r="K268" s="13" t="str">
        <x:v>derived_from_established_parent_review_required</x:v>
      </x:c>
      <x:c r="L268" s="13" t="str">
        <x:v>P3</x:v>
      </x:c>
      <x:c r="M268" s="13" t="str">
        <x:v>no</x:v>
      </x:c>
      <x:c r="N268" s="13" t="str">
        <x:v>Operational subtype under Cherry picking: relevant contrary evidence is not acknowledged. Parent definition: Selecting supportive evidence while ignoring relevant counterevidence.</x:v>
      </x:c>
      <x:c r="O268" s="13" t="str">
        <x:v>Look for: explicit claim-level evidence; parent-family cues for Cherry picking; variant cue: relevant contrary evidence is not acknowledged; avoid author-level inference.</x:v>
      </x:c>
      <x:c r="P268" s="13" t="str">
        <x:v>Exact evidence span in text plus claim-level reasoning link; for contextual/discourse entries, require surrounding context.</x:v>
      </x:c>
      <x:c r="Q268" s="13" t="str">
        <x:v>Do not label merely because topic is controversial, emotional, or wrong. Do not judge intent or personality. Require textual evidence and consider healthy-reasoning cues.</x:v>
      </x:c>
      <x:c r="R268" s="13" t="str">
        <x:v>Stub: A claim relies on relevant contrary evidence is not acknowledged to support a conclusion without adequate qualification.</x:v>
      </x:c>
      <x:c r="S268" s="13" t="str">
        <x:v>Stub: A claim discusses cherry picking with caveats, balanced evidence, or no argumentative use of the pattern.</x:v>
      </x:c>
      <x:c r="T268" s="13" t="str">
        <x:v>Mild or ambiguous cue; do not classify without clear evidence span.</x:v>
      </x:c>
      <x:c r="U268" s="13" t="str">
        <x:v>Clear claim-level pattern with some argumentative impact.</x:v>
      </x:c>
      <x:c r="V268" s="13" t="str">
        <x:v>Strong pattern central to the conclusion and likely to materially distort reasoning.</x:v>
      </x:c>
      <x:c r="W268" s="13" t="str">
        <x:v>cherry_picking; missing_counterevidence; evidence_grading</x:v>
      </x:c>
      <x:c r="X268" s="13" t="str">
        <x:v>sep_informal_logic</x:v>
      </x:c>
      <x:c r="Y268" s="13" t="str">
        <x:v>https://plato.stanford.edu/entries/logic-informal/</x:v>
      </x:c>
      <x:c r="Z268" s="13" t="str">
        <x:v>Review before enabling. This workbook is a living taxonomy scaffold, not a validated scientific benchmark.</x:v>
      </x:c>
      <x:c r="AA268" s="13" t="str">
        <x:v>0.1.0-draft</x:v>
      </x:c>
      <x:c r="AB268" s="12" t="str">
        <x:f>IF(ISNUMBER(SEARCH("healthy",F268)),"healthy_reasoning_patterns",IF(ISNUMBER(SEARCH("statistical",F268)),"statistical_reasoning",IF(ISNUMBER(SEARCH("causal",F268)),"causal_reasoning",IF(ISNUMBER(SEARCH("social",F268)),"social_influence",IF(ISNUMBER(SEARCH("rhetoric",F268)),"rhetoric_discourse",IF(ISNUMBER(SEARCH("behavior",F268)),"behavioural_economics",IF(ISNUMBER(SEARCH("cognitive",F268)),"cognitive_biases",IF(J268="protective_pattern","healthy_reasoning_patterns",IF(L268="P0","core_mvp","extended_fallacies")))))))))</x:f>
        <x:v>extended_fallacies</x:v>
      </x:c>
      <x:c r="AC268" s="12" t="str">
        <x:f>IF(ISNUMBER(SEARCH("operational",J268)),"operational",IF(ISNUMBER(SEARCH("deprecated",J268)),"deprecated",IF(L268="P0","canonical","recognized_subtype")))</x:f>
        <x:v>operational</x:v>
      </x:c>
      <x:c r="AD268" s="12" t="str">
        <x:f>IF(AC268="canonical","high",IF(AC268="recognized_subtype","medium",IF(AC268="operational","operational_only","debated")))</x:f>
        <x:v>operational_only</x:v>
      </x:c>
      <x:c r="AE268" s="12" t="str">
        <x:f>IF(AC268="deprecated","deprecated",IF(M268="yes","active",IF(M268="review","review_required","backlog")))</x:f>
        <x:v>backlog</x:v>
      </x:c>
      <x:c r="AF268" s="12" t="str">
        <x:f>IF(OR(AE268="active",AE268="review_required"),"yes","no")</x:f>
        <x:v>no</x:v>
      </x:c>
      <x:c r="AG268" s="12" t="str">
        <x:f>IF(AND(AE268="active",M268="yes",NOT(ISNUMBER(SEARCH("healthy",AB268)))),"yes","no")</x:f>
        <x:v>no</x:v>
      </x:c>
      <x:c r="AH268" s="12" t="str">
        <x:f>IF(OR(H268="contextual",H268="dialogue",H268="discourse",I268="claim+context",I268="discourse_segment"),"yes","no")</x:f>
        <x:v>yes</x:v>
      </x:c>
      <x:c r="AI268" s="12" t="str">
        <x:f>IF(OR(AH268="yes",AD268="debated",AC268="operational"),"yes","no")</x:f>
        <x:v>yes</x:v>
      </x:c>
      <x:c r="AJ268" s="12" t="str">
        <x:f>IF(OR(AH268="yes",AC268="operational",AD268="debated"),"high",IF(AND(AG268="yes",L268="P0"),"medium","low"))</x:f>
        <x:v>high</x:v>
      </x:c>
      <x:c r="AK268" s="12" t="str">
        <x:f>IF(ISNUMBER(SEARCH("healthy",AB268)),"yes","no")</x:f>
        <x:v>no</x:v>
      </x:c>
      <x:c r="AL268" s="12" t="str">
        <x:f>IF(AG268="yes","yes","candidate_only")</x:f>
        <x:v>candidate_only</x:v>
      </x:c>
      <x:c r="AM268" s="12" t="str">
        <x:f>IF(OR(AC268="canonical",AG268="yes"),"yes","recommended")</x:f>
        <x:v>recommended</x:v>
      </x:c>
      <x:c r="AN268" s="12" t="str">
        <x:f>IF(AC268="deprecated","exclude",IF(AND(AG268="yes",AJ268="high"),"import_but_human_review_required",IF(AG268="yes","import_as_active","import_as_backlog")))</x:f>
        <x:v>import_as_backlog</x:v>
      </x:c>
      <x:c r="AO268" s="12" t="str">
        <x:f>IF(AND(AG268="yes",OR(P268="",Q268="",R268="",S268="")),"missing_required_mvp_fields",IF(AND(AC268="canonical",Y268=""),"missing_source_ref","ok"))</x:f>
        <x:v>ok</x:v>
      </x:c>
      <x:c r="AP268" s="12" t="str">
        <x:f>IF(AO268="ok","ready_for_codex_import","needs_review")</x:f>
        <x:v>ready_for_codex_import</x:v>
      </x:c>
      <x:c r="AQ268" s="12"/>
      <x:c r="AR268" s="12" t="str">
        <x:v>Added v2 operational fields. Review before classification activation.</x:v>
      </x:c>
    </x:row>
    <x:row r="269">
      <x:c r="A269" s="13" t="str">
        <x:v>suppressed_evidence_counterevidence_omission</x:v>
      </x:c>
      <x:c r="B269" s="13" t="str">
        <x:v>suppressed_evidence</x:v>
      </x:c>
      <x:c r="C269" s="13" t="str">
        <x:v>Suppressed evidence</x:v>
      </x:c>
      <x:c r="D269" s="13" t="str">
        <x:v>حذف شواهد مهم</x:v>
      </x:c>
      <x:c r="E269" s="13" t="str">
        <x:v>Counterevidence omission</x:v>
      </x:c>
      <x:c r="F269" s="13" t="str">
        <x:v>evidence_failures</x:v>
      </x:c>
      <x:c r="G269" s="13" t="str">
        <x:v>operational_variant</x:v>
      </x:c>
      <x:c r="H269" s="13" t="str">
        <x:v>contextual</x:v>
      </x:c>
      <x:c r="I269" s="13" t="str">
        <x:v>claim+context</x:v>
      </x:c>
      <x:c r="J269" s="13" t="str">
        <x:v>derived_operational_subtype</x:v>
      </x:c>
      <x:c r="K269" s="13" t="str">
        <x:v>derived_from_established_parent_review_required</x:v>
      </x:c>
      <x:c r="L269" s="13" t="str">
        <x:v>P3</x:v>
      </x:c>
      <x:c r="M269" s="13" t="str">
        <x:v>no</x:v>
      </x:c>
      <x:c r="N269" s="13" t="str">
        <x:v>Operational subtype under Suppressed evidence: relevant contrary evidence is not acknowledged. Parent definition: Omitting relevant evidence that would materially change the conclusion.</x:v>
      </x:c>
      <x:c r="O269" s="13" t="str">
        <x:v>Look for: explicit claim-level evidence; parent-family cues for Suppressed evidence; variant cue: relevant contrary evidence is not acknowledged; avoid author-level inference.</x:v>
      </x:c>
      <x:c r="P269" s="13" t="str">
        <x:v>Exact evidence span in text plus claim-level reasoning link; for contextual/discourse entries, require surrounding context.</x:v>
      </x:c>
      <x:c r="Q269" s="13" t="str">
        <x:v>Do not label merely because topic is controversial, emotional, or wrong. Do not judge intent or personality. Require textual evidence and consider healthy-reasoning cues.</x:v>
      </x:c>
      <x:c r="R269" s="13" t="str">
        <x:v>Stub: A claim relies on relevant contrary evidence is not acknowledged to support a conclusion without adequate qualification.</x:v>
      </x:c>
      <x:c r="S269" s="13" t="str">
        <x:v>Stub: A claim discusses suppressed evidence with caveats, balanced evidence, or no argumentative use of the pattern.</x:v>
      </x:c>
      <x:c r="T269" s="13" t="str">
        <x:v>Mild or ambiguous cue; do not classify without clear evidence span.</x:v>
      </x:c>
      <x:c r="U269" s="13" t="str">
        <x:v>Clear claim-level pattern with some argumentative impact.</x:v>
      </x:c>
      <x:c r="V269" s="13" t="str">
        <x:v>Strong pattern central to the conclusion and likely to materially distort reasoning.</x:v>
      </x:c>
      <x:c r="W269" s="13" t="str">
        <x:v>cherry_picking; missing_counterevidence; evidence_grading</x:v>
      </x:c>
      <x:c r="X269" s="13" t="str">
        <x:v>sep_informal_logic</x:v>
      </x:c>
      <x:c r="Y269" s="13" t="str">
        <x:v>https://plato.stanford.edu/entries/logic-informal/</x:v>
      </x:c>
      <x:c r="Z269" s="13" t="str">
        <x:v>Review before enabling. This workbook is a living taxonomy scaffold, not a validated scientific benchmark.</x:v>
      </x:c>
      <x:c r="AA269" s="13" t="str">
        <x:v>0.1.0-draft</x:v>
      </x:c>
      <x:c r="AB269" s="12" t="str">
        <x:f>IF(ISNUMBER(SEARCH("healthy",F269)),"healthy_reasoning_patterns",IF(ISNUMBER(SEARCH("statistical",F269)),"statistical_reasoning",IF(ISNUMBER(SEARCH("causal",F269)),"causal_reasoning",IF(ISNUMBER(SEARCH("social",F269)),"social_influence",IF(ISNUMBER(SEARCH("rhetoric",F269)),"rhetoric_discourse",IF(ISNUMBER(SEARCH("behavior",F269)),"behavioural_economics",IF(ISNUMBER(SEARCH("cognitive",F269)),"cognitive_biases",IF(J269="protective_pattern","healthy_reasoning_patterns",IF(L269="P0","core_mvp","extended_fallacies")))))))))</x:f>
        <x:v>extended_fallacies</x:v>
      </x:c>
      <x:c r="AC269" s="12" t="str">
        <x:f>IF(ISNUMBER(SEARCH("operational",J269)),"operational",IF(ISNUMBER(SEARCH("deprecated",J269)),"deprecated",IF(L269="P0","canonical","recognized_subtype")))</x:f>
        <x:v>operational</x:v>
      </x:c>
      <x:c r="AD269" s="12" t="str">
        <x:f>IF(AC269="canonical","high",IF(AC269="recognized_subtype","medium",IF(AC269="operational","operational_only","debated")))</x:f>
        <x:v>operational_only</x:v>
      </x:c>
      <x:c r="AE269" s="12" t="str">
        <x:f>IF(AC269="deprecated","deprecated",IF(M269="yes","active",IF(M269="review","review_required","backlog")))</x:f>
        <x:v>backlog</x:v>
      </x:c>
      <x:c r="AF269" s="12" t="str">
        <x:f>IF(OR(AE269="active",AE269="review_required"),"yes","no")</x:f>
        <x:v>no</x:v>
      </x:c>
      <x:c r="AG269" s="12" t="str">
        <x:f>IF(AND(AE269="active",M269="yes",NOT(ISNUMBER(SEARCH("healthy",AB269)))),"yes","no")</x:f>
        <x:v>no</x:v>
      </x:c>
      <x:c r="AH269" s="12" t="str">
        <x:f>IF(OR(H269="contextual",H269="dialogue",H269="discourse",I269="claim+context",I269="discourse_segment"),"yes","no")</x:f>
        <x:v>yes</x:v>
      </x:c>
      <x:c r="AI269" s="12" t="str">
        <x:f>IF(OR(AH269="yes",AD269="debated",AC269="operational"),"yes","no")</x:f>
        <x:v>yes</x:v>
      </x:c>
      <x:c r="AJ269" s="12" t="str">
        <x:f>IF(OR(AH269="yes",AC269="operational",AD269="debated"),"high",IF(AND(AG269="yes",L269="P0"),"medium","low"))</x:f>
        <x:v>high</x:v>
      </x:c>
      <x:c r="AK269" s="12" t="str">
        <x:f>IF(ISNUMBER(SEARCH("healthy",AB269)),"yes","no")</x:f>
        <x:v>no</x:v>
      </x:c>
      <x:c r="AL269" s="12" t="str">
        <x:f>IF(AG269="yes","yes","candidate_only")</x:f>
        <x:v>candidate_only</x:v>
      </x:c>
      <x:c r="AM269" s="12" t="str">
        <x:f>IF(OR(AC269="canonical",AG269="yes"),"yes","recommended")</x:f>
        <x:v>recommended</x:v>
      </x:c>
      <x:c r="AN269" s="12" t="str">
        <x:f>IF(AC269="deprecated","exclude",IF(AND(AG269="yes",AJ269="high"),"import_but_human_review_required",IF(AG269="yes","import_as_active","import_as_backlog")))</x:f>
        <x:v>import_as_backlog</x:v>
      </x:c>
      <x:c r="AO269" s="12" t="str">
        <x:f>IF(AND(AG269="yes",OR(P269="",Q269="",R269="",S269="")),"missing_required_mvp_fields",IF(AND(AC269="canonical",Y269=""),"missing_source_ref","ok"))</x:f>
        <x:v>ok</x:v>
      </x:c>
      <x:c r="AP269" s="12" t="str">
        <x:f>IF(AO269="ok","ready_for_codex_import","needs_review")</x:f>
        <x:v>ready_for_codex_import</x:v>
      </x:c>
      <x:c r="AQ269" s="12"/>
      <x:c r="AR269" s="12" t="str">
        <x:v>Added v2 operational fields. Review before classification activation.</x:v>
      </x:c>
    </x:row>
    <x:row r="270">
      <x:c r="A270" s="13" t="str">
        <x:v>anecdotal_evidence_counterevidence_omission</x:v>
      </x:c>
      <x:c r="B270" s="13" t="str">
        <x:v>anecdotal_evidence</x:v>
      </x:c>
      <x:c r="C270" s="13" t="str">
        <x:v>Anecdotal evidence</x:v>
      </x:c>
      <x:c r="D270" s="13" t="str">
        <x:v>اتکای بیش از حد به روایت فردی</x:v>
      </x:c>
      <x:c r="E270" s="13" t="str">
        <x:v>Counterevidence omission</x:v>
      </x:c>
      <x:c r="F270" s="13" t="str">
        <x:v>evidence_failures</x:v>
      </x:c>
      <x:c r="G270" s="13" t="str">
        <x:v>operational_variant</x:v>
      </x:c>
      <x:c r="H270" s="13" t="str">
        <x:v>contextual</x:v>
      </x:c>
      <x:c r="I270" s="13" t="str">
        <x:v>claim+context</x:v>
      </x:c>
      <x:c r="J270" s="13" t="str">
        <x:v>derived_operational_subtype</x:v>
      </x:c>
      <x:c r="K270" s="13" t="str">
        <x:v>derived_from_established_parent_review_required</x:v>
      </x:c>
      <x:c r="L270" s="13" t="str">
        <x:v>P3</x:v>
      </x:c>
      <x:c r="M270" s="13" t="str">
        <x:v>no</x:v>
      </x:c>
      <x:c r="N270" s="13" t="str">
        <x:v>Operational subtype under Anecdotal evidence: relevant contrary evidence is not acknowledged. Parent definition: Using isolated stories as if they establish a general claim.</x:v>
      </x:c>
      <x:c r="O270" s="13" t="str">
        <x:v>Look for: explicit claim-level evidence; parent-family cues for Anecdotal evidence; variant cue: relevant contrary evidence is not acknowledged; avoid author-level inference.</x:v>
      </x:c>
      <x:c r="P270" s="13" t="str">
        <x:v>Exact evidence span in text plus claim-level reasoning link; for contextual/discourse entries, require surrounding context.</x:v>
      </x:c>
      <x:c r="Q270" s="13" t="str">
        <x:v>Do not label merely because topic is controversial, emotional, or wrong. Do not judge intent or personality. Require textual evidence and consider healthy-reasoning cues.</x:v>
      </x:c>
      <x:c r="R270" s="13" t="str">
        <x:v>Stub: A claim relies on relevant contrary evidence is not acknowledged to support a conclusion without adequate qualification.</x:v>
      </x:c>
      <x:c r="S270" s="13" t="str">
        <x:v>Stub: A claim discusses anecdotal evidence with caveats, balanced evidence, or no argumentative use of the pattern.</x:v>
      </x:c>
      <x:c r="T270" s="13" t="str">
        <x:v>Mild or ambiguous cue; do not classify without clear evidence span.</x:v>
      </x:c>
      <x:c r="U270" s="13" t="str">
        <x:v>Clear claim-level pattern with some argumentative impact.</x:v>
      </x:c>
      <x:c r="V270" s="13" t="str">
        <x:v>Strong pattern central to the conclusion and likely to materially distort reasoning.</x:v>
      </x:c>
      <x:c r="W270" s="13" t="str"/>
      <x:c r="X270" s="13" t="str">
        <x:v>sep_informal_logic</x:v>
      </x:c>
      <x:c r="Y270" s="13" t="str">
        <x:v>https://plato.stanford.edu/entries/logic-informal/</x:v>
      </x:c>
      <x:c r="Z270" s="13" t="str">
        <x:v>Review before enabling. This workbook is a living taxonomy scaffold, not a validated scientific benchmark.</x:v>
      </x:c>
      <x:c r="AA270" s="13" t="str">
        <x:v>0.1.0-draft</x:v>
      </x:c>
      <x:c r="AB270" s="12" t="str">
        <x:f>IF(ISNUMBER(SEARCH("healthy",F270)),"healthy_reasoning_patterns",IF(ISNUMBER(SEARCH("statistical",F270)),"statistical_reasoning",IF(ISNUMBER(SEARCH("causal",F270)),"causal_reasoning",IF(ISNUMBER(SEARCH("social",F270)),"social_influence",IF(ISNUMBER(SEARCH("rhetoric",F270)),"rhetoric_discourse",IF(ISNUMBER(SEARCH("behavior",F270)),"behavioural_economics",IF(ISNUMBER(SEARCH("cognitive",F270)),"cognitive_biases",IF(J270="protective_pattern","healthy_reasoning_patterns",IF(L270="P0","core_mvp","extended_fallacies")))))))))</x:f>
        <x:v>extended_fallacies</x:v>
      </x:c>
      <x:c r="AC270" s="12" t="str">
        <x:f>IF(ISNUMBER(SEARCH("operational",J270)),"operational",IF(ISNUMBER(SEARCH("deprecated",J270)),"deprecated",IF(L270="P0","canonical","recognized_subtype")))</x:f>
        <x:v>operational</x:v>
      </x:c>
      <x:c r="AD270" s="12" t="str">
        <x:f>IF(AC270="canonical","high",IF(AC270="recognized_subtype","medium",IF(AC270="operational","operational_only","debated")))</x:f>
        <x:v>operational_only</x:v>
      </x:c>
      <x:c r="AE270" s="12" t="str">
        <x:f>IF(AC270="deprecated","deprecated",IF(M270="yes","active",IF(M270="review","review_required","backlog")))</x:f>
        <x:v>backlog</x:v>
      </x:c>
      <x:c r="AF270" s="12" t="str">
        <x:f>IF(OR(AE270="active",AE270="review_required"),"yes","no")</x:f>
        <x:v>no</x:v>
      </x:c>
      <x:c r="AG270" s="12" t="str">
        <x:f>IF(AND(AE270="active",M270="yes",NOT(ISNUMBER(SEARCH("healthy",AB270)))),"yes","no")</x:f>
        <x:v>no</x:v>
      </x:c>
      <x:c r="AH270" s="12" t="str">
        <x:f>IF(OR(H270="contextual",H270="dialogue",H270="discourse",I270="claim+context",I270="discourse_segment"),"yes","no")</x:f>
        <x:v>yes</x:v>
      </x:c>
      <x:c r="AI270" s="12" t="str">
        <x:f>IF(OR(AH270="yes",AD270="debated",AC270="operational"),"yes","no")</x:f>
        <x:v>yes</x:v>
      </x:c>
      <x:c r="AJ270" s="12" t="str">
        <x:f>IF(OR(AH270="yes",AC270="operational",AD270="debated"),"high",IF(AND(AG270="yes",L270="P0"),"medium","low"))</x:f>
        <x:v>high</x:v>
      </x:c>
      <x:c r="AK270" s="12" t="str">
        <x:f>IF(ISNUMBER(SEARCH("healthy",AB270)),"yes","no")</x:f>
        <x:v>no</x:v>
      </x:c>
      <x:c r="AL270" s="12" t="str">
        <x:f>IF(AG270="yes","yes","candidate_only")</x:f>
        <x:v>candidate_only</x:v>
      </x:c>
      <x:c r="AM270" s="12" t="str">
        <x:f>IF(OR(AC270="canonical",AG270="yes"),"yes","recommended")</x:f>
        <x:v>recommended</x:v>
      </x:c>
      <x:c r="AN270" s="12" t="str">
        <x:f>IF(AC270="deprecated","exclude",IF(AND(AG270="yes",AJ270="high"),"import_but_human_review_required",IF(AG270="yes","import_as_active","import_as_backlog")))</x:f>
        <x:v>import_as_backlog</x:v>
      </x:c>
      <x:c r="AO270" s="12" t="str">
        <x:f>IF(AND(AG270="yes",OR(P270="",Q270="",R270="",S270="")),"missing_required_mvp_fields",IF(AND(AC270="canonical",Y270=""),"missing_source_ref","ok"))</x:f>
        <x:v>ok</x:v>
      </x:c>
      <x:c r="AP270" s="12" t="str">
        <x:f>IF(AO270="ok","ready_for_codex_import","needs_review")</x:f>
        <x:v>ready_for_codex_import</x:v>
      </x:c>
      <x:c r="AQ270" s="12"/>
      <x:c r="AR270" s="12" t="str">
        <x:v>Added v2 operational fields. Review before classification activation.</x:v>
      </x:c>
    </x:row>
    <x:row r="271">
      <x:c r="A271" s="13" t="str">
        <x:v>selection_bias_argument_counterevidence_omission</x:v>
      </x:c>
      <x:c r="B271" s="13" t="str">
        <x:v>selection_bias_argument</x:v>
      </x:c>
      <x:c r="C271" s="13" t="str">
        <x:v>Selection bias in argument</x:v>
      </x:c>
      <x:c r="D271" s="13" t="str">
        <x:v>سوگیری انتخاب نمونه</x:v>
      </x:c>
      <x:c r="E271" s="13" t="str">
        <x:v>Counterevidence omission</x:v>
      </x:c>
      <x:c r="F271" s="13" t="str">
        <x:v>evidence_failures</x:v>
      </x:c>
      <x:c r="G271" s="13" t="str">
        <x:v>operational_variant</x:v>
      </x:c>
      <x:c r="H271" s="13" t="str">
        <x:v>contextual</x:v>
      </x:c>
      <x:c r="I271" s="13" t="str">
        <x:v>claim+context</x:v>
      </x:c>
      <x:c r="J271" s="13" t="str">
        <x:v>derived_operational_subtype</x:v>
      </x:c>
      <x:c r="K271" s="13" t="str">
        <x:v>derived_from_established_parent_review_required</x:v>
      </x:c>
      <x:c r="L271" s="13" t="str">
        <x:v>P3</x:v>
      </x:c>
      <x:c r="M271" s="13" t="str">
        <x:v>no</x:v>
      </x:c>
      <x:c r="N271" s="13" t="str">
        <x:v>Operational subtype under Selection bias in argument: relevant contrary evidence is not acknowledged. Parent definition: Basing a conclusion on a sample selected in a systematically distorted way.</x:v>
      </x:c>
      <x:c r="O271" s="13" t="str">
        <x:v>Look for: explicit claim-level evidence; parent-family cues for Selection bias in argument; variant cue: relevant contrary evidence is not acknowledged; avoid author-level inference.</x:v>
      </x:c>
      <x:c r="P271" s="13" t="str">
        <x:v>Exact evidence span in text plus claim-level reasoning link; for contextual/discourse entries, require surrounding context.</x:v>
      </x:c>
      <x:c r="Q271" s="13" t="str">
        <x:v>Do not label merely because topic is controversial, emotional, or wrong. Do not judge intent or personality. Require textual evidence and consider healthy-reasoning cues.</x:v>
      </x:c>
      <x:c r="R271" s="13" t="str">
        <x:v>Stub: A claim relies on relevant contrary evidence is not acknowledged to support a conclusion without adequate qualification.</x:v>
      </x:c>
      <x:c r="S271" s="13" t="str">
        <x:v>Stub: A claim discusses selection bias in argument with caveats, balanced evidence, or no argumentative use of the pattern.</x:v>
      </x:c>
      <x:c r="T271" s="13" t="str">
        <x:v>Mild or ambiguous cue; do not classify without clear evidence span.</x:v>
      </x:c>
      <x:c r="U271" s="13" t="str">
        <x:v>Clear claim-level pattern with some argumentative impact.</x:v>
      </x:c>
      <x:c r="V271" s="13" t="str">
        <x:v>Strong pattern central to the conclusion and likely to materially distort reasoning.</x:v>
      </x:c>
      <x:c r="W271" s="13" t="str"/>
      <x:c r="X271" s="13" t="str">
        <x:v>sep_informal_logic</x:v>
      </x:c>
      <x:c r="Y271" s="13" t="str">
        <x:v>https://plato.stanford.edu/entries/logic-informal/</x:v>
      </x:c>
      <x:c r="Z271" s="13" t="str">
        <x:v>Review before enabling. This workbook is a living taxonomy scaffold, not a validated scientific benchmark.</x:v>
      </x:c>
      <x:c r="AA271" s="13" t="str">
        <x:v>0.1.0-draft</x:v>
      </x:c>
      <x:c r="AB271" s="12" t="str">
        <x:f>IF(ISNUMBER(SEARCH("healthy",F271)),"healthy_reasoning_patterns",IF(ISNUMBER(SEARCH("statistical",F271)),"statistical_reasoning",IF(ISNUMBER(SEARCH("causal",F271)),"causal_reasoning",IF(ISNUMBER(SEARCH("social",F271)),"social_influence",IF(ISNUMBER(SEARCH("rhetoric",F271)),"rhetoric_discourse",IF(ISNUMBER(SEARCH("behavior",F271)),"behavioural_economics",IF(ISNUMBER(SEARCH("cognitive",F271)),"cognitive_biases",IF(J271="protective_pattern","healthy_reasoning_patterns",IF(L271="P0","core_mvp","extended_fallacies")))))))))</x:f>
        <x:v>extended_fallacies</x:v>
      </x:c>
      <x:c r="AC271" s="12" t="str">
        <x:f>IF(ISNUMBER(SEARCH("operational",J271)),"operational",IF(ISNUMBER(SEARCH("deprecated",J271)),"deprecated",IF(L271="P0","canonical","recognized_subtype")))</x:f>
        <x:v>operational</x:v>
      </x:c>
      <x:c r="AD271" s="12" t="str">
        <x:f>IF(AC271="canonical","high",IF(AC271="recognized_subtype","medium",IF(AC271="operational","operational_only","debated")))</x:f>
        <x:v>operational_only</x:v>
      </x:c>
      <x:c r="AE271" s="12" t="str">
        <x:f>IF(AC271="deprecated","deprecated",IF(M271="yes","active",IF(M271="review","review_required","backlog")))</x:f>
        <x:v>backlog</x:v>
      </x:c>
      <x:c r="AF271" s="12" t="str">
        <x:f>IF(OR(AE271="active",AE271="review_required"),"yes","no")</x:f>
        <x:v>no</x:v>
      </x:c>
      <x:c r="AG271" s="12" t="str">
        <x:f>IF(AND(AE271="active",M271="yes",NOT(ISNUMBER(SEARCH("healthy",AB271)))),"yes","no")</x:f>
        <x:v>no</x:v>
      </x:c>
      <x:c r="AH271" s="12" t="str">
        <x:f>IF(OR(H271="contextual",H271="dialogue",H271="discourse",I271="claim+context",I271="discourse_segment"),"yes","no")</x:f>
        <x:v>yes</x:v>
      </x:c>
      <x:c r="AI271" s="12" t="str">
        <x:f>IF(OR(AH271="yes",AD271="debated",AC271="operational"),"yes","no")</x:f>
        <x:v>yes</x:v>
      </x:c>
      <x:c r="AJ271" s="12" t="str">
        <x:f>IF(OR(AH271="yes",AC271="operational",AD271="debated"),"high",IF(AND(AG271="yes",L271="P0"),"medium","low"))</x:f>
        <x:v>high</x:v>
      </x:c>
      <x:c r="AK271" s="12" t="str">
        <x:f>IF(ISNUMBER(SEARCH("healthy",AB271)),"yes","no")</x:f>
        <x:v>no</x:v>
      </x:c>
      <x:c r="AL271" s="12" t="str">
        <x:f>IF(AG271="yes","yes","candidate_only")</x:f>
        <x:v>candidate_only</x:v>
      </x:c>
      <x:c r="AM271" s="12" t="str">
        <x:f>IF(OR(AC271="canonical",AG271="yes"),"yes","recommended")</x:f>
        <x:v>recommended</x:v>
      </x:c>
      <x:c r="AN271" s="12" t="str">
        <x:f>IF(AC271="deprecated","exclude",IF(AND(AG271="yes",AJ271="high"),"import_but_human_review_required",IF(AG271="yes","import_as_active","import_as_backlog")))</x:f>
        <x:v>import_as_backlog</x:v>
      </x:c>
      <x:c r="AO271" s="12" t="str">
        <x:f>IF(AND(AG271="yes",OR(P271="",Q271="",R271="",S271="")),"missing_required_mvp_fields",IF(AND(AC271="canonical",Y271=""),"missing_source_ref","ok"))</x:f>
        <x:v>ok</x:v>
      </x:c>
      <x:c r="AP271" s="12" t="str">
        <x:f>IF(AO271="ok","ready_for_codex_import","needs_review")</x:f>
        <x:v>ready_for_codex_import</x:v>
      </x:c>
      <x:c r="AQ271" s="12"/>
      <x:c r="AR271" s="12" t="str">
        <x:v>Added v2 operational fields. Review before classification activation.</x:v>
      </x:c>
    </x:row>
    <x:row r="272">
      <x:c r="A272" s="13" t="str">
        <x:v>base_rate_neglect_canonical</x:v>
      </x:c>
      <x:c r="B272" s="13" t="str">
        <x:v>base_rate_neglect</x:v>
      </x:c>
      <x:c r="C272" s="13" t="str">
        <x:v>Base-rate neglect</x:v>
      </x:c>
      <x:c r="D272" s="13" t="str">
        <x:v>نادیده گرفتن نرخ پایه</x:v>
      </x:c>
      <x:c r="E272" s="13" t="str">
        <x:v>Canonical form</x:v>
      </x:c>
      <x:c r="F272" s="13" t="str">
        <x:v>probabilistic_failures</x:v>
      </x:c>
      <x:c r="G272" s="13" t="str">
        <x:v>canonical</x:v>
      </x:c>
      <x:c r="H272" s="13" t="str">
        <x:v>contextual</x:v>
      </x:c>
      <x:c r="I272" s="13" t="str">
        <x:v>claim+context</x:v>
      </x:c>
      <x:c r="J272" s="13" t="str">
        <x:v>derived_operational_subtype</x:v>
      </x:c>
      <x:c r="K272" s="13" t="str">
        <x:v>derived_from_established_parent_review_required</x:v>
      </x:c>
      <x:c r="L272" s="13" t="str">
        <x:v>P2</x:v>
      </x:c>
      <x:c r="M272" s="13" t="str">
        <x:v>no</x:v>
      </x:c>
      <x:c r="N272" s="13" t="str">
        <x:v>Operational subtype under Base-rate neglect: probability is misread in a standard recognizable way. Parent definition: Ignoring general statistical prevalence when judging a specific case.</x:v>
      </x:c>
      <x:c r="O272" s="13" t="str">
        <x:v>Look for: explicit claim-level evidence; parent-family cues for Base-rate neglect; variant cue: probability is misread in a standard recognizable way; avoid author-level inference.</x:v>
      </x:c>
      <x:c r="P272" s="13" t="str">
        <x:v>Exact evidence span in text plus claim-level reasoning link; for contextual/discourse entries, require surrounding context.</x:v>
      </x:c>
      <x:c r="Q272" s="13" t="str">
        <x:v>Do not label merely because topic is controversial, emotional, or wrong. Do not judge intent or personality. Require textual evidence and consider healthy-reasoning cues.</x:v>
      </x:c>
      <x:c r="R272" s="13" t="str">
        <x:v>Stub: A claim relies on probability is misread in a standard recognizable way to support a conclusion without adequate qualification.</x:v>
      </x:c>
      <x:c r="S272" s="13" t="str">
        <x:v>Stub: A claim discusses base-rate neglect with caveats, balanced evidence, or no argumentative use of the pattern.</x:v>
      </x:c>
      <x:c r="T272" s="13" t="str">
        <x:v>Mild or ambiguous cue; do not classify without clear evidence span.</x:v>
      </x:c>
      <x:c r="U272" s="13" t="str">
        <x:v>Clear claim-level pattern with some argumentative impact.</x:v>
      </x:c>
      <x:c r="V272" s="13" t="str">
        <x:v>Strong pattern central to the conclusion and likely to materially distort reasoning.</x:v>
      </x:c>
      <x:c r="W272" s="13" t="str"/>
      <x:c r="X272" s="13" t="str">
        <x:v>kahneman_tversky_heuristics_1974</x:v>
      </x:c>
      <x:c r="Y272" s="13" t="str">
        <x:v>https://doi.org/10.1126/science.185.4157.1124</x:v>
      </x:c>
      <x:c r="Z272" s="13" t="str">
        <x:v>Review before enabling. This workbook is a living taxonomy scaffold, not a validated scientific benchmark.</x:v>
      </x:c>
      <x:c r="AA272" s="13" t="str">
        <x:v>0.1.0-draft</x:v>
      </x:c>
      <x:c r="AB272" s="12" t="str">
        <x:f>IF(ISNUMBER(SEARCH("healthy",F272)),"healthy_reasoning_patterns",IF(ISNUMBER(SEARCH("statistical",F272)),"statistical_reasoning",IF(ISNUMBER(SEARCH("causal",F272)),"causal_reasoning",IF(ISNUMBER(SEARCH("social",F272)),"social_influence",IF(ISNUMBER(SEARCH("rhetoric",F272)),"rhetoric_discourse",IF(ISNUMBER(SEARCH("behavior",F272)),"behavioural_economics",IF(ISNUMBER(SEARCH("cognitive",F272)),"cognitive_biases",IF(J272="protective_pattern","healthy_reasoning_patterns",IF(L272="P0","core_mvp","extended_fallacies")))))))))</x:f>
        <x:v>extended_fallacies</x:v>
      </x:c>
      <x:c r="AC272" s="12" t="str">
        <x:f>IF(ISNUMBER(SEARCH("operational",J272)),"operational",IF(ISNUMBER(SEARCH("deprecated",J272)),"deprecated",IF(L272="P0","canonical","recognized_subtype")))</x:f>
        <x:v>operational</x:v>
      </x:c>
      <x:c r="AD272" s="12" t="str">
        <x:f>IF(AC272="canonical","high",IF(AC272="recognized_subtype","medium",IF(AC272="operational","operational_only","debated")))</x:f>
        <x:v>operational_only</x:v>
      </x:c>
      <x:c r="AE272" s="12" t="str">
        <x:f>IF(AC272="deprecated","deprecated",IF(M272="yes","active",IF(M272="review","review_required","backlog")))</x:f>
        <x:v>backlog</x:v>
      </x:c>
      <x:c r="AF272" s="12" t="str">
        <x:f>IF(OR(AE272="active",AE272="review_required"),"yes","no")</x:f>
        <x:v>no</x:v>
      </x:c>
      <x:c r="AG272" s="12" t="str">
        <x:f>IF(AND(AE272="active",M272="yes",NOT(ISNUMBER(SEARCH("healthy",AB272)))),"yes","no")</x:f>
        <x:v>no</x:v>
      </x:c>
      <x:c r="AH272" s="12" t="str">
        <x:f>IF(OR(H272="contextual",H272="dialogue",H272="discourse",I272="claim+context",I272="discourse_segment"),"yes","no")</x:f>
        <x:v>yes</x:v>
      </x:c>
      <x:c r="AI272" s="12" t="str">
        <x:f>IF(OR(AH272="yes",AD272="debated",AC272="operational"),"yes","no")</x:f>
        <x:v>yes</x:v>
      </x:c>
      <x:c r="AJ272" s="12" t="str">
        <x:f>IF(OR(AH272="yes",AC272="operational",AD272="debated"),"high",IF(AND(AG272="yes",L272="P0"),"medium","low"))</x:f>
        <x:v>high</x:v>
      </x:c>
      <x:c r="AK272" s="12" t="str">
        <x:f>IF(ISNUMBER(SEARCH("healthy",AB272)),"yes","no")</x:f>
        <x:v>no</x:v>
      </x:c>
      <x:c r="AL272" s="12" t="str">
        <x:f>IF(AG272="yes","yes","candidate_only")</x:f>
        <x:v>candidate_only</x:v>
      </x:c>
      <x:c r="AM272" s="12" t="str">
        <x:f>IF(OR(AC272="canonical",AG272="yes"),"yes","recommended")</x:f>
        <x:v>recommended</x:v>
      </x:c>
      <x:c r="AN272" s="12" t="str">
        <x:f>IF(AC272="deprecated","exclude",IF(AND(AG272="yes",AJ272="high"),"import_but_human_review_required",IF(AG272="yes","import_as_active","import_as_backlog")))</x:f>
        <x:v>import_as_backlog</x:v>
      </x:c>
      <x:c r="AO272" s="12" t="str">
        <x:f>IF(AND(AG272="yes",OR(P272="",Q272="",R272="",S272="")),"missing_required_mvp_fields",IF(AND(AC272="canonical",Y272=""),"missing_source_ref","ok"))</x:f>
        <x:v>ok</x:v>
      </x:c>
      <x:c r="AP272" s="12" t="str">
        <x:f>IF(AO272="ok","ready_for_codex_import","needs_review")</x:f>
        <x:v>ready_for_codex_import</x:v>
      </x:c>
      <x:c r="AQ272" s="12"/>
      <x:c r="AR272" s="12" t="str">
        <x:v>Added v2 operational fields. Review before classification activation.</x:v>
      </x:c>
    </x:row>
    <x:row r="273">
      <x:c r="A273" s="13" t="str">
        <x:v>conjunction_fallacy_canonical</x:v>
      </x:c>
      <x:c r="B273" s="13" t="str">
        <x:v>conjunction_fallacy</x:v>
      </x:c>
      <x:c r="C273" s="13" t="str">
        <x:v>Conjunction fallacy</x:v>
      </x:c>
      <x:c r="D273" s="13" t="str">
        <x:v>مغالطه عطف</x:v>
      </x:c>
      <x:c r="E273" s="13" t="str">
        <x:v>Canonical form</x:v>
      </x:c>
      <x:c r="F273" s="13" t="str">
        <x:v>probabilistic_failures</x:v>
      </x:c>
      <x:c r="G273" s="13" t="str">
        <x:v>canonical</x:v>
      </x:c>
      <x:c r="H273" s="13" t="str">
        <x:v>structural</x:v>
      </x:c>
      <x:c r="I273" s="13" t="str">
        <x:v>claim</x:v>
      </x:c>
      <x:c r="J273" s="13" t="str">
        <x:v>derived_operational_subtype</x:v>
      </x:c>
      <x:c r="K273" s="13" t="str">
        <x:v>derived_from_established_parent_review_required</x:v>
      </x:c>
      <x:c r="L273" s="13" t="str">
        <x:v>P2</x:v>
      </x:c>
      <x:c r="M273" s="13" t="str">
        <x:v>no</x:v>
      </x:c>
      <x:c r="N273" s="13" t="str">
        <x:v>Operational subtype under Conjunction fallacy: probability is misread in a standard recognizable way. Parent definition: Judging a conjunction as more probable than one of its components.</x:v>
      </x:c>
      <x:c r="O273" s="13" t="str">
        <x:v>Look for: explicit claim-level evidence; parent-family cues for Conjunction fallacy; variant cue: probability is misread in a standard recognizable way; avoid author-level inference.</x:v>
      </x:c>
      <x:c r="P273" s="13" t="str">
        <x:v>Exact evidence span in text plus claim-level reasoning link; for contextual/discourse entries, require surrounding context.</x:v>
      </x:c>
      <x:c r="Q273" s="13" t="str">
        <x:v>Do not label merely because topic is controversial, emotional, or wrong. Do not judge intent or personality. Require textual evidence and consider healthy-reasoning cues.</x:v>
      </x:c>
      <x:c r="R273" s="13" t="str">
        <x:v>Stub: A claim relies on probability is misread in a standard recognizable way to support a conclusion without adequate qualification.</x:v>
      </x:c>
      <x:c r="S273" s="13" t="str">
        <x:v>Stub: A claim discusses conjunction fallacy with caveats, balanced evidence, or no argumentative use of the pattern.</x:v>
      </x:c>
      <x:c r="T273" s="13" t="str">
        <x:v>Mild or ambiguous cue; do not classify without clear evidence span.</x:v>
      </x:c>
      <x:c r="U273" s="13" t="str">
        <x:v>Clear claim-level pattern with some argumentative impact.</x:v>
      </x:c>
      <x:c r="V273" s="13" t="str">
        <x:v>Strong pattern central to the conclusion and likely to materially distort reasoning.</x:v>
      </x:c>
      <x:c r="W273" s="13" t="str"/>
      <x:c r="X273" s="13" t="str">
        <x:v>kahneman_tversky_heuristics_1974</x:v>
      </x:c>
      <x:c r="Y273" s="13" t="str">
        <x:v>https://doi.org/10.1126/science.185.4157.1124</x:v>
      </x:c>
      <x:c r="Z273" s="13" t="str">
        <x:v>Review before enabling. This workbook is a living taxonomy scaffold, not a validated scientific benchmark.</x:v>
      </x:c>
      <x:c r="AA273" s="13" t="str">
        <x:v>0.1.0-draft</x:v>
      </x:c>
      <x:c r="AB273" s="12" t="str">
        <x:f>IF(ISNUMBER(SEARCH("healthy",F273)),"healthy_reasoning_patterns",IF(ISNUMBER(SEARCH("statistical",F273)),"statistical_reasoning",IF(ISNUMBER(SEARCH("causal",F273)),"causal_reasoning",IF(ISNUMBER(SEARCH("social",F273)),"social_influence",IF(ISNUMBER(SEARCH("rhetoric",F273)),"rhetoric_discourse",IF(ISNUMBER(SEARCH("behavior",F273)),"behavioural_economics",IF(ISNUMBER(SEARCH("cognitive",F273)),"cognitive_biases",IF(J273="protective_pattern","healthy_reasoning_patterns",IF(L273="P0","core_mvp","extended_fallacies")))))))))</x:f>
        <x:v>extended_fallacies</x:v>
      </x:c>
      <x:c r="AC273" s="12" t="str">
        <x:f>IF(ISNUMBER(SEARCH("operational",J273)),"operational",IF(ISNUMBER(SEARCH("deprecated",J273)),"deprecated",IF(L273="P0","canonical","recognized_subtype")))</x:f>
        <x:v>operational</x:v>
      </x:c>
      <x:c r="AD273" s="12" t="str">
        <x:f>IF(AC273="canonical","high",IF(AC273="recognized_subtype","medium",IF(AC273="operational","operational_only","debated")))</x:f>
        <x:v>operational_only</x:v>
      </x:c>
      <x:c r="AE273" s="12" t="str">
        <x:f>IF(AC273="deprecated","deprecated",IF(M273="yes","active",IF(M273="review","review_required","backlog")))</x:f>
        <x:v>backlog</x:v>
      </x:c>
      <x:c r="AF273" s="12" t="str">
        <x:f>IF(OR(AE273="active",AE273="review_required"),"yes","no")</x:f>
        <x:v>no</x:v>
      </x:c>
      <x:c r="AG273" s="12" t="str">
        <x:f>IF(AND(AE273="active",M273="yes",NOT(ISNUMBER(SEARCH("healthy",AB273)))),"yes","no")</x:f>
        <x:v>no</x:v>
      </x:c>
      <x:c r="AH273" s="12" t="str">
        <x:f>IF(OR(H273="contextual",H273="dialogue",H273="discourse",I273="claim+context",I273="discourse_segment"),"yes","no")</x:f>
        <x:v>no</x:v>
      </x:c>
      <x:c r="AI273" s="12" t="str">
        <x:f>IF(OR(AH273="yes",AD273="debated",AC273="operational"),"yes","no")</x:f>
        <x:v>yes</x:v>
      </x:c>
      <x:c r="AJ273" s="12" t="str">
        <x:f>IF(OR(AH273="yes",AC273="operational",AD273="debated"),"high",IF(AND(AG273="yes",L273="P0"),"medium","low"))</x:f>
        <x:v>high</x:v>
      </x:c>
      <x:c r="AK273" s="12" t="str">
        <x:f>IF(ISNUMBER(SEARCH("healthy",AB273)),"yes","no")</x:f>
        <x:v>no</x:v>
      </x:c>
      <x:c r="AL273" s="12" t="str">
        <x:f>IF(AG273="yes","yes","candidate_only")</x:f>
        <x:v>candidate_only</x:v>
      </x:c>
      <x:c r="AM273" s="12" t="str">
        <x:f>IF(OR(AC273="canonical",AG273="yes"),"yes","recommended")</x:f>
        <x:v>recommended</x:v>
      </x:c>
      <x:c r="AN273" s="12" t="str">
        <x:f>IF(AC273="deprecated","exclude",IF(AND(AG273="yes",AJ273="high"),"import_but_human_review_required",IF(AG273="yes","import_as_active","import_as_backlog")))</x:f>
        <x:v>import_as_backlog</x:v>
      </x:c>
      <x:c r="AO273" s="12" t="str">
        <x:f>IF(AND(AG273="yes",OR(P273="",Q273="",R273="",S273="")),"missing_required_mvp_fields",IF(AND(AC273="canonical",Y273=""),"missing_source_ref","ok"))</x:f>
        <x:v>ok</x:v>
      </x:c>
      <x:c r="AP273" s="12" t="str">
        <x:f>IF(AO273="ok","ready_for_codex_import","needs_review")</x:f>
        <x:v>ready_for_codex_import</x:v>
      </x:c>
      <x:c r="AQ273" s="12"/>
      <x:c r="AR273" s="12" t="str">
        <x:v>Added v2 operational fields. Review before classification activation.</x:v>
      </x:c>
    </x:row>
    <x:row r="274">
      <x:c r="A274" s="13" t="str">
        <x:v>gambler_fallacy_canonical</x:v>
      </x:c>
      <x:c r="B274" s="13" t="str">
        <x:v>gambler_fallacy</x:v>
      </x:c>
      <x:c r="C274" s="13" t="str">
        <x:v>Gambler's fallacy</x:v>
      </x:c>
      <x:c r="D274" s="13" t="str">
        <x:v>مغالطه قمارباز</x:v>
      </x:c>
      <x:c r="E274" s="13" t="str">
        <x:v>Canonical form</x:v>
      </x:c>
      <x:c r="F274" s="13" t="str">
        <x:v>probabilistic_failures</x:v>
      </x:c>
      <x:c r="G274" s="13" t="str">
        <x:v>canonical</x:v>
      </x:c>
      <x:c r="H274" s="13" t="str">
        <x:v>contextual</x:v>
      </x:c>
      <x:c r="I274" s="13" t="str">
        <x:v>claim+context</x:v>
      </x:c>
      <x:c r="J274" s="13" t="str">
        <x:v>derived_operational_subtype</x:v>
      </x:c>
      <x:c r="K274" s="13" t="str">
        <x:v>derived_from_established_parent_review_required</x:v>
      </x:c>
      <x:c r="L274" s="13" t="str">
        <x:v>P2</x:v>
      </x:c>
      <x:c r="M274" s="13" t="str">
        <x:v>no</x:v>
      </x:c>
      <x:c r="N274" s="13" t="str">
        <x:v>Operational subtype under Gambler's fallacy: probability is misread in a standard recognizable way. Parent definition: Expecting random outcomes to self-correct over short sequences.</x:v>
      </x:c>
      <x:c r="O274" s="13" t="str">
        <x:v>Look for: explicit claim-level evidence; parent-family cues for Gambler's fallacy; variant cue: probability is misread in a standard recognizable way; avoid author-level inference.</x:v>
      </x:c>
      <x:c r="P274" s="13" t="str">
        <x:v>Exact evidence span in text plus claim-level reasoning link; for contextual/discourse entries, require surrounding context.</x:v>
      </x:c>
      <x:c r="Q274" s="13" t="str">
        <x:v>Do not label merely because topic is controversial, emotional, or wrong. Do not judge intent or personality. Require textual evidence and consider healthy-reasoning cues.</x:v>
      </x:c>
      <x:c r="R274" s="13" t="str">
        <x:v>Stub: A claim relies on probability is misread in a standard recognizable way to support a conclusion without adequate qualification.</x:v>
      </x:c>
      <x:c r="S274" s="13" t="str">
        <x:v>Stub: A claim discusses gambler's fallacy with caveats, balanced evidence, or no argumentative use of the pattern.</x:v>
      </x:c>
      <x:c r="T274" s="13" t="str">
        <x:v>Mild or ambiguous cue; do not classify without clear evidence span.</x:v>
      </x:c>
      <x:c r="U274" s="13" t="str">
        <x:v>Clear claim-level pattern with some argumentative impact.</x:v>
      </x:c>
      <x:c r="V274" s="13" t="str">
        <x:v>Strong pattern central to the conclusion and likely to materially distort reasoning.</x:v>
      </x:c>
      <x:c r="W274" s="13" t="str"/>
      <x:c r="X274" s="13" t="str">
        <x:v>kahneman_tversky_heuristics_1974</x:v>
      </x:c>
      <x:c r="Y274" s="13" t="str">
        <x:v>https://doi.org/10.1126/science.185.4157.1124</x:v>
      </x:c>
      <x:c r="Z274" s="13" t="str">
        <x:v>Review before enabling. This workbook is a living taxonomy scaffold, not a validated scientific benchmark.</x:v>
      </x:c>
      <x:c r="AA274" s="13" t="str">
        <x:v>0.1.0-draft</x:v>
      </x:c>
      <x:c r="AB274" s="12" t="str">
        <x:f>IF(ISNUMBER(SEARCH("healthy",F274)),"healthy_reasoning_patterns",IF(ISNUMBER(SEARCH("statistical",F274)),"statistical_reasoning",IF(ISNUMBER(SEARCH("causal",F274)),"causal_reasoning",IF(ISNUMBER(SEARCH("social",F274)),"social_influence",IF(ISNUMBER(SEARCH("rhetoric",F274)),"rhetoric_discourse",IF(ISNUMBER(SEARCH("behavior",F274)),"behavioural_economics",IF(ISNUMBER(SEARCH("cognitive",F274)),"cognitive_biases",IF(J274="protective_pattern","healthy_reasoning_patterns",IF(L274="P0","core_mvp","extended_fallacies")))))))))</x:f>
        <x:v>extended_fallacies</x:v>
      </x:c>
      <x:c r="AC274" s="12" t="str">
        <x:f>IF(ISNUMBER(SEARCH("operational",J274)),"operational",IF(ISNUMBER(SEARCH("deprecated",J274)),"deprecated",IF(L274="P0","canonical","recognized_subtype")))</x:f>
        <x:v>operational</x:v>
      </x:c>
      <x:c r="AD274" s="12" t="str">
        <x:f>IF(AC274="canonical","high",IF(AC274="recognized_subtype","medium",IF(AC274="operational","operational_only","debated")))</x:f>
        <x:v>operational_only</x:v>
      </x:c>
      <x:c r="AE274" s="12" t="str">
        <x:f>IF(AC274="deprecated","deprecated",IF(M274="yes","active",IF(M274="review","review_required","backlog")))</x:f>
        <x:v>backlog</x:v>
      </x:c>
      <x:c r="AF274" s="12" t="str">
        <x:f>IF(OR(AE274="active",AE274="review_required"),"yes","no")</x:f>
        <x:v>no</x:v>
      </x:c>
      <x:c r="AG274" s="12" t="str">
        <x:f>IF(AND(AE274="active",M274="yes",NOT(ISNUMBER(SEARCH("healthy",AB274)))),"yes","no")</x:f>
        <x:v>no</x:v>
      </x:c>
      <x:c r="AH274" s="12" t="str">
        <x:f>IF(OR(H274="contextual",H274="dialogue",H274="discourse",I274="claim+context",I274="discourse_segment"),"yes","no")</x:f>
        <x:v>yes</x:v>
      </x:c>
      <x:c r="AI274" s="12" t="str">
        <x:f>IF(OR(AH274="yes",AD274="debated",AC274="operational"),"yes","no")</x:f>
        <x:v>yes</x:v>
      </x:c>
      <x:c r="AJ274" s="12" t="str">
        <x:f>IF(OR(AH274="yes",AC274="operational",AD274="debated"),"high",IF(AND(AG274="yes",L274="P0"),"medium","low"))</x:f>
        <x:v>high</x:v>
      </x:c>
      <x:c r="AK274" s="12" t="str">
        <x:f>IF(ISNUMBER(SEARCH("healthy",AB274)),"yes","no")</x:f>
        <x:v>no</x:v>
      </x:c>
      <x:c r="AL274" s="12" t="str">
        <x:f>IF(AG274="yes","yes","candidate_only")</x:f>
        <x:v>candidate_only</x:v>
      </x:c>
      <x:c r="AM274" s="12" t="str">
        <x:f>IF(OR(AC274="canonical",AG274="yes"),"yes","recommended")</x:f>
        <x:v>recommended</x:v>
      </x:c>
      <x:c r="AN274" s="12" t="str">
        <x:f>IF(AC274="deprecated","exclude",IF(AND(AG274="yes",AJ274="high"),"import_but_human_review_required",IF(AG274="yes","import_as_active","import_as_backlog")))</x:f>
        <x:v>import_as_backlog</x:v>
      </x:c>
      <x:c r="AO274" s="12" t="str">
        <x:f>IF(AND(AG274="yes",OR(P274="",Q274="",R274="",S274="")),"missing_required_mvp_fields",IF(AND(AC274="canonical",Y274=""),"missing_source_ref","ok"))</x:f>
        <x:v>ok</x:v>
      </x:c>
      <x:c r="AP274" s="12" t="str">
        <x:f>IF(AO274="ok","ready_for_codex_import","needs_review")</x:f>
        <x:v>ready_for_codex_import</x:v>
      </x:c>
      <x:c r="AQ274" s="12"/>
      <x:c r="AR274" s="12" t="str">
        <x:v>Added v2 operational fields. Review before classification activation.</x:v>
      </x:c>
    </x:row>
    <x:row r="275">
      <x:c r="A275" s="13" t="str">
        <x:v>hot_hand_fallacy_canonical</x:v>
      </x:c>
      <x:c r="B275" s="13" t="str">
        <x:v>hot_hand_fallacy</x:v>
      </x:c>
      <x:c r="C275" s="13" t="str">
        <x:v>Hot-hand fallacy</x:v>
      </x:c>
      <x:c r="D275" s="13" t="str">
        <x:v>خطای دست داغ</x:v>
      </x:c>
      <x:c r="E275" s="13" t="str">
        <x:v>Canonical form</x:v>
      </x:c>
      <x:c r="F275" s="13" t="str">
        <x:v>probabilistic_failures</x:v>
      </x:c>
      <x:c r="G275" s="13" t="str">
        <x:v>canonical</x:v>
      </x:c>
      <x:c r="H275" s="13" t="str">
        <x:v>contextual</x:v>
      </x:c>
      <x:c r="I275" s="13" t="str">
        <x:v>claim+context</x:v>
      </x:c>
      <x:c r="J275" s="13" t="str">
        <x:v>derived_operational_subtype</x:v>
      </x:c>
      <x:c r="K275" s="13" t="str">
        <x:v>derived_from_established_parent_review_required</x:v>
      </x:c>
      <x:c r="L275" s="13" t="str">
        <x:v>P2</x:v>
      </x:c>
      <x:c r="M275" s="13" t="str">
        <x:v>no</x:v>
      </x:c>
      <x:c r="N275" s="13" t="str">
        <x:v>Operational subtype under Hot-hand fallacy: probability is misread in a standard recognizable way. Parent definition: Inferring persistent streak-based ability from random or noisy sequences.</x:v>
      </x:c>
      <x:c r="O275" s="13" t="str">
        <x:v>Look for: explicit claim-level evidence; parent-family cues for Hot-hand fallacy; variant cue: probability is misread in a standard recognizable way; avoid author-level inference.</x:v>
      </x:c>
      <x:c r="P275" s="13" t="str">
        <x:v>Exact evidence span in text plus claim-level reasoning link; for contextual/discourse entries, require surrounding context.</x:v>
      </x:c>
      <x:c r="Q275" s="13" t="str">
        <x:v>Do not label merely because topic is controversial, emotional, or wrong. Do not judge intent or personality. Require textual evidence and consider healthy-reasoning cues.</x:v>
      </x:c>
      <x:c r="R275" s="13" t="str">
        <x:v>Stub: A claim relies on probability is misread in a standard recognizable way to support a conclusion without adequate qualification.</x:v>
      </x:c>
      <x:c r="S275" s="13" t="str">
        <x:v>Stub: A claim discusses hot-hand fallacy with caveats, balanced evidence, or no argumentative use of the pattern.</x:v>
      </x:c>
      <x:c r="T275" s="13" t="str">
        <x:v>Mild or ambiguous cue; do not classify without clear evidence span.</x:v>
      </x:c>
      <x:c r="U275" s="13" t="str">
        <x:v>Clear claim-level pattern with some argumentative impact.</x:v>
      </x:c>
      <x:c r="V275" s="13" t="str">
        <x:v>Strong pattern central to the conclusion and likely to materially distort reasoning.</x:v>
      </x:c>
      <x:c r="W275" s="13" t="str"/>
      <x:c r="X275" s="13" t="str">
        <x:v>gilovich_heuristics_biases</x:v>
      </x:c>
      <x:c r="Y275" s="13" t="str">
        <x:v>https://www.cambridge.org/core/books/heuristics-and-biases/3C30D3B05D2F190C3B8BE5E2531EFD24</x:v>
      </x:c>
      <x:c r="Z275" s="13" t="str">
        <x:v>Review before enabling. This workbook is a living taxonomy scaffold, not a validated scientific benchmark.</x:v>
      </x:c>
      <x:c r="AA275" s="13" t="str">
        <x:v>0.1.0-draft</x:v>
      </x:c>
      <x:c r="AB275" s="12" t="str">
        <x:f>IF(ISNUMBER(SEARCH("healthy",F275)),"healthy_reasoning_patterns",IF(ISNUMBER(SEARCH("statistical",F275)),"statistical_reasoning",IF(ISNUMBER(SEARCH("causal",F275)),"causal_reasoning",IF(ISNUMBER(SEARCH("social",F275)),"social_influence",IF(ISNUMBER(SEARCH("rhetoric",F275)),"rhetoric_discourse",IF(ISNUMBER(SEARCH("behavior",F275)),"behavioural_economics",IF(ISNUMBER(SEARCH("cognitive",F275)),"cognitive_biases",IF(J275="protective_pattern","healthy_reasoning_patterns",IF(L275="P0","core_mvp","extended_fallacies")))))))))</x:f>
        <x:v>extended_fallacies</x:v>
      </x:c>
      <x:c r="AC275" s="12" t="str">
        <x:f>IF(ISNUMBER(SEARCH("operational",J275)),"operational",IF(ISNUMBER(SEARCH("deprecated",J275)),"deprecated",IF(L275="P0","canonical","recognized_subtype")))</x:f>
        <x:v>operational</x:v>
      </x:c>
      <x:c r="AD275" s="12" t="str">
        <x:f>IF(AC275="canonical","high",IF(AC275="recognized_subtype","medium",IF(AC275="operational","operational_only","debated")))</x:f>
        <x:v>operational_only</x:v>
      </x:c>
      <x:c r="AE275" s="12" t="str">
        <x:f>IF(AC275="deprecated","deprecated",IF(M275="yes","active",IF(M275="review","review_required","backlog")))</x:f>
        <x:v>backlog</x:v>
      </x:c>
      <x:c r="AF275" s="12" t="str">
        <x:f>IF(OR(AE275="active",AE275="review_required"),"yes","no")</x:f>
        <x:v>no</x:v>
      </x:c>
      <x:c r="AG275" s="12" t="str">
        <x:f>IF(AND(AE275="active",M275="yes",NOT(ISNUMBER(SEARCH("healthy",AB275)))),"yes","no")</x:f>
        <x:v>no</x:v>
      </x:c>
      <x:c r="AH275" s="12" t="str">
        <x:f>IF(OR(H275="contextual",H275="dialogue",H275="discourse",I275="claim+context",I275="discourse_segment"),"yes","no")</x:f>
        <x:v>yes</x:v>
      </x:c>
      <x:c r="AI275" s="12" t="str">
        <x:f>IF(OR(AH275="yes",AD275="debated",AC275="operational"),"yes","no")</x:f>
        <x:v>yes</x:v>
      </x:c>
      <x:c r="AJ275" s="12" t="str">
        <x:f>IF(OR(AH275="yes",AC275="operational",AD275="debated"),"high",IF(AND(AG275="yes",L275="P0"),"medium","low"))</x:f>
        <x:v>high</x:v>
      </x:c>
      <x:c r="AK275" s="12" t="str">
        <x:f>IF(ISNUMBER(SEARCH("healthy",AB275)),"yes","no")</x:f>
        <x:v>no</x:v>
      </x:c>
      <x:c r="AL275" s="12" t="str">
        <x:f>IF(AG275="yes","yes","candidate_only")</x:f>
        <x:v>candidate_only</x:v>
      </x:c>
      <x:c r="AM275" s="12" t="str">
        <x:f>IF(OR(AC275="canonical",AG275="yes"),"yes","recommended")</x:f>
        <x:v>recommended</x:v>
      </x:c>
      <x:c r="AN275" s="12" t="str">
        <x:f>IF(AC275="deprecated","exclude",IF(AND(AG275="yes",AJ275="high"),"import_but_human_review_required",IF(AG275="yes","import_as_active","import_as_backlog")))</x:f>
        <x:v>import_as_backlog</x:v>
      </x:c>
      <x:c r="AO275" s="12" t="str">
        <x:f>IF(AND(AG275="yes",OR(P275="",Q275="",R275="",S275="")),"missing_required_mvp_fields",IF(AND(AC275="canonical",Y275=""),"missing_source_ref","ok"))</x:f>
        <x:v>ok</x:v>
      </x:c>
      <x:c r="AP275" s="12" t="str">
        <x:f>IF(AO275="ok","ready_for_codex_import","needs_review")</x:f>
        <x:v>ready_for_codex_import</x:v>
      </x:c>
      <x:c r="AQ275" s="12"/>
      <x:c r="AR275" s="12" t="str">
        <x:v>Added v2 operational fields. Review before classification activation.</x:v>
      </x:c>
    </x:row>
    <x:row r="276">
      <x:c r="A276" s="13" t="str">
        <x:v>regression_to_mean_neglect_canonical</x:v>
      </x:c>
      <x:c r="B276" s="13" t="str">
        <x:v>regression_to_mean_neglect</x:v>
      </x:c>
      <x:c r="C276" s="13" t="str">
        <x:v>Regression-to-mean neglect</x:v>
      </x:c>
      <x:c r="D276" s="13" t="str">
        <x:v>نادیده‌گرفتن بازگشت به میانگین</x:v>
      </x:c>
      <x:c r="E276" s="13" t="str">
        <x:v>Canonical form</x:v>
      </x:c>
      <x:c r="F276" s="13" t="str">
        <x:v>probabilistic_failures</x:v>
      </x:c>
      <x:c r="G276" s="13" t="str">
        <x:v>canonical</x:v>
      </x:c>
      <x:c r="H276" s="13" t="str">
        <x:v>contextual</x:v>
      </x:c>
      <x:c r="I276" s="13" t="str">
        <x:v>claim+context</x:v>
      </x:c>
      <x:c r="J276" s="13" t="str">
        <x:v>derived_operational_subtype</x:v>
      </x:c>
      <x:c r="K276" s="13" t="str">
        <x:v>derived_from_established_parent_review_required</x:v>
      </x:c>
      <x:c r="L276" s="13" t="str">
        <x:v>P2</x:v>
      </x:c>
      <x:c r="M276" s="13" t="str">
        <x:v>no</x:v>
      </x:c>
      <x:c r="N276" s="13" t="str">
        <x:v>Operational subtype under Regression-to-mean neglect: probability is misread in a standard recognizable way. Parent definition: Explaining natural reversion as if it were caused by an intervention.</x:v>
      </x:c>
      <x:c r="O276" s="13" t="str">
        <x:v>Look for: explicit claim-level evidence; parent-family cues for Regression-to-mean neglect; variant cue: probability is misread in a standard recognizable way; avoid author-level inference.</x:v>
      </x:c>
      <x:c r="P276" s="13" t="str">
        <x:v>Exact evidence span in text plus claim-level reasoning link; for contextual/discourse entries, require surrounding context.</x:v>
      </x:c>
      <x:c r="Q276" s="13" t="str">
        <x:v>Do not label merely because topic is controversial, emotional, or wrong. Do not judge intent or personality. Require textual evidence and consider healthy-reasoning cues.</x:v>
      </x:c>
      <x:c r="R276" s="13" t="str">
        <x:v>Stub: A claim relies on probability is misread in a standard recognizable way to support a conclusion without adequate qualification.</x:v>
      </x:c>
      <x:c r="S276" s="13" t="str">
        <x:v>Stub: A claim discusses regression-to-mean neglect with caveats, balanced evidence, or no argumentative use of the pattern.</x:v>
      </x:c>
      <x:c r="T276" s="13" t="str">
        <x:v>Mild or ambiguous cue; do not classify without clear evidence span.</x:v>
      </x:c>
      <x:c r="U276" s="13" t="str">
        <x:v>Clear claim-level pattern with some argumentative impact.</x:v>
      </x:c>
      <x:c r="V276" s="13" t="str">
        <x:v>Strong pattern central to the conclusion and likely to materially distort reasoning.</x:v>
      </x:c>
      <x:c r="W276" s="13" t="str"/>
      <x:c r="X276" s="13" t="str">
        <x:v>kahneman_tversky_heuristics_1974</x:v>
      </x:c>
      <x:c r="Y276" s="13" t="str">
        <x:v>https://doi.org/10.1126/science.185.4157.1124</x:v>
      </x:c>
      <x:c r="Z276" s="13" t="str">
        <x:v>Review before enabling. This workbook is a living taxonomy scaffold, not a validated scientific benchmark.</x:v>
      </x:c>
      <x:c r="AA276" s="13" t="str">
        <x:v>0.1.0-draft</x:v>
      </x:c>
      <x:c r="AB276" s="12" t="str">
        <x:f>IF(ISNUMBER(SEARCH("healthy",F276)),"healthy_reasoning_patterns",IF(ISNUMBER(SEARCH("statistical",F276)),"statistical_reasoning",IF(ISNUMBER(SEARCH("causal",F276)),"causal_reasoning",IF(ISNUMBER(SEARCH("social",F276)),"social_influence",IF(ISNUMBER(SEARCH("rhetoric",F276)),"rhetoric_discourse",IF(ISNUMBER(SEARCH("behavior",F276)),"behavioural_economics",IF(ISNUMBER(SEARCH("cognitive",F276)),"cognitive_biases",IF(J276="protective_pattern","healthy_reasoning_patterns",IF(L276="P0","core_mvp","extended_fallacies")))))))))</x:f>
        <x:v>extended_fallacies</x:v>
      </x:c>
      <x:c r="AC276" s="12" t="str">
        <x:f>IF(ISNUMBER(SEARCH("operational",J276)),"operational",IF(ISNUMBER(SEARCH("deprecated",J276)),"deprecated",IF(L276="P0","canonical","recognized_subtype")))</x:f>
        <x:v>operational</x:v>
      </x:c>
      <x:c r="AD276" s="12" t="str">
        <x:f>IF(AC276="canonical","high",IF(AC276="recognized_subtype","medium",IF(AC276="operational","operational_only","debated")))</x:f>
        <x:v>operational_only</x:v>
      </x:c>
      <x:c r="AE276" s="12" t="str">
        <x:f>IF(AC276="deprecated","deprecated",IF(M276="yes","active",IF(M276="review","review_required","backlog")))</x:f>
        <x:v>backlog</x:v>
      </x:c>
      <x:c r="AF276" s="12" t="str">
        <x:f>IF(OR(AE276="active",AE276="review_required"),"yes","no")</x:f>
        <x:v>no</x:v>
      </x:c>
      <x:c r="AG276" s="12" t="str">
        <x:f>IF(AND(AE276="active",M276="yes",NOT(ISNUMBER(SEARCH("healthy",AB276)))),"yes","no")</x:f>
        <x:v>no</x:v>
      </x:c>
      <x:c r="AH276" s="12" t="str">
        <x:f>IF(OR(H276="contextual",H276="dialogue",H276="discourse",I276="claim+context",I276="discourse_segment"),"yes","no")</x:f>
        <x:v>yes</x:v>
      </x:c>
      <x:c r="AI276" s="12" t="str">
        <x:f>IF(OR(AH276="yes",AD276="debated",AC276="operational"),"yes","no")</x:f>
        <x:v>yes</x:v>
      </x:c>
      <x:c r="AJ276" s="12" t="str">
        <x:f>IF(OR(AH276="yes",AC276="operational",AD276="debated"),"high",IF(AND(AG276="yes",L276="P0"),"medium","low"))</x:f>
        <x:v>high</x:v>
      </x:c>
      <x:c r="AK276" s="12" t="str">
        <x:f>IF(ISNUMBER(SEARCH("healthy",AB276)),"yes","no")</x:f>
        <x:v>no</x:v>
      </x:c>
      <x:c r="AL276" s="12" t="str">
        <x:f>IF(AG276="yes","yes","candidate_only")</x:f>
        <x:v>candidate_only</x:v>
      </x:c>
      <x:c r="AM276" s="12" t="str">
        <x:f>IF(OR(AC276="canonical",AG276="yes"),"yes","recommended")</x:f>
        <x:v>recommended</x:v>
      </x:c>
      <x:c r="AN276" s="12" t="str">
        <x:f>IF(AC276="deprecated","exclude",IF(AND(AG276="yes",AJ276="high"),"import_but_human_review_required",IF(AG276="yes","import_as_active","import_as_backlog")))</x:f>
        <x:v>import_as_backlog</x:v>
      </x:c>
      <x:c r="AO276" s="12" t="str">
        <x:f>IF(AND(AG276="yes",OR(P276="",Q276="",R276="",S276="")),"missing_required_mvp_fields",IF(AND(AC276="canonical",Y276=""),"missing_source_ref","ok"))</x:f>
        <x:v>ok</x:v>
      </x:c>
      <x:c r="AP276" s="12" t="str">
        <x:f>IF(AO276="ok","ready_for_codex_import","needs_review")</x:f>
        <x:v>ready_for_codex_import</x:v>
      </x:c>
      <x:c r="AQ276" s="12"/>
      <x:c r="AR276" s="12" t="str">
        <x:v>Added v2 operational fields. Review before classification activation.</x:v>
      </x:c>
    </x:row>
    <x:row r="277">
      <x:c r="A277" s="13" t="str">
        <x:v>inverse_probability_error_canonical</x:v>
      </x:c>
      <x:c r="B277" s="13" t="str">
        <x:v>inverse_probability_error</x:v>
      </x:c>
      <x:c r="C277" s="13" t="str">
        <x:v>Inverse probability error</x:v>
      </x:c>
      <x:c r="D277" s="13" t="str">
        <x:v>اشتباه احتمال معکوس</x:v>
      </x:c>
      <x:c r="E277" s="13" t="str">
        <x:v>Canonical form</x:v>
      </x:c>
      <x:c r="F277" s="13" t="str">
        <x:v>probabilistic_failures</x:v>
      </x:c>
      <x:c r="G277" s="13" t="str">
        <x:v>canonical</x:v>
      </x:c>
      <x:c r="H277" s="13" t="str">
        <x:v>structural</x:v>
      </x:c>
      <x:c r="I277" s="13" t="str">
        <x:v>claim</x:v>
      </x:c>
      <x:c r="J277" s="13" t="str">
        <x:v>derived_operational_subtype</x:v>
      </x:c>
      <x:c r="K277" s="13" t="str">
        <x:v>derived_from_established_parent_review_required</x:v>
      </x:c>
      <x:c r="L277" s="13" t="str">
        <x:v>P2</x:v>
      </x:c>
      <x:c r="M277" s="13" t="str">
        <x:v>no</x:v>
      </x:c>
      <x:c r="N277" s="13" t="str">
        <x:v>Operational subtype under Inverse probability error: probability is misread in a standard recognizable way. Parent definition: Confusing P(A|B) with P(B|A).</x:v>
      </x:c>
      <x:c r="O277" s="13" t="str">
        <x:v>Look for: explicit claim-level evidence; parent-family cues for Inverse probability error; variant cue: probability is misread in a standard recognizable way; avoid author-level inference.</x:v>
      </x:c>
      <x:c r="P277" s="13" t="str">
        <x:v>Exact evidence span in text plus claim-level reasoning link; for contextual/discourse entries, require surrounding context.</x:v>
      </x:c>
      <x:c r="Q277" s="13" t="str">
        <x:v>Do not label merely because topic is controversial, emotional, or wrong. Do not judge intent or personality. Require textual evidence and consider healthy-reasoning cues.</x:v>
      </x:c>
      <x:c r="R277" s="13" t="str">
        <x:v>Stub: A claim relies on probability is misread in a standard recognizable way to support a conclusion without adequate qualification.</x:v>
      </x:c>
      <x:c r="S277" s="13" t="str">
        <x:v>Stub: A claim discusses inverse probability error with caveats, balanced evidence, or no argumentative use of the pattern.</x:v>
      </x:c>
      <x:c r="T277" s="13" t="str">
        <x:v>Mild or ambiguous cue; do not classify without clear evidence span.</x:v>
      </x:c>
      <x:c r="U277" s="13" t="str">
        <x:v>Clear claim-level pattern with some argumentative impact.</x:v>
      </x:c>
      <x:c r="V277" s="13" t="str">
        <x:v>Strong pattern central to the conclusion and likely to materially distort reasoning.</x:v>
      </x:c>
      <x:c r="W277" s="13" t="str"/>
      <x:c r="X277" s="13" t="str">
        <x:v>stanovich_dual_process</x:v>
      </x:c>
      <x:c r="Y277" s="13" t="str">
        <x:v>https://global.oup.com/academic/product/rationality-and-the-reflective-mind-9780195341140</x:v>
      </x:c>
      <x:c r="Z277" s="13" t="str">
        <x:v>Review before enabling. This workbook is a living taxonomy scaffold, not a validated scientific benchmark.</x:v>
      </x:c>
      <x:c r="AA277" s="13" t="str">
        <x:v>0.1.0-draft</x:v>
      </x:c>
      <x:c r="AB277" s="12" t="str">
        <x:f>IF(ISNUMBER(SEARCH("healthy",F277)),"healthy_reasoning_patterns",IF(ISNUMBER(SEARCH("statistical",F277)),"statistical_reasoning",IF(ISNUMBER(SEARCH("causal",F277)),"causal_reasoning",IF(ISNUMBER(SEARCH("social",F277)),"social_influence",IF(ISNUMBER(SEARCH("rhetoric",F277)),"rhetoric_discourse",IF(ISNUMBER(SEARCH("behavior",F277)),"behavioural_economics",IF(ISNUMBER(SEARCH("cognitive",F277)),"cognitive_biases",IF(J277="protective_pattern","healthy_reasoning_patterns",IF(L277="P0","core_mvp","extended_fallacies")))))))))</x:f>
        <x:v>extended_fallacies</x:v>
      </x:c>
      <x:c r="AC277" s="12" t="str">
        <x:f>IF(ISNUMBER(SEARCH("operational",J277)),"operational",IF(ISNUMBER(SEARCH("deprecated",J277)),"deprecated",IF(L277="P0","canonical","recognized_subtype")))</x:f>
        <x:v>operational</x:v>
      </x:c>
      <x:c r="AD277" s="12" t="str">
        <x:f>IF(AC277="canonical","high",IF(AC277="recognized_subtype","medium",IF(AC277="operational","operational_only","debated")))</x:f>
        <x:v>operational_only</x:v>
      </x:c>
      <x:c r="AE277" s="12" t="str">
        <x:f>IF(AC277="deprecated","deprecated",IF(M277="yes","active",IF(M277="review","review_required","backlog")))</x:f>
        <x:v>backlog</x:v>
      </x:c>
      <x:c r="AF277" s="12" t="str">
        <x:f>IF(OR(AE277="active",AE277="review_required"),"yes","no")</x:f>
        <x:v>no</x:v>
      </x:c>
      <x:c r="AG277" s="12" t="str">
        <x:f>IF(AND(AE277="active",M277="yes",NOT(ISNUMBER(SEARCH("healthy",AB277)))),"yes","no")</x:f>
        <x:v>no</x:v>
      </x:c>
      <x:c r="AH277" s="12" t="str">
        <x:f>IF(OR(H277="contextual",H277="dialogue",H277="discourse",I277="claim+context",I277="discourse_segment"),"yes","no")</x:f>
        <x:v>no</x:v>
      </x:c>
      <x:c r="AI277" s="12" t="str">
        <x:f>IF(OR(AH277="yes",AD277="debated",AC277="operational"),"yes","no")</x:f>
        <x:v>yes</x:v>
      </x:c>
      <x:c r="AJ277" s="12" t="str">
        <x:f>IF(OR(AH277="yes",AC277="operational",AD277="debated"),"high",IF(AND(AG277="yes",L277="P0"),"medium","low"))</x:f>
        <x:v>high</x:v>
      </x:c>
      <x:c r="AK277" s="12" t="str">
        <x:f>IF(ISNUMBER(SEARCH("healthy",AB277)),"yes","no")</x:f>
        <x:v>no</x:v>
      </x:c>
      <x:c r="AL277" s="12" t="str">
        <x:f>IF(AG277="yes","yes","candidate_only")</x:f>
        <x:v>candidate_only</x:v>
      </x:c>
      <x:c r="AM277" s="12" t="str">
        <x:f>IF(OR(AC277="canonical",AG277="yes"),"yes","recommended")</x:f>
        <x:v>recommended</x:v>
      </x:c>
      <x:c r="AN277" s="12" t="str">
        <x:f>IF(AC277="deprecated","exclude",IF(AND(AG277="yes",AJ277="high"),"import_but_human_review_required",IF(AG277="yes","import_as_active","import_as_backlog")))</x:f>
        <x:v>import_as_backlog</x:v>
      </x:c>
      <x:c r="AO277" s="12" t="str">
        <x:f>IF(AND(AG277="yes",OR(P277="",Q277="",R277="",S277="")),"missing_required_mvp_fields",IF(AND(AC277="canonical",Y277=""),"missing_source_ref","ok"))</x:f>
        <x:v>ok</x:v>
      </x:c>
      <x:c r="AP277" s="12" t="str">
        <x:f>IF(AO277="ok","ready_for_codex_import","needs_review")</x:f>
        <x:v>ready_for_codex_import</x:v>
      </x:c>
      <x:c r="AQ277" s="12"/>
      <x:c r="AR277" s="12" t="str">
        <x:v>Added v2 operational fields. Review before classification activation.</x:v>
      </x:c>
    </x:row>
    <x:row r="278">
      <x:c r="A278" s="13" t="str">
        <x:v>prosecutor_fallacy_canonical</x:v>
      </x:c>
      <x:c r="B278" s="13" t="str">
        <x:v>prosecutor_fallacy</x:v>
      </x:c>
      <x:c r="C278" s="13" t="str">
        <x:v>Prosecutor's fallacy</x:v>
      </x:c>
      <x:c r="D278" s="13" t="str">
        <x:v>مغالطه دادستان</x:v>
      </x:c>
      <x:c r="E278" s="13" t="str">
        <x:v>Canonical form</x:v>
      </x:c>
      <x:c r="F278" s="13" t="str">
        <x:v>probabilistic_failures</x:v>
      </x:c>
      <x:c r="G278" s="13" t="str">
        <x:v>canonical</x:v>
      </x:c>
      <x:c r="H278" s="13" t="str">
        <x:v>structural</x:v>
      </x:c>
      <x:c r="I278" s="13" t="str">
        <x:v>claim</x:v>
      </x:c>
      <x:c r="J278" s="13" t="str">
        <x:v>derived_operational_subtype</x:v>
      </x:c>
      <x:c r="K278" s="13" t="str">
        <x:v>derived_from_established_parent_review_required</x:v>
      </x:c>
      <x:c r="L278" s="13" t="str">
        <x:v>P2</x:v>
      </x:c>
      <x:c r="M278" s="13" t="str">
        <x:v>no</x:v>
      </x:c>
      <x:c r="N278" s="13" t="str">
        <x:v>Operational subtype under Prosecutor's fallacy: probability is misread in a standard recognizable way. Parent definition: Overstating evidential strength by confusing match probability with guilt probability.</x:v>
      </x:c>
      <x:c r="O278" s="13" t="str">
        <x:v>Look for: explicit claim-level evidence; parent-family cues for Prosecutor's fallacy; variant cue: probability is misread in a standard recognizable way; avoid author-level inference.</x:v>
      </x:c>
      <x:c r="P278" s="13" t="str">
        <x:v>Exact evidence span in text plus claim-level reasoning link; for contextual/discourse entries, require surrounding context.</x:v>
      </x:c>
      <x:c r="Q278" s="13" t="str">
        <x:v>Do not label merely because topic is controversial, emotional, or wrong. Do not judge intent or personality. Require textual evidence and consider healthy-reasoning cues.</x:v>
      </x:c>
      <x:c r="R278" s="13" t="str">
        <x:v>Stub: A claim relies on probability is misread in a standard recognizable way to support a conclusion without adequate qualification.</x:v>
      </x:c>
      <x:c r="S278" s="13" t="str">
        <x:v>Stub: A claim discusses prosecutor's fallacy with caveats, balanced evidence, or no argumentative use of the pattern.</x:v>
      </x:c>
      <x:c r="T278" s="13" t="str">
        <x:v>Mild or ambiguous cue; do not classify without clear evidence span.</x:v>
      </x:c>
      <x:c r="U278" s="13" t="str">
        <x:v>Clear claim-level pattern with some argumentative impact.</x:v>
      </x:c>
      <x:c r="V278" s="13" t="str">
        <x:v>Strong pattern central to the conclusion and likely to materially distort reasoning.</x:v>
      </x:c>
      <x:c r="W278" s="13" t="str"/>
      <x:c r="X278" s="13" t="str">
        <x:v>stanovich_dual_process</x:v>
      </x:c>
      <x:c r="Y278" s="13" t="str">
        <x:v>https://global.oup.com/academic/product/rationality-and-the-reflective-mind-9780195341140</x:v>
      </x:c>
      <x:c r="Z278" s="13" t="str">
        <x:v>Review before enabling. This workbook is a living taxonomy scaffold, not a validated scientific benchmark.</x:v>
      </x:c>
      <x:c r="AA278" s="13" t="str">
        <x:v>0.1.0-draft</x:v>
      </x:c>
      <x:c r="AB278" s="12" t="str">
        <x:f>IF(ISNUMBER(SEARCH("healthy",F278)),"healthy_reasoning_patterns",IF(ISNUMBER(SEARCH("statistical",F278)),"statistical_reasoning",IF(ISNUMBER(SEARCH("causal",F278)),"causal_reasoning",IF(ISNUMBER(SEARCH("social",F278)),"social_influence",IF(ISNUMBER(SEARCH("rhetoric",F278)),"rhetoric_discourse",IF(ISNUMBER(SEARCH("behavior",F278)),"behavioural_economics",IF(ISNUMBER(SEARCH("cognitive",F278)),"cognitive_biases",IF(J278="protective_pattern","healthy_reasoning_patterns",IF(L278="P0","core_mvp","extended_fallacies")))))))))</x:f>
        <x:v>extended_fallacies</x:v>
      </x:c>
      <x:c r="AC278" s="12" t="str">
        <x:f>IF(ISNUMBER(SEARCH("operational",J278)),"operational",IF(ISNUMBER(SEARCH("deprecated",J278)),"deprecated",IF(L278="P0","canonical","recognized_subtype")))</x:f>
        <x:v>operational</x:v>
      </x:c>
      <x:c r="AD278" s="12" t="str">
        <x:f>IF(AC278="canonical","high",IF(AC278="recognized_subtype","medium",IF(AC278="operational","operational_only","debated")))</x:f>
        <x:v>operational_only</x:v>
      </x:c>
      <x:c r="AE278" s="12" t="str">
        <x:f>IF(AC278="deprecated","deprecated",IF(M278="yes","active",IF(M278="review","review_required","backlog")))</x:f>
        <x:v>backlog</x:v>
      </x:c>
      <x:c r="AF278" s="12" t="str">
        <x:f>IF(OR(AE278="active",AE278="review_required"),"yes","no")</x:f>
        <x:v>no</x:v>
      </x:c>
      <x:c r="AG278" s="12" t="str">
        <x:f>IF(AND(AE278="active",M278="yes",NOT(ISNUMBER(SEARCH("healthy",AB278)))),"yes","no")</x:f>
        <x:v>no</x:v>
      </x:c>
      <x:c r="AH278" s="12" t="str">
        <x:f>IF(OR(H278="contextual",H278="dialogue",H278="discourse",I278="claim+context",I278="discourse_segment"),"yes","no")</x:f>
        <x:v>no</x:v>
      </x:c>
      <x:c r="AI278" s="12" t="str">
        <x:f>IF(OR(AH278="yes",AD278="debated",AC278="operational"),"yes","no")</x:f>
        <x:v>yes</x:v>
      </x:c>
      <x:c r="AJ278" s="12" t="str">
        <x:f>IF(OR(AH278="yes",AC278="operational",AD278="debated"),"high",IF(AND(AG278="yes",L278="P0"),"medium","low"))</x:f>
        <x:v>high</x:v>
      </x:c>
      <x:c r="AK278" s="12" t="str">
        <x:f>IF(ISNUMBER(SEARCH("healthy",AB278)),"yes","no")</x:f>
        <x:v>no</x:v>
      </x:c>
      <x:c r="AL278" s="12" t="str">
        <x:f>IF(AG278="yes","yes","candidate_only")</x:f>
        <x:v>candidate_only</x:v>
      </x:c>
      <x:c r="AM278" s="12" t="str">
        <x:f>IF(OR(AC278="canonical",AG278="yes"),"yes","recommended")</x:f>
        <x:v>recommended</x:v>
      </x:c>
      <x:c r="AN278" s="12" t="str">
        <x:f>IF(AC278="deprecated","exclude",IF(AND(AG278="yes",AJ278="high"),"import_but_human_review_required",IF(AG278="yes","import_as_active","import_as_backlog")))</x:f>
        <x:v>import_as_backlog</x:v>
      </x:c>
      <x:c r="AO278" s="12" t="str">
        <x:f>IF(AND(AG278="yes",OR(P278="",Q278="",R278="",S278="")),"missing_required_mvp_fields",IF(AND(AC278="canonical",Y278=""),"missing_source_ref","ok"))</x:f>
        <x:v>ok</x:v>
      </x:c>
      <x:c r="AP278" s="12" t="str">
        <x:f>IF(AO278="ok","ready_for_codex_import","needs_review")</x:f>
        <x:v>ready_for_codex_import</x:v>
      </x:c>
      <x:c r="AQ278" s="12"/>
      <x:c r="AR278" s="12" t="str">
        <x:v>Added v2 operational fields. Review before classification activation.</x:v>
      </x:c>
    </x:row>
    <x:row r="279">
      <x:c r="A279" s="13" t="str">
        <x:v>denominator_neglect_canonical</x:v>
      </x:c>
      <x:c r="B279" s="13" t="str">
        <x:v>denominator_neglect</x:v>
      </x:c>
      <x:c r="C279" s="13" t="str">
        <x:v>Denominator neglect</x:v>
      </x:c>
      <x:c r="D279" s="13" t="str">
        <x:v>نادیده‌گرفتن مخرج</x:v>
      </x:c>
      <x:c r="E279" s="13" t="str">
        <x:v>Canonical form</x:v>
      </x:c>
      <x:c r="F279" s="13" t="str">
        <x:v>probabilistic_failures</x:v>
      </x:c>
      <x:c r="G279" s="13" t="str">
        <x:v>canonical</x:v>
      </x:c>
      <x:c r="H279" s="13" t="str">
        <x:v>lexical</x:v>
      </x:c>
      <x:c r="I279" s="13" t="str">
        <x:v>claim</x:v>
      </x:c>
      <x:c r="J279" s="13" t="str">
        <x:v>derived_operational_subtype</x:v>
      </x:c>
      <x:c r="K279" s="13" t="str">
        <x:v>derived_from_established_parent_review_required</x:v>
      </x:c>
      <x:c r="L279" s="13" t="str">
        <x:v>P2</x:v>
      </x:c>
      <x:c r="M279" s="13" t="str">
        <x:v>no</x:v>
      </x:c>
      <x:c r="N279" s="13" t="str">
        <x:v>Operational subtype under Denominator neglect: probability is misread in a standard recognizable way. Parent definition: Focusing on counts while ignoring the denominator or exposure base.</x:v>
      </x:c>
      <x:c r="O279" s="13" t="str">
        <x:v>Look for: explicit claim-level evidence; parent-family cues for Denominator neglect; variant cue: probability is misread in a standard recognizable way; avoid author-level inference.</x:v>
      </x:c>
      <x:c r="P279" s="13" t="str">
        <x:v>Exact evidence span in text plus claim-level reasoning link; for contextual/discourse entries, require surrounding context.</x:v>
      </x:c>
      <x:c r="Q279" s="13" t="str">
        <x:v>Do not label merely because topic is controversial, emotional, or wrong. Do not judge intent or personality. Require textual evidence and consider healthy-reasoning cues.</x:v>
      </x:c>
      <x:c r="R279" s="13" t="str">
        <x:v>Stub: A claim relies on probability is misread in a standard recognizable way to support a conclusion without adequate qualification.</x:v>
      </x:c>
      <x:c r="S279" s="13" t="str">
        <x:v>Stub: A claim discusses denominator neglect with caveats, balanced evidence, or no argumentative use of the pattern.</x:v>
      </x:c>
      <x:c r="T279" s="13" t="str">
        <x:v>Mild or ambiguous cue; do not classify without clear evidence span.</x:v>
      </x:c>
      <x:c r="U279" s="13" t="str">
        <x:v>Clear claim-level pattern with some argumentative impact.</x:v>
      </x:c>
      <x:c r="V279" s="13" t="str">
        <x:v>Strong pattern central to the conclusion and likely to materially distort reasoning.</x:v>
      </x:c>
      <x:c r="W279" s="13" t="str"/>
      <x:c r="X279" s="13" t="str">
        <x:v>kahneman_tversky_heuristics_1974</x:v>
      </x:c>
      <x:c r="Y279" s="13" t="str">
        <x:v>https://doi.org/10.1126/science.185.4157.1124</x:v>
      </x:c>
      <x:c r="Z279" s="13" t="str">
        <x:v>Review before enabling. This workbook is a living taxonomy scaffold, not a validated scientific benchmark.</x:v>
      </x:c>
      <x:c r="AA279" s="13" t="str">
        <x:v>0.1.0-draft</x:v>
      </x:c>
      <x:c r="AB279" s="12" t="str">
        <x:f>IF(ISNUMBER(SEARCH("healthy",F279)),"healthy_reasoning_patterns",IF(ISNUMBER(SEARCH("statistical",F279)),"statistical_reasoning",IF(ISNUMBER(SEARCH("causal",F279)),"causal_reasoning",IF(ISNUMBER(SEARCH("social",F279)),"social_influence",IF(ISNUMBER(SEARCH("rhetoric",F279)),"rhetoric_discourse",IF(ISNUMBER(SEARCH("behavior",F279)),"behavioural_economics",IF(ISNUMBER(SEARCH("cognitive",F279)),"cognitive_biases",IF(J279="protective_pattern","healthy_reasoning_patterns",IF(L279="P0","core_mvp","extended_fallacies")))))))))</x:f>
        <x:v>extended_fallacies</x:v>
      </x:c>
      <x:c r="AC279" s="12" t="str">
        <x:f>IF(ISNUMBER(SEARCH("operational",J279)),"operational",IF(ISNUMBER(SEARCH("deprecated",J279)),"deprecated",IF(L279="P0","canonical","recognized_subtype")))</x:f>
        <x:v>operational</x:v>
      </x:c>
      <x:c r="AD279" s="12" t="str">
        <x:f>IF(AC279="canonical","high",IF(AC279="recognized_subtype","medium",IF(AC279="operational","operational_only","debated")))</x:f>
        <x:v>operational_only</x:v>
      </x:c>
      <x:c r="AE279" s="12" t="str">
        <x:f>IF(AC279="deprecated","deprecated",IF(M279="yes","active",IF(M279="review","review_required","backlog")))</x:f>
        <x:v>backlog</x:v>
      </x:c>
      <x:c r="AF279" s="12" t="str">
        <x:f>IF(OR(AE279="active",AE279="review_required"),"yes","no")</x:f>
        <x:v>no</x:v>
      </x:c>
      <x:c r="AG279" s="12" t="str">
        <x:f>IF(AND(AE279="active",M279="yes",NOT(ISNUMBER(SEARCH("healthy",AB279)))),"yes","no")</x:f>
        <x:v>no</x:v>
      </x:c>
      <x:c r="AH279" s="12" t="str">
        <x:f>IF(OR(H279="contextual",H279="dialogue",H279="discourse",I279="claim+context",I279="discourse_segment"),"yes","no")</x:f>
        <x:v>no</x:v>
      </x:c>
      <x:c r="AI279" s="12" t="str">
        <x:f>IF(OR(AH279="yes",AD279="debated",AC279="operational"),"yes","no")</x:f>
        <x:v>yes</x:v>
      </x:c>
      <x:c r="AJ279" s="12" t="str">
        <x:f>IF(OR(AH279="yes",AC279="operational",AD279="debated"),"high",IF(AND(AG279="yes",L279="P0"),"medium","low"))</x:f>
        <x:v>high</x:v>
      </x:c>
      <x:c r="AK279" s="12" t="str">
        <x:f>IF(ISNUMBER(SEARCH("healthy",AB279)),"yes","no")</x:f>
        <x:v>no</x:v>
      </x:c>
      <x:c r="AL279" s="12" t="str">
        <x:f>IF(AG279="yes","yes","candidate_only")</x:f>
        <x:v>candidate_only</x:v>
      </x:c>
      <x:c r="AM279" s="12" t="str">
        <x:f>IF(OR(AC279="canonical",AG279="yes"),"yes","recommended")</x:f>
        <x:v>recommended</x:v>
      </x:c>
      <x:c r="AN279" s="12" t="str">
        <x:f>IF(AC279="deprecated","exclude",IF(AND(AG279="yes",AJ279="high"),"import_but_human_review_required",IF(AG279="yes","import_as_active","import_as_backlog")))</x:f>
        <x:v>import_as_backlog</x:v>
      </x:c>
      <x:c r="AO279" s="12" t="str">
        <x:f>IF(AND(AG279="yes",OR(P279="",Q279="",R279="",S279="")),"missing_required_mvp_fields",IF(AND(AC279="canonical",Y279=""),"missing_source_ref","ok"))</x:f>
        <x:v>ok</x:v>
      </x:c>
      <x:c r="AP279" s="12" t="str">
        <x:f>IF(AO279="ok","ready_for_codex_import","needs_review")</x:f>
        <x:v>ready_for_codex_import</x:v>
      </x:c>
      <x:c r="AQ279" s="12"/>
      <x:c r="AR279" s="12" t="str">
        <x:v>Added v2 operational fields. Review before classification activation.</x:v>
      </x:c>
    </x:row>
    <x:row r="280">
      <x:c r="A280" s="13" t="str">
        <x:v>law_of_small_numbers_canonical</x:v>
      </x:c>
      <x:c r="B280" s="13" t="str">
        <x:v>law_of_small_numbers</x:v>
      </x:c>
      <x:c r="C280" s="13" t="str">
        <x:v>Law of small numbers</x:v>
      </x:c>
      <x:c r="D280" s="13" t="str">
        <x:v>قانون اعداد کوچک</x:v>
      </x:c>
      <x:c r="E280" s="13" t="str">
        <x:v>Canonical form</x:v>
      </x:c>
      <x:c r="F280" s="13" t="str">
        <x:v>probabilistic_failures</x:v>
      </x:c>
      <x:c r="G280" s="13" t="str">
        <x:v>canonical</x:v>
      </x:c>
      <x:c r="H280" s="13" t="str">
        <x:v>contextual</x:v>
      </x:c>
      <x:c r="I280" s="13" t="str">
        <x:v>claim+context</x:v>
      </x:c>
      <x:c r="J280" s="13" t="str">
        <x:v>derived_operational_subtype</x:v>
      </x:c>
      <x:c r="K280" s="13" t="str">
        <x:v>derived_from_established_parent_review_required</x:v>
      </x:c>
      <x:c r="L280" s="13" t="str">
        <x:v>P2</x:v>
      </x:c>
      <x:c r="M280" s="13" t="str">
        <x:v>no</x:v>
      </x:c>
      <x:c r="N280" s="13" t="str">
        <x:v>Operational subtype under Law of small numbers: probability is misread in a standard recognizable way. Parent definition: Expecting small samples to resemble the population too closely.</x:v>
      </x:c>
      <x:c r="O280" s="13" t="str">
        <x:v>Look for: explicit claim-level evidence; parent-family cues for Law of small numbers; variant cue: probability is misread in a standard recognizable way; avoid author-level inference.</x:v>
      </x:c>
      <x:c r="P280" s="13" t="str">
        <x:v>Exact evidence span in text plus claim-level reasoning link; for contextual/discourse entries, require surrounding context.</x:v>
      </x:c>
      <x:c r="Q280" s="13" t="str">
        <x:v>Do not label merely because topic is controversial, emotional, or wrong. Do not judge intent or personality. Require textual evidence and consider healthy-reasoning cues.</x:v>
      </x:c>
      <x:c r="R280" s="13" t="str">
        <x:v>Stub: A claim relies on probability is misread in a standard recognizable way to support a conclusion without adequate qualification.</x:v>
      </x:c>
      <x:c r="S280" s="13" t="str">
        <x:v>Stub: A claim discusses law of small numbers with caveats, balanced evidence, or no argumentative use of the pattern.</x:v>
      </x:c>
      <x:c r="T280" s="13" t="str">
        <x:v>Mild or ambiguous cue; do not classify without clear evidence span.</x:v>
      </x:c>
      <x:c r="U280" s="13" t="str">
        <x:v>Clear claim-level pattern with some argumentative impact.</x:v>
      </x:c>
      <x:c r="V280" s="13" t="str">
        <x:v>Strong pattern central to the conclusion and likely to materially distort reasoning.</x:v>
      </x:c>
      <x:c r="W280" s="13" t="str"/>
      <x:c r="X280" s="13" t="str">
        <x:v>kahneman_tversky_heuristics_1974</x:v>
      </x:c>
      <x:c r="Y280" s="13" t="str">
        <x:v>https://doi.org/10.1126/science.185.4157.1124</x:v>
      </x:c>
      <x:c r="Z280" s="13" t="str">
        <x:v>Review before enabling. This workbook is a living taxonomy scaffold, not a validated scientific benchmark.</x:v>
      </x:c>
      <x:c r="AA280" s="13" t="str">
        <x:v>0.1.0-draft</x:v>
      </x:c>
      <x:c r="AB280" s="12" t="str">
        <x:f>IF(ISNUMBER(SEARCH("healthy",F280)),"healthy_reasoning_patterns",IF(ISNUMBER(SEARCH("statistical",F280)),"statistical_reasoning",IF(ISNUMBER(SEARCH("causal",F280)),"causal_reasoning",IF(ISNUMBER(SEARCH("social",F280)),"social_influence",IF(ISNUMBER(SEARCH("rhetoric",F280)),"rhetoric_discourse",IF(ISNUMBER(SEARCH("behavior",F280)),"behavioural_economics",IF(ISNUMBER(SEARCH("cognitive",F280)),"cognitive_biases",IF(J280="protective_pattern","healthy_reasoning_patterns",IF(L280="P0","core_mvp","extended_fallacies")))))))))</x:f>
        <x:v>extended_fallacies</x:v>
      </x:c>
      <x:c r="AC280" s="12" t="str">
        <x:f>IF(ISNUMBER(SEARCH("operational",J280)),"operational",IF(ISNUMBER(SEARCH("deprecated",J280)),"deprecated",IF(L280="P0","canonical","recognized_subtype")))</x:f>
        <x:v>operational</x:v>
      </x:c>
      <x:c r="AD280" s="12" t="str">
        <x:f>IF(AC280="canonical","high",IF(AC280="recognized_subtype","medium",IF(AC280="operational","operational_only","debated")))</x:f>
        <x:v>operational_only</x:v>
      </x:c>
      <x:c r="AE280" s="12" t="str">
        <x:f>IF(AC280="deprecated","deprecated",IF(M280="yes","active",IF(M280="review","review_required","backlog")))</x:f>
        <x:v>backlog</x:v>
      </x:c>
      <x:c r="AF280" s="12" t="str">
        <x:f>IF(OR(AE280="active",AE280="review_required"),"yes","no")</x:f>
        <x:v>no</x:v>
      </x:c>
      <x:c r="AG280" s="12" t="str">
        <x:f>IF(AND(AE280="active",M280="yes",NOT(ISNUMBER(SEARCH("healthy",AB280)))),"yes","no")</x:f>
        <x:v>no</x:v>
      </x:c>
      <x:c r="AH280" s="12" t="str">
        <x:f>IF(OR(H280="contextual",H280="dialogue",H280="discourse",I280="claim+context",I280="discourse_segment"),"yes","no")</x:f>
        <x:v>yes</x:v>
      </x:c>
      <x:c r="AI280" s="12" t="str">
        <x:f>IF(OR(AH280="yes",AD280="debated",AC280="operational"),"yes","no")</x:f>
        <x:v>yes</x:v>
      </x:c>
      <x:c r="AJ280" s="12" t="str">
        <x:f>IF(OR(AH280="yes",AC280="operational",AD280="debated"),"high",IF(AND(AG280="yes",L280="P0"),"medium","low"))</x:f>
        <x:v>high</x:v>
      </x:c>
      <x:c r="AK280" s="12" t="str">
        <x:f>IF(ISNUMBER(SEARCH("healthy",AB280)),"yes","no")</x:f>
        <x:v>no</x:v>
      </x:c>
      <x:c r="AL280" s="12" t="str">
        <x:f>IF(AG280="yes","yes","candidate_only")</x:f>
        <x:v>candidate_only</x:v>
      </x:c>
      <x:c r="AM280" s="12" t="str">
        <x:f>IF(OR(AC280="canonical",AG280="yes"),"yes","recommended")</x:f>
        <x:v>recommended</x:v>
      </x:c>
      <x:c r="AN280" s="12" t="str">
        <x:f>IF(AC280="deprecated","exclude",IF(AND(AG280="yes",AJ280="high"),"import_but_human_review_required",IF(AG280="yes","import_as_active","import_as_backlog")))</x:f>
        <x:v>import_as_backlog</x:v>
      </x:c>
      <x:c r="AO280" s="12" t="str">
        <x:f>IF(AND(AG280="yes",OR(P280="",Q280="",R280="",S280="")),"missing_required_mvp_fields",IF(AND(AC280="canonical",Y280=""),"missing_source_ref","ok"))</x:f>
        <x:v>ok</x:v>
      </x:c>
      <x:c r="AP280" s="12" t="str">
        <x:f>IF(AO280="ok","ready_for_codex_import","needs_review")</x:f>
        <x:v>ready_for_codex_import</x:v>
      </x:c>
      <x:c r="AQ280" s="12"/>
      <x:c r="AR280" s="12" t="str">
        <x:v>Added v2 operational fields. Review before classification activation.</x:v>
      </x:c>
    </x:row>
    <x:row r="281">
      <x:c r="A281" s="13" t="str">
        <x:v>sample_space_confusion_canonical</x:v>
      </x:c>
      <x:c r="B281" s="13" t="str">
        <x:v>sample_space_confusion</x:v>
      </x:c>
      <x:c r="C281" s="13" t="str">
        <x:v>Sample-space confusion</x:v>
      </x:c>
      <x:c r="D281" s="13" t="str">
        <x:v>ابهام فضای نمونه</x:v>
      </x:c>
      <x:c r="E281" s="13" t="str">
        <x:v>Canonical form</x:v>
      </x:c>
      <x:c r="F281" s="13" t="str">
        <x:v>probabilistic_failures</x:v>
      </x:c>
      <x:c r="G281" s="13" t="str">
        <x:v>canonical</x:v>
      </x:c>
      <x:c r="H281" s="13" t="str">
        <x:v>structural</x:v>
      </x:c>
      <x:c r="I281" s="13" t="str">
        <x:v>claim</x:v>
      </x:c>
      <x:c r="J281" s="13" t="str">
        <x:v>derived_operational_subtype</x:v>
      </x:c>
      <x:c r="K281" s="13" t="str">
        <x:v>derived_from_established_parent_review_required</x:v>
      </x:c>
      <x:c r="L281" s="13" t="str">
        <x:v>P2</x:v>
      </x:c>
      <x:c r="M281" s="13" t="str">
        <x:v>no</x:v>
      </x:c>
      <x:c r="N281" s="13" t="str">
        <x:v>Operational subtype under Sample-space confusion: probability is misread in a standard recognizable way. Parent definition: Reasoning about probabilities without specifying the relevant outcome space.</x:v>
      </x:c>
      <x:c r="O281" s="13" t="str">
        <x:v>Look for: explicit claim-level evidence; parent-family cues for Sample-space confusion; variant cue: probability is misread in a standard recognizable way; avoid author-level inference.</x:v>
      </x:c>
      <x:c r="P281" s="13" t="str">
        <x:v>Exact evidence span in text plus claim-level reasoning link; for contextual/discourse entries, require surrounding context.</x:v>
      </x:c>
      <x:c r="Q281" s="13" t="str">
        <x:v>Do not label merely because topic is controversial, emotional, or wrong. Do not judge intent or personality. Require textual evidence and consider healthy-reasoning cues.</x:v>
      </x:c>
      <x:c r="R281" s="13" t="str">
        <x:v>Stub: A claim relies on probability is misread in a standard recognizable way to support a conclusion without adequate qualification.</x:v>
      </x:c>
      <x:c r="S281" s="13" t="str">
        <x:v>Stub: A claim discusses sample-space confusion with caveats, balanced evidence, or no argumentative use of the pattern.</x:v>
      </x:c>
      <x:c r="T281" s="13" t="str">
        <x:v>Mild or ambiguous cue; do not classify without clear evidence span.</x:v>
      </x:c>
      <x:c r="U281" s="13" t="str">
        <x:v>Clear claim-level pattern with some argumentative impact.</x:v>
      </x:c>
      <x:c r="V281" s="13" t="str">
        <x:v>Strong pattern central to the conclusion and likely to materially distort reasoning.</x:v>
      </x:c>
      <x:c r="W281" s="13" t="str"/>
      <x:c r="X281" s="13" t="str">
        <x:v>stanovich_dual_process</x:v>
      </x:c>
      <x:c r="Y281" s="13" t="str">
        <x:v>https://global.oup.com/academic/product/rationality-and-the-reflective-mind-9780195341140</x:v>
      </x:c>
      <x:c r="Z281" s="13" t="str">
        <x:v>Review before enabling. This workbook is a living taxonomy scaffold, not a validated scientific benchmark.</x:v>
      </x:c>
      <x:c r="AA281" s="13" t="str">
        <x:v>0.1.0-draft</x:v>
      </x:c>
      <x:c r="AB281" s="12" t="str">
        <x:f>IF(ISNUMBER(SEARCH("healthy",F281)),"healthy_reasoning_patterns",IF(ISNUMBER(SEARCH("statistical",F281)),"statistical_reasoning",IF(ISNUMBER(SEARCH("causal",F281)),"causal_reasoning",IF(ISNUMBER(SEARCH("social",F281)),"social_influence",IF(ISNUMBER(SEARCH("rhetoric",F281)),"rhetoric_discourse",IF(ISNUMBER(SEARCH("behavior",F281)),"behavioural_economics",IF(ISNUMBER(SEARCH("cognitive",F281)),"cognitive_biases",IF(J281="protective_pattern","healthy_reasoning_patterns",IF(L281="P0","core_mvp","extended_fallacies")))))))))</x:f>
        <x:v>extended_fallacies</x:v>
      </x:c>
      <x:c r="AC281" s="12" t="str">
        <x:f>IF(ISNUMBER(SEARCH("operational",J281)),"operational",IF(ISNUMBER(SEARCH("deprecated",J281)),"deprecated",IF(L281="P0","canonical","recognized_subtype")))</x:f>
        <x:v>operational</x:v>
      </x:c>
      <x:c r="AD281" s="12" t="str">
        <x:f>IF(AC281="canonical","high",IF(AC281="recognized_subtype","medium",IF(AC281="operational","operational_only","debated")))</x:f>
        <x:v>operational_only</x:v>
      </x:c>
      <x:c r="AE281" s="12" t="str">
        <x:f>IF(AC281="deprecated","deprecated",IF(M281="yes","active",IF(M281="review","review_required","backlog")))</x:f>
        <x:v>backlog</x:v>
      </x:c>
      <x:c r="AF281" s="12" t="str">
        <x:f>IF(OR(AE281="active",AE281="review_required"),"yes","no")</x:f>
        <x:v>no</x:v>
      </x:c>
      <x:c r="AG281" s="12" t="str">
        <x:f>IF(AND(AE281="active",M281="yes",NOT(ISNUMBER(SEARCH("healthy",AB281)))),"yes","no")</x:f>
        <x:v>no</x:v>
      </x:c>
      <x:c r="AH281" s="12" t="str">
        <x:f>IF(OR(H281="contextual",H281="dialogue",H281="discourse",I281="claim+context",I281="discourse_segment"),"yes","no")</x:f>
        <x:v>no</x:v>
      </x:c>
      <x:c r="AI281" s="12" t="str">
        <x:f>IF(OR(AH281="yes",AD281="debated",AC281="operational"),"yes","no")</x:f>
        <x:v>yes</x:v>
      </x:c>
      <x:c r="AJ281" s="12" t="str">
        <x:f>IF(OR(AH281="yes",AC281="operational",AD281="debated"),"high",IF(AND(AG281="yes",L281="P0"),"medium","low"))</x:f>
        <x:v>high</x:v>
      </x:c>
      <x:c r="AK281" s="12" t="str">
        <x:f>IF(ISNUMBER(SEARCH("healthy",AB281)),"yes","no")</x:f>
        <x:v>no</x:v>
      </x:c>
      <x:c r="AL281" s="12" t="str">
        <x:f>IF(AG281="yes","yes","candidate_only")</x:f>
        <x:v>candidate_only</x:v>
      </x:c>
      <x:c r="AM281" s="12" t="str">
        <x:f>IF(OR(AC281="canonical",AG281="yes"),"yes","recommended")</x:f>
        <x:v>recommended</x:v>
      </x:c>
      <x:c r="AN281" s="12" t="str">
        <x:f>IF(AC281="deprecated","exclude",IF(AND(AG281="yes",AJ281="high"),"import_but_human_review_required",IF(AG281="yes","import_as_active","import_as_backlog")))</x:f>
        <x:v>import_as_backlog</x:v>
      </x:c>
      <x:c r="AO281" s="12" t="str">
        <x:f>IF(AND(AG281="yes",OR(P281="",Q281="",R281="",S281="")),"missing_required_mvp_fields",IF(AND(AC281="canonical",Y281=""),"missing_source_ref","ok"))</x:f>
        <x:v>ok</x:v>
      </x:c>
      <x:c r="AP281" s="12" t="str">
        <x:f>IF(AO281="ok","ready_for_codex_import","needs_review")</x:f>
        <x:v>ready_for_codex_import</x:v>
      </x:c>
      <x:c r="AQ281" s="12"/>
      <x:c r="AR281" s="12" t="str">
        <x:v>Added v2 operational fields. Review before classification activation.</x:v>
      </x:c>
    </x:row>
    <x:row r="282">
      <x:c r="A282" s="13" t="str">
        <x:v>risk_ratio_absolute_risk_confusion_canonical</x:v>
      </x:c>
      <x:c r="B282" s="13" t="str">
        <x:v>risk_ratio_absolute_risk_confusion</x:v>
      </x:c>
      <x:c r="C282" s="13" t="str">
        <x:v>Relative vs absolute risk confusion</x:v>
      </x:c>
      <x:c r="D282" s="13" t="str">
        <x:v>ابهام ریسک نسبی و مطلق</x:v>
      </x:c>
      <x:c r="E282" s="13" t="str">
        <x:v>Canonical form</x:v>
      </x:c>
      <x:c r="F282" s="13" t="str">
        <x:v>probabilistic_failures</x:v>
      </x:c>
      <x:c r="G282" s="13" t="str">
        <x:v>canonical</x:v>
      </x:c>
      <x:c r="H282" s="13" t="str">
        <x:v>lexical</x:v>
      </x:c>
      <x:c r="I282" s="13" t="str">
        <x:v>claim</x:v>
      </x:c>
      <x:c r="J282" s="13" t="str">
        <x:v>derived_operational_subtype</x:v>
      </x:c>
      <x:c r="K282" s="13" t="str">
        <x:v>derived_from_established_parent_review_required</x:v>
      </x:c>
      <x:c r="L282" s="13" t="str">
        <x:v>P2</x:v>
      </x:c>
      <x:c r="M282" s="13" t="str">
        <x:v>no</x:v>
      </x:c>
      <x:c r="N282" s="13" t="str">
        <x:v>Operational subtype under Relative vs absolute risk confusion: probability is misread in a standard recognizable way. Parent definition: Using relative change while hiding absolute magnitude.</x:v>
      </x:c>
      <x:c r="O282" s="13" t="str">
        <x:v>Look for: explicit claim-level evidence; parent-family cues for Relative vs absolute risk confusion; variant cue: probability is misread in a standard recognizable way; avoid author-level inference.</x:v>
      </x:c>
      <x:c r="P282" s="13" t="str">
        <x:v>Exact evidence span in text plus claim-level reasoning link; for contextual/discourse entries, require surrounding context.</x:v>
      </x:c>
      <x:c r="Q282" s="13" t="str">
        <x:v>Do not label merely because topic is controversial, emotional, or wrong. Do not judge intent or personality. Require textual evidence and consider healthy-reasoning cues.</x:v>
      </x:c>
      <x:c r="R282" s="13" t="str">
        <x:v>Stub: A claim relies on probability is misread in a standard recognizable way to support a conclusion without adequate qualification.</x:v>
      </x:c>
      <x:c r="S282" s="13" t="str">
        <x:v>Stub: A claim discusses relative vs absolute risk confusion with caveats, balanced evidence, or no argumentative use of the pattern.</x:v>
      </x:c>
      <x:c r="T282" s="13" t="str">
        <x:v>Mild or ambiguous cue; do not classify without clear evidence span.</x:v>
      </x:c>
      <x:c r="U282" s="13" t="str">
        <x:v>Clear claim-level pattern with some argumentative impact.</x:v>
      </x:c>
      <x:c r="V282" s="13" t="str">
        <x:v>Strong pattern central to the conclusion and likely to materially distort reasoning.</x:v>
      </x:c>
      <x:c r="W282" s="13" t="str"/>
      <x:c r="X282" s="13" t="str">
        <x:v>stanovich_dual_process</x:v>
      </x:c>
      <x:c r="Y282" s="13" t="str">
        <x:v>https://global.oup.com/academic/product/rationality-and-the-reflective-mind-9780195341140</x:v>
      </x:c>
      <x:c r="Z282" s="13" t="str">
        <x:v>Review before enabling. This workbook is a living taxonomy scaffold, not a validated scientific benchmark.</x:v>
      </x:c>
      <x:c r="AA282" s="13" t="str">
        <x:v>0.1.0-draft</x:v>
      </x:c>
      <x:c r="AB282" s="12" t="str">
        <x:f>IF(ISNUMBER(SEARCH("healthy",F282)),"healthy_reasoning_patterns",IF(ISNUMBER(SEARCH("statistical",F282)),"statistical_reasoning",IF(ISNUMBER(SEARCH("causal",F282)),"causal_reasoning",IF(ISNUMBER(SEARCH("social",F282)),"social_influence",IF(ISNUMBER(SEARCH("rhetoric",F282)),"rhetoric_discourse",IF(ISNUMBER(SEARCH("behavior",F282)),"behavioural_economics",IF(ISNUMBER(SEARCH("cognitive",F282)),"cognitive_biases",IF(J282="protective_pattern","healthy_reasoning_patterns",IF(L282="P0","core_mvp","extended_fallacies")))))))))</x:f>
        <x:v>extended_fallacies</x:v>
      </x:c>
      <x:c r="AC282" s="12" t="str">
        <x:f>IF(ISNUMBER(SEARCH("operational",J282)),"operational",IF(ISNUMBER(SEARCH("deprecated",J282)),"deprecated",IF(L282="P0","canonical","recognized_subtype")))</x:f>
        <x:v>operational</x:v>
      </x:c>
      <x:c r="AD282" s="12" t="str">
        <x:f>IF(AC282="canonical","high",IF(AC282="recognized_subtype","medium",IF(AC282="operational","operational_only","debated")))</x:f>
        <x:v>operational_only</x:v>
      </x:c>
      <x:c r="AE282" s="12" t="str">
        <x:f>IF(AC282="deprecated","deprecated",IF(M282="yes","active",IF(M282="review","review_required","backlog")))</x:f>
        <x:v>backlog</x:v>
      </x:c>
      <x:c r="AF282" s="12" t="str">
        <x:f>IF(OR(AE282="active",AE282="review_required"),"yes","no")</x:f>
        <x:v>no</x:v>
      </x:c>
      <x:c r="AG282" s="12" t="str">
        <x:f>IF(AND(AE282="active",M282="yes",NOT(ISNUMBER(SEARCH("healthy",AB282)))),"yes","no")</x:f>
        <x:v>no</x:v>
      </x:c>
      <x:c r="AH282" s="12" t="str">
        <x:f>IF(OR(H282="contextual",H282="dialogue",H282="discourse",I282="claim+context",I282="discourse_segment"),"yes","no")</x:f>
        <x:v>no</x:v>
      </x:c>
      <x:c r="AI282" s="12" t="str">
        <x:f>IF(OR(AH282="yes",AD282="debated",AC282="operational"),"yes","no")</x:f>
        <x:v>yes</x:v>
      </x:c>
      <x:c r="AJ282" s="12" t="str">
        <x:f>IF(OR(AH282="yes",AC282="operational",AD282="debated"),"high",IF(AND(AG282="yes",L282="P0"),"medium","low"))</x:f>
        <x:v>high</x:v>
      </x:c>
      <x:c r="AK282" s="12" t="str">
        <x:f>IF(ISNUMBER(SEARCH("healthy",AB282)),"yes","no")</x:f>
        <x:v>no</x:v>
      </x:c>
      <x:c r="AL282" s="12" t="str">
        <x:f>IF(AG282="yes","yes","candidate_only")</x:f>
        <x:v>candidate_only</x:v>
      </x:c>
      <x:c r="AM282" s="12" t="str">
        <x:f>IF(OR(AC282="canonical",AG282="yes"),"yes","recommended")</x:f>
        <x:v>recommended</x:v>
      </x:c>
      <x:c r="AN282" s="12" t="str">
        <x:f>IF(AC282="deprecated","exclude",IF(AND(AG282="yes",AJ282="high"),"import_but_human_review_required",IF(AG282="yes","import_as_active","import_as_backlog")))</x:f>
        <x:v>import_as_backlog</x:v>
      </x:c>
      <x:c r="AO282" s="12" t="str">
        <x:f>IF(AND(AG282="yes",OR(P282="",Q282="",R282="",S282="")),"missing_required_mvp_fields",IF(AND(AC282="canonical",Y282=""),"missing_source_ref","ok"))</x:f>
        <x:v>ok</x:v>
      </x:c>
      <x:c r="AP282" s="12" t="str">
        <x:f>IF(AO282="ok","ready_for_codex_import","needs_review")</x:f>
        <x:v>ready_for_codex_import</x:v>
      </x:c>
      <x:c r="AQ282" s="12"/>
      <x:c r="AR282" s="12" t="str">
        <x:v>Added v2 operational fields. Review before classification activation.</x:v>
      </x:c>
    </x:row>
    <x:row r="283">
      <x:c r="A283" s="13" t="str">
        <x:v>expected_value_neglect_canonical</x:v>
      </x:c>
      <x:c r="B283" s="13" t="str">
        <x:v>expected_value_neglect</x:v>
      </x:c>
      <x:c r="C283" s="13" t="str">
        <x:v>Expected-value neglect</x:v>
      </x:c>
      <x:c r="D283" s="13" t="str">
        <x:v>نادیده‌گرفتن امید ریاضی</x:v>
      </x:c>
      <x:c r="E283" s="13" t="str">
        <x:v>Canonical form</x:v>
      </x:c>
      <x:c r="F283" s="13" t="str">
        <x:v>probabilistic_failures</x:v>
      </x:c>
      <x:c r="G283" s="13" t="str">
        <x:v>canonical</x:v>
      </x:c>
      <x:c r="H283" s="13" t="str">
        <x:v>contextual</x:v>
      </x:c>
      <x:c r="I283" s="13" t="str">
        <x:v>claim+context</x:v>
      </x:c>
      <x:c r="J283" s="13" t="str">
        <x:v>derived_operational_subtype</x:v>
      </x:c>
      <x:c r="K283" s="13" t="str">
        <x:v>derived_from_established_parent_review_required</x:v>
      </x:c>
      <x:c r="L283" s="13" t="str">
        <x:v>P2</x:v>
      </x:c>
      <x:c r="M283" s="13" t="str">
        <x:v>no</x:v>
      </x:c>
      <x:c r="N283" s="13" t="str">
        <x:v>Operational subtype under Expected-value neglect: probability is misread in a standard recognizable way. Parent definition: Focusing on salient outcomes while ignoring probability-weighted value.</x:v>
      </x:c>
      <x:c r="O283" s="13" t="str">
        <x:v>Look for: explicit claim-level evidence; parent-family cues for Expected-value neglect; variant cue: probability is misread in a standard recognizable way; avoid author-level inference.</x:v>
      </x:c>
      <x:c r="P283" s="13" t="str">
        <x:v>Exact evidence span in text plus claim-level reasoning link; for contextual/discourse entries, require surrounding context.</x:v>
      </x:c>
      <x:c r="Q283" s="13" t="str">
        <x:v>Do not label merely because topic is controversial, emotional, or wrong. Do not judge intent or personality. Require textual evidence and consider healthy-reasoning cues.</x:v>
      </x:c>
      <x:c r="R283" s="13" t="str">
        <x:v>Stub: A claim relies on probability is misread in a standard recognizable way to support a conclusion without adequate qualification.</x:v>
      </x:c>
      <x:c r="S283" s="13" t="str">
        <x:v>Stub: A claim discusses expected-value neglect with caveats, balanced evidence, or no argumentative use of the pattern.</x:v>
      </x:c>
      <x:c r="T283" s="13" t="str">
        <x:v>Mild or ambiguous cue; do not classify without clear evidence span.</x:v>
      </x:c>
      <x:c r="U283" s="13" t="str">
        <x:v>Clear claim-level pattern with some argumentative impact.</x:v>
      </x:c>
      <x:c r="V283" s="13" t="str">
        <x:v>Strong pattern central to the conclusion and likely to materially distort reasoning.</x:v>
      </x:c>
      <x:c r="W283" s="13" t="str"/>
      <x:c r="X283" s="13" t="str">
        <x:v>kahneman_tversky_prospect_1979</x:v>
      </x:c>
      <x:c r="Y283" s="13" t="str">
        <x:v>https://doi.org/10.2307/1914185</x:v>
      </x:c>
      <x:c r="Z283" s="13" t="str">
        <x:v>Review before enabling. This workbook is a living taxonomy scaffold, not a validated scientific benchmark.</x:v>
      </x:c>
      <x:c r="AA283" s="13" t="str">
        <x:v>0.1.0-draft</x:v>
      </x:c>
      <x:c r="AB283" s="12" t="str">
        <x:f>IF(ISNUMBER(SEARCH("healthy",F283)),"healthy_reasoning_patterns",IF(ISNUMBER(SEARCH("statistical",F283)),"statistical_reasoning",IF(ISNUMBER(SEARCH("causal",F283)),"causal_reasoning",IF(ISNUMBER(SEARCH("social",F283)),"social_influence",IF(ISNUMBER(SEARCH("rhetoric",F283)),"rhetoric_discourse",IF(ISNUMBER(SEARCH("behavior",F283)),"behavioural_economics",IF(ISNUMBER(SEARCH("cognitive",F283)),"cognitive_biases",IF(J283="protective_pattern","healthy_reasoning_patterns",IF(L283="P0","core_mvp","extended_fallacies")))))))))</x:f>
        <x:v>extended_fallacies</x:v>
      </x:c>
      <x:c r="AC283" s="12" t="str">
        <x:f>IF(ISNUMBER(SEARCH("operational",J283)),"operational",IF(ISNUMBER(SEARCH("deprecated",J283)),"deprecated",IF(L283="P0","canonical","recognized_subtype")))</x:f>
        <x:v>operational</x:v>
      </x:c>
      <x:c r="AD283" s="12" t="str">
        <x:f>IF(AC283="canonical","high",IF(AC283="recognized_subtype","medium",IF(AC283="operational","operational_only","debated")))</x:f>
        <x:v>operational_only</x:v>
      </x:c>
      <x:c r="AE283" s="12" t="str">
        <x:f>IF(AC283="deprecated","deprecated",IF(M283="yes","active",IF(M283="review","review_required","backlog")))</x:f>
        <x:v>backlog</x:v>
      </x:c>
      <x:c r="AF283" s="12" t="str">
        <x:f>IF(OR(AE283="active",AE283="review_required"),"yes","no")</x:f>
        <x:v>no</x:v>
      </x:c>
      <x:c r="AG283" s="12" t="str">
        <x:f>IF(AND(AE283="active",M283="yes",NOT(ISNUMBER(SEARCH("healthy",AB283)))),"yes","no")</x:f>
        <x:v>no</x:v>
      </x:c>
      <x:c r="AH283" s="12" t="str">
        <x:f>IF(OR(H283="contextual",H283="dialogue",H283="discourse",I283="claim+context",I283="discourse_segment"),"yes","no")</x:f>
        <x:v>yes</x:v>
      </x:c>
      <x:c r="AI283" s="12" t="str">
        <x:f>IF(OR(AH283="yes",AD283="debated",AC283="operational"),"yes","no")</x:f>
        <x:v>yes</x:v>
      </x:c>
      <x:c r="AJ283" s="12" t="str">
        <x:f>IF(OR(AH283="yes",AC283="operational",AD283="debated"),"high",IF(AND(AG283="yes",L283="P0"),"medium","low"))</x:f>
        <x:v>high</x:v>
      </x:c>
      <x:c r="AK283" s="12" t="str">
        <x:f>IF(ISNUMBER(SEARCH("healthy",AB283)),"yes","no")</x:f>
        <x:v>no</x:v>
      </x:c>
      <x:c r="AL283" s="12" t="str">
        <x:f>IF(AG283="yes","yes","candidate_only")</x:f>
        <x:v>candidate_only</x:v>
      </x:c>
      <x:c r="AM283" s="12" t="str">
        <x:f>IF(OR(AC283="canonical",AG283="yes"),"yes","recommended")</x:f>
        <x:v>recommended</x:v>
      </x:c>
      <x:c r="AN283" s="12" t="str">
        <x:f>IF(AC283="deprecated","exclude",IF(AND(AG283="yes",AJ283="high"),"import_but_human_review_required",IF(AG283="yes","import_as_active","import_as_backlog")))</x:f>
        <x:v>import_as_backlog</x:v>
      </x:c>
      <x:c r="AO283" s="12" t="str">
        <x:f>IF(AND(AG283="yes",OR(P283="",Q283="",R283="",S283="")),"missing_required_mvp_fields",IF(AND(AC283="canonical",Y283=""),"missing_source_ref","ok"))</x:f>
        <x:v>ok</x:v>
      </x:c>
      <x:c r="AP283" s="12" t="str">
        <x:f>IF(AO283="ok","ready_for_codex_import","needs_review")</x:f>
        <x:v>ready_for_codex_import</x:v>
      </x:c>
      <x:c r="AQ283" s="12"/>
      <x:c r="AR283" s="12" t="str">
        <x:v>Added v2 operational fields. Review before classification activation.</x:v>
      </x:c>
    </x:row>
    <x:row r="284">
      <x:c r="A284" s="13" t="str">
        <x:v>tail_risk_neglect_canonical</x:v>
      </x:c>
      <x:c r="B284" s="13" t="str">
        <x:v>tail_risk_neglect</x:v>
      </x:c>
      <x:c r="C284" s="13" t="str">
        <x:v>Tail-risk neglect</x:v>
      </x:c>
      <x:c r="D284" s="13" t="str">
        <x:v>نادیده‌گرفتن ریسک دنباله</x:v>
      </x:c>
      <x:c r="E284" s="13" t="str">
        <x:v>Canonical form</x:v>
      </x:c>
      <x:c r="F284" s="13" t="str">
        <x:v>probabilistic_failures</x:v>
      </x:c>
      <x:c r="G284" s="13" t="str">
        <x:v>canonical</x:v>
      </x:c>
      <x:c r="H284" s="13" t="str">
        <x:v>contextual</x:v>
      </x:c>
      <x:c r="I284" s="13" t="str">
        <x:v>claim+context</x:v>
      </x:c>
      <x:c r="J284" s="13" t="str">
        <x:v>derived_operational_subtype</x:v>
      </x:c>
      <x:c r="K284" s="13" t="str">
        <x:v>derived_from_established_parent_review_required</x:v>
      </x:c>
      <x:c r="L284" s="13" t="str">
        <x:v>P2</x:v>
      </x:c>
      <x:c r="M284" s="13" t="str">
        <x:v>no</x:v>
      </x:c>
      <x:c r="N284" s="13" t="str">
        <x:v>Operational subtype under Tail-risk neglect: probability is misread in a standard recognizable way. Parent definition: Ignoring low-probability but high-impact outcomes when relevant.</x:v>
      </x:c>
      <x:c r="O284" s="13" t="str">
        <x:v>Look for: explicit claim-level evidence; parent-family cues for Tail-risk neglect; variant cue: probability is misread in a standard recognizable way; avoid author-level inference.</x:v>
      </x:c>
      <x:c r="P284" s="13" t="str">
        <x:v>Exact evidence span in text plus claim-level reasoning link; for contextual/discourse entries, require surrounding context.</x:v>
      </x:c>
      <x:c r="Q284" s="13" t="str">
        <x:v>Do not label merely because topic is controversial, emotional, or wrong. Do not judge intent or personality. Require textual evidence and consider healthy-reasoning cues.</x:v>
      </x:c>
      <x:c r="R284" s="13" t="str">
        <x:v>Stub: A claim relies on probability is misread in a standard recognizable way to support a conclusion without adequate qualification.</x:v>
      </x:c>
      <x:c r="S284" s="13" t="str">
        <x:v>Stub: A claim discusses tail-risk neglect with caveats, balanced evidence, or no argumentative use of the pattern.</x:v>
      </x:c>
      <x:c r="T284" s="13" t="str">
        <x:v>Mild or ambiguous cue; do not classify without clear evidence span.</x:v>
      </x:c>
      <x:c r="U284" s="13" t="str">
        <x:v>Clear claim-level pattern with some argumentative impact.</x:v>
      </x:c>
      <x:c r="V284" s="13" t="str">
        <x:v>Strong pattern central to the conclusion and likely to materially distort reasoning.</x:v>
      </x:c>
      <x:c r="W284" s="13" t="str"/>
      <x:c r="X284" s="13" t="str">
        <x:v>kahneman_tversky_prospect_1979</x:v>
      </x:c>
      <x:c r="Y284" s="13" t="str">
        <x:v>https://doi.org/10.2307/1914185</x:v>
      </x:c>
      <x:c r="Z284" s="13" t="str">
        <x:v>Review before enabling. This workbook is a living taxonomy scaffold, not a validated scientific benchmark.</x:v>
      </x:c>
      <x:c r="AA284" s="13" t="str">
        <x:v>0.1.0-draft</x:v>
      </x:c>
      <x:c r="AB284" s="12" t="str">
        <x:f>IF(ISNUMBER(SEARCH("healthy",F284)),"healthy_reasoning_patterns",IF(ISNUMBER(SEARCH("statistical",F284)),"statistical_reasoning",IF(ISNUMBER(SEARCH("causal",F284)),"causal_reasoning",IF(ISNUMBER(SEARCH("social",F284)),"social_influence",IF(ISNUMBER(SEARCH("rhetoric",F284)),"rhetoric_discourse",IF(ISNUMBER(SEARCH("behavior",F284)),"behavioural_economics",IF(ISNUMBER(SEARCH("cognitive",F284)),"cognitive_biases",IF(J284="protective_pattern","healthy_reasoning_patterns",IF(L284="P0","core_mvp","extended_fallacies")))))))))</x:f>
        <x:v>extended_fallacies</x:v>
      </x:c>
      <x:c r="AC284" s="12" t="str">
        <x:f>IF(ISNUMBER(SEARCH("operational",J284)),"operational",IF(ISNUMBER(SEARCH("deprecated",J284)),"deprecated",IF(L284="P0","canonical","recognized_subtype")))</x:f>
        <x:v>operational</x:v>
      </x:c>
      <x:c r="AD284" s="12" t="str">
        <x:f>IF(AC284="canonical","high",IF(AC284="recognized_subtype","medium",IF(AC284="operational","operational_only","debated")))</x:f>
        <x:v>operational_only</x:v>
      </x:c>
      <x:c r="AE284" s="12" t="str">
        <x:f>IF(AC284="deprecated","deprecated",IF(M284="yes","active",IF(M284="review","review_required","backlog")))</x:f>
        <x:v>backlog</x:v>
      </x:c>
      <x:c r="AF284" s="12" t="str">
        <x:f>IF(OR(AE284="active",AE284="review_required"),"yes","no")</x:f>
        <x:v>no</x:v>
      </x:c>
      <x:c r="AG284" s="12" t="str">
        <x:f>IF(AND(AE284="active",M284="yes",NOT(ISNUMBER(SEARCH("healthy",AB284)))),"yes","no")</x:f>
        <x:v>no</x:v>
      </x:c>
      <x:c r="AH284" s="12" t="str">
        <x:f>IF(OR(H284="contextual",H284="dialogue",H284="discourse",I284="claim+context",I284="discourse_segment"),"yes","no")</x:f>
        <x:v>yes</x:v>
      </x:c>
      <x:c r="AI284" s="12" t="str">
        <x:f>IF(OR(AH284="yes",AD284="debated",AC284="operational"),"yes","no")</x:f>
        <x:v>yes</x:v>
      </x:c>
      <x:c r="AJ284" s="12" t="str">
        <x:f>IF(OR(AH284="yes",AC284="operational",AD284="debated"),"high",IF(AND(AG284="yes",L284="P0"),"medium","low"))</x:f>
        <x:v>high</x:v>
      </x:c>
      <x:c r="AK284" s="12" t="str">
        <x:f>IF(ISNUMBER(SEARCH("healthy",AB284)),"yes","no")</x:f>
        <x:v>no</x:v>
      </x:c>
      <x:c r="AL284" s="12" t="str">
        <x:f>IF(AG284="yes","yes","candidate_only")</x:f>
        <x:v>candidate_only</x:v>
      </x:c>
      <x:c r="AM284" s="12" t="str">
        <x:f>IF(OR(AC284="canonical",AG284="yes"),"yes","recommended")</x:f>
        <x:v>recommended</x:v>
      </x:c>
      <x:c r="AN284" s="12" t="str">
        <x:f>IF(AC284="deprecated","exclude",IF(AND(AG284="yes",AJ284="high"),"import_but_human_review_required",IF(AG284="yes","import_as_active","import_as_backlog")))</x:f>
        <x:v>import_as_backlog</x:v>
      </x:c>
      <x:c r="AO284" s="12" t="str">
        <x:f>IF(AND(AG284="yes",OR(P284="",Q284="",R284="",S284="")),"missing_required_mvp_fields",IF(AND(AC284="canonical",Y284=""),"missing_source_ref","ok"))</x:f>
        <x:v>ok</x:v>
      </x:c>
      <x:c r="AP284" s="12" t="str">
        <x:f>IF(AO284="ok","ready_for_codex_import","needs_review")</x:f>
        <x:v>ready_for_codex_import</x:v>
      </x:c>
      <x:c r="AQ284" s="12"/>
      <x:c r="AR284" s="12" t="str">
        <x:v>Added v2 operational fields. Review before classification activation.</x:v>
      </x:c>
    </x:row>
    <x:row r="285">
      <x:c r="A285" s="13" t="str">
        <x:v>rare_event_overweighting_canonical</x:v>
      </x:c>
      <x:c r="B285" s="13" t="str">
        <x:v>rare_event_overweighting</x:v>
      </x:c>
      <x:c r="C285" s="13" t="str">
        <x:v>Rare-event overweighting</x:v>
      </x:c>
      <x:c r="D285" s="13" t="str">
        <x:v>بزرگ‌نمایی رخداد نادر</x:v>
      </x:c>
      <x:c r="E285" s="13" t="str">
        <x:v>Canonical form</x:v>
      </x:c>
      <x:c r="F285" s="13" t="str">
        <x:v>probabilistic_failures</x:v>
      </x:c>
      <x:c r="G285" s="13" t="str">
        <x:v>canonical</x:v>
      </x:c>
      <x:c r="H285" s="13" t="str">
        <x:v>contextual</x:v>
      </x:c>
      <x:c r="I285" s="13" t="str">
        <x:v>claim+context</x:v>
      </x:c>
      <x:c r="J285" s="13" t="str">
        <x:v>derived_operational_subtype</x:v>
      </x:c>
      <x:c r="K285" s="13" t="str">
        <x:v>derived_from_established_parent_review_required</x:v>
      </x:c>
      <x:c r="L285" s="13" t="str">
        <x:v>P2</x:v>
      </x:c>
      <x:c r="M285" s="13" t="str">
        <x:v>no</x:v>
      </x:c>
      <x:c r="N285" s="13" t="str">
        <x:v>Operational subtype under Rare-event overweighting: probability is misread in a standard recognizable way. Parent definition: Overweighting rare events due to salience or vividness.</x:v>
      </x:c>
      <x:c r="O285" s="13" t="str">
        <x:v>Look for: explicit claim-level evidence; parent-family cues for Rare-event overweighting; variant cue: probability is misread in a standard recognizable way; avoid author-level inference.</x:v>
      </x:c>
      <x:c r="P285" s="13" t="str">
        <x:v>Exact evidence span in text plus claim-level reasoning link; for contextual/discourse entries, require surrounding context.</x:v>
      </x:c>
      <x:c r="Q285" s="13" t="str">
        <x:v>Do not label merely because topic is controversial, emotional, or wrong. Do not judge intent or personality. Require textual evidence and consider healthy-reasoning cues.</x:v>
      </x:c>
      <x:c r="R285" s="13" t="str">
        <x:v>Stub: A claim relies on probability is misread in a standard recognizable way to support a conclusion without adequate qualification.</x:v>
      </x:c>
      <x:c r="S285" s="13" t="str">
        <x:v>Stub: A claim discusses rare-event overweighting with caveats, balanced evidence, or no argumentative use of the pattern.</x:v>
      </x:c>
      <x:c r="T285" s="13" t="str">
        <x:v>Mild or ambiguous cue; do not classify without clear evidence span.</x:v>
      </x:c>
      <x:c r="U285" s="13" t="str">
        <x:v>Clear claim-level pattern with some argumentative impact.</x:v>
      </x:c>
      <x:c r="V285" s="13" t="str">
        <x:v>Strong pattern central to the conclusion and likely to materially distort reasoning.</x:v>
      </x:c>
      <x:c r="W285" s="13" t="str"/>
      <x:c r="X285" s="13" t="str">
        <x:v>kahneman_tversky_prospect_1979</x:v>
      </x:c>
      <x:c r="Y285" s="13" t="str">
        <x:v>https://doi.org/10.2307/1914185</x:v>
      </x:c>
      <x:c r="Z285" s="13" t="str">
        <x:v>Review before enabling. This workbook is a living taxonomy scaffold, not a validated scientific benchmark.</x:v>
      </x:c>
      <x:c r="AA285" s="13" t="str">
        <x:v>0.1.0-draft</x:v>
      </x:c>
      <x:c r="AB285" s="12" t="str">
        <x:f>IF(ISNUMBER(SEARCH("healthy",F285)),"healthy_reasoning_patterns",IF(ISNUMBER(SEARCH("statistical",F285)),"statistical_reasoning",IF(ISNUMBER(SEARCH("causal",F285)),"causal_reasoning",IF(ISNUMBER(SEARCH("social",F285)),"social_influence",IF(ISNUMBER(SEARCH("rhetoric",F285)),"rhetoric_discourse",IF(ISNUMBER(SEARCH("behavior",F285)),"behavioural_economics",IF(ISNUMBER(SEARCH("cognitive",F285)),"cognitive_biases",IF(J285="protective_pattern","healthy_reasoning_patterns",IF(L285="P0","core_mvp","extended_fallacies")))))))))</x:f>
        <x:v>extended_fallacies</x:v>
      </x:c>
      <x:c r="AC285" s="12" t="str">
        <x:f>IF(ISNUMBER(SEARCH("operational",J285)),"operational",IF(ISNUMBER(SEARCH("deprecated",J285)),"deprecated",IF(L285="P0","canonical","recognized_subtype")))</x:f>
        <x:v>operational</x:v>
      </x:c>
      <x:c r="AD285" s="12" t="str">
        <x:f>IF(AC285="canonical","high",IF(AC285="recognized_subtype","medium",IF(AC285="operational","operational_only","debated")))</x:f>
        <x:v>operational_only</x:v>
      </x:c>
      <x:c r="AE285" s="12" t="str">
        <x:f>IF(AC285="deprecated","deprecated",IF(M285="yes","active",IF(M285="review","review_required","backlog")))</x:f>
        <x:v>backlog</x:v>
      </x:c>
      <x:c r="AF285" s="12" t="str">
        <x:f>IF(OR(AE285="active",AE285="review_required"),"yes","no")</x:f>
        <x:v>no</x:v>
      </x:c>
      <x:c r="AG285" s="12" t="str">
        <x:f>IF(AND(AE285="active",M285="yes",NOT(ISNUMBER(SEARCH("healthy",AB285)))),"yes","no")</x:f>
        <x:v>no</x:v>
      </x:c>
      <x:c r="AH285" s="12" t="str">
        <x:f>IF(OR(H285="contextual",H285="dialogue",H285="discourse",I285="claim+context",I285="discourse_segment"),"yes","no")</x:f>
        <x:v>yes</x:v>
      </x:c>
      <x:c r="AI285" s="12" t="str">
        <x:f>IF(OR(AH285="yes",AD285="debated",AC285="operational"),"yes","no")</x:f>
        <x:v>yes</x:v>
      </x:c>
      <x:c r="AJ285" s="12" t="str">
        <x:f>IF(OR(AH285="yes",AC285="operational",AD285="debated"),"high",IF(AND(AG285="yes",L285="P0"),"medium","low"))</x:f>
        <x:v>high</x:v>
      </x:c>
      <x:c r="AK285" s="12" t="str">
        <x:f>IF(ISNUMBER(SEARCH("healthy",AB285)),"yes","no")</x:f>
        <x:v>no</x:v>
      </x:c>
      <x:c r="AL285" s="12" t="str">
        <x:f>IF(AG285="yes","yes","candidate_only")</x:f>
        <x:v>candidate_only</x:v>
      </x:c>
      <x:c r="AM285" s="12" t="str">
        <x:f>IF(OR(AC285="canonical",AG285="yes"),"yes","recommended")</x:f>
        <x:v>recommended</x:v>
      </x:c>
      <x:c r="AN285" s="12" t="str">
        <x:f>IF(AC285="deprecated","exclude",IF(AND(AG285="yes",AJ285="high"),"import_but_human_review_required",IF(AG285="yes","import_as_active","import_as_backlog")))</x:f>
        <x:v>import_as_backlog</x:v>
      </x:c>
      <x:c r="AO285" s="12" t="str">
        <x:f>IF(AND(AG285="yes",OR(P285="",Q285="",R285="",S285="")),"missing_required_mvp_fields",IF(AND(AC285="canonical",Y285=""),"missing_source_ref","ok"))</x:f>
        <x:v>ok</x:v>
      </x:c>
      <x:c r="AP285" s="12" t="str">
        <x:f>IF(AO285="ok","ready_for_codex_import","needs_review")</x:f>
        <x:v>ready_for_codex_import</x:v>
      </x:c>
      <x:c r="AQ285" s="12"/>
      <x:c r="AR285" s="12" t="str">
        <x:v>Added v2 operational fields. Review before classification activation.</x:v>
      </x:c>
    </x:row>
    <x:row r="286">
      <x:c r="A286" s="13" t="str">
        <x:v>normalcy_bias_probability_canonical</x:v>
      </x:c>
      <x:c r="B286" s="13" t="str">
        <x:v>normalcy_bias_probability</x:v>
      </x:c>
      <x:c r="C286" s="13" t="str">
        <x:v>Normalcy bias in risk</x:v>
      </x:c>
      <x:c r="D286" s="13" t="str">
        <x:v>سوگیری عادی‌انگاری ریسک</x:v>
      </x:c>
      <x:c r="E286" s="13" t="str">
        <x:v>Canonical form</x:v>
      </x:c>
      <x:c r="F286" s="13" t="str">
        <x:v>probabilistic_failures</x:v>
      </x:c>
      <x:c r="G286" s="13" t="str">
        <x:v>canonical</x:v>
      </x:c>
      <x:c r="H286" s="13" t="str">
        <x:v>contextual</x:v>
      </x:c>
      <x:c r="I286" s="13" t="str">
        <x:v>claim+context</x:v>
      </x:c>
      <x:c r="J286" s="13" t="str">
        <x:v>derived_operational_subtype</x:v>
      </x:c>
      <x:c r="K286" s="13" t="str">
        <x:v>derived_from_established_parent_review_required</x:v>
      </x:c>
      <x:c r="L286" s="13" t="str">
        <x:v>P2</x:v>
      </x:c>
      <x:c r="M286" s="13" t="str">
        <x:v>no</x:v>
      </x:c>
      <x:c r="N286" s="13" t="str">
        <x:v>Operational subtype under Normalcy bias in risk: probability is misread in a standard recognizable way. Parent definition: Assuming adverse outcomes are unlikely because they have not recently occurred.</x:v>
      </x:c>
      <x:c r="O286" s="13" t="str">
        <x:v>Look for: explicit claim-level evidence; parent-family cues for Normalcy bias in risk; variant cue: probability is misread in a standard recognizable way; avoid author-level inference.</x:v>
      </x:c>
      <x:c r="P286" s="13" t="str">
        <x:v>Exact evidence span in text plus claim-level reasoning link; for contextual/discourse entries, require surrounding context.</x:v>
      </x:c>
      <x:c r="Q286" s="13" t="str">
        <x:v>Do not label merely because topic is controversial, emotional, or wrong. Do not judge intent or personality. Require textual evidence and consider healthy-reasoning cues.</x:v>
      </x:c>
      <x:c r="R286" s="13" t="str">
        <x:v>Stub: A claim relies on probability is misread in a standard recognizable way to support a conclusion without adequate qualification.</x:v>
      </x:c>
      <x:c r="S286" s="13" t="str">
        <x:v>Stub: A claim discusses normalcy bias in risk with caveats, balanced evidence, or no argumentative use of the pattern.</x:v>
      </x:c>
      <x:c r="T286" s="13" t="str">
        <x:v>Mild or ambiguous cue; do not classify without clear evidence span.</x:v>
      </x:c>
      <x:c r="U286" s="13" t="str">
        <x:v>Clear claim-level pattern with some argumentative impact.</x:v>
      </x:c>
      <x:c r="V286" s="13" t="str">
        <x:v>Strong pattern central to the conclusion and likely to materially distort reasoning.</x:v>
      </x:c>
      <x:c r="W286" s="13" t="str"/>
      <x:c r="X286" s="13" t="str">
        <x:v>stanovich_dual_process</x:v>
      </x:c>
      <x:c r="Y286" s="13" t="str">
        <x:v>https://global.oup.com/academic/product/rationality-and-the-reflective-mind-9780195341140</x:v>
      </x:c>
      <x:c r="Z286" s="13" t="str">
        <x:v>Review before enabling. This workbook is a living taxonomy scaffold, not a validated scientific benchmark.</x:v>
      </x:c>
      <x:c r="AA286" s="13" t="str">
        <x:v>0.1.0-draft</x:v>
      </x:c>
      <x:c r="AB286" s="12" t="str">
        <x:f>IF(ISNUMBER(SEARCH("healthy",F286)),"healthy_reasoning_patterns",IF(ISNUMBER(SEARCH("statistical",F286)),"statistical_reasoning",IF(ISNUMBER(SEARCH("causal",F286)),"causal_reasoning",IF(ISNUMBER(SEARCH("social",F286)),"social_influence",IF(ISNUMBER(SEARCH("rhetoric",F286)),"rhetoric_discourse",IF(ISNUMBER(SEARCH("behavior",F286)),"behavioural_economics",IF(ISNUMBER(SEARCH("cognitive",F286)),"cognitive_biases",IF(J286="protective_pattern","healthy_reasoning_patterns",IF(L286="P0","core_mvp","extended_fallacies")))))))))</x:f>
        <x:v>extended_fallacies</x:v>
      </x:c>
      <x:c r="AC286" s="12" t="str">
        <x:f>IF(ISNUMBER(SEARCH("operational",J286)),"operational",IF(ISNUMBER(SEARCH("deprecated",J286)),"deprecated",IF(L286="P0","canonical","recognized_subtype")))</x:f>
        <x:v>operational</x:v>
      </x:c>
      <x:c r="AD286" s="12" t="str">
        <x:f>IF(AC286="canonical","high",IF(AC286="recognized_subtype","medium",IF(AC286="operational","operational_only","debated")))</x:f>
        <x:v>operational_only</x:v>
      </x:c>
      <x:c r="AE286" s="12" t="str">
        <x:f>IF(AC286="deprecated","deprecated",IF(M286="yes","active",IF(M286="review","review_required","backlog")))</x:f>
        <x:v>backlog</x:v>
      </x:c>
      <x:c r="AF286" s="12" t="str">
        <x:f>IF(OR(AE286="active",AE286="review_required"),"yes","no")</x:f>
        <x:v>no</x:v>
      </x:c>
      <x:c r="AG286" s="12" t="str">
        <x:f>IF(AND(AE286="active",M286="yes",NOT(ISNUMBER(SEARCH("healthy",AB286)))),"yes","no")</x:f>
        <x:v>no</x:v>
      </x:c>
      <x:c r="AH286" s="12" t="str">
        <x:f>IF(OR(H286="contextual",H286="dialogue",H286="discourse",I286="claim+context",I286="discourse_segment"),"yes","no")</x:f>
        <x:v>yes</x:v>
      </x:c>
      <x:c r="AI286" s="12" t="str">
        <x:f>IF(OR(AH286="yes",AD286="debated",AC286="operational"),"yes","no")</x:f>
        <x:v>yes</x:v>
      </x:c>
      <x:c r="AJ286" s="12" t="str">
        <x:f>IF(OR(AH286="yes",AC286="operational",AD286="debated"),"high",IF(AND(AG286="yes",L286="P0"),"medium","low"))</x:f>
        <x:v>high</x:v>
      </x:c>
      <x:c r="AK286" s="12" t="str">
        <x:f>IF(ISNUMBER(SEARCH("healthy",AB286)),"yes","no")</x:f>
        <x:v>no</x:v>
      </x:c>
      <x:c r="AL286" s="12" t="str">
        <x:f>IF(AG286="yes","yes","candidate_only")</x:f>
        <x:v>candidate_only</x:v>
      </x:c>
      <x:c r="AM286" s="12" t="str">
        <x:f>IF(OR(AC286="canonical",AG286="yes"),"yes","recommended")</x:f>
        <x:v>recommended</x:v>
      </x:c>
      <x:c r="AN286" s="12" t="str">
        <x:f>IF(AC286="deprecated","exclude",IF(AND(AG286="yes",AJ286="high"),"import_but_human_review_required",IF(AG286="yes","import_as_active","import_as_backlog")))</x:f>
        <x:v>import_as_backlog</x:v>
      </x:c>
      <x:c r="AO286" s="12" t="str">
        <x:f>IF(AND(AG286="yes",OR(P286="",Q286="",R286="",S286="")),"missing_required_mvp_fields",IF(AND(AC286="canonical",Y286=""),"missing_source_ref","ok"))</x:f>
        <x:v>ok</x:v>
      </x:c>
      <x:c r="AP286" s="12" t="str">
        <x:f>IF(AO286="ok","ready_for_codex_import","needs_review")</x:f>
        <x:v>ready_for_codex_import</x:v>
      </x:c>
      <x:c r="AQ286" s="12"/>
      <x:c r="AR286" s="12" t="str">
        <x:v>Added v2 operational fields. Review before classification activation.</x:v>
      </x:c>
    </x:row>
    <x:row r="287">
      <x:c r="A287" s="13" t="str">
        <x:v>certainty_effect_canonical</x:v>
      </x:c>
      <x:c r="B287" s="13" t="str">
        <x:v>certainty_effect</x:v>
      </x:c>
      <x:c r="C287" s="13" t="str">
        <x:v>Certainty effect</x:v>
      </x:c>
      <x:c r="D287" s="13" t="str">
        <x:v>اثر قطعیت</x:v>
      </x:c>
      <x:c r="E287" s="13" t="str">
        <x:v>Canonical form</x:v>
      </x:c>
      <x:c r="F287" s="13" t="str">
        <x:v>probabilistic_failures</x:v>
      </x:c>
      <x:c r="G287" s="13" t="str">
        <x:v>canonical</x:v>
      </x:c>
      <x:c r="H287" s="13" t="str">
        <x:v>contextual</x:v>
      </x:c>
      <x:c r="I287" s="13" t="str">
        <x:v>claim+context</x:v>
      </x:c>
      <x:c r="J287" s="13" t="str">
        <x:v>derived_operational_subtype</x:v>
      </x:c>
      <x:c r="K287" s="13" t="str">
        <x:v>derived_from_established_parent_review_required</x:v>
      </x:c>
      <x:c r="L287" s="13" t="str">
        <x:v>P2</x:v>
      </x:c>
      <x:c r="M287" s="13" t="str">
        <x:v>no</x:v>
      </x:c>
      <x:c r="N287" s="13" t="str">
        <x:v>Operational subtype under Certainty effect: probability is misread in a standard recognizable way. Parent definition: Overvaluing certain outcomes relative to merely probable outcomes.</x:v>
      </x:c>
      <x:c r="O287" s="13" t="str">
        <x:v>Look for: explicit claim-level evidence; parent-family cues for Certainty effect; variant cue: probability is misread in a standard recognizable way; avoid author-level inference.</x:v>
      </x:c>
      <x:c r="P287" s="13" t="str">
        <x:v>Exact evidence span in text plus claim-level reasoning link; for contextual/discourse entries, require surrounding context.</x:v>
      </x:c>
      <x:c r="Q287" s="13" t="str">
        <x:v>Do not label merely because topic is controversial, emotional, or wrong. Do not judge intent or personality. Require textual evidence and consider healthy-reasoning cues.</x:v>
      </x:c>
      <x:c r="R287" s="13" t="str">
        <x:v>Stub: A claim relies on probability is misread in a standard recognizable way to support a conclusion without adequate qualification.</x:v>
      </x:c>
      <x:c r="S287" s="13" t="str">
        <x:v>Stub: A claim discusses certainty effect with caveats, balanced evidence, or no argumentative use of the pattern.</x:v>
      </x:c>
      <x:c r="T287" s="13" t="str">
        <x:v>Mild or ambiguous cue; do not classify without clear evidence span.</x:v>
      </x:c>
      <x:c r="U287" s="13" t="str">
        <x:v>Clear claim-level pattern with some argumentative impact.</x:v>
      </x:c>
      <x:c r="V287" s="13" t="str">
        <x:v>Strong pattern central to the conclusion and likely to materially distort reasoning.</x:v>
      </x:c>
      <x:c r="W287" s="13" t="str"/>
      <x:c r="X287" s="13" t="str">
        <x:v>kahneman_tversky_prospect_1979</x:v>
      </x:c>
      <x:c r="Y287" s="13" t="str">
        <x:v>https://doi.org/10.2307/1914185</x:v>
      </x:c>
      <x:c r="Z287" s="13" t="str">
        <x:v>Review before enabling. This workbook is a living taxonomy scaffold, not a validated scientific benchmark.</x:v>
      </x:c>
      <x:c r="AA287" s="13" t="str">
        <x:v>0.1.0-draft</x:v>
      </x:c>
      <x:c r="AB287" s="12" t="str">
        <x:f>IF(ISNUMBER(SEARCH("healthy",F287)),"healthy_reasoning_patterns",IF(ISNUMBER(SEARCH("statistical",F287)),"statistical_reasoning",IF(ISNUMBER(SEARCH("causal",F287)),"causal_reasoning",IF(ISNUMBER(SEARCH("social",F287)),"social_influence",IF(ISNUMBER(SEARCH("rhetoric",F287)),"rhetoric_discourse",IF(ISNUMBER(SEARCH("behavior",F287)),"behavioural_economics",IF(ISNUMBER(SEARCH("cognitive",F287)),"cognitive_biases",IF(J287="protective_pattern","healthy_reasoning_patterns",IF(L287="P0","core_mvp","extended_fallacies")))))))))</x:f>
        <x:v>extended_fallacies</x:v>
      </x:c>
      <x:c r="AC287" s="12" t="str">
        <x:f>IF(ISNUMBER(SEARCH("operational",J287)),"operational",IF(ISNUMBER(SEARCH("deprecated",J287)),"deprecated",IF(L287="P0","canonical","recognized_subtype")))</x:f>
        <x:v>operational</x:v>
      </x:c>
      <x:c r="AD287" s="12" t="str">
        <x:f>IF(AC287="canonical","high",IF(AC287="recognized_subtype","medium",IF(AC287="operational","operational_only","debated")))</x:f>
        <x:v>operational_only</x:v>
      </x:c>
      <x:c r="AE287" s="12" t="str">
        <x:f>IF(AC287="deprecated","deprecated",IF(M287="yes","active",IF(M287="review","review_required","backlog")))</x:f>
        <x:v>backlog</x:v>
      </x:c>
      <x:c r="AF287" s="12" t="str">
        <x:f>IF(OR(AE287="active",AE287="review_required"),"yes","no")</x:f>
        <x:v>no</x:v>
      </x:c>
      <x:c r="AG287" s="12" t="str">
        <x:f>IF(AND(AE287="active",M287="yes",NOT(ISNUMBER(SEARCH("healthy",AB287)))),"yes","no")</x:f>
        <x:v>no</x:v>
      </x:c>
      <x:c r="AH287" s="12" t="str">
        <x:f>IF(OR(H287="contextual",H287="dialogue",H287="discourse",I287="claim+context",I287="discourse_segment"),"yes","no")</x:f>
        <x:v>yes</x:v>
      </x:c>
      <x:c r="AI287" s="12" t="str">
        <x:f>IF(OR(AH287="yes",AD287="debated",AC287="operational"),"yes","no")</x:f>
        <x:v>yes</x:v>
      </x:c>
      <x:c r="AJ287" s="12" t="str">
        <x:f>IF(OR(AH287="yes",AC287="operational",AD287="debated"),"high",IF(AND(AG287="yes",L287="P0"),"medium","low"))</x:f>
        <x:v>high</x:v>
      </x:c>
      <x:c r="AK287" s="12" t="str">
        <x:f>IF(ISNUMBER(SEARCH("healthy",AB287)),"yes","no")</x:f>
        <x:v>no</x:v>
      </x:c>
      <x:c r="AL287" s="12" t="str">
        <x:f>IF(AG287="yes","yes","candidate_only")</x:f>
        <x:v>candidate_only</x:v>
      </x:c>
      <x:c r="AM287" s="12" t="str">
        <x:f>IF(OR(AC287="canonical",AG287="yes"),"yes","recommended")</x:f>
        <x:v>recommended</x:v>
      </x:c>
      <x:c r="AN287" s="12" t="str">
        <x:f>IF(AC287="deprecated","exclude",IF(AND(AG287="yes",AJ287="high"),"import_but_human_review_required",IF(AG287="yes","import_as_active","import_as_backlog")))</x:f>
        <x:v>import_as_backlog</x:v>
      </x:c>
      <x:c r="AO287" s="12" t="str">
        <x:f>IF(AND(AG287="yes",OR(P287="",Q287="",R287="",S287="")),"missing_required_mvp_fields",IF(AND(AC287="canonical",Y287=""),"missing_source_ref","ok"))</x:f>
        <x:v>ok</x:v>
      </x:c>
      <x:c r="AP287" s="12" t="str">
        <x:f>IF(AO287="ok","ready_for_codex_import","needs_review")</x:f>
        <x:v>ready_for_codex_import</x:v>
      </x:c>
      <x:c r="AQ287" s="12"/>
      <x:c r="AR287" s="12" t="str">
        <x:v>Added v2 operational fields. Review before classification activation.</x:v>
      </x:c>
    </x:row>
    <x:row r="288">
      <x:c r="A288" s="13" t="str">
        <x:v>pseudocertainty_effect_canonical</x:v>
      </x:c>
      <x:c r="B288" s="13" t="str">
        <x:v>pseudocertainty_effect</x:v>
      </x:c>
      <x:c r="C288" s="13" t="str">
        <x:v>Pseudocertainty effect</x:v>
      </x:c>
      <x:c r="D288" s="13" t="str">
        <x:v>اثر شبه‌قطعیت</x:v>
      </x:c>
      <x:c r="E288" s="13" t="str">
        <x:v>Canonical form</x:v>
      </x:c>
      <x:c r="F288" s="13" t="str">
        <x:v>probabilistic_failures</x:v>
      </x:c>
      <x:c r="G288" s="13" t="str">
        <x:v>canonical</x:v>
      </x:c>
      <x:c r="H288" s="13" t="str">
        <x:v>contextual</x:v>
      </x:c>
      <x:c r="I288" s="13" t="str">
        <x:v>claim+context</x:v>
      </x:c>
      <x:c r="J288" s="13" t="str">
        <x:v>derived_operational_subtype</x:v>
      </x:c>
      <x:c r="K288" s="13" t="str">
        <x:v>derived_from_established_parent_review_required</x:v>
      </x:c>
      <x:c r="L288" s="13" t="str">
        <x:v>P2</x:v>
      </x:c>
      <x:c r="M288" s="13" t="str">
        <x:v>no</x:v>
      </x:c>
      <x:c r="N288" s="13" t="str">
        <x:v>Operational subtype under Pseudocertainty effect: probability is misread in a standard recognizable way. Parent definition: Treating an uncertain multi-stage outcome as certain at a later stage.</x:v>
      </x:c>
      <x:c r="O288" s="13" t="str">
        <x:v>Look for: explicit claim-level evidence; parent-family cues for Pseudocertainty effect; variant cue: probability is misread in a standard recognizable way; avoid author-level inference.</x:v>
      </x:c>
      <x:c r="P288" s="13" t="str">
        <x:v>Exact evidence span in text plus claim-level reasoning link; for contextual/discourse entries, require surrounding context.</x:v>
      </x:c>
      <x:c r="Q288" s="13" t="str">
        <x:v>Do not label merely because topic is controversial, emotional, or wrong. Do not judge intent or personality. Require textual evidence and consider healthy-reasoning cues.</x:v>
      </x:c>
      <x:c r="R288" s="13" t="str">
        <x:v>Stub: A claim relies on probability is misread in a standard recognizable way to support a conclusion without adequate qualification.</x:v>
      </x:c>
      <x:c r="S288" s="13" t="str">
        <x:v>Stub: A claim discusses pseudocertainty effect with caveats, balanced evidence, or no argumentative use of the pattern.</x:v>
      </x:c>
      <x:c r="T288" s="13" t="str">
        <x:v>Mild or ambiguous cue; do not classify without clear evidence span.</x:v>
      </x:c>
      <x:c r="U288" s="13" t="str">
        <x:v>Clear claim-level pattern with some argumentative impact.</x:v>
      </x:c>
      <x:c r="V288" s="13" t="str">
        <x:v>Strong pattern central to the conclusion and likely to materially distort reasoning.</x:v>
      </x:c>
      <x:c r="W288" s="13" t="str"/>
      <x:c r="X288" s="13" t="str">
        <x:v>tversky_kahneman_framing_1981</x:v>
      </x:c>
      <x:c r="Y288" s="13" t="str">
        <x:v>https://doi.org/10.1126/science.7455683</x:v>
      </x:c>
      <x:c r="Z288" s="13" t="str">
        <x:v>Review before enabling. This workbook is a living taxonomy scaffold, not a validated scientific benchmark.</x:v>
      </x:c>
      <x:c r="AA288" s="13" t="str">
        <x:v>0.1.0-draft</x:v>
      </x:c>
      <x:c r="AB288" s="12" t="str">
        <x:f>IF(ISNUMBER(SEARCH("healthy",F288)),"healthy_reasoning_patterns",IF(ISNUMBER(SEARCH("statistical",F288)),"statistical_reasoning",IF(ISNUMBER(SEARCH("causal",F288)),"causal_reasoning",IF(ISNUMBER(SEARCH("social",F288)),"social_influence",IF(ISNUMBER(SEARCH("rhetoric",F288)),"rhetoric_discourse",IF(ISNUMBER(SEARCH("behavior",F288)),"behavioural_economics",IF(ISNUMBER(SEARCH("cognitive",F288)),"cognitive_biases",IF(J288="protective_pattern","healthy_reasoning_patterns",IF(L288="P0","core_mvp","extended_fallacies")))))))))</x:f>
        <x:v>extended_fallacies</x:v>
      </x:c>
      <x:c r="AC288" s="12" t="str">
        <x:f>IF(ISNUMBER(SEARCH("operational",J288)),"operational",IF(ISNUMBER(SEARCH("deprecated",J288)),"deprecated",IF(L288="P0","canonical","recognized_subtype")))</x:f>
        <x:v>operational</x:v>
      </x:c>
      <x:c r="AD288" s="12" t="str">
        <x:f>IF(AC288="canonical","high",IF(AC288="recognized_subtype","medium",IF(AC288="operational","operational_only","debated")))</x:f>
        <x:v>operational_only</x:v>
      </x:c>
      <x:c r="AE288" s="12" t="str">
        <x:f>IF(AC288="deprecated","deprecated",IF(M288="yes","active",IF(M288="review","review_required","backlog")))</x:f>
        <x:v>backlog</x:v>
      </x:c>
      <x:c r="AF288" s="12" t="str">
        <x:f>IF(OR(AE288="active",AE288="review_required"),"yes","no")</x:f>
        <x:v>no</x:v>
      </x:c>
      <x:c r="AG288" s="12" t="str">
        <x:f>IF(AND(AE288="active",M288="yes",NOT(ISNUMBER(SEARCH("healthy",AB288)))),"yes","no")</x:f>
        <x:v>no</x:v>
      </x:c>
      <x:c r="AH288" s="12" t="str">
        <x:f>IF(OR(H288="contextual",H288="dialogue",H288="discourse",I288="claim+context",I288="discourse_segment"),"yes","no")</x:f>
        <x:v>yes</x:v>
      </x:c>
      <x:c r="AI288" s="12" t="str">
        <x:f>IF(OR(AH288="yes",AD288="debated",AC288="operational"),"yes","no")</x:f>
        <x:v>yes</x:v>
      </x:c>
      <x:c r="AJ288" s="12" t="str">
        <x:f>IF(OR(AH288="yes",AC288="operational",AD288="debated"),"high",IF(AND(AG288="yes",L288="P0"),"medium","low"))</x:f>
        <x:v>high</x:v>
      </x:c>
      <x:c r="AK288" s="12" t="str">
        <x:f>IF(ISNUMBER(SEARCH("healthy",AB288)),"yes","no")</x:f>
        <x:v>no</x:v>
      </x:c>
      <x:c r="AL288" s="12" t="str">
        <x:f>IF(AG288="yes","yes","candidate_only")</x:f>
        <x:v>candidate_only</x:v>
      </x:c>
      <x:c r="AM288" s="12" t="str">
        <x:f>IF(OR(AC288="canonical",AG288="yes"),"yes","recommended")</x:f>
        <x:v>recommended</x:v>
      </x:c>
      <x:c r="AN288" s="12" t="str">
        <x:f>IF(AC288="deprecated","exclude",IF(AND(AG288="yes",AJ288="high"),"import_but_human_review_required",IF(AG288="yes","import_as_active","import_as_backlog")))</x:f>
        <x:v>import_as_backlog</x:v>
      </x:c>
      <x:c r="AO288" s="12" t="str">
        <x:f>IF(AND(AG288="yes",OR(P288="",Q288="",R288="",S288="")),"missing_required_mvp_fields",IF(AND(AC288="canonical",Y288=""),"missing_source_ref","ok"))</x:f>
        <x:v>ok</x:v>
      </x:c>
      <x:c r="AP288" s="12" t="str">
        <x:f>IF(AO288="ok","ready_for_codex_import","needs_review")</x:f>
        <x:v>ready_for_codex_import</x:v>
      </x:c>
      <x:c r="AQ288" s="12"/>
      <x:c r="AR288" s="12" t="str">
        <x:v>Added v2 operational fields. Review before classification activation.</x:v>
      </x:c>
    </x:row>
    <x:row r="289">
      <x:c r="A289" s="13" t="str">
        <x:v>probability_neglect_canonical</x:v>
      </x:c>
      <x:c r="B289" s="13" t="str">
        <x:v>probability_neglect</x:v>
      </x:c>
      <x:c r="C289" s="13" t="str">
        <x:v>Probability neglect</x:v>
      </x:c>
      <x:c r="D289" s="13" t="str">
        <x:v>نادیده‌گرفتن احتمال</x:v>
      </x:c>
      <x:c r="E289" s="13" t="str">
        <x:v>Canonical form</x:v>
      </x:c>
      <x:c r="F289" s="13" t="str">
        <x:v>probabilistic_failures</x:v>
      </x:c>
      <x:c r="G289" s="13" t="str">
        <x:v>canonical</x:v>
      </x:c>
      <x:c r="H289" s="13" t="str">
        <x:v>contextual</x:v>
      </x:c>
      <x:c r="I289" s="13" t="str">
        <x:v>claim+context</x:v>
      </x:c>
      <x:c r="J289" s="13" t="str">
        <x:v>derived_operational_subtype</x:v>
      </x:c>
      <x:c r="K289" s="13" t="str">
        <x:v>derived_from_established_parent_review_required</x:v>
      </x:c>
      <x:c r="L289" s="13" t="str">
        <x:v>P2</x:v>
      </x:c>
      <x:c r="M289" s="13" t="str">
        <x:v>no</x:v>
      </x:c>
      <x:c r="N289" s="13" t="str">
        <x:v>Operational subtype under Probability neglect: probability is misread in a standard recognizable way. Parent definition: Reacting to possible outcomes without proportionate attention to likelihood.</x:v>
      </x:c>
      <x:c r="O289" s="13" t="str">
        <x:v>Look for: explicit claim-level evidence; parent-family cues for Probability neglect; variant cue: probability is misread in a standard recognizable way; avoid author-level inference.</x:v>
      </x:c>
      <x:c r="P289" s="13" t="str">
        <x:v>Exact evidence span in text plus claim-level reasoning link; for contextual/discourse entries, require surrounding context.</x:v>
      </x:c>
      <x:c r="Q289" s="13" t="str">
        <x:v>Do not label merely because topic is controversial, emotional, or wrong. Do not judge intent or personality. Require textual evidence and consider healthy-reasoning cues.</x:v>
      </x:c>
      <x:c r="R289" s="13" t="str">
        <x:v>Stub: A claim relies on probability is misread in a standard recognizable way to support a conclusion without adequate qualification.</x:v>
      </x:c>
      <x:c r="S289" s="13" t="str">
        <x:v>Stub: A claim discusses probability neglect with caveats, balanced evidence, or no argumentative use of the pattern.</x:v>
      </x:c>
      <x:c r="T289" s="13" t="str">
        <x:v>Mild or ambiguous cue; do not classify without clear evidence span.</x:v>
      </x:c>
      <x:c r="U289" s="13" t="str">
        <x:v>Clear claim-level pattern with some argumentative impact.</x:v>
      </x:c>
      <x:c r="V289" s="13" t="str">
        <x:v>Strong pattern central to the conclusion and likely to materially distort reasoning.</x:v>
      </x:c>
      <x:c r="W289" s="13" t="str"/>
      <x:c r="X289" s="13" t="str">
        <x:v>kahneman_tversky_prospect_1979</x:v>
      </x:c>
      <x:c r="Y289" s="13" t="str">
        <x:v>https://doi.org/10.2307/1914185</x:v>
      </x:c>
      <x:c r="Z289" s="13" t="str">
        <x:v>Review before enabling. This workbook is a living taxonomy scaffold, not a validated scientific benchmark.</x:v>
      </x:c>
      <x:c r="AA289" s="13" t="str">
        <x:v>0.1.0-draft</x:v>
      </x:c>
      <x:c r="AB289" s="12" t="str">
        <x:f>IF(ISNUMBER(SEARCH("healthy",F289)),"healthy_reasoning_patterns",IF(ISNUMBER(SEARCH("statistical",F289)),"statistical_reasoning",IF(ISNUMBER(SEARCH("causal",F289)),"causal_reasoning",IF(ISNUMBER(SEARCH("social",F289)),"social_influence",IF(ISNUMBER(SEARCH("rhetoric",F289)),"rhetoric_discourse",IF(ISNUMBER(SEARCH("behavior",F289)),"behavioural_economics",IF(ISNUMBER(SEARCH("cognitive",F289)),"cognitive_biases",IF(J289="protective_pattern","healthy_reasoning_patterns",IF(L289="P0","core_mvp","extended_fallacies")))))))))</x:f>
        <x:v>extended_fallacies</x:v>
      </x:c>
      <x:c r="AC289" s="12" t="str">
        <x:f>IF(ISNUMBER(SEARCH("operational",J289)),"operational",IF(ISNUMBER(SEARCH("deprecated",J289)),"deprecated",IF(L289="P0","canonical","recognized_subtype")))</x:f>
        <x:v>operational</x:v>
      </x:c>
      <x:c r="AD289" s="12" t="str">
        <x:f>IF(AC289="canonical","high",IF(AC289="recognized_subtype","medium",IF(AC289="operational","operational_only","debated")))</x:f>
        <x:v>operational_only</x:v>
      </x:c>
      <x:c r="AE289" s="12" t="str">
        <x:f>IF(AC289="deprecated","deprecated",IF(M289="yes","active",IF(M289="review","review_required","backlog")))</x:f>
        <x:v>backlog</x:v>
      </x:c>
      <x:c r="AF289" s="12" t="str">
        <x:f>IF(OR(AE289="active",AE289="review_required"),"yes","no")</x:f>
        <x:v>no</x:v>
      </x:c>
      <x:c r="AG289" s="12" t="str">
        <x:f>IF(AND(AE289="active",M289="yes",NOT(ISNUMBER(SEARCH("healthy",AB289)))),"yes","no")</x:f>
        <x:v>no</x:v>
      </x:c>
      <x:c r="AH289" s="12" t="str">
        <x:f>IF(OR(H289="contextual",H289="dialogue",H289="discourse",I289="claim+context",I289="discourse_segment"),"yes","no")</x:f>
        <x:v>yes</x:v>
      </x:c>
      <x:c r="AI289" s="12" t="str">
        <x:f>IF(OR(AH289="yes",AD289="debated",AC289="operational"),"yes","no")</x:f>
        <x:v>yes</x:v>
      </x:c>
      <x:c r="AJ289" s="12" t="str">
        <x:f>IF(OR(AH289="yes",AC289="operational",AD289="debated"),"high",IF(AND(AG289="yes",L289="P0"),"medium","low"))</x:f>
        <x:v>high</x:v>
      </x:c>
      <x:c r="AK289" s="12" t="str">
        <x:f>IF(ISNUMBER(SEARCH("healthy",AB289)),"yes","no")</x:f>
        <x:v>no</x:v>
      </x:c>
      <x:c r="AL289" s="12" t="str">
        <x:f>IF(AG289="yes","yes","candidate_only")</x:f>
        <x:v>candidate_only</x:v>
      </x:c>
      <x:c r="AM289" s="12" t="str">
        <x:f>IF(OR(AC289="canonical",AG289="yes"),"yes","recommended")</x:f>
        <x:v>recommended</x:v>
      </x:c>
      <x:c r="AN289" s="12" t="str">
        <x:f>IF(AC289="deprecated","exclude",IF(AND(AG289="yes",AJ289="high"),"import_but_human_review_required",IF(AG289="yes","import_as_active","import_as_backlog")))</x:f>
        <x:v>import_as_backlog</x:v>
      </x:c>
      <x:c r="AO289" s="12" t="str">
        <x:f>IF(AND(AG289="yes",OR(P289="",Q289="",R289="",S289="")),"missing_required_mvp_fields",IF(AND(AC289="canonical",Y289=""),"missing_source_ref","ok"))</x:f>
        <x:v>ok</x:v>
      </x:c>
      <x:c r="AP289" s="12" t="str">
        <x:f>IF(AO289="ok","ready_for_codex_import","needs_review")</x:f>
        <x:v>ready_for_codex_import</x:v>
      </x:c>
      <x:c r="AQ289" s="12"/>
      <x:c r="AR289" s="12" t="str">
        <x:v>Added v2 operational fields. Review before classification activation.</x:v>
      </x:c>
    </x:row>
    <x:row r="290">
      <x:c r="A290" s="13" t="str">
        <x:v>odds_ratio_misinterpretation_canonical</x:v>
      </x:c>
      <x:c r="B290" s="13" t="str">
        <x:v>odds_ratio_misinterpretation</x:v>
      </x:c>
      <x:c r="C290" s="13" t="str">
        <x:v>Odds-ratio misinterpretation</x:v>
      </x:c>
      <x:c r="D290" s="13" t="str">
        <x:v>تفسیر نادرست نسبت شانس</x:v>
      </x:c>
      <x:c r="E290" s="13" t="str">
        <x:v>Canonical form</x:v>
      </x:c>
      <x:c r="F290" s="13" t="str">
        <x:v>probabilistic_failures</x:v>
      </x:c>
      <x:c r="G290" s="13" t="str">
        <x:v>canonical</x:v>
      </x:c>
      <x:c r="H290" s="13" t="str">
        <x:v>contextual</x:v>
      </x:c>
      <x:c r="I290" s="13" t="str">
        <x:v>claim+context</x:v>
      </x:c>
      <x:c r="J290" s="13" t="str">
        <x:v>derived_operational_subtype</x:v>
      </x:c>
      <x:c r="K290" s="13" t="str">
        <x:v>derived_from_established_parent_review_required</x:v>
      </x:c>
      <x:c r="L290" s="13" t="str">
        <x:v>P2</x:v>
      </x:c>
      <x:c r="M290" s="13" t="str">
        <x:v>no</x:v>
      </x:c>
      <x:c r="N290" s="13" t="str">
        <x:v>Operational subtype under Odds-ratio misinterpretation: probability is misread in a standard recognizable way. Parent definition: Treating odds ratios as direct probability differences.</x:v>
      </x:c>
      <x:c r="O290" s="13" t="str">
        <x:v>Look for: explicit claim-level evidence; parent-family cues for Odds-ratio misinterpretation; variant cue: probability is misread in a standard recognizable way; avoid author-level inference.</x:v>
      </x:c>
      <x:c r="P290" s="13" t="str">
        <x:v>Exact evidence span in text plus claim-level reasoning link; for contextual/discourse entries, require surrounding context.</x:v>
      </x:c>
      <x:c r="Q290" s="13" t="str">
        <x:v>Do not label merely because topic is controversial, emotional, or wrong. Do not judge intent or personality. Require textual evidence and consider healthy-reasoning cues.</x:v>
      </x:c>
      <x:c r="R290" s="13" t="str">
        <x:v>Stub: A claim relies on probability is misread in a standard recognizable way to support a conclusion without adequate qualification.</x:v>
      </x:c>
      <x:c r="S290" s="13" t="str">
        <x:v>Stub: A claim discusses odds-ratio misinterpretation with caveats, balanced evidence, or no argumentative use of the pattern.</x:v>
      </x:c>
      <x:c r="T290" s="13" t="str">
        <x:v>Mild or ambiguous cue; do not classify without clear evidence span.</x:v>
      </x:c>
      <x:c r="U290" s="13" t="str">
        <x:v>Clear claim-level pattern with some argumentative impact.</x:v>
      </x:c>
      <x:c r="V290" s="13" t="str">
        <x:v>Strong pattern central to the conclusion and likely to materially distort reasoning.</x:v>
      </x:c>
      <x:c r="W290" s="13" t="str"/>
      <x:c r="X290" s="13" t="str">
        <x:v>stanovich_dual_process</x:v>
      </x:c>
      <x:c r="Y290" s="13" t="str">
        <x:v>https://global.oup.com/academic/product/rationality-and-the-reflective-mind-9780195341140</x:v>
      </x:c>
      <x:c r="Z290" s="13" t="str">
        <x:v>Review before enabling. This workbook is a living taxonomy scaffold, not a validated scientific benchmark.</x:v>
      </x:c>
      <x:c r="AA290" s="13" t="str">
        <x:v>0.1.0-draft</x:v>
      </x:c>
      <x:c r="AB290" s="12" t="str">
        <x:f>IF(ISNUMBER(SEARCH("healthy",F290)),"healthy_reasoning_patterns",IF(ISNUMBER(SEARCH("statistical",F290)),"statistical_reasoning",IF(ISNUMBER(SEARCH("causal",F290)),"causal_reasoning",IF(ISNUMBER(SEARCH("social",F290)),"social_influence",IF(ISNUMBER(SEARCH("rhetoric",F290)),"rhetoric_discourse",IF(ISNUMBER(SEARCH("behavior",F290)),"behavioural_economics",IF(ISNUMBER(SEARCH("cognitive",F290)),"cognitive_biases",IF(J290="protective_pattern","healthy_reasoning_patterns",IF(L290="P0","core_mvp","extended_fallacies")))))))))</x:f>
        <x:v>extended_fallacies</x:v>
      </x:c>
      <x:c r="AC290" s="12" t="str">
        <x:f>IF(ISNUMBER(SEARCH("operational",J290)),"operational",IF(ISNUMBER(SEARCH("deprecated",J290)),"deprecated",IF(L290="P0","canonical","recognized_subtype")))</x:f>
        <x:v>operational</x:v>
      </x:c>
      <x:c r="AD290" s="12" t="str">
        <x:f>IF(AC290="canonical","high",IF(AC290="recognized_subtype","medium",IF(AC290="operational","operational_only","debated")))</x:f>
        <x:v>operational_only</x:v>
      </x:c>
      <x:c r="AE290" s="12" t="str">
        <x:f>IF(AC290="deprecated","deprecated",IF(M290="yes","active",IF(M290="review","review_required","backlog")))</x:f>
        <x:v>backlog</x:v>
      </x:c>
      <x:c r="AF290" s="12" t="str">
        <x:f>IF(OR(AE290="active",AE290="review_required"),"yes","no")</x:f>
        <x:v>no</x:v>
      </x:c>
      <x:c r="AG290" s="12" t="str">
        <x:f>IF(AND(AE290="active",M290="yes",NOT(ISNUMBER(SEARCH("healthy",AB290)))),"yes","no")</x:f>
        <x:v>no</x:v>
      </x:c>
      <x:c r="AH290" s="12" t="str">
        <x:f>IF(OR(H290="contextual",H290="dialogue",H290="discourse",I290="claim+context",I290="discourse_segment"),"yes","no")</x:f>
        <x:v>yes</x:v>
      </x:c>
      <x:c r="AI290" s="12" t="str">
        <x:f>IF(OR(AH290="yes",AD290="debated",AC290="operational"),"yes","no")</x:f>
        <x:v>yes</x:v>
      </x:c>
      <x:c r="AJ290" s="12" t="str">
        <x:f>IF(OR(AH290="yes",AC290="operational",AD290="debated"),"high",IF(AND(AG290="yes",L290="P0"),"medium","low"))</x:f>
        <x:v>high</x:v>
      </x:c>
      <x:c r="AK290" s="12" t="str">
        <x:f>IF(ISNUMBER(SEARCH("healthy",AB290)),"yes","no")</x:f>
        <x:v>no</x:v>
      </x:c>
      <x:c r="AL290" s="12" t="str">
        <x:f>IF(AG290="yes","yes","candidate_only")</x:f>
        <x:v>candidate_only</x:v>
      </x:c>
      <x:c r="AM290" s="12" t="str">
        <x:f>IF(OR(AC290="canonical",AG290="yes"),"yes","recommended")</x:f>
        <x:v>recommended</x:v>
      </x:c>
      <x:c r="AN290" s="12" t="str">
        <x:f>IF(AC290="deprecated","exclude",IF(AND(AG290="yes",AJ290="high"),"import_but_human_review_required",IF(AG290="yes","import_as_active","import_as_backlog")))</x:f>
        <x:v>import_as_backlog</x:v>
      </x:c>
      <x:c r="AO290" s="12" t="str">
        <x:f>IF(AND(AG290="yes",OR(P290="",Q290="",R290="",S290="")),"missing_required_mvp_fields",IF(AND(AC290="canonical",Y290=""),"missing_source_ref","ok"))</x:f>
        <x:v>ok</x:v>
      </x:c>
      <x:c r="AP290" s="12" t="str">
        <x:f>IF(AO290="ok","ready_for_codex_import","needs_review")</x:f>
        <x:v>ready_for_codex_import</x:v>
      </x:c>
      <x:c r="AQ290" s="12"/>
      <x:c r="AR290" s="12" t="str">
        <x:v>Added v2 operational fields. Review before classification activation.</x:v>
      </x:c>
    </x:row>
    <x:row r="291">
      <x:c r="A291" s="13" t="str">
        <x:v>confidence_interval_neglect_canonical</x:v>
      </x:c>
      <x:c r="B291" s="13" t="str">
        <x:v>confidence_interval_neglect</x:v>
      </x:c>
      <x:c r="C291" s="13" t="str">
        <x:v>Confidence interval neglect</x:v>
      </x:c>
      <x:c r="D291" s="13" t="str">
        <x:v>نادیده گرفتن بازه اطمینان</x:v>
      </x:c>
      <x:c r="E291" s="13" t="str">
        <x:v>Canonical form</x:v>
      </x:c>
      <x:c r="F291" s="13" t="str">
        <x:v>probabilistic_failures</x:v>
      </x:c>
      <x:c r="G291" s="13" t="str">
        <x:v>canonical</x:v>
      </x:c>
      <x:c r="H291" s="13" t="str">
        <x:v>lexical</x:v>
      </x:c>
      <x:c r="I291" s="13" t="str">
        <x:v>claim</x:v>
      </x:c>
      <x:c r="J291" s="13" t="str">
        <x:v>derived_operational_subtype</x:v>
      </x:c>
      <x:c r="K291" s="13" t="str">
        <x:v>derived_from_established_parent_review_required</x:v>
      </x:c>
      <x:c r="L291" s="13" t="str">
        <x:v>P2</x:v>
      </x:c>
      <x:c r="M291" s="13" t="str">
        <x:v>no</x:v>
      </x:c>
      <x:c r="N291" s="13" t="str">
        <x:v>Operational subtype under Confidence interval neglect: probability is misread in a standard recognizable way. Parent definition: Using point estimates as if uncertainty intervals did not exist.</x:v>
      </x:c>
      <x:c r="O291" s="13" t="str">
        <x:v>Look for: explicit claim-level evidence; parent-family cues for Confidence interval neglect; variant cue: probability is misread in a standard recognizable way; avoid author-level inference.</x:v>
      </x:c>
      <x:c r="P291" s="13" t="str">
        <x:v>Exact evidence span in text plus claim-level reasoning link; for contextual/discourse entries, require surrounding context.</x:v>
      </x:c>
      <x:c r="Q291" s="13" t="str">
        <x:v>Do not label merely because topic is controversial, emotional, or wrong. Do not judge intent or personality. Require textual evidence and consider healthy-reasoning cues.</x:v>
      </x:c>
      <x:c r="R291" s="13" t="str">
        <x:v>Stub: A claim relies on probability is misread in a standard recognizable way to support a conclusion without adequate qualification.</x:v>
      </x:c>
      <x:c r="S291" s="13" t="str">
        <x:v>Stub: A claim discusses confidence interval neglect with caveats, balanced evidence, or no argumentative use of the pattern.</x:v>
      </x:c>
      <x:c r="T291" s="13" t="str">
        <x:v>Mild or ambiguous cue; do not classify without clear evidence span.</x:v>
      </x:c>
      <x:c r="U291" s="13" t="str">
        <x:v>Clear claim-level pattern with some argumentative impact.</x:v>
      </x:c>
      <x:c r="V291" s="13" t="str">
        <x:v>Strong pattern central to the conclusion and likely to materially distort reasoning.</x:v>
      </x:c>
      <x:c r="W291" s="13" t="str"/>
      <x:c r="X291" s="13" t="str">
        <x:v>stanovich_dual_process</x:v>
      </x:c>
      <x:c r="Y291" s="13" t="str">
        <x:v>https://global.oup.com/academic/product/rationality-and-the-reflective-mind-9780195341140</x:v>
      </x:c>
      <x:c r="Z291" s="13" t="str">
        <x:v>Review before enabling. This workbook is a living taxonomy scaffold, not a validated scientific benchmark.</x:v>
      </x:c>
      <x:c r="AA291" s="13" t="str">
        <x:v>0.1.0-draft</x:v>
      </x:c>
      <x:c r="AB291" s="12" t="str">
        <x:f>IF(ISNUMBER(SEARCH("healthy",F291)),"healthy_reasoning_patterns",IF(ISNUMBER(SEARCH("statistical",F291)),"statistical_reasoning",IF(ISNUMBER(SEARCH("causal",F291)),"causal_reasoning",IF(ISNUMBER(SEARCH("social",F291)),"social_influence",IF(ISNUMBER(SEARCH("rhetoric",F291)),"rhetoric_discourse",IF(ISNUMBER(SEARCH("behavior",F291)),"behavioural_economics",IF(ISNUMBER(SEARCH("cognitive",F291)),"cognitive_biases",IF(J291="protective_pattern","healthy_reasoning_patterns",IF(L291="P0","core_mvp","extended_fallacies")))))))))</x:f>
        <x:v>extended_fallacies</x:v>
      </x:c>
      <x:c r="AC291" s="12" t="str">
        <x:f>IF(ISNUMBER(SEARCH("operational",J291)),"operational",IF(ISNUMBER(SEARCH("deprecated",J291)),"deprecated",IF(L291="P0","canonical","recognized_subtype")))</x:f>
        <x:v>operational</x:v>
      </x:c>
      <x:c r="AD291" s="12" t="str">
        <x:f>IF(AC291="canonical","high",IF(AC291="recognized_subtype","medium",IF(AC291="operational","operational_only","debated")))</x:f>
        <x:v>operational_only</x:v>
      </x:c>
      <x:c r="AE291" s="12" t="str">
        <x:f>IF(AC291="deprecated","deprecated",IF(M291="yes","active",IF(M291="review","review_required","backlog")))</x:f>
        <x:v>backlog</x:v>
      </x:c>
      <x:c r="AF291" s="12" t="str">
        <x:f>IF(OR(AE291="active",AE291="review_required"),"yes","no")</x:f>
        <x:v>no</x:v>
      </x:c>
      <x:c r="AG291" s="12" t="str">
        <x:f>IF(AND(AE291="active",M291="yes",NOT(ISNUMBER(SEARCH("healthy",AB291)))),"yes","no")</x:f>
        <x:v>no</x:v>
      </x:c>
      <x:c r="AH291" s="12" t="str">
        <x:f>IF(OR(H291="contextual",H291="dialogue",H291="discourse",I291="claim+context",I291="discourse_segment"),"yes","no")</x:f>
        <x:v>no</x:v>
      </x:c>
      <x:c r="AI291" s="12" t="str">
        <x:f>IF(OR(AH291="yes",AD291="debated",AC291="operational"),"yes","no")</x:f>
        <x:v>yes</x:v>
      </x:c>
      <x:c r="AJ291" s="12" t="str">
        <x:f>IF(OR(AH291="yes",AC291="operational",AD291="debated"),"high",IF(AND(AG291="yes",L291="P0"),"medium","low"))</x:f>
        <x:v>high</x:v>
      </x:c>
      <x:c r="AK291" s="12" t="str">
        <x:f>IF(ISNUMBER(SEARCH("healthy",AB291)),"yes","no")</x:f>
        <x:v>no</x:v>
      </x:c>
      <x:c r="AL291" s="12" t="str">
        <x:f>IF(AG291="yes","yes","candidate_only")</x:f>
        <x:v>candidate_only</x:v>
      </x:c>
      <x:c r="AM291" s="12" t="str">
        <x:f>IF(OR(AC291="canonical",AG291="yes"),"yes","recommended")</x:f>
        <x:v>recommended</x:v>
      </x:c>
      <x:c r="AN291" s="12" t="str">
        <x:f>IF(AC291="deprecated","exclude",IF(AND(AG291="yes",AJ291="high"),"import_but_human_review_required",IF(AG291="yes","import_as_active","import_as_backlog")))</x:f>
        <x:v>import_as_backlog</x:v>
      </x:c>
      <x:c r="AO291" s="12" t="str">
        <x:f>IF(AND(AG291="yes",OR(P291="",Q291="",R291="",S291="")),"missing_required_mvp_fields",IF(AND(AC291="canonical",Y291=""),"missing_source_ref","ok"))</x:f>
        <x:v>ok</x:v>
      </x:c>
      <x:c r="AP291" s="12" t="str">
        <x:f>IF(AO291="ok","ready_for_codex_import","needs_review")</x:f>
        <x:v>ready_for_codex_import</x:v>
      </x:c>
      <x:c r="AQ291" s="12"/>
      <x:c r="AR291" s="12" t="str">
        <x:v>Added v2 operational fields. Review before classification activation.</x:v>
      </x:c>
    </x:row>
    <x:row r="292">
      <x:c r="A292" s="13" t="str">
        <x:v>forecast_base_rate_neglect_canonical</x:v>
      </x:c>
      <x:c r="B292" s="13" t="str">
        <x:v>forecast_base_rate_neglect</x:v>
      </x:c>
      <x:c r="C292" s="13" t="str">
        <x:v>Forecast base-rate neglect</x:v>
      </x:c>
      <x:c r="D292" s="13" t="str">
        <x:v>نرخ پایه در پیش‌بینی</x:v>
      </x:c>
      <x:c r="E292" s="13" t="str">
        <x:v>Canonical form</x:v>
      </x:c>
      <x:c r="F292" s="13" t="str">
        <x:v>probabilistic_failures</x:v>
      </x:c>
      <x:c r="G292" s="13" t="str">
        <x:v>canonical</x:v>
      </x:c>
      <x:c r="H292" s="13" t="str">
        <x:v>contextual</x:v>
      </x:c>
      <x:c r="I292" s="13" t="str">
        <x:v>claim+context</x:v>
      </x:c>
      <x:c r="J292" s="13" t="str">
        <x:v>derived_operational_subtype</x:v>
      </x:c>
      <x:c r="K292" s="13" t="str">
        <x:v>derived_from_established_parent_review_required</x:v>
      </x:c>
      <x:c r="L292" s="13" t="str">
        <x:v>P2</x:v>
      </x:c>
      <x:c r="M292" s="13" t="str">
        <x:v>no</x:v>
      </x:c>
      <x:c r="N292" s="13" t="str">
        <x:v>Operational subtype under Forecast base-rate neglect: probability is misread in a standard recognizable way. Parent definition: Making forecasts without considering historical frequencies.</x:v>
      </x:c>
      <x:c r="O292" s="13" t="str">
        <x:v>Look for: explicit claim-level evidence; parent-family cues for Forecast base-rate neglect; variant cue: probability is misread in a standard recognizable way; avoid author-level inference.</x:v>
      </x:c>
      <x:c r="P292" s="13" t="str">
        <x:v>Exact evidence span in text plus claim-level reasoning link; for contextual/discourse entries, require surrounding context.</x:v>
      </x:c>
      <x:c r="Q292" s="13" t="str">
        <x:v>Do not label merely because topic is controversial, emotional, or wrong. Do not judge intent or personality. Require textual evidence and consider healthy-reasoning cues.</x:v>
      </x:c>
      <x:c r="R292" s="13" t="str">
        <x:v>Stub: A claim relies on probability is misread in a standard recognizable way to support a conclusion without adequate qualification.</x:v>
      </x:c>
      <x:c r="S292" s="13" t="str">
        <x:v>Stub: A claim discusses forecast base-rate neglect with caveats, balanced evidence, or no argumentative use of the pattern.</x:v>
      </x:c>
      <x:c r="T292" s="13" t="str">
        <x:v>Mild or ambiguous cue; do not classify without clear evidence span.</x:v>
      </x:c>
      <x:c r="U292" s="13" t="str">
        <x:v>Clear claim-level pattern with some argumentative impact.</x:v>
      </x:c>
      <x:c r="V292" s="13" t="str">
        <x:v>Strong pattern central to the conclusion and likely to materially distort reasoning.</x:v>
      </x:c>
      <x:c r="W292" s="13" t="str"/>
      <x:c r="X292" s="13" t="str">
        <x:v>stanovich_dual_process</x:v>
      </x:c>
      <x:c r="Y292" s="13" t="str">
        <x:v>https://global.oup.com/academic/product/rationality-and-the-reflective-mind-9780195341140</x:v>
      </x:c>
      <x:c r="Z292" s="13" t="str">
        <x:v>Review before enabling. This workbook is a living taxonomy scaffold, not a validated scientific benchmark.</x:v>
      </x:c>
      <x:c r="AA292" s="13" t="str">
        <x:v>0.1.0-draft</x:v>
      </x:c>
      <x:c r="AB292" s="12" t="str">
        <x:f>IF(ISNUMBER(SEARCH("healthy",F292)),"healthy_reasoning_patterns",IF(ISNUMBER(SEARCH("statistical",F292)),"statistical_reasoning",IF(ISNUMBER(SEARCH("causal",F292)),"causal_reasoning",IF(ISNUMBER(SEARCH("social",F292)),"social_influence",IF(ISNUMBER(SEARCH("rhetoric",F292)),"rhetoric_discourse",IF(ISNUMBER(SEARCH("behavior",F292)),"behavioural_economics",IF(ISNUMBER(SEARCH("cognitive",F292)),"cognitive_biases",IF(J292="protective_pattern","healthy_reasoning_patterns",IF(L292="P0","core_mvp","extended_fallacies")))))))))</x:f>
        <x:v>extended_fallacies</x:v>
      </x:c>
      <x:c r="AC292" s="12" t="str">
        <x:f>IF(ISNUMBER(SEARCH("operational",J292)),"operational",IF(ISNUMBER(SEARCH("deprecated",J292)),"deprecated",IF(L292="P0","canonical","recognized_subtype")))</x:f>
        <x:v>operational</x:v>
      </x:c>
      <x:c r="AD292" s="12" t="str">
        <x:f>IF(AC292="canonical","high",IF(AC292="recognized_subtype","medium",IF(AC292="operational","operational_only","debated")))</x:f>
        <x:v>operational_only</x:v>
      </x:c>
      <x:c r="AE292" s="12" t="str">
        <x:f>IF(AC292="deprecated","deprecated",IF(M292="yes","active",IF(M292="review","review_required","backlog")))</x:f>
        <x:v>backlog</x:v>
      </x:c>
      <x:c r="AF292" s="12" t="str">
        <x:f>IF(OR(AE292="active",AE292="review_required"),"yes","no")</x:f>
        <x:v>no</x:v>
      </x:c>
      <x:c r="AG292" s="12" t="str">
        <x:f>IF(AND(AE292="active",M292="yes",NOT(ISNUMBER(SEARCH("healthy",AB292)))),"yes","no")</x:f>
        <x:v>no</x:v>
      </x:c>
      <x:c r="AH292" s="12" t="str">
        <x:f>IF(OR(H292="contextual",H292="dialogue",H292="discourse",I292="claim+context",I292="discourse_segment"),"yes","no")</x:f>
        <x:v>yes</x:v>
      </x:c>
      <x:c r="AI292" s="12" t="str">
        <x:f>IF(OR(AH292="yes",AD292="debated",AC292="operational"),"yes","no")</x:f>
        <x:v>yes</x:v>
      </x:c>
      <x:c r="AJ292" s="12" t="str">
        <x:f>IF(OR(AH292="yes",AC292="operational",AD292="debated"),"high",IF(AND(AG292="yes",L292="P0"),"medium","low"))</x:f>
        <x:v>high</x:v>
      </x:c>
      <x:c r="AK292" s="12" t="str">
        <x:f>IF(ISNUMBER(SEARCH("healthy",AB292)),"yes","no")</x:f>
        <x:v>no</x:v>
      </x:c>
      <x:c r="AL292" s="12" t="str">
        <x:f>IF(AG292="yes","yes","candidate_only")</x:f>
        <x:v>candidate_only</x:v>
      </x:c>
      <x:c r="AM292" s="12" t="str">
        <x:f>IF(OR(AC292="canonical",AG292="yes"),"yes","recommended")</x:f>
        <x:v>recommended</x:v>
      </x:c>
      <x:c r="AN292" s="12" t="str">
        <x:f>IF(AC292="deprecated","exclude",IF(AND(AG292="yes",AJ292="high"),"import_but_human_review_required",IF(AG292="yes","import_as_active","import_as_backlog")))</x:f>
        <x:v>import_as_backlog</x:v>
      </x:c>
      <x:c r="AO292" s="12" t="str">
        <x:f>IF(AND(AG292="yes",OR(P292="",Q292="",R292="",S292="")),"missing_required_mvp_fields",IF(AND(AC292="canonical",Y292=""),"missing_source_ref","ok"))</x:f>
        <x:v>ok</x:v>
      </x:c>
      <x:c r="AP292" s="12" t="str">
        <x:f>IF(AO292="ok","ready_for_codex_import","needs_review")</x:f>
        <x:v>ready_for_codex_import</x:v>
      </x:c>
      <x:c r="AQ292" s="12"/>
      <x:c r="AR292" s="12" t="str">
        <x:v>Added v2 operational fields. Review before classification activation.</x:v>
      </x:c>
    </x:row>
    <x:row r="293">
      <x:c r="A293" s="13" t="str">
        <x:v>calibration_error_canonical</x:v>
      </x:c>
      <x:c r="B293" s="13" t="str">
        <x:v>calibration_error</x:v>
      </x:c>
      <x:c r="C293" s="13" t="str">
        <x:v>Calibration error</x:v>
      </x:c>
      <x:c r="D293" s="13" t="str">
        <x:v>خطای کالیبراسیون</x:v>
      </x:c>
      <x:c r="E293" s="13" t="str">
        <x:v>Canonical form</x:v>
      </x:c>
      <x:c r="F293" s="13" t="str">
        <x:v>probabilistic_failures</x:v>
      </x:c>
      <x:c r="G293" s="13" t="str">
        <x:v>canonical</x:v>
      </x:c>
      <x:c r="H293" s="13" t="str">
        <x:v>contextual</x:v>
      </x:c>
      <x:c r="I293" s="13" t="str">
        <x:v>claim+context</x:v>
      </x:c>
      <x:c r="J293" s="13" t="str">
        <x:v>derived_operational_subtype</x:v>
      </x:c>
      <x:c r="K293" s="13" t="str">
        <x:v>derived_from_established_parent_review_required</x:v>
      </x:c>
      <x:c r="L293" s="13" t="str">
        <x:v>P2</x:v>
      </x:c>
      <x:c r="M293" s="13" t="str">
        <x:v>no</x:v>
      </x:c>
      <x:c r="N293" s="13" t="str">
        <x:v>Operational subtype under Calibration error: probability is misread in a standard recognizable way. Parent definition: Mismatch between expressed confidence and actual evidential support.</x:v>
      </x:c>
      <x:c r="O293" s="13" t="str">
        <x:v>Look for: explicit claim-level evidence; parent-family cues for Calibration error; variant cue: probability is misread in a standard recognizable way; avoid author-level inference.</x:v>
      </x:c>
      <x:c r="P293" s="13" t="str">
        <x:v>Exact evidence span in text plus claim-level reasoning link; for contextual/discourse entries, require surrounding context.</x:v>
      </x:c>
      <x:c r="Q293" s="13" t="str">
        <x:v>Do not label merely because topic is controversial, emotional, or wrong. Do not judge intent or personality. Require textual evidence and consider healthy-reasoning cues.</x:v>
      </x:c>
      <x:c r="R293" s="13" t="str">
        <x:v>Stub: A claim relies on probability is misread in a standard recognizable way to support a conclusion without adequate qualification.</x:v>
      </x:c>
      <x:c r="S293" s="13" t="str">
        <x:v>Stub: A claim discusses calibration error with caveats, balanced evidence, or no argumentative use of the pattern.</x:v>
      </x:c>
      <x:c r="T293" s="13" t="str">
        <x:v>Mild or ambiguous cue; do not classify without clear evidence span.</x:v>
      </x:c>
      <x:c r="U293" s="13" t="str">
        <x:v>Clear claim-level pattern with some argumentative impact.</x:v>
      </x:c>
      <x:c r="V293" s="13" t="str">
        <x:v>Strong pattern central to the conclusion and likely to materially distort reasoning.</x:v>
      </x:c>
      <x:c r="W293" s="13" t="str"/>
      <x:c r="X293" s="13" t="str">
        <x:v>stanovich_dual_process</x:v>
      </x:c>
      <x:c r="Y293" s="13" t="str">
        <x:v>https://global.oup.com/academic/product/rationality-and-the-reflective-mind-9780195341140</x:v>
      </x:c>
      <x:c r="Z293" s="13" t="str">
        <x:v>Review before enabling. This workbook is a living taxonomy scaffold, not a validated scientific benchmark.</x:v>
      </x:c>
      <x:c r="AA293" s="13" t="str">
        <x:v>0.1.0-draft</x:v>
      </x:c>
      <x:c r="AB293" s="12" t="str">
        <x:f>IF(ISNUMBER(SEARCH("healthy",F293)),"healthy_reasoning_patterns",IF(ISNUMBER(SEARCH("statistical",F293)),"statistical_reasoning",IF(ISNUMBER(SEARCH("causal",F293)),"causal_reasoning",IF(ISNUMBER(SEARCH("social",F293)),"social_influence",IF(ISNUMBER(SEARCH("rhetoric",F293)),"rhetoric_discourse",IF(ISNUMBER(SEARCH("behavior",F293)),"behavioural_economics",IF(ISNUMBER(SEARCH("cognitive",F293)),"cognitive_biases",IF(J293="protective_pattern","healthy_reasoning_patterns",IF(L293="P0","core_mvp","extended_fallacies")))))))))</x:f>
        <x:v>extended_fallacies</x:v>
      </x:c>
      <x:c r="AC293" s="12" t="str">
        <x:f>IF(ISNUMBER(SEARCH("operational",J293)),"operational",IF(ISNUMBER(SEARCH("deprecated",J293)),"deprecated",IF(L293="P0","canonical","recognized_subtype")))</x:f>
        <x:v>operational</x:v>
      </x:c>
      <x:c r="AD293" s="12" t="str">
        <x:f>IF(AC293="canonical","high",IF(AC293="recognized_subtype","medium",IF(AC293="operational","operational_only","debated")))</x:f>
        <x:v>operational_only</x:v>
      </x:c>
      <x:c r="AE293" s="12" t="str">
        <x:f>IF(AC293="deprecated","deprecated",IF(M293="yes","active",IF(M293="review","review_required","backlog")))</x:f>
        <x:v>backlog</x:v>
      </x:c>
      <x:c r="AF293" s="12" t="str">
        <x:f>IF(OR(AE293="active",AE293="review_required"),"yes","no")</x:f>
        <x:v>no</x:v>
      </x:c>
      <x:c r="AG293" s="12" t="str">
        <x:f>IF(AND(AE293="active",M293="yes",NOT(ISNUMBER(SEARCH("healthy",AB293)))),"yes","no")</x:f>
        <x:v>no</x:v>
      </x:c>
      <x:c r="AH293" s="12" t="str">
        <x:f>IF(OR(H293="contextual",H293="dialogue",H293="discourse",I293="claim+context",I293="discourse_segment"),"yes","no")</x:f>
        <x:v>yes</x:v>
      </x:c>
      <x:c r="AI293" s="12" t="str">
        <x:f>IF(OR(AH293="yes",AD293="debated",AC293="operational"),"yes","no")</x:f>
        <x:v>yes</x:v>
      </x:c>
      <x:c r="AJ293" s="12" t="str">
        <x:f>IF(OR(AH293="yes",AC293="operational",AD293="debated"),"high",IF(AND(AG293="yes",L293="P0"),"medium","low"))</x:f>
        <x:v>high</x:v>
      </x:c>
      <x:c r="AK293" s="12" t="str">
        <x:f>IF(ISNUMBER(SEARCH("healthy",AB293)),"yes","no")</x:f>
        <x:v>no</x:v>
      </x:c>
      <x:c r="AL293" s="12" t="str">
        <x:f>IF(AG293="yes","yes","candidate_only")</x:f>
        <x:v>candidate_only</x:v>
      </x:c>
      <x:c r="AM293" s="12" t="str">
        <x:f>IF(OR(AC293="canonical",AG293="yes"),"yes","recommended")</x:f>
        <x:v>recommended</x:v>
      </x:c>
      <x:c r="AN293" s="12" t="str">
        <x:f>IF(AC293="deprecated","exclude",IF(AND(AG293="yes",AJ293="high"),"import_but_human_review_required",IF(AG293="yes","import_as_active","import_as_backlog")))</x:f>
        <x:v>import_as_backlog</x:v>
      </x:c>
      <x:c r="AO293" s="12" t="str">
        <x:f>IF(AND(AG293="yes",OR(P293="",Q293="",R293="",S293="")),"missing_required_mvp_fields",IF(AND(AC293="canonical",Y293=""),"missing_source_ref","ok"))</x:f>
        <x:v>ok</x:v>
      </x:c>
      <x:c r="AP293" s="12" t="str">
        <x:f>IF(AO293="ok","ready_for_codex_import","needs_review")</x:f>
        <x:v>ready_for_codex_import</x:v>
      </x:c>
      <x:c r="AQ293" s="12"/>
      <x:c r="AR293" s="12" t="str">
        <x:v>Added v2 operational fields. Review before classification activation.</x:v>
      </x:c>
    </x:row>
    <x:row r="294">
      <x:c r="A294" s="13" t="str">
        <x:v>base_rate_neglect_denominator_variant</x:v>
      </x:c>
      <x:c r="B294" s="13" t="str">
        <x:v>base_rate_neglect</x:v>
      </x:c>
      <x:c r="C294" s="13" t="str">
        <x:v>Base-rate neglect</x:v>
      </x:c>
      <x:c r="D294" s="13" t="str">
        <x:v>نادیده گرفتن نرخ پایه</x:v>
      </x:c>
      <x:c r="E294" s="13" t="str">
        <x:v>Denominator variant</x:v>
      </x:c>
      <x:c r="F294" s="13" t="str">
        <x:v>probabilistic_failures</x:v>
      </x:c>
      <x:c r="G294" s="13" t="str">
        <x:v>operational_variant</x:v>
      </x:c>
      <x:c r="H294" s="13" t="str">
        <x:v>contextual</x:v>
      </x:c>
      <x:c r="I294" s="13" t="str">
        <x:v>claim+context</x:v>
      </x:c>
      <x:c r="J294" s="13" t="str">
        <x:v>derived_operational_subtype</x:v>
      </x:c>
      <x:c r="K294" s="13" t="str">
        <x:v>derived_from_established_parent_review_required</x:v>
      </x:c>
      <x:c r="L294" s="13" t="str">
        <x:v>P2</x:v>
      </x:c>
      <x:c r="M294" s="13" t="str">
        <x:v>no</x:v>
      </x:c>
      <x:c r="N294" s="13" t="str">
        <x:v>Operational subtype under Base-rate neglect: the base, denominator, or exposure count is hidden. Parent definition: Ignoring general statistical prevalence when judging a specific case.</x:v>
      </x:c>
      <x:c r="O294" s="13" t="str">
        <x:v>Look for: explicit claim-level evidence; parent-family cues for Base-rate neglect; variant cue: the base, denominator, or exposure count is hidden; avoid author-level inference.</x:v>
      </x:c>
      <x:c r="P294" s="13" t="str">
        <x:v>Exact evidence span in text plus claim-level reasoning link; for contextual/discourse entries, require surrounding context.</x:v>
      </x:c>
      <x:c r="Q294" s="13" t="str">
        <x:v>Do not label merely because topic is controversial, emotional, or wrong. Do not judge intent or personality. Require textual evidence and consider healthy-reasoning cues.</x:v>
      </x:c>
      <x:c r="R294" s="13" t="str">
        <x:v>Stub: A claim relies on the base, denominator, or exposure count is hidden to support a conclusion without adequate qualification.</x:v>
      </x:c>
      <x:c r="S294" s="13" t="str">
        <x:v>Stub: A claim discusses base-rate neglect with caveats, balanced evidence, or no argumentative use of the pattern.</x:v>
      </x:c>
      <x:c r="T294" s="13" t="str">
        <x:v>Mild or ambiguous cue; do not classify without clear evidence span.</x:v>
      </x:c>
      <x:c r="U294" s="13" t="str">
        <x:v>Clear claim-level pattern with some argumentative impact.</x:v>
      </x:c>
      <x:c r="V294" s="13" t="str">
        <x:v>Strong pattern central to the conclusion and likely to materially distort reasoning.</x:v>
      </x:c>
      <x:c r="W294" s="13" t="str"/>
      <x:c r="X294" s="13" t="str">
        <x:v>kahneman_tversky_heuristics_1974</x:v>
      </x:c>
      <x:c r="Y294" s="13" t="str">
        <x:v>https://doi.org/10.1126/science.185.4157.1124</x:v>
      </x:c>
      <x:c r="Z294" s="13" t="str">
        <x:v>Review before enabling. This workbook is a living taxonomy scaffold, not a validated scientific benchmark.</x:v>
      </x:c>
      <x:c r="AA294" s="13" t="str">
        <x:v>0.1.0-draft</x:v>
      </x:c>
      <x:c r="AB294" s="12" t="str">
        <x:f>IF(ISNUMBER(SEARCH("healthy",F294)),"healthy_reasoning_patterns",IF(ISNUMBER(SEARCH("statistical",F294)),"statistical_reasoning",IF(ISNUMBER(SEARCH("causal",F294)),"causal_reasoning",IF(ISNUMBER(SEARCH("social",F294)),"social_influence",IF(ISNUMBER(SEARCH("rhetoric",F294)),"rhetoric_discourse",IF(ISNUMBER(SEARCH("behavior",F294)),"behavioural_economics",IF(ISNUMBER(SEARCH("cognitive",F294)),"cognitive_biases",IF(J294="protective_pattern","healthy_reasoning_patterns",IF(L294="P0","core_mvp","extended_fallacies")))))))))</x:f>
        <x:v>extended_fallacies</x:v>
      </x:c>
      <x:c r="AC294" s="12" t="str">
        <x:f>IF(ISNUMBER(SEARCH("operational",J294)),"operational",IF(ISNUMBER(SEARCH("deprecated",J294)),"deprecated",IF(L294="P0","canonical","recognized_subtype")))</x:f>
        <x:v>operational</x:v>
      </x:c>
      <x:c r="AD294" s="12" t="str">
        <x:f>IF(AC294="canonical","high",IF(AC294="recognized_subtype","medium",IF(AC294="operational","operational_only","debated")))</x:f>
        <x:v>operational_only</x:v>
      </x:c>
      <x:c r="AE294" s="12" t="str">
        <x:f>IF(AC294="deprecated","deprecated",IF(M294="yes","active",IF(M294="review","review_required","backlog")))</x:f>
        <x:v>backlog</x:v>
      </x:c>
      <x:c r="AF294" s="12" t="str">
        <x:f>IF(OR(AE294="active",AE294="review_required"),"yes","no")</x:f>
        <x:v>no</x:v>
      </x:c>
      <x:c r="AG294" s="12" t="str">
        <x:f>IF(AND(AE294="active",M294="yes",NOT(ISNUMBER(SEARCH("healthy",AB294)))),"yes","no")</x:f>
        <x:v>no</x:v>
      </x:c>
      <x:c r="AH294" s="12" t="str">
        <x:f>IF(OR(H294="contextual",H294="dialogue",H294="discourse",I294="claim+context",I294="discourse_segment"),"yes","no")</x:f>
        <x:v>yes</x:v>
      </x:c>
      <x:c r="AI294" s="12" t="str">
        <x:f>IF(OR(AH294="yes",AD294="debated",AC294="operational"),"yes","no")</x:f>
        <x:v>yes</x:v>
      </x:c>
      <x:c r="AJ294" s="12" t="str">
        <x:f>IF(OR(AH294="yes",AC294="operational",AD294="debated"),"high",IF(AND(AG294="yes",L294="P0"),"medium","low"))</x:f>
        <x:v>high</x:v>
      </x:c>
      <x:c r="AK294" s="12" t="str">
        <x:f>IF(ISNUMBER(SEARCH("healthy",AB294)),"yes","no")</x:f>
        <x:v>no</x:v>
      </x:c>
      <x:c r="AL294" s="12" t="str">
        <x:f>IF(AG294="yes","yes","candidate_only")</x:f>
        <x:v>candidate_only</x:v>
      </x:c>
      <x:c r="AM294" s="12" t="str">
        <x:f>IF(OR(AC294="canonical",AG294="yes"),"yes","recommended")</x:f>
        <x:v>recommended</x:v>
      </x:c>
      <x:c r="AN294" s="12" t="str">
        <x:f>IF(AC294="deprecated","exclude",IF(AND(AG294="yes",AJ294="high"),"import_but_human_review_required",IF(AG294="yes","import_as_active","import_as_backlog")))</x:f>
        <x:v>import_as_backlog</x:v>
      </x:c>
      <x:c r="AO294" s="12" t="str">
        <x:f>IF(AND(AG294="yes",OR(P294="",Q294="",R294="",S294="")),"missing_required_mvp_fields",IF(AND(AC294="canonical",Y294=""),"missing_source_ref","ok"))</x:f>
        <x:v>ok</x:v>
      </x:c>
      <x:c r="AP294" s="12" t="str">
        <x:f>IF(AO294="ok","ready_for_codex_import","needs_review")</x:f>
        <x:v>ready_for_codex_import</x:v>
      </x:c>
      <x:c r="AQ294" s="12"/>
      <x:c r="AR294" s="12" t="str">
        <x:v>Added v2 operational fields. Review before classification activation.</x:v>
      </x:c>
    </x:row>
    <x:row r="295">
      <x:c r="A295" s="13" t="str">
        <x:v>conjunction_fallacy_denominator_variant</x:v>
      </x:c>
      <x:c r="B295" s="13" t="str">
        <x:v>conjunction_fallacy</x:v>
      </x:c>
      <x:c r="C295" s="13" t="str">
        <x:v>Conjunction fallacy</x:v>
      </x:c>
      <x:c r="D295" s="13" t="str">
        <x:v>مغالطه عطف</x:v>
      </x:c>
      <x:c r="E295" s="13" t="str">
        <x:v>Denominator variant</x:v>
      </x:c>
      <x:c r="F295" s="13" t="str">
        <x:v>probabilistic_failures</x:v>
      </x:c>
      <x:c r="G295" s="13" t="str">
        <x:v>operational_variant</x:v>
      </x:c>
      <x:c r="H295" s="13" t="str">
        <x:v>structural</x:v>
      </x:c>
      <x:c r="I295" s="13" t="str">
        <x:v>claim</x:v>
      </x:c>
      <x:c r="J295" s="13" t="str">
        <x:v>derived_operational_subtype</x:v>
      </x:c>
      <x:c r="K295" s="13" t="str">
        <x:v>derived_from_established_parent_review_required</x:v>
      </x:c>
      <x:c r="L295" s="13" t="str">
        <x:v>P2</x:v>
      </x:c>
      <x:c r="M295" s="13" t="str">
        <x:v>no</x:v>
      </x:c>
      <x:c r="N295" s="13" t="str">
        <x:v>Operational subtype under Conjunction fallacy: the base, denominator, or exposure count is hidden. Parent definition: Judging a conjunction as more probable than one of its components.</x:v>
      </x:c>
      <x:c r="O295" s="13" t="str">
        <x:v>Look for: explicit claim-level evidence; parent-family cues for Conjunction fallacy; variant cue: the base, denominator, or exposure count is hidden; avoid author-level inference.</x:v>
      </x:c>
      <x:c r="P295" s="13" t="str">
        <x:v>Exact evidence span in text plus claim-level reasoning link; for contextual/discourse entries, require surrounding context.</x:v>
      </x:c>
      <x:c r="Q295" s="13" t="str">
        <x:v>Do not label merely because topic is controversial, emotional, or wrong. Do not judge intent or personality. Require textual evidence and consider healthy-reasoning cues.</x:v>
      </x:c>
      <x:c r="R295" s="13" t="str">
        <x:v>Stub: A claim relies on the base, denominator, or exposure count is hidden to support a conclusion without adequate qualification.</x:v>
      </x:c>
      <x:c r="S295" s="13" t="str">
        <x:v>Stub: A claim discusses conjunction fallacy with caveats, balanced evidence, or no argumentative use of the pattern.</x:v>
      </x:c>
      <x:c r="T295" s="13" t="str">
        <x:v>Mild or ambiguous cue; do not classify without clear evidence span.</x:v>
      </x:c>
      <x:c r="U295" s="13" t="str">
        <x:v>Clear claim-level pattern with some argumentative impact.</x:v>
      </x:c>
      <x:c r="V295" s="13" t="str">
        <x:v>Strong pattern central to the conclusion and likely to materially distort reasoning.</x:v>
      </x:c>
      <x:c r="W295" s="13" t="str"/>
      <x:c r="X295" s="13" t="str">
        <x:v>kahneman_tversky_heuristics_1974</x:v>
      </x:c>
      <x:c r="Y295" s="13" t="str">
        <x:v>https://doi.org/10.1126/science.185.4157.1124</x:v>
      </x:c>
      <x:c r="Z295" s="13" t="str">
        <x:v>Review before enabling. This workbook is a living taxonomy scaffold, not a validated scientific benchmark.</x:v>
      </x:c>
      <x:c r="AA295" s="13" t="str">
        <x:v>0.1.0-draft</x:v>
      </x:c>
      <x:c r="AB295" s="12" t="str">
        <x:f>IF(ISNUMBER(SEARCH("healthy",F295)),"healthy_reasoning_patterns",IF(ISNUMBER(SEARCH("statistical",F295)),"statistical_reasoning",IF(ISNUMBER(SEARCH("causal",F295)),"causal_reasoning",IF(ISNUMBER(SEARCH("social",F295)),"social_influence",IF(ISNUMBER(SEARCH("rhetoric",F295)),"rhetoric_discourse",IF(ISNUMBER(SEARCH("behavior",F295)),"behavioural_economics",IF(ISNUMBER(SEARCH("cognitive",F295)),"cognitive_biases",IF(J295="protective_pattern","healthy_reasoning_patterns",IF(L295="P0","core_mvp","extended_fallacies")))))))))</x:f>
        <x:v>extended_fallacies</x:v>
      </x:c>
      <x:c r="AC295" s="12" t="str">
        <x:f>IF(ISNUMBER(SEARCH("operational",J295)),"operational",IF(ISNUMBER(SEARCH("deprecated",J295)),"deprecated",IF(L295="P0","canonical","recognized_subtype")))</x:f>
        <x:v>operational</x:v>
      </x:c>
      <x:c r="AD295" s="12" t="str">
        <x:f>IF(AC295="canonical","high",IF(AC295="recognized_subtype","medium",IF(AC295="operational","operational_only","debated")))</x:f>
        <x:v>operational_only</x:v>
      </x:c>
      <x:c r="AE295" s="12" t="str">
        <x:f>IF(AC295="deprecated","deprecated",IF(M295="yes","active",IF(M295="review","review_required","backlog")))</x:f>
        <x:v>backlog</x:v>
      </x:c>
      <x:c r="AF295" s="12" t="str">
        <x:f>IF(OR(AE295="active",AE295="review_required"),"yes","no")</x:f>
        <x:v>no</x:v>
      </x:c>
      <x:c r="AG295" s="12" t="str">
        <x:f>IF(AND(AE295="active",M295="yes",NOT(ISNUMBER(SEARCH("healthy",AB295)))),"yes","no")</x:f>
        <x:v>no</x:v>
      </x:c>
      <x:c r="AH295" s="12" t="str">
        <x:f>IF(OR(H295="contextual",H295="dialogue",H295="discourse",I295="claim+context",I295="discourse_segment"),"yes","no")</x:f>
        <x:v>no</x:v>
      </x:c>
      <x:c r="AI295" s="12" t="str">
        <x:f>IF(OR(AH295="yes",AD295="debated",AC295="operational"),"yes","no")</x:f>
        <x:v>yes</x:v>
      </x:c>
      <x:c r="AJ295" s="12" t="str">
        <x:f>IF(OR(AH295="yes",AC295="operational",AD295="debated"),"high",IF(AND(AG295="yes",L295="P0"),"medium","low"))</x:f>
        <x:v>high</x:v>
      </x:c>
      <x:c r="AK295" s="12" t="str">
        <x:f>IF(ISNUMBER(SEARCH("healthy",AB295)),"yes","no")</x:f>
        <x:v>no</x:v>
      </x:c>
      <x:c r="AL295" s="12" t="str">
        <x:f>IF(AG295="yes","yes","candidate_only")</x:f>
        <x:v>candidate_only</x:v>
      </x:c>
      <x:c r="AM295" s="12" t="str">
        <x:f>IF(OR(AC295="canonical",AG295="yes"),"yes","recommended")</x:f>
        <x:v>recommended</x:v>
      </x:c>
      <x:c r="AN295" s="12" t="str">
        <x:f>IF(AC295="deprecated","exclude",IF(AND(AG295="yes",AJ295="high"),"import_but_human_review_required",IF(AG295="yes","import_as_active","import_as_backlog")))</x:f>
        <x:v>import_as_backlog</x:v>
      </x:c>
      <x:c r="AO295" s="12" t="str">
        <x:f>IF(AND(AG295="yes",OR(P295="",Q295="",R295="",S295="")),"missing_required_mvp_fields",IF(AND(AC295="canonical",Y295=""),"missing_source_ref","ok"))</x:f>
        <x:v>ok</x:v>
      </x:c>
      <x:c r="AP295" s="12" t="str">
        <x:f>IF(AO295="ok","ready_for_codex_import","needs_review")</x:f>
        <x:v>ready_for_codex_import</x:v>
      </x:c>
      <x:c r="AQ295" s="12"/>
      <x:c r="AR295" s="12" t="str">
        <x:v>Added v2 operational fields. Review before classification activation.</x:v>
      </x:c>
    </x:row>
    <x:row r="296">
      <x:c r="A296" s="13" t="str">
        <x:v>gambler_fallacy_denominator_variant</x:v>
      </x:c>
      <x:c r="B296" s="13" t="str">
        <x:v>gambler_fallacy</x:v>
      </x:c>
      <x:c r="C296" s="13" t="str">
        <x:v>Gambler's fallacy</x:v>
      </x:c>
      <x:c r="D296" s="13" t="str">
        <x:v>مغالطه قمارباز</x:v>
      </x:c>
      <x:c r="E296" s="13" t="str">
        <x:v>Denominator variant</x:v>
      </x:c>
      <x:c r="F296" s="13" t="str">
        <x:v>probabilistic_failures</x:v>
      </x:c>
      <x:c r="G296" s="13" t="str">
        <x:v>operational_variant</x:v>
      </x:c>
      <x:c r="H296" s="13" t="str">
        <x:v>contextual</x:v>
      </x:c>
      <x:c r="I296" s="13" t="str">
        <x:v>claim+context</x:v>
      </x:c>
      <x:c r="J296" s="13" t="str">
        <x:v>derived_operational_subtype</x:v>
      </x:c>
      <x:c r="K296" s="13" t="str">
        <x:v>derived_from_established_parent_review_required</x:v>
      </x:c>
      <x:c r="L296" s="13" t="str">
        <x:v>P2</x:v>
      </x:c>
      <x:c r="M296" s="13" t="str">
        <x:v>no</x:v>
      </x:c>
      <x:c r="N296" s="13" t="str">
        <x:v>Operational subtype under Gambler's fallacy: the base, denominator, or exposure count is hidden. Parent definition: Expecting random outcomes to self-correct over short sequences.</x:v>
      </x:c>
      <x:c r="O296" s="13" t="str">
        <x:v>Look for: explicit claim-level evidence; parent-family cues for Gambler's fallacy; variant cue: the base, denominator, or exposure count is hidden; avoid author-level inference.</x:v>
      </x:c>
      <x:c r="P296" s="13" t="str">
        <x:v>Exact evidence span in text plus claim-level reasoning link; for contextual/discourse entries, require surrounding context.</x:v>
      </x:c>
      <x:c r="Q296" s="13" t="str">
        <x:v>Do not label merely because topic is controversial, emotional, or wrong. Do not judge intent or personality. Require textual evidence and consider healthy-reasoning cues.</x:v>
      </x:c>
      <x:c r="R296" s="13" t="str">
        <x:v>Stub: A claim relies on the base, denominator, or exposure count is hidden to support a conclusion without adequate qualification.</x:v>
      </x:c>
      <x:c r="S296" s="13" t="str">
        <x:v>Stub: A claim discusses gambler's fallacy with caveats, balanced evidence, or no argumentative use of the pattern.</x:v>
      </x:c>
      <x:c r="T296" s="13" t="str">
        <x:v>Mild or ambiguous cue; do not classify without clear evidence span.</x:v>
      </x:c>
      <x:c r="U296" s="13" t="str">
        <x:v>Clear claim-level pattern with some argumentative impact.</x:v>
      </x:c>
      <x:c r="V296" s="13" t="str">
        <x:v>Strong pattern central to the conclusion and likely to materially distort reasoning.</x:v>
      </x:c>
      <x:c r="W296" s="13" t="str"/>
      <x:c r="X296" s="13" t="str">
        <x:v>kahneman_tversky_heuristics_1974</x:v>
      </x:c>
      <x:c r="Y296" s="13" t="str">
        <x:v>https://doi.org/10.1126/science.185.4157.1124</x:v>
      </x:c>
      <x:c r="Z296" s="13" t="str">
        <x:v>Review before enabling. This workbook is a living taxonomy scaffold, not a validated scientific benchmark.</x:v>
      </x:c>
      <x:c r="AA296" s="13" t="str">
        <x:v>0.1.0-draft</x:v>
      </x:c>
      <x:c r="AB296" s="12" t="str">
        <x:f>IF(ISNUMBER(SEARCH("healthy",F296)),"healthy_reasoning_patterns",IF(ISNUMBER(SEARCH("statistical",F296)),"statistical_reasoning",IF(ISNUMBER(SEARCH("causal",F296)),"causal_reasoning",IF(ISNUMBER(SEARCH("social",F296)),"social_influence",IF(ISNUMBER(SEARCH("rhetoric",F296)),"rhetoric_discourse",IF(ISNUMBER(SEARCH("behavior",F296)),"behavioural_economics",IF(ISNUMBER(SEARCH("cognitive",F296)),"cognitive_biases",IF(J296="protective_pattern","healthy_reasoning_patterns",IF(L296="P0","core_mvp","extended_fallacies")))))))))</x:f>
        <x:v>extended_fallacies</x:v>
      </x:c>
      <x:c r="AC296" s="12" t="str">
        <x:f>IF(ISNUMBER(SEARCH("operational",J296)),"operational",IF(ISNUMBER(SEARCH("deprecated",J296)),"deprecated",IF(L296="P0","canonical","recognized_subtype")))</x:f>
        <x:v>operational</x:v>
      </x:c>
      <x:c r="AD296" s="12" t="str">
        <x:f>IF(AC296="canonical","high",IF(AC296="recognized_subtype","medium",IF(AC296="operational","operational_only","debated")))</x:f>
        <x:v>operational_only</x:v>
      </x:c>
      <x:c r="AE296" s="12" t="str">
        <x:f>IF(AC296="deprecated","deprecated",IF(M296="yes","active",IF(M296="review","review_required","backlog")))</x:f>
        <x:v>backlog</x:v>
      </x:c>
      <x:c r="AF296" s="12" t="str">
        <x:f>IF(OR(AE296="active",AE296="review_required"),"yes","no")</x:f>
        <x:v>no</x:v>
      </x:c>
      <x:c r="AG296" s="12" t="str">
        <x:f>IF(AND(AE296="active",M296="yes",NOT(ISNUMBER(SEARCH("healthy",AB296)))),"yes","no")</x:f>
        <x:v>no</x:v>
      </x:c>
      <x:c r="AH296" s="12" t="str">
        <x:f>IF(OR(H296="contextual",H296="dialogue",H296="discourse",I296="claim+context",I296="discourse_segment"),"yes","no")</x:f>
        <x:v>yes</x:v>
      </x:c>
      <x:c r="AI296" s="12" t="str">
        <x:f>IF(OR(AH296="yes",AD296="debated",AC296="operational"),"yes","no")</x:f>
        <x:v>yes</x:v>
      </x:c>
      <x:c r="AJ296" s="12" t="str">
        <x:f>IF(OR(AH296="yes",AC296="operational",AD296="debated"),"high",IF(AND(AG296="yes",L296="P0"),"medium","low"))</x:f>
        <x:v>high</x:v>
      </x:c>
      <x:c r="AK296" s="12" t="str">
        <x:f>IF(ISNUMBER(SEARCH("healthy",AB296)),"yes","no")</x:f>
        <x:v>no</x:v>
      </x:c>
      <x:c r="AL296" s="12" t="str">
        <x:f>IF(AG296="yes","yes","candidate_only")</x:f>
        <x:v>candidate_only</x:v>
      </x:c>
      <x:c r="AM296" s="12" t="str">
        <x:f>IF(OR(AC296="canonical",AG296="yes"),"yes","recommended")</x:f>
        <x:v>recommended</x:v>
      </x:c>
      <x:c r="AN296" s="12" t="str">
        <x:f>IF(AC296="deprecated","exclude",IF(AND(AG296="yes",AJ296="high"),"import_but_human_review_required",IF(AG296="yes","import_as_active","import_as_backlog")))</x:f>
        <x:v>import_as_backlog</x:v>
      </x:c>
      <x:c r="AO296" s="12" t="str">
        <x:f>IF(AND(AG296="yes",OR(P296="",Q296="",R296="",S296="")),"missing_required_mvp_fields",IF(AND(AC296="canonical",Y296=""),"missing_source_ref","ok"))</x:f>
        <x:v>ok</x:v>
      </x:c>
      <x:c r="AP296" s="12" t="str">
        <x:f>IF(AO296="ok","ready_for_codex_import","needs_review")</x:f>
        <x:v>ready_for_codex_import</x:v>
      </x:c>
      <x:c r="AQ296" s="12"/>
      <x:c r="AR296" s="12" t="str">
        <x:v>Added v2 operational fields. Review before classification activation.</x:v>
      </x:c>
    </x:row>
    <x:row r="297">
      <x:c r="A297" s="13" t="str">
        <x:v>hot_hand_fallacy_denominator_variant</x:v>
      </x:c>
      <x:c r="B297" s="13" t="str">
        <x:v>hot_hand_fallacy</x:v>
      </x:c>
      <x:c r="C297" s="13" t="str">
        <x:v>Hot-hand fallacy</x:v>
      </x:c>
      <x:c r="D297" s="13" t="str">
        <x:v>خطای دست داغ</x:v>
      </x:c>
      <x:c r="E297" s="13" t="str">
        <x:v>Denominator variant</x:v>
      </x:c>
      <x:c r="F297" s="13" t="str">
        <x:v>probabilistic_failures</x:v>
      </x:c>
      <x:c r="G297" s="13" t="str">
        <x:v>operational_variant</x:v>
      </x:c>
      <x:c r="H297" s="13" t="str">
        <x:v>contextual</x:v>
      </x:c>
      <x:c r="I297" s="13" t="str">
        <x:v>claim+context</x:v>
      </x:c>
      <x:c r="J297" s="13" t="str">
        <x:v>derived_operational_subtype</x:v>
      </x:c>
      <x:c r="K297" s="13" t="str">
        <x:v>derived_from_established_parent_review_required</x:v>
      </x:c>
      <x:c r="L297" s="13" t="str">
        <x:v>P2</x:v>
      </x:c>
      <x:c r="M297" s="13" t="str">
        <x:v>no</x:v>
      </x:c>
      <x:c r="N297" s="13" t="str">
        <x:v>Operational subtype under Hot-hand fallacy: the base, denominator, or exposure count is hidden. Parent definition: Inferring persistent streak-based ability from random or noisy sequences.</x:v>
      </x:c>
      <x:c r="O297" s="13" t="str">
        <x:v>Look for: explicit claim-level evidence; parent-family cues for Hot-hand fallacy; variant cue: the base, denominator, or exposure count is hidden; avoid author-level inference.</x:v>
      </x:c>
      <x:c r="P297" s="13" t="str">
        <x:v>Exact evidence span in text plus claim-level reasoning link; for contextual/discourse entries, require surrounding context.</x:v>
      </x:c>
      <x:c r="Q297" s="13" t="str">
        <x:v>Do not label merely because topic is controversial, emotional, or wrong. Do not judge intent or personality. Require textual evidence and consider healthy-reasoning cues.</x:v>
      </x:c>
      <x:c r="R297" s="13" t="str">
        <x:v>Stub: A claim relies on the base, denominator, or exposure count is hidden to support a conclusion without adequate qualification.</x:v>
      </x:c>
      <x:c r="S297" s="13" t="str">
        <x:v>Stub: A claim discusses hot-hand fallacy with caveats, balanced evidence, or no argumentative use of the pattern.</x:v>
      </x:c>
      <x:c r="T297" s="13" t="str">
        <x:v>Mild or ambiguous cue; do not classify without clear evidence span.</x:v>
      </x:c>
      <x:c r="U297" s="13" t="str">
        <x:v>Clear claim-level pattern with some argumentative impact.</x:v>
      </x:c>
      <x:c r="V297" s="13" t="str">
        <x:v>Strong pattern central to the conclusion and likely to materially distort reasoning.</x:v>
      </x:c>
      <x:c r="W297" s="13" t="str"/>
      <x:c r="X297" s="13" t="str">
        <x:v>gilovich_heuristics_biases</x:v>
      </x:c>
      <x:c r="Y297" s="13" t="str">
        <x:v>https://www.cambridge.org/core/books/heuristics-and-biases/3C30D3B05D2F190C3B8BE5E2531EFD24</x:v>
      </x:c>
      <x:c r="Z297" s="13" t="str">
        <x:v>Review before enabling. This workbook is a living taxonomy scaffold, not a validated scientific benchmark.</x:v>
      </x:c>
      <x:c r="AA297" s="13" t="str">
        <x:v>0.1.0-draft</x:v>
      </x:c>
      <x:c r="AB297" s="12" t="str">
        <x:f>IF(ISNUMBER(SEARCH("healthy",F297)),"healthy_reasoning_patterns",IF(ISNUMBER(SEARCH("statistical",F297)),"statistical_reasoning",IF(ISNUMBER(SEARCH("causal",F297)),"causal_reasoning",IF(ISNUMBER(SEARCH("social",F297)),"social_influence",IF(ISNUMBER(SEARCH("rhetoric",F297)),"rhetoric_discourse",IF(ISNUMBER(SEARCH("behavior",F297)),"behavioural_economics",IF(ISNUMBER(SEARCH("cognitive",F297)),"cognitive_biases",IF(J297="protective_pattern","healthy_reasoning_patterns",IF(L297="P0","core_mvp","extended_fallacies")))))))))</x:f>
        <x:v>extended_fallacies</x:v>
      </x:c>
      <x:c r="AC297" s="12" t="str">
        <x:f>IF(ISNUMBER(SEARCH("operational",J297)),"operational",IF(ISNUMBER(SEARCH("deprecated",J297)),"deprecated",IF(L297="P0","canonical","recognized_subtype")))</x:f>
        <x:v>operational</x:v>
      </x:c>
      <x:c r="AD297" s="12" t="str">
        <x:f>IF(AC297="canonical","high",IF(AC297="recognized_subtype","medium",IF(AC297="operational","operational_only","debated")))</x:f>
        <x:v>operational_only</x:v>
      </x:c>
      <x:c r="AE297" s="12" t="str">
        <x:f>IF(AC297="deprecated","deprecated",IF(M297="yes","active",IF(M297="review","review_required","backlog")))</x:f>
        <x:v>backlog</x:v>
      </x:c>
      <x:c r="AF297" s="12" t="str">
        <x:f>IF(OR(AE297="active",AE297="review_required"),"yes","no")</x:f>
        <x:v>no</x:v>
      </x:c>
      <x:c r="AG297" s="12" t="str">
        <x:f>IF(AND(AE297="active",M297="yes",NOT(ISNUMBER(SEARCH("healthy",AB297)))),"yes","no")</x:f>
        <x:v>no</x:v>
      </x:c>
      <x:c r="AH297" s="12" t="str">
        <x:f>IF(OR(H297="contextual",H297="dialogue",H297="discourse",I297="claim+context",I297="discourse_segment"),"yes","no")</x:f>
        <x:v>yes</x:v>
      </x:c>
      <x:c r="AI297" s="12" t="str">
        <x:f>IF(OR(AH297="yes",AD297="debated",AC297="operational"),"yes","no")</x:f>
        <x:v>yes</x:v>
      </x:c>
      <x:c r="AJ297" s="12" t="str">
        <x:f>IF(OR(AH297="yes",AC297="operational",AD297="debated"),"high",IF(AND(AG297="yes",L297="P0"),"medium","low"))</x:f>
        <x:v>high</x:v>
      </x:c>
      <x:c r="AK297" s="12" t="str">
        <x:f>IF(ISNUMBER(SEARCH("healthy",AB297)),"yes","no")</x:f>
        <x:v>no</x:v>
      </x:c>
      <x:c r="AL297" s="12" t="str">
        <x:f>IF(AG297="yes","yes","candidate_only")</x:f>
        <x:v>candidate_only</x:v>
      </x:c>
      <x:c r="AM297" s="12" t="str">
        <x:f>IF(OR(AC297="canonical",AG297="yes"),"yes","recommended")</x:f>
        <x:v>recommended</x:v>
      </x:c>
      <x:c r="AN297" s="12" t="str">
        <x:f>IF(AC297="deprecated","exclude",IF(AND(AG297="yes",AJ297="high"),"import_but_human_review_required",IF(AG297="yes","import_as_active","import_as_backlog")))</x:f>
        <x:v>import_as_backlog</x:v>
      </x:c>
      <x:c r="AO297" s="12" t="str">
        <x:f>IF(AND(AG297="yes",OR(P297="",Q297="",R297="",S297="")),"missing_required_mvp_fields",IF(AND(AC297="canonical",Y297=""),"missing_source_ref","ok"))</x:f>
        <x:v>ok</x:v>
      </x:c>
      <x:c r="AP297" s="12" t="str">
        <x:f>IF(AO297="ok","ready_for_codex_import","needs_review")</x:f>
        <x:v>ready_for_codex_import</x:v>
      </x:c>
      <x:c r="AQ297" s="12"/>
      <x:c r="AR297" s="12" t="str">
        <x:v>Added v2 operational fields. Review before classification activation.</x:v>
      </x:c>
    </x:row>
    <x:row r="298">
      <x:c r="A298" s="13" t="str">
        <x:v>regression_to_mean_neglect_denominator_variant</x:v>
      </x:c>
      <x:c r="B298" s="13" t="str">
        <x:v>regression_to_mean_neglect</x:v>
      </x:c>
      <x:c r="C298" s="13" t="str">
        <x:v>Regression-to-mean neglect</x:v>
      </x:c>
      <x:c r="D298" s="13" t="str">
        <x:v>نادیده‌گرفتن بازگشت به میانگین</x:v>
      </x:c>
      <x:c r="E298" s="13" t="str">
        <x:v>Denominator variant</x:v>
      </x:c>
      <x:c r="F298" s="13" t="str">
        <x:v>probabilistic_failures</x:v>
      </x:c>
      <x:c r="G298" s="13" t="str">
        <x:v>operational_variant</x:v>
      </x:c>
      <x:c r="H298" s="13" t="str">
        <x:v>contextual</x:v>
      </x:c>
      <x:c r="I298" s="13" t="str">
        <x:v>claim+context</x:v>
      </x:c>
      <x:c r="J298" s="13" t="str">
        <x:v>derived_operational_subtype</x:v>
      </x:c>
      <x:c r="K298" s="13" t="str">
        <x:v>derived_from_established_parent_review_required</x:v>
      </x:c>
      <x:c r="L298" s="13" t="str">
        <x:v>P2</x:v>
      </x:c>
      <x:c r="M298" s="13" t="str">
        <x:v>no</x:v>
      </x:c>
      <x:c r="N298" s="13" t="str">
        <x:v>Operational subtype under Regression-to-mean neglect: the base, denominator, or exposure count is hidden. Parent definition: Explaining natural reversion as if it were caused by an intervention.</x:v>
      </x:c>
      <x:c r="O298" s="13" t="str">
        <x:v>Look for: explicit claim-level evidence; parent-family cues for Regression-to-mean neglect; variant cue: the base, denominator, or exposure count is hidden; avoid author-level inference.</x:v>
      </x:c>
      <x:c r="P298" s="13" t="str">
        <x:v>Exact evidence span in text plus claim-level reasoning link; for contextual/discourse entries, require surrounding context.</x:v>
      </x:c>
      <x:c r="Q298" s="13" t="str">
        <x:v>Do not label merely because topic is controversial, emotional, or wrong. Do not judge intent or personality. Require textual evidence and consider healthy-reasoning cues.</x:v>
      </x:c>
      <x:c r="R298" s="13" t="str">
        <x:v>Stub: A claim relies on the base, denominator, or exposure count is hidden to support a conclusion without adequate qualification.</x:v>
      </x:c>
      <x:c r="S298" s="13" t="str">
        <x:v>Stub: A claim discusses regression-to-mean neglect with caveats, balanced evidence, or no argumentative use of the pattern.</x:v>
      </x:c>
      <x:c r="T298" s="13" t="str">
        <x:v>Mild or ambiguous cue; do not classify without clear evidence span.</x:v>
      </x:c>
      <x:c r="U298" s="13" t="str">
        <x:v>Clear claim-level pattern with some argumentative impact.</x:v>
      </x:c>
      <x:c r="V298" s="13" t="str">
        <x:v>Strong pattern central to the conclusion and likely to materially distort reasoning.</x:v>
      </x:c>
      <x:c r="W298" s="13" t="str"/>
      <x:c r="X298" s="13" t="str">
        <x:v>kahneman_tversky_heuristics_1974</x:v>
      </x:c>
      <x:c r="Y298" s="13" t="str">
        <x:v>https://doi.org/10.1126/science.185.4157.1124</x:v>
      </x:c>
      <x:c r="Z298" s="13" t="str">
        <x:v>Review before enabling. This workbook is a living taxonomy scaffold, not a validated scientific benchmark.</x:v>
      </x:c>
      <x:c r="AA298" s="13" t="str">
        <x:v>0.1.0-draft</x:v>
      </x:c>
      <x:c r="AB298" s="12" t="str">
        <x:f>IF(ISNUMBER(SEARCH("healthy",F298)),"healthy_reasoning_patterns",IF(ISNUMBER(SEARCH("statistical",F298)),"statistical_reasoning",IF(ISNUMBER(SEARCH("causal",F298)),"causal_reasoning",IF(ISNUMBER(SEARCH("social",F298)),"social_influence",IF(ISNUMBER(SEARCH("rhetoric",F298)),"rhetoric_discourse",IF(ISNUMBER(SEARCH("behavior",F298)),"behavioural_economics",IF(ISNUMBER(SEARCH("cognitive",F298)),"cognitive_biases",IF(J298="protective_pattern","healthy_reasoning_patterns",IF(L298="P0","core_mvp","extended_fallacies")))))))))</x:f>
        <x:v>extended_fallacies</x:v>
      </x:c>
      <x:c r="AC298" s="12" t="str">
        <x:f>IF(ISNUMBER(SEARCH("operational",J298)),"operational",IF(ISNUMBER(SEARCH("deprecated",J298)),"deprecated",IF(L298="P0","canonical","recognized_subtype")))</x:f>
        <x:v>operational</x:v>
      </x:c>
      <x:c r="AD298" s="12" t="str">
        <x:f>IF(AC298="canonical","high",IF(AC298="recognized_subtype","medium",IF(AC298="operational","operational_only","debated")))</x:f>
        <x:v>operational_only</x:v>
      </x:c>
      <x:c r="AE298" s="12" t="str">
        <x:f>IF(AC298="deprecated","deprecated",IF(M298="yes","active",IF(M298="review","review_required","backlog")))</x:f>
        <x:v>backlog</x:v>
      </x:c>
      <x:c r="AF298" s="12" t="str">
        <x:f>IF(OR(AE298="active",AE298="review_required"),"yes","no")</x:f>
        <x:v>no</x:v>
      </x:c>
      <x:c r="AG298" s="12" t="str">
        <x:f>IF(AND(AE298="active",M298="yes",NOT(ISNUMBER(SEARCH("healthy",AB298)))),"yes","no")</x:f>
        <x:v>no</x:v>
      </x:c>
      <x:c r="AH298" s="12" t="str">
        <x:f>IF(OR(H298="contextual",H298="dialogue",H298="discourse",I298="claim+context",I298="discourse_segment"),"yes","no")</x:f>
        <x:v>yes</x:v>
      </x:c>
      <x:c r="AI298" s="12" t="str">
        <x:f>IF(OR(AH298="yes",AD298="debated",AC298="operational"),"yes","no")</x:f>
        <x:v>yes</x:v>
      </x:c>
      <x:c r="AJ298" s="12" t="str">
        <x:f>IF(OR(AH298="yes",AC298="operational",AD298="debated"),"high",IF(AND(AG298="yes",L298="P0"),"medium","low"))</x:f>
        <x:v>high</x:v>
      </x:c>
      <x:c r="AK298" s="12" t="str">
        <x:f>IF(ISNUMBER(SEARCH("healthy",AB298)),"yes","no")</x:f>
        <x:v>no</x:v>
      </x:c>
      <x:c r="AL298" s="12" t="str">
        <x:f>IF(AG298="yes","yes","candidate_only")</x:f>
        <x:v>candidate_only</x:v>
      </x:c>
      <x:c r="AM298" s="12" t="str">
        <x:f>IF(OR(AC298="canonical",AG298="yes"),"yes","recommended")</x:f>
        <x:v>recommended</x:v>
      </x:c>
      <x:c r="AN298" s="12" t="str">
        <x:f>IF(AC298="deprecated","exclude",IF(AND(AG298="yes",AJ298="high"),"import_but_human_review_required",IF(AG298="yes","import_as_active","import_as_backlog")))</x:f>
        <x:v>import_as_backlog</x:v>
      </x:c>
      <x:c r="AO298" s="12" t="str">
        <x:f>IF(AND(AG298="yes",OR(P298="",Q298="",R298="",S298="")),"missing_required_mvp_fields",IF(AND(AC298="canonical",Y298=""),"missing_source_ref","ok"))</x:f>
        <x:v>ok</x:v>
      </x:c>
      <x:c r="AP298" s="12" t="str">
        <x:f>IF(AO298="ok","ready_for_codex_import","needs_review")</x:f>
        <x:v>ready_for_codex_import</x:v>
      </x:c>
      <x:c r="AQ298" s="12"/>
      <x:c r="AR298" s="12" t="str">
        <x:v>Added v2 operational fields. Review before classification activation.</x:v>
      </x:c>
    </x:row>
    <x:row r="299">
      <x:c r="A299" s="13" t="str">
        <x:v>inverse_probability_error_denominator_variant</x:v>
      </x:c>
      <x:c r="B299" s="13" t="str">
        <x:v>inverse_probability_error</x:v>
      </x:c>
      <x:c r="C299" s="13" t="str">
        <x:v>Inverse probability error</x:v>
      </x:c>
      <x:c r="D299" s="13" t="str">
        <x:v>اشتباه احتمال معکوس</x:v>
      </x:c>
      <x:c r="E299" s="13" t="str">
        <x:v>Denominator variant</x:v>
      </x:c>
      <x:c r="F299" s="13" t="str">
        <x:v>probabilistic_failures</x:v>
      </x:c>
      <x:c r="G299" s="13" t="str">
        <x:v>operational_variant</x:v>
      </x:c>
      <x:c r="H299" s="13" t="str">
        <x:v>structural</x:v>
      </x:c>
      <x:c r="I299" s="13" t="str">
        <x:v>claim</x:v>
      </x:c>
      <x:c r="J299" s="13" t="str">
        <x:v>derived_operational_subtype</x:v>
      </x:c>
      <x:c r="K299" s="13" t="str">
        <x:v>derived_from_established_parent_review_required</x:v>
      </x:c>
      <x:c r="L299" s="13" t="str">
        <x:v>P2</x:v>
      </x:c>
      <x:c r="M299" s="13" t="str">
        <x:v>no</x:v>
      </x:c>
      <x:c r="N299" s="13" t="str">
        <x:v>Operational subtype under Inverse probability error: the base, denominator, or exposure count is hidden. Parent definition: Confusing P(A|B) with P(B|A).</x:v>
      </x:c>
      <x:c r="O299" s="13" t="str">
        <x:v>Look for: explicit claim-level evidence; parent-family cues for Inverse probability error; variant cue: the base, denominator, or exposure count is hidden; avoid author-level inference.</x:v>
      </x:c>
      <x:c r="P299" s="13" t="str">
        <x:v>Exact evidence span in text plus claim-level reasoning link; for contextual/discourse entries, require surrounding context.</x:v>
      </x:c>
      <x:c r="Q299" s="13" t="str">
        <x:v>Do not label merely because topic is controversial, emotional, or wrong. Do not judge intent or personality. Require textual evidence and consider healthy-reasoning cues.</x:v>
      </x:c>
      <x:c r="R299" s="13" t="str">
        <x:v>Stub: A claim relies on the base, denominator, or exposure count is hidden to support a conclusion without adequate qualification.</x:v>
      </x:c>
      <x:c r="S299" s="13" t="str">
        <x:v>Stub: A claim discusses inverse probability error with caveats, balanced evidence, or no argumentative use of the pattern.</x:v>
      </x:c>
      <x:c r="T299" s="13" t="str">
        <x:v>Mild or ambiguous cue; do not classify without clear evidence span.</x:v>
      </x:c>
      <x:c r="U299" s="13" t="str">
        <x:v>Clear claim-level pattern with some argumentative impact.</x:v>
      </x:c>
      <x:c r="V299" s="13" t="str">
        <x:v>Strong pattern central to the conclusion and likely to materially distort reasoning.</x:v>
      </x:c>
      <x:c r="W299" s="13" t="str"/>
      <x:c r="X299" s="13" t="str">
        <x:v>stanovich_dual_process</x:v>
      </x:c>
      <x:c r="Y299" s="13" t="str">
        <x:v>https://global.oup.com/academic/product/rationality-and-the-reflective-mind-9780195341140</x:v>
      </x:c>
      <x:c r="Z299" s="13" t="str">
        <x:v>Review before enabling. This workbook is a living taxonomy scaffold, not a validated scientific benchmark.</x:v>
      </x:c>
      <x:c r="AA299" s="13" t="str">
        <x:v>0.1.0-draft</x:v>
      </x:c>
      <x:c r="AB299" s="12" t="str">
        <x:f>IF(ISNUMBER(SEARCH("healthy",F299)),"healthy_reasoning_patterns",IF(ISNUMBER(SEARCH("statistical",F299)),"statistical_reasoning",IF(ISNUMBER(SEARCH("causal",F299)),"causal_reasoning",IF(ISNUMBER(SEARCH("social",F299)),"social_influence",IF(ISNUMBER(SEARCH("rhetoric",F299)),"rhetoric_discourse",IF(ISNUMBER(SEARCH("behavior",F299)),"behavioural_economics",IF(ISNUMBER(SEARCH("cognitive",F299)),"cognitive_biases",IF(J299="protective_pattern","healthy_reasoning_patterns",IF(L299="P0","core_mvp","extended_fallacies")))))))))</x:f>
        <x:v>extended_fallacies</x:v>
      </x:c>
      <x:c r="AC299" s="12" t="str">
        <x:f>IF(ISNUMBER(SEARCH("operational",J299)),"operational",IF(ISNUMBER(SEARCH("deprecated",J299)),"deprecated",IF(L299="P0","canonical","recognized_subtype")))</x:f>
        <x:v>operational</x:v>
      </x:c>
      <x:c r="AD299" s="12" t="str">
        <x:f>IF(AC299="canonical","high",IF(AC299="recognized_subtype","medium",IF(AC299="operational","operational_only","debated")))</x:f>
        <x:v>operational_only</x:v>
      </x:c>
      <x:c r="AE299" s="12" t="str">
        <x:f>IF(AC299="deprecated","deprecated",IF(M299="yes","active",IF(M299="review","review_required","backlog")))</x:f>
        <x:v>backlog</x:v>
      </x:c>
      <x:c r="AF299" s="12" t="str">
        <x:f>IF(OR(AE299="active",AE299="review_required"),"yes","no")</x:f>
        <x:v>no</x:v>
      </x:c>
      <x:c r="AG299" s="12" t="str">
        <x:f>IF(AND(AE299="active",M299="yes",NOT(ISNUMBER(SEARCH("healthy",AB299)))),"yes","no")</x:f>
        <x:v>no</x:v>
      </x:c>
      <x:c r="AH299" s="12" t="str">
        <x:f>IF(OR(H299="contextual",H299="dialogue",H299="discourse",I299="claim+context",I299="discourse_segment"),"yes","no")</x:f>
        <x:v>no</x:v>
      </x:c>
      <x:c r="AI299" s="12" t="str">
        <x:f>IF(OR(AH299="yes",AD299="debated",AC299="operational"),"yes","no")</x:f>
        <x:v>yes</x:v>
      </x:c>
      <x:c r="AJ299" s="12" t="str">
        <x:f>IF(OR(AH299="yes",AC299="operational",AD299="debated"),"high",IF(AND(AG299="yes",L299="P0"),"medium","low"))</x:f>
        <x:v>high</x:v>
      </x:c>
      <x:c r="AK299" s="12" t="str">
        <x:f>IF(ISNUMBER(SEARCH("healthy",AB299)),"yes","no")</x:f>
        <x:v>no</x:v>
      </x:c>
      <x:c r="AL299" s="12" t="str">
        <x:f>IF(AG299="yes","yes","candidate_only")</x:f>
        <x:v>candidate_only</x:v>
      </x:c>
      <x:c r="AM299" s="12" t="str">
        <x:f>IF(OR(AC299="canonical",AG299="yes"),"yes","recommended")</x:f>
        <x:v>recommended</x:v>
      </x:c>
      <x:c r="AN299" s="12" t="str">
        <x:f>IF(AC299="deprecated","exclude",IF(AND(AG299="yes",AJ299="high"),"import_but_human_review_required",IF(AG299="yes","import_as_active","import_as_backlog")))</x:f>
        <x:v>import_as_backlog</x:v>
      </x:c>
      <x:c r="AO299" s="12" t="str">
        <x:f>IF(AND(AG299="yes",OR(P299="",Q299="",R299="",S299="")),"missing_required_mvp_fields",IF(AND(AC299="canonical",Y299=""),"missing_source_ref","ok"))</x:f>
        <x:v>ok</x:v>
      </x:c>
      <x:c r="AP299" s="12" t="str">
        <x:f>IF(AO299="ok","ready_for_codex_import","needs_review")</x:f>
        <x:v>ready_for_codex_import</x:v>
      </x:c>
      <x:c r="AQ299" s="12"/>
      <x:c r="AR299" s="12" t="str">
        <x:v>Added v2 operational fields. Review before classification activation.</x:v>
      </x:c>
    </x:row>
    <x:row r="300">
      <x:c r="A300" s="13" t="str">
        <x:v>prosecutor_fallacy_denominator_variant</x:v>
      </x:c>
      <x:c r="B300" s="13" t="str">
        <x:v>prosecutor_fallacy</x:v>
      </x:c>
      <x:c r="C300" s="13" t="str">
        <x:v>Prosecutor's fallacy</x:v>
      </x:c>
      <x:c r="D300" s="13" t="str">
        <x:v>مغالطه دادستان</x:v>
      </x:c>
      <x:c r="E300" s="13" t="str">
        <x:v>Denominator variant</x:v>
      </x:c>
      <x:c r="F300" s="13" t="str">
        <x:v>probabilistic_failures</x:v>
      </x:c>
      <x:c r="G300" s="13" t="str">
        <x:v>operational_variant</x:v>
      </x:c>
      <x:c r="H300" s="13" t="str">
        <x:v>structural</x:v>
      </x:c>
      <x:c r="I300" s="13" t="str">
        <x:v>claim</x:v>
      </x:c>
      <x:c r="J300" s="13" t="str">
        <x:v>derived_operational_subtype</x:v>
      </x:c>
      <x:c r="K300" s="13" t="str">
        <x:v>derived_from_established_parent_review_required</x:v>
      </x:c>
      <x:c r="L300" s="13" t="str">
        <x:v>P2</x:v>
      </x:c>
      <x:c r="M300" s="13" t="str">
        <x:v>no</x:v>
      </x:c>
      <x:c r="N300" s="13" t="str">
        <x:v>Operational subtype under Prosecutor's fallacy: the base, denominator, or exposure count is hidden. Parent definition: Overstating evidential strength by confusing match probability with guilt probability.</x:v>
      </x:c>
      <x:c r="O300" s="13" t="str">
        <x:v>Look for: explicit claim-level evidence; parent-family cues for Prosecutor's fallacy; variant cue: the base, denominator, or exposure count is hidden; avoid author-level inference.</x:v>
      </x:c>
      <x:c r="P300" s="13" t="str">
        <x:v>Exact evidence span in text plus claim-level reasoning link; for contextual/discourse entries, require surrounding context.</x:v>
      </x:c>
      <x:c r="Q300" s="13" t="str">
        <x:v>Do not label merely because topic is controversial, emotional, or wrong. Do not judge intent or personality. Require textual evidence and consider healthy-reasoning cues.</x:v>
      </x:c>
      <x:c r="R300" s="13" t="str">
        <x:v>Stub: A claim relies on the base, denominator, or exposure count is hidden to support a conclusion without adequate qualification.</x:v>
      </x:c>
      <x:c r="S300" s="13" t="str">
        <x:v>Stub: A claim discusses prosecutor's fallacy with caveats, balanced evidence, or no argumentative use of the pattern.</x:v>
      </x:c>
      <x:c r="T300" s="13" t="str">
        <x:v>Mild or ambiguous cue; do not classify without clear evidence span.</x:v>
      </x:c>
      <x:c r="U300" s="13" t="str">
        <x:v>Clear claim-level pattern with some argumentative impact.</x:v>
      </x:c>
      <x:c r="V300" s="13" t="str">
        <x:v>Strong pattern central to the conclusion and likely to materially distort reasoning.</x:v>
      </x:c>
      <x:c r="W300" s="13" t="str"/>
      <x:c r="X300" s="13" t="str">
        <x:v>stanovich_dual_process</x:v>
      </x:c>
      <x:c r="Y300" s="13" t="str">
        <x:v>https://global.oup.com/academic/product/rationality-and-the-reflective-mind-9780195341140</x:v>
      </x:c>
      <x:c r="Z300" s="13" t="str">
        <x:v>Review before enabling. This workbook is a living taxonomy scaffold, not a validated scientific benchmark.</x:v>
      </x:c>
      <x:c r="AA300" s="13" t="str">
        <x:v>0.1.0-draft</x:v>
      </x:c>
      <x:c r="AB300" s="12" t="str">
        <x:f>IF(ISNUMBER(SEARCH("healthy",F300)),"healthy_reasoning_patterns",IF(ISNUMBER(SEARCH("statistical",F300)),"statistical_reasoning",IF(ISNUMBER(SEARCH("causal",F300)),"causal_reasoning",IF(ISNUMBER(SEARCH("social",F300)),"social_influence",IF(ISNUMBER(SEARCH("rhetoric",F300)),"rhetoric_discourse",IF(ISNUMBER(SEARCH("behavior",F300)),"behavioural_economics",IF(ISNUMBER(SEARCH("cognitive",F300)),"cognitive_biases",IF(J300="protective_pattern","healthy_reasoning_patterns",IF(L300="P0","core_mvp","extended_fallacies")))))))))</x:f>
        <x:v>extended_fallacies</x:v>
      </x:c>
      <x:c r="AC300" s="12" t="str">
        <x:f>IF(ISNUMBER(SEARCH("operational",J300)),"operational",IF(ISNUMBER(SEARCH("deprecated",J300)),"deprecated",IF(L300="P0","canonical","recognized_subtype")))</x:f>
        <x:v>operational</x:v>
      </x:c>
      <x:c r="AD300" s="12" t="str">
        <x:f>IF(AC300="canonical","high",IF(AC300="recognized_subtype","medium",IF(AC300="operational","operational_only","debated")))</x:f>
        <x:v>operational_only</x:v>
      </x:c>
      <x:c r="AE300" s="12" t="str">
        <x:f>IF(AC300="deprecated","deprecated",IF(M300="yes","active",IF(M300="review","review_required","backlog")))</x:f>
        <x:v>backlog</x:v>
      </x:c>
      <x:c r="AF300" s="12" t="str">
        <x:f>IF(OR(AE300="active",AE300="review_required"),"yes","no")</x:f>
        <x:v>no</x:v>
      </x:c>
      <x:c r="AG300" s="12" t="str">
        <x:f>IF(AND(AE300="active",M300="yes",NOT(ISNUMBER(SEARCH("healthy",AB300)))),"yes","no")</x:f>
        <x:v>no</x:v>
      </x:c>
      <x:c r="AH300" s="12" t="str">
        <x:f>IF(OR(H300="contextual",H300="dialogue",H300="discourse",I300="claim+context",I300="discourse_segment"),"yes","no")</x:f>
        <x:v>no</x:v>
      </x:c>
      <x:c r="AI300" s="12" t="str">
        <x:f>IF(OR(AH300="yes",AD300="debated",AC300="operational"),"yes","no")</x:f>
        <x:v>yes</x:v>
      </x:c>
      <x:c r="AJ300" s="12" t="str">
        <x:f>IF(OR(AH300="yes",AC300="operational",AD300="debated"),"high",IF(AND(AG300="yes",L300="P0"),"medium","low"))</x:f>
        <x:v>high</x:v>
      </x:c>
      <x:c r="AK300" s="12" t="str">
        <x:f>IF(ISNUMBER(SEARCH("healthy",AB300)),"yes","no")</x:f>
        <x:v>no</x:v>
      </x:c>
      <x:c r="AL300" s="12" t="str">
        <x:f>IF(AG300="yes","yes","candidate_only")</x:f>
        <x:v>candidate_only</x:v>
      </x:c>
      <x:c r="AM300" s="12" t="str">
        <x:f>IF(OR(AC300="canonical",AG300="yes"),"yes","recommended")</x:f>
        <x:v>recommended</x:v>
      </x:c>
      <x:c r="AN300" s="12" t="str">
        <x:f>IF(AC300="deprecated","exclude",IF(AND(AG300="yes",AJ300="high"),"import_but_human_review_required",IF(AG300="yes","import_as_active","import_as_backlog")))</x:f>
        <x:v>import_as_backlog</x:v>
      </x:c>
      <x:c r="AO300" s="12" t="str">
        <x:f>IF(AND(AG300="yes",OR(P300="",Q300="",R300="",S300="")),"missing_required_mvp_fields",IF(AND(AC300="canonical",Y300=""),"missing_source_ref","ok"))</x:f>
        <x:v>ok</x:v>
      </x:c>
      <x:c r="AP300" s="12" t="str">
        <x:f>IF(AO300="ok","ready_for_codex_import","needs_review")</x:f>
        <x:v>ready_for_codex_import</x:v>
      </x:c>
      <x:c r="AQ300" s="12"/>
      <x:c r="AR300" s="12" t="str">
        <x:v>Added v2 operational fields. Review before classification activation.</x:v>
      </x:c>
    </x:row>
    <x:row r="301">
      <x:c r="A301" s="13" t="str">
        <x:v>denominator_neglect_denominator_variant</x:v>
      </x:c>
      <x:c r="B301" s="13" t="str">
        <x:v>denominator_neglect</x:v>
      </x:c>
      <x:c r="C301" s="13" t="str">
        <x:v>Denominator neglect</x:v>
      </x:c>
      <x:c r="D301" s="13" t="str">
        <x:v>نادیده‌گرفتن مخرج</x:v>
      </x:c>
      <x:c r="E301" s="13" t="str">
        <x:v>Denominator variant</x:v>
      </x:c>
      <x:c r="F301" s="13" t="str">
        <x:v>probabilistic_failures</x:v>
      </x:c>
      <x:c r="G301" s="13" t="str">
        <x:v>operational_variant</x:v>
      </x:c>
      <x:c r="H301" s="13" t="str">
        <x:v>lexical</x:v>
      </x:c>
      <x:c r="I301" s="13" t="str">
        <x:v>claim</x:v>
      </x:c>
      <x:c r="J301" s="13" t="str">
        <x:v>derived_operational_subtype</x:v>
      </x:c>
      <x:c r="K301" s="13" t="str">
        <x:v>derived_from_established_parent_review_required</x:v>
      </x:c>
      <x:c r="L301" s="13" t="str">
        <x:v>P2</x:v>
      </x:c>
      <x:c r="M301" s="13" t="str">
        <x:v>no</x:v>
      </x:c>
      <x:c r="N301" s="13" t="str">
        <x:v>Operational subtype under Denominator neglect: the base, denominator, or exposure count is hidden. Parent definition: Focusing on counts while ignoring the denominator or exposure base.</x:v>
      </x:c>
      <x:c r="O301" s="13" t="str">
        <x:v>Look for: explicit claim-level evidence; parent-family cues for Denominator neglect; variant cue: the base, denominator, or exposure count is hidden; avoid author-level inference.</x:v>
      </x:c>
      <x:c r="P301" s="13" t="str">
        <x:v>Exact evidence span in text plus claim-level reasoning link; for contextual/discourse entries, require surrounding context.</x:v>
      </x:c>
      <x:c r="Q301" s="13" t="str">
        <x:v>Do not label merely because topic is controversial, emotional, or wrong. Do not judge intent or personality. Require textual evidence and consider healthy-reasoning cues.</x:v>
      </x:c>
      <x:c r="R301" s="13" t="str">
        <x:v>Stub: A claim relies on the base, denominator, or exposure count is hidden to support a conclusion without adequate qualification.</x:v>
      </x:c>
      <x:c r="S301" s="13" t="str">
        <x:v>Stub: A claim discusses denominator neglect with caveats, balanced evidence, or no argumentative use of the pattern.</x:v>
      </x:c>
      <x:c r="T301" s="13" t="str">
        <x:v>Mild or ambiguous cue; do not classify without clear evidence span.</x:v>
      </x:c>
      <x:c r="U301" s="13" t="str">
        <x:v>Clear claim-level pattern with some argumentative impact.</x:v>
      </x:c>
      <x:c r="V301" s="13" t="str">
        <x:v>Strong pattern central to the conclusion and likely to materially distort reasoning.</x:v>
      </x:c>
      <x:c r="W301" s="13" t="str"/>
      <x:c r="X301" s="13" t="str">
        <x:v>kahneman_tversky_heuristics_1974</x:v>
      </x:c>
      <x:c r="Y301" s="13" t="str">
        <x:v>https://doi.org/10.1126/science.185.4157.1124</x:v>
      </x:c>
      <x:c r="Z301" s="13" t="str">
        <x:v>Review before enabling. This workbook is a living taxonomy scaffold, not a validated scientific benchmark.</x:v>
      </x:c>
      <x:c r="AA301" s="13" t="str">
        <x:v>0.1.0-draft</x:v>
      </x:c>
      <x:c r="AB301" s="12" t="str">
        <x:f>IF(ISNUMBER(SEARCH("healthy",F301)),"healthy_reasoning_patterns",IF(ISNUMBER(SEARCH("statistical",F301)),"statistical_reasoning",IF(ISNUMBER(SEARCH("causal",F301)),"causal_reasoning",IF(ISNUMBER(SEARCH("social",F301)),"social_influence",IF(ISNUMBER(SEARCH("rhetoric",F301)),"rhetoric_discourse",IF(ISNUMBER(SEARCH("behavior",F301)),"behavioural_economics",IF(ISNUMBER(SEARCH("cognitive",F301)),"cognitive_biases",IF(J301="protective_pattern","healthy_reasoning_patterns",IF(L301="P0","core_mvp","extended_fallacies")))))))))</x:f>
        <x:v>extended_fallacies</x:v>
      </x:c>
      <x:c r="AC301" s="12" t="str">
        <x:f>IF(ISNUMBER(SEARCH("operational",J301)),"operational",IF(ISNUMBER(SEARCH("deprecated",J301)),"deprecated",IF(L301="P0","canonical","recognized_subtype")))</x:f>
        <x:v>operational</x:v>
      </x:c>
      <x:c r="AD301" s="12" t="str">
        <x:f>IF(AC301="canonical","high",IF(AC301="recognized_subtype","medium",IF(AC301="operational","operational_only","debated")))</x:f>
        <x:v>operational_only</x:v>
      </x:c>
      <x:c r="AE301" s="12" t="str">
        <x:f>IF(AC301="deprecated","deprecated",IF(M301="yes","active",IF(M301="review","review_required","backlog")))</x:f>
        <x:v>backlog</x:v>
      </x:c>
      <x:c r="AF301" s="12" t="str">
        <x:f>IF(OR(AE301="active",AE301="review_required"),"yes","no")</x:f>
        <x:v>no</x:v>
      </x:c>
      <x:c r="AG301" s="12" t="str">
        <x:f>IF(AND(AE301="active",M301="yes",NOT(ISNUMBER(SEARCH("healthy",AB301)))),"yes","no")</x:f>
        <x:v>no</x:v>
      </x:c>
      <x:c r="AH301" s="12" t="str">
        <x:f>IF(OR(H301="contextual",H301="dialogue",H301="discourse",I301="claim+context",I301="discourse_segment"),"yes","no")</x:f>
        <x:v>no</x:v>
      </x:c>
      <x:c r="AI301" s="12" t="str">
        <x:f>IF(OR(AH301="yes",AD301="debated",AC301="operational"),"yes","no")</x:f>
        <x:v>yes</x:v>
      </x:c>
      <x:c r="AJ301" s="12" t="str">
        <x:f>IF(OR(AH301="yes",AC301="operational",AD301="debated"),"high",IF(AND(AG301="yes",L301="P0"),"medium","low"))</x:f>
        <x:v>high</x:v>
      </x:c>
      <x:c r="AK301" s="12" t="str">
        <x:f>IF(ISNUMBER(SEARCH("healthy",AB301)),"yes","no")</x:f>
        <x:v>no</x:v>
      </x:c>
      <x:c r="AL301" s="12" t="str">
        <x:f>IF(AG301="yes","yes","candidate_only")</x:f>
        <x:v>candidate_only</x:v>
      </x:c>
      <x:c r="AM301" s="12" t="str">
        <x:f>IF(OR(AC301="canonical",AG301="yes"),"yes","recommended")</x:f>
        <x:v>recommended</x:v>
      </x:c>
      <x:c r="AN301" s="12" t="str">
        <x:f>IF(AC301="deprecated","exclude",IF(AND(AG301="yes",AJ301="high"),"import_but_human_review_required",IF(AG301="yes","import_as_active","import_as_backlog")))</x:f>
        <x:v>import_as_backlog</x:v>
      </x:c>
      <x:c r="AO301" s="12" t="str">
        <x:f>IF(AND(AG301="yes",OR(P301="",Q301="",R301="",S301="")),"missing_required_mvp_fields",IF(AND(AC301="canonical",Y301=""),"missing_source_ref","ok"))</x:f>
        <x:v>ok</x:v>
      </x:c>
      <x:c r="AP301" s="12" t="str">
        <x:f>IF(AO301="ok","ready_for_codex_import","needs_review")</x:f>
        <x:v>ready_for_codex_import</x:v>
      </x:c>
      <x:c r="AQ301" s="12"/>
      <x:c r="AR301" s="12" t="str">
        <x:v>Added v2 operational fields. Review before classification activation.</x:v>
      </x:c>
    </x:row>
    <x:row r="302">
      <x:c r="A302" s="13" t="str">
        <x:v>law_of_small_numbers_denominator_variant</x:v>
      </x:c>
      <x:c r="B302" s="13" t="str">
        <x:v>law_of_small_numbers</x:v>
      </x:c>
      <x:c r="C302" s="13" t="str">
        <x:v>Law of small numbers</x:v>
      </x:c>
      <x:c r="D302" s="13" t="str">
        <x:v>قانون اعداد کوچک</x:v>
      </x:c>
      <x:c r="E302" s="13" t="str">
        <x:v>Denominator variant</x:v>
      </x:c>
      <x:c r="F302" s="13" t="str">
        <x:v>probabilistic_failures</x:v>
      </x:c>
      <x:c r="G302" s="13" t="str">
        <x:v>operational_variant</x:v>
      </x:c>
      <x:c r="H302" s="13" t="str">
        <x:v>contextual</x:v>
      </x:c>
      <x:c r="I302" s="13" t="str">
        <x:v>claim+context</x:v>
      </x:c>
      <x:c r="J302" s="13" t="str">
        <x:v>derived_operational_subtype</x:v>
      </x:c>
      <x:c r="K302" s="13" t="str">
        <x:v>derived_from_established_parent_review_required</x:v>
      </x:c>
      <x:c r="L302" s="13" t="str">
        <x:v>P2</x:v>
      </x:c>
      <x:c r="M302" s="13" t="str">
        <x:v>no</x:v>
      </x:c>
      <x:c r="N302" s="13" t="str">
        <x:v>Operational subtype under Law of small numbers: the base, denominator, or exposure count is hidden. Parent definition: Expecting small samples to resemble the population too closely.</x:v>
      </x:c>
      <x:c r="O302" s="13" t="str">
        <x:v>Look for: explicit claim-level evidence; parent-family cues for Law of small numbers; variant cue: the base, denominator, or exposure count is hidden; avoid author-level inference.</x:v>
      </x:c>
      <x:c r="P302" s="13" t="str">
        <x:v>Exact evidence span in text plus claim-level reasoning link; for contextual/discourse entries, require surrounding context.</x:v>
      </x:c>
      <x:c r="Q302" s="13" t="str">
        <x:v>Do not label merely because topic is controversial, emotional, or wrong. Do not judge intent or personality. Require textual evidence and consider healthy-reasoning cues.</x:v>
      </x:c>
      <x:c r="R302" s="13" t="str">
        <x:v>Stub: A claim relies on the base, denominator, or exposure count is hidden to support a conclusion without adequate qualification.</x:v>
      </x:c>
      <x:c r="S302" s="13" t="str">
        <x:v>Stub: A claim discusses law of small numbers with caveats, balanced evidence, or no argumentative use of the pattern.</x:v>
      </x:c>
      <x:c r="T302" s="13" t="str">
        <x:v>Mild or ambiguous cue; do not classify without clear evidence span.</x:v>
      </x:c>
      <x:c r="U302" s="13" t="str">
        <x:v>Clear claim-level pattern with some argumentative impact.</x:v>
      </x:c>
      <x:c r="V302" s="13" t="str">
        <x:v>Strong pattern central to the conclusion and likely to materially distort reasoning.</x:v>
      </x:c>
      <x:c r="W302" s="13" t="str"/>
      <x:c r="X302" s="13" t="str">
        <x:v>kahneman_tversky_heuristics_1974</x:v>
      </x:c>
      <x:c r="Y302" s="13" t="str">
        <x:v>https://doi.org/10.1126/science.185.4157.1124</x:v>
      </x:c>
      <x:c r="Z302" s="13" t="str">
        <x:v>Review before enabling. This workbook is a living taxonomy scaffold, not a validated scientific benchmark.</x:v>
      </x:c>
      <x:c r="AA302" s="13" t="str">
        <x:v>0.1.0-draft</x:v>
      </x:c>
      <x:c r="AB302" s="12" t="str">
        <x:f>IF(ISNUMBER(SEARCH("healthy",F302)),"healthy_reasoning_patterns",IF(ISNUMBER(SEARCH("statistical",F302)),"statistical_reasoning",IF(ISNUMBER(SEARCH("causal",F302)),"causal_reasoning",IF(ISNUMBER(SEARCH("social",F302)),"social_influence",IF(ISNUMBER(SEARCH("rhetoric",F302)),"rhetoric_discourse",IF(ISNUMBER(SEARCH("behavior",F302)),"behavioural_economics",IF(ISNUMBER(SEARCH("cognitive",F302)),"cognitive_biases",IF(J302="protective_pattern","healthy_reasoning_patterns",IF(L302="P0","core_mvp","extended_fallacies")))))))))</x:f>
        <x:v>extended_fallacies</x:v>
      </x:c>
      <x:c r="AC302" s="12" t="str">
        <x:f>IF(ISNUMBER(SEARCH("operational",J302)),"operational",IF(ISNUMBER(SEARCH("deprecated",J302)),"deprecated",IF(L302="P0","canonical","recognized_subtype")))</x:f>
        <x:v>operational</x:v>
      </x:c>
      <x:c r="AD302" s="12" t="str">
        <x:f>IF(AC302="canonical","high",IF(AC302="recognized_subtype","medium",IF(AC302="operational","operational_only","debated")))</x:f>
        <x:v>operational_only</x:v>
      </x:c>
      <x:c r="AE302" s="12" t="str">
        <x:f>IF(AC302="deprecated","deprecated",IF(M302="yes","active",IF(M302="review","review_required","backlog")))</x:f>
        <x:v>backlog</x:v>
      </x:c>
      <x:c r="AF302" s="12" t="str">
        <x:f>IF(OR(AE302="active",AE302="review_required"),"yes","no")</x:f>
        <x:v>no</x:v>
      </x:c>
      <x:c r="AG302" s="12" t="str">
        <x:f>IF(AND(AE302="active",M302="yes",NOT(ISNUMBER(SEARCH("healthy",AB302)))),"yes","no")</x:f>
        <x:v>no</x:v>
      </x:c>
      <x:c r="AH302" s="12" t="str">
        <x:f>IF(OR(H302="contextual",H302="dialogue",H302="discourse",I302="claim+context",I302="discourse_segment"),"yes","no")</x:f>
        <x:v>yes</x:v>
      </x:c>
      <x:c r="AI302" s="12" t="str">
        <x:f>IF(OR(AH302="yes",AD302="debated",AC302="operational"),"yes","no")</x:f>
        <x:v>yes</x:v>
      </x:c>
      <x:c r="AJ302" s="12" t="str">
        <x:f>IF(OR(AH302="yes",AC302="operational",AD302="debated"),"high",IF(AND(AG302="yes",L302="P0"),"medium","low"))</x:f>
        <x:v>high</x:v>
      </x:c>
      <x:c r="AK302" s="12" t="str">
        <x:f>IF(ISNUMBER(SEARCH("healthy",AB302)),"yes","no")</x:f>
        <x:v>no</x:v>
      </x:c>
      <x:c r="AL302" s="12" t="str">
        <x:f>IF(AG302="yes","yes","candidate_only")</x:f>
        <x:v>candidate_only</x:v>
      </x:c>
      <x:c r="AM302" s="12" t="str">
        <x:f>IF(OR(AC302="canonical",AG302="yes"),"yes","recommended")</x:f>
        <x:v>recommended</x:v>
      </x:c>
      <x:c r="AN302" s="12" t="str">
        <x:f>IF(AC302="deprecated","exclude",IF(AND(AG302="yes",AJ302="high"),"import_but_human_review_required",IF(AG302="yes","import_as_active","import_as_backlog")))</x:f>
        <x:v>import_as_backlog</x:v>
      </x:c>
      <x:c r="AO302" s="12" t="str">
        <x:f>IF(AND(AG302="yes",OR(P302="",Q302="",R302="",S302="")),"missing_required_mvp_fields",IF(AND(AC302="canonical",Y302=""),"missing_source_ref","ok"))</x:f>
        <x:v>ok</x:v>
      </x:c>
      <x:c r="AP302" s="12" t="str">
        <x:f>IF(AO302="ok","ready_for_codex_import","needs_review")</x:f>
        <x:v>ready_for_codex_import</x:v>
      </x:c>
      <x:c r="AQ302" s="12"/>
      <x:c r="AR302" s="12" t="str">
        <x:v>Added v2 operational fields. Review before classification activation.</x:v>
      </x:c>
    </x:row>
    <x:row r="303">
      <x:c r="A303" s="13" t="str">
        <x:v>sample_space_confusion_denominator_variant</x:v>
      </x:c>
      <x:c r="B303" s="13" t="str">
        <x:v>sample_space_confusion</x:v>
      </x:c>
      <x:c r="C303" s="13" t="str">
        <x:v>Sample-space confusion</x:v>
      </x:c>
      <x:c r="D303" s="13" t="str">
        <x:v>ابهام فضای نمونه</x:v>
      </x:c>
      <x:c r="E303" s="13" t="str">
        <x:v>Denominator variant</x:v>
      </x:c>
      <x:c r="F303" s="13" t="str">
        <x:v>probabilistic_failures</x:v>
      </x:c>
      <x:c r="G303" s="13" t="str">
        <x:v>operational_variant</x:v>
      </x:c>
      <x:c r="H303" s="13" t="str">
        <x:v>structural</x:v>
      </x:c>
      <x:c r="I303" s="13" t="str">
        <x:v>claim</x:v>
      </x:c>
      <x:c r="J303" s="13" t="str">
        <x:v>derived_operational_subtype</x:v>
      </x:c>
      <x:c r="K303" s="13" t="str">
        <x:v>derived_from_established_parent_review_required</x:v>
      </x:c>
      <x:c r="L303" s="13" t="str">
        <x:v>P2</x:v>
      </x:c>
      <x:c r="M303" s="13" t="str">
        <x:v>no</x:v>
      </x:c>
      <x:c r="N303" s="13" t="str">
        <x:v>Operational subtype under Sample-space confusion: the base, denominator, or exposure count is hidden. Parent definition: Reasoning about probabilities without specifying the relevant outcome space.</x:v>
      </x:c>
      <x:c r="O303" s="13" t="str">
        <x:v>Look for: explicit claim-level evidence; parent-family cues for Sample-space confusion; variant cue: the base, denominator, or exposure count is hidden; avoid author-level inference.</x:v>
      </x:c>
      <x:c r="P303" s="13" t="str">
        <x:v>Exact evidence span in text plus claim-level reasoning link; for contextual/discourse entries, require surrounding context.</x:v>
      </x:c>
      <x:c r="Q303" s="13" t="str">
        <x:v>Do not label merely because topic is controversial, emotional, or wrong. Do not judge intent or personality. Require textual evidence and consider healthy-reasoning cues.</x:v>
      </x:c>
      <x:c r="R303" s="13" t="str">
        <x:v>Stub: A claim relies on the base, denominator, or exposure count is hidden to support a conclusion without adequate qualification.</x:v>
      </x:c>
      <x:c r="S303" s="13" t="str">
        <x:v>Stub: A claim discusses sample-space confusion with caveats, balanced evidence, or no argumentative use of the pattern.</x:v>
      </x:c>
      <x:c r="T303" s="13" t="str">
        <x:v>Mild or ambiguous cue; do not classify without clear evidence span.</x:v>
      </x:c>
      <x:c r="U303" s="13" t="str">
        <x:v>Clear claim-level pattern with some argumentative impact.</x:v>
      </x:c>
      <x:c r="V303" s="13" t="str">
        <x:v>Strong pattern central to the conclusion and likely to materially distort reasoning.</x:v>
      </x:c>
      <x:c r="W303" s="13" t="str"/>
      <x:c r="X303" s="13" t="str">
        <x:v>stanovich_dual_process</x:v>
      </x:c>
      <x:c r="Y303" s="13" t="str">
        <x:v>https://global.oup.com/academic/product/rationality-and-the-reflective-mind-9780195341140</x:v>
      </x:c>
      <x:c r="Z303" s="13" t="str">
        <x:v>Review before enabling. This workbook is a living taxonomy scaffold, not a validated scientific benchmark.</x:v>
      </x:c>
      <x:c r="AA303" s="13" t="str">
        <x:v>0.1.0-draft</x:v>
      </x:c>
      <x:c r="AB303" s="12" t="str">
        <x:f>IF(ISNUMBER(SEARCH("healthy",F303)),"healthy_reasoning_patterns",IF(ISNUMBER(SEARCH("statistical",F303)),"statistical_reasoning",IF(ISNUMBER(SEARCH("causal",F303)),"causal_reasoning",IF(ISNUMBER(SEARCH("social",F303)),"social_influence",IF(ISNUMBER(SEARCH("rhetoric",F303)),"rhetoric_discourse",IF(ISNUMBER(SEARCH("behavior",F303)),"behavioural_economics",IF(ISNUMBER(SEARCH("cognitive",F303)),"cognitive_biases",IF(J303="protective_pattern","healthy_reasoning_patterns",IF(L303="P0","core_mvp","extended_fallacies")))))))))</x:f>
        <x:v>extended_fallacies</x:v>
      </x:c>
      <x:c r="AC303" s="12" t="str">
        <x:f>IF(ISNUMBER(SEARCH("operational",J303)),"operational",IF(ISNUMBER(SEARCH("deprecated",J303)),"deprecated",IF(L303="P0","canonical","recognized_subtype")))</x:f>
        <x:v>operational</x:v>
      </x:c>
      <x:c r="AD303" s="12" t="str">
        <x:f>IF(AC303="canonical","high",IF(AC303="recognized_subtype","medium",IF(AC303="operational","operational_only","debated")))</x:f>
        <x:v>operational_only</x:v>
      </x:c>
      <x:c r="AE303" s="12" t="str">
        <x:f>IF(AC303="deprecated","deprecated",IF(M303="yes","active",IF(M303="review","review_required","backlog")))</x:f>
        <x:v>backlog</x:v>
      </x:c>
      <x:c r="AF303" s="12" t="str">
        <x:f>IF(OR(AE303="active",AE303="review_required"),"yes","no")</x:f>
        <x:v>no</x:v>
      </x:c>
      <x:c r="AG303" s="12" t="str">
        <x:f>IF(AND(AE303="active",M303="yes",NOT(ISNUMBER(SEARCH("healthy",AB303)))),"yes","no")</x:f>
        <x:v>no</x:v>
      </x:c>
      <x:c r="AH303" s="12" t="str">
        <x:f>IF(OR(H303="contextual",H303="dialogue",H303="discourse",I303="claim+context",I303="discourse_segment"),"yes","no")</x:f>
        <x:v>no</x:v>
      </x:c>
      <x:c r="AI303" s="12" t="str">
        <x:f>IF(OR(AH303="yes",AD303="debated",AC303="operational"),"yes","no")</x:f>
        <x:v>yes</x:v>
      </x:c>
      <x:c r="AJ303" s="12" t="str">
        <x:f>IF(OR(AH303="yes",AC303="operational",AD303="debated"),"high",IF(AND(AG303="yes",L303="P0"),"medium","low"))</x:f>
        <x:v>high</x:v>
      </x:c>
      <x:c r="AK303" s="12" t="str">
        <x:f>IF(ISNUMBER(SEARCH("healthy",AB303)),"yes","no")</x:f>
        <x:v>no</x:v>
      </x:c>
      <x:c r="AL303" s="12" t="str">
        <x:f>IF(AG303="yes","yes","candidate_only")</x:f>
        <x:v>candidate_only</x:v>
      </x:c>
      <x:c r="AM303" s="12" t="str">
        <x:f>IF(OR(AC303="canonical",AG303="yes"),"yes","recommended")</x:f>
        <x:v>recommended</x:v>
      </x:c>
      <x:c r="AN303" s="12" t="str">
        <x:f>IF(AC303="deprecated","exclude",IF(AND(AG303="yes",AJ303="high"),"import_but_human_review_required",IF(AG303="yes","import_as_active","import_as_backlog")))</x:f>
        <x:v>import_as_backlog</x:v>
      </x:c>
      <x:c r="AO303" s="12" t="str">
        <x:f>IF(AND(AG303="yes",OR(P303="",Q303="",R303="",S303="")),"missing_required_mvp_fields",IF(AND(AC303="canonical",Y303=""),"missing_source_ref","ok"))</x:f>
        <x:v>ok</x:v>
      </x:c>
      <x:c r="AP303" s="12" t="str">
        <x:f>IF(AO303="ok","ready_for_codex_import","needs_review")</x:f>
        <x:v>ready_for_codex_import</x:v>
      </x:c>
      <x:c r="AQ303" s="12"/>
      <x:c r="AR303" s="12" t="str">
        <x:v>Added v2 operational fields. Review before classification activation.</x:v>
      </x:c>
    </x:row>
    <x:row r="304">
      <x:c r="A304" s="13" t="str">
        <x:v>risk_ratio_absolute_risk_confusion_denominator_variant</x:v>
      </x:c>
      <x:c r="B304" s="13" t="str">
        <x:v>risk_ratio_absolute_risk_confusion</x:v>
      </x:c>
      <x:c r="C304" s="13" t="str">
        <x:v>Relative vs absolute risk confusion</x:v>
      </x:c>
      <x:c r="D304" s="13" t="str">
        <x:v>ابهام ریسک نسبی و مطلق</x:v>
      </x:c>
      <x:c r="E304" s="13" t="str">
        <x:v>Denominator variant</x:v>
      </x:c>
      <x:c r="F304" s="13" t="str">
        <x:v>probabilistic_failures</x:v>
      </x:c>
      <x:c r="G304" s="13" t="str">
        <x:v>operational_variant</x:v>
      </x:c>
      <x:c r="H304" s="13" t="str">
        <x:v>lexical</x:v>
      </x:c>
      <x:c r="I304" s="13" t="str">
        <x:v>claim</x:v>
      </x:c>
      <x:c r="J304" s="13" t="str">
        <x:v>derived_operational_subtype</x:v>
      </x:c>
      <x:c r="K304" s="13" t="str">
        <x:v>derived_from_established_parent_review_required</x:v>
      </x:c>
      <x:c r="L304" s="13" t="str">
        <x:v>P2</x:v>
      </x:c>
      <x:c r="M304" s="13" t="str">
        <x:v>no</x:v>
      </x:c>
      <x:c r="N304" s="13" t="str">
        <x:v>Operational subtype under Relative vs absolute risk confusion: the base, denominator, or exposure count is hidden. Parent definition: Using relative change while hiding absolute magnitude.</x:v>
      </x:c>
      <x:c r="O304" s="13" t="str">
        <x:v>Look for: explicit claim-level evidence; parent-family cues for Relative vs absolute risk confusion; variant cue: the base, denominator, or exposure count is hidden; avoid author-level inference.</x:v>
      </x:c>
      <x:c r="P304" s="13" t="str">
        <x:v>Exact evidence span in text plus claim-level reasoning link; for contextual/discourse entries, require surrounding context.</x:v>
      </x:c>
      <x:c r="Q304" s="13" t="str">
        <x:v>Do not label merely because topic is controversial, emotional, or wrong. Do not judge intent or personality. Require textual evidence and consider healthy-reasoning cues.</x:v>
      </x:c>
      <x:c r="R304" s="13" t="str">
        <x:v>Stub: A claim relies on the base, denominator, or exposure count is hidden to support a conclusion without adequate qualification.</x:v>
      </x:c>
      <x:c r="S304" s="13" t="str">
        <x:v>Stub: A claim discusses relative vs absolute risk confusion with caveats, balanced evidence, or no argumentative use of the pattern.</x:v>
      </x:c>
      <x:c r="T304" s="13" t="str">
        <x:v>Mild or ambiguous cue; do not classify without clear evidence span.</x:v>
      </x:c>
      <x:c r="U304" s="13" t="str">
        <x:v>Clear claim-level pattern with some argumentative impact.</x:v>
      </x:c>
      <x:c r="V304" s="13" t="str">
        <x:v>Strong pattern central to the conclusion and likely to materially distort reasoning.</x:v>
      </x:c>
      <x:c r="W304" s="13" t="str"/>
      <x:c r="X304" s="13" t="str">
        <x:v>stanovich_dual_process</x:v>
      </x:c>
      <x:c r="Y304" s="13" t="str">
        <x:v>https://global.oup.com/academic/product/rationality-and-the-reflective-mind-9780195341140</x:v>
      </x:c>
      <x:c r="Z304" s="13" t="str">
        <x:v>Review before enabling. This workbook is a living taxonomy scaffold, not a validated scientific benchmark.</x:v>
      </x:c>
      <x:c r="AA304" s="13" t="str">
        <x:v>0.1.0-draft</x:v>
      </x:c>
      <x:c r="AB304" s="12" t="str">
        <x:f>IF(ISNUMBER(SEARCH("healthy",F304)),"healthy_reasoning_patterns",IF(ISNUMBER(SEARCH("statistical",F304)),"statistical_reasoning",IF(ISNUMBER(SEARCH("causal",F304)),"causal_reasoning",IF(ISNUMBER(SEARCH("social",F304)),"social_influence",IF(ISNUMBER(SEARCH("rhetoric",F304)),"rhetoric_discourse",IF(ISNUMBER(SEARCH("behavior",F304)),"behavioural_economics",IF(ISNUMBER(SEARCH("cognitive",F304)),"cognitive_biases",IF(J304="protective_pattern","healthy_reasoning_patterns",IF(L304="P0","core_mvp","extended_fallacies")))))))))</x:f>
        <x:v>extended_fallacies</x:v>
      </x:c>
      <x:c r="AC304" s="12" t="str">
        <x:f>IF(ISNUMBER(SEARCH("operational",J304)),"operational",IF(ISNUMBER(SEARCH("deprecated",J304)),"deprecated",IF(L304="P0","canonical","recognized_subtype")))</x:f>
        <x:v>operational</x:v>
      </x:c>
      <x:c r="AD304" s="12" t="str">
        <x:f>IF(AC304="canonical","high",IF(AC304="recognized_subtype","medium",IF(AC304="operational","operational_only","debated")))</x:f>
        <x:v>operational_only</x:v>
      </x:c>
      <x:c r="AE304" s="12" t="str">
        <x:f>IF(AC304="deprecated","deprecated",IF(M304="yes","active",IF(M304="review","review_required","backlog")))</x:f>
        <x:v>backlog</x:v>
      </x:c>
      <x:c r="AF304" s="12" t="str">
        <x:f>IF(OR(AE304="active",AE304="review_required"),"yes","no")</x:f>
        <x:v>no</x:v>
      </x:c>
      <x:c r="AG304" s="12" t="str">
        <x:f>IF(AND(AE304="active",M304="yes",NOT(ISNUMBER(SEARCH("healthy",AB304)))),"yes","no")</x:f>
        <x:v>no</x:v>
      </x:c>
      <x:c r="AH304" s="12" t="str">
        <x:f>IF(OR(H304="contextual",H304="dialogue",H304="discourse",I304="claim+context",I304="discourse_segment"),"yes","no")</x:f>
        <x:v>no</x:v>
      </x:c>
      <x:c r="AI304" s="12" t="str">
        <x:f>IF(OR(AH304="yes",AD304="debated",AC304="operational"),"yes","no")</x:f>
        <x:v>yes</x:v>
      </x:c>
      <x:c r="AJ304" s="12" t="str">
        <x:f>IF(OR(AH304="yes",AC304="operational",AD304="debated"),"high",IF(AND(AG304="yes",L304="P0"),"medium","low"))</x:f>
        <x:v>high</x:v>
      </x:c>
      <x:c r="AK304" s="12" t="str">
        <x:f>IF(ISNUMBER(SEARCH("healthy",AB304)),"yes","no")</x:f>
        <x:v>no</x:v>
      </x:c>
      <x:c r="AL304" s="12" t="str">
        <x:f>IF(AG304="yes","yes","candidate_only")</x:f>
        <x:v>candidate_only</x:v>
      </x:c>
      <x:c r="AM304" s="12" t="str">
        <x:f>IF(OR(AC304="canonical",AG304="yes"),"yes","recommended")</x:f>
        <x:v>recommended</x:v>
      </x:c>
      <x:c r="AN304" s="12" t="str">
        <x:f>IF(AC304="deprecated","exclude",IF(AND(AG304="yes",AJ304="high"),"import_but_human_review_required",IF(AG304="yes","import_as_active","import_as_backlog")))</x:f>
        <x:v>import_as_backlog</x:v>
      </x:c>
      <x:c r="AO304" s="12" t="str">
        <x:f>IF(AND(AG304="yes",OR(P304="",Q304="",R304="",S304="")),"missing_required_mvp_fields",IF(AND(AC304="canonical",Y304=""),"missing_source_ref","ok"))</x:f>
        <x:v>ok</x:v>
      </x:c>
      <x:c r="AP304" s="12" t="str">
        <x:f>IF(AO304="ok","ready_for_codex_import","needs_review")</x:f>
        <x:v>ready_for_codex_import</x:v>
      </x:c>
      <x:c r="AQ304" s="12"/>
      <x:c r="AR304" s="12" t="str">
        <x:v>Added v2 operational fields. Review before classification activation.</x:v>
      </x:c>
    </x:row>
    <x:row r="305">
      <x:c r="A305" s="13" t="str">
        <x:v>expected_value_neglect_denominator_variant</x:v>
      </x:c>
      <x:c r="B305" s="13" t="str">
        <x:v>expected_value_neglect</x:v>
      </x:c>
      <x:c r="C305" s="13" t="str">
        <x:v>Expected-value neglect</x:v>
      </x:c>
      <x:c r="D305" s="13" t="str">
        <x:v>نادیده‌گرفتن امید ریاضی</x:v>
      </x:c>
      <x:c r="E305" s="13" t="str">
        <x:v>Denominator variant</x:v>
      </x:c>
      <x:c r="F305" s="13" t="str">
        <x:v>probabilistic_failures</x:v>
      </x:c>
      <x:c r="G305" s="13" t="str">
        <x:v>operational_variant</x:v>
      </x:c>
      <x:c r="H305" s="13" t="str">
        <x:v>contextual</x:v>
      </x:c>
      <x:c r="I305" s="13" t="str">
        <x:v>claim+context</x:v>
      </x:c>
      <x:c r="J305" s="13" t="str">
        <x:v>derived_operational_subtype</x:v>
      </x:c>
      <x:c r="K305" s="13" t="str">
        <x:v>derived_from_established_parent_review_required</x:v>
      </x:c>
      <x:c r="L305" s="13" t="str">
        <x:v>P2</x:v>
      </x:c>
      <x:c r="M305" s="13" t="str">
        <x:v>no</x:v>
      </x:c>
      <x:c r="N305" s="13" t="str">
        <x:v>Operational subtype under Expected-value neglect: the base, denominator, or exposure count is hidden. Parent definition: Focusing on salient outcomes while ignoring probability-weighted value.</x:v>
      </x:c>
      <x:c r="O305" s="13" t="str">
        <x:v>Look for: explicit claim-level evidence; parent-family cues for Expected-value neglect; variant cue: the base, denominator, or exposure count is hidden; avoid author-level inference.</x:v>
      </x:c>
      <x:c r="P305" s="13" t="str">
        <x:v>Exact evidence span in text plus claim-level reasoning link; for contextual/discourse entries, require surrounding context.</x:v>
      </x:c>
      <x:c r="Q305" s="13" t="str">
        <x:v>Do not label merely because topic is controversial, emotional, or wrong. Do not judge intent or personality. Require textual evidence and consider healthy-reasoning cues.</x:v>
      </x:c>
      <x:c r="R305" s="13" t="str">
        <x:v>Stub: A claim relies on the base, denominator, or exposure count is hidden to support a conclusion without adequate qualification.</x:v>
      </x:c>
      <x:c r="S305" s="13" t="str">
        <x:v>Stub: A claim discusses expected-value neglect with caveats, balanced evidence, or no argumentative use of the pattern.</x:v>
      </x:c>
      <x:c r="T305" s="13" t="str">
        <x:v>Mild or ambiguous cue; do not classify without clear evidence span.</x:v>
      </x:c>
      <x:c r="U305" s="13" t="str">
        <x:v>Clear claim-level pattern with some argumentative impact.</x:v>
      </x:c>
      <x:c r="V305" s="13" t="str">
        <x:v>Strong pattern central to the conclusion and likely to materially distort reasoning.</x:v>
      </x:c>
      <x:c r="W305" s="13" t="str"/>
      <x:c r="X305" s="13" t="str">
        <x:v>kahneman_tversky_prospect_1979</x:v>
      </x:c>
      <x:c r="Y305" s="13" t="str">
        <x:v>https://doi.org/10.2307/1914185</x:v>
      </x:c>
      <x:c r="Z305" s="13" t="str">
        <x:v>Review before enabling. This workbook is a living taxonomy scaffold, not a validated scientific benchmark.</x:v>
      </x:c>
      <x:c r="AA305" s="13" t="str">
        <x:v>0.1.0-draft</x:v>
      </x:c>
      <x:c r="AB305" s="12" t="str">
        <x:f>IF(ISNUMBER(SEARCH("healthy",F305)),"healthy_reasoning_patterns",IF(ISNUMBER(SEARCH("statistical",F305)),"statistical_reasoning",IF(ISNUMBER(SEARCH("causal",F305)),"causal_reasoning",IF(ISNUMBER(SEARCH("social",F305)),"social_influence",IF(ISNUMBER(SEARCH("rhetoric",F305)),"rhetoric_discourse",IF(ISNUMBER(SEARCH("behavior",F305)),"behavioural_economics",IF(ISNUMBER(SEARCH("cognitive",F305)),"cognitive_biases",IF(J305="protective_pattern","healthy_reasoning_patterns",IF(L305="P0","core_mvp","extended_fallacies")))))))))</x:f>
        <x:v>extended_fallacies</x:v>
      </x:c>
      <x:c r="AC305" s="12" t="str">
        <x:f>IF(ISNUMBER(SEARCH("operational",J305)),"operational",IF(ISNUMBER(SEARCH("deprecated",J305)),"deprecated",IF(L305="P0","canonical","recognized_subtype")))</x:f>
        <x:v>operational</x:v>
      </x:c>
      <x:c r="AD305" s="12" t="str">
        <x:f>IF(AC305="canonical","high",IF(AC305="recognized_subtype","medium",IF(AC305="operational","operational_only","debated")))</x:f>
        <x:v>operational_only</x:v>
      </x:c>
      <x:c r="AE305" s="12" t="str">
        <x:f>IF(AC305="deprecated","deprecated",IF(M305="yes","active",IF(M305="review","review_required","backlog")))</x:f>
        <x:v>backlog</x:v>
      </x:c>
      <x:c r="AF305" s="12" t="str">
        <x:f>IF(OR(AE305="active",AE305="review_required"),"yes","no")</x:f>
        <x:v>no</x:v>
      </x:c>
      <x:c r="AG305" s="12" t="str">
        <x:f>IF(AND(AE305="active",M305="yes",NOT(ISNUMBER(SEARCH("healthy",AB305)))),"yes","no")</x:f>
        <x:v>no</x:v>
      </x:c>
      <x:c r="AH305" s="12" t="str">
        <x:f>IF(OR(H305="contextual",H305="dialogue",H305="discourse",I305="claim+context",I305="discourse_segment"),"yes","no")</x:f>
        <x:v>yes</x:v>
      </x:c>
      <x:c r="AI305" s="12" t="str">
        <x:f>IF(OR(AH305="yes",AD305="debated",AC305="operational"),"yes","no")</x:f>
        <x:v>yes</x:v>
      </x:c>
      <x:c r="AJ305" s="12" t="str">
        <x:f>IF(OR(AH305="yes",AC305="operational",AD305="debated"),"high",IF(AND(AG305="yes",L305="P0"),"medium","low"))</x:f>
        <x:v>high</x:v>
      </x:c>
      <x:c r="AK305" s="12" t="str">
        <x:f>IF(ISNUMBER(SEARCH("healthy",AB305)),"yes","no")</x:f>
        <x:v>no</x:v>
      </x:c>
      <x:c r="AL305" s="12" t="str">
        <x:f>IF(AG305="yes","yes","candidate_only")</x:f>
        <x:v>candidate_only</x:v>
      </x:c>
      <x:c r="AM305" s="12" t="str">
        <x:f>IF(OR(AC305="canonical",AG305="yes"),"yes","recommended")</x:f>
        <x:v>recommended</x:v>
      </x:c>
      <x:c r="AN305" s="12" t="str">
        <x:f>IF(AC305="deprecated","exclude",IF(AND(AG305="yes",AJ305="high"),"import_but_human_review_required",IF(AG305="yes","import_as_active","import_as_backlog")))</x:f>
        <x:v>import_as_backlog</x:v>
      </x:c>
      <x:c r="AO305" s="12" t="str">
        <x:f>IF(AND(AG305="yes",OR(P305="",Q305="",R305="",S305="")),"missing_required_mvp_fields",IF(AND(AC305="canonical",Y305=""),"missing_source_ref","ok"))</x:f>
        <x:v>ok</x:v>
      </x:c>
      <x:c r="AP305" s="12" t="str">
        <x:f>IF(AO305="ok","ready_for_codex_import","needs_review")</x:f>
        <x:v>ready_for_codex_import</x:v>
      </x:c>
      <x:c r="AQ305" s="12"/>
      <x:c r="AR305" s="12" t="str">
        <x:v>Added v2 operational fields. Review before classification activation.</x:v>
      </x:c>
    </x:row>
    <x:row r="306">
      <x:c r="A306" s="13" t="str">
        <x:v>tail_risk_neglect_denominator_variant</x:v>
      </x:c>
      <x:c r="B306" s="13" t="str">
        <x:v>tail_risk_neglect</x:v>
      </x:c>
      <x:c r="C306" s="13" t="str">
        <x:v>Tail-risk neglect</x:v>
      </x:c>
      <x:c r="D306" s="13" t="str">
        <x:v>نادیده‌گرفتن ریسک دنباله</x:v>
      </x:c>
      <x:c r="E306" s="13" t="str">
        <x:v>Denominator variant</x:v>
      </x:c>
      <x:c r="F306" s="13" t="str">
        <x:v>probabilistic_failures</x:v>
      </x:c>
      <x:c r="G306" s="13" t="str">
        <x:v>operational_variant</x:v>
      </x:c>
      <x:c r="H306" s="13" t="str">
        <x:v>contextual</x:v>
      </x:c>
      <x:c r="I306" s="13" t="str">
        <x:v>claim+context</x:v>
      </x:c>
      <x:c r="J306" s="13" t="str">
        <x:v>derived_operational_subtype</x:v>
      </x:c>
      <x:c r="K306" s="13" t="str">
        <x:v>derived_from_established_parent_review_required</x:v>
      </x:c>
      <x:c r="L306" s="13" t="str">
        <x:v>P2</x:v>
      </x:c>
      <x:c r="M306" s="13" t="str">
        <x:v>no</x:v>
      </x:c>
      <x:c r="N306" s="13" t="str">
        <x:v>Operational subtype under Tail-risk neglect: the base, denominator, or exposure count is hidden. Parent definition: Ignoring low-probability but high-impact outcomes when relevant.</x:v>
      </x:c>
      <x:c r="O306" s="13" t="str">
        <x:v>Look for: explicit claim-level evidence; parent-family cues for Tail-risk neglect; variant cue: the base, denominator, or exposure count is hidden; avoid author-level inference.</x:v>
      </x:c>
      <x:c r="P306" s="13" t="str">
        <x:v>Exact evidence span in text plus claim-level reasoning link; for contextual/discourse entries, require surrounding context.</x:v>
      </x:c>
      <x:c r="Q306" s="13" t="str">
        <x:v>Do not label merely because topic is controversial, emotional, or wrong. Do not judge intent or personality. Require textual evidence and consider healthy-reasoning cues.</x:v>
      </x:c>
      <x:c r="R306" s="13" t="str">
        <x:v>Stub: A claim relies on the base, denominator, or exposure count is hidden to support a conclusion without adequate qualification.</x:v>
      </x:c>
      <x:c r="S306" s="13" t="str">
        <x:v>Stub: A claim discusses tail-risk neglect with caveats, balanced evidence, or no argumentative use of the pattern.</x:v>
      </x:c>
      <x:c r="T306" s="13" t="str">
        <x:v>Mild or ambiguous cue; do not classify without clear evidence span.</x:v>
      </x:c>
      <x:c r="U306" s="13" t="str">
        <x:v>Clear claim-level pattern with some argumentative impact.</x:v>
      </x:c>
      <x:c r="V306" s="13" t="str">
        <x:v>Strong pattern central to the conclusion and likely to materially distort reasoning.</x:v>
      </x:c>
      <x:c r="W306" s="13" t="str"/>
      <x:c r="X306" s="13" t="str">
        <x:v>kahneman_tversky_prospect_1979</x:v>
      </x:c>
      <x:c r="Y306" s="13" t="str">
        <x:v>https://doi.org/10.2307/1914185</x:v>
      </x:c>
      <x:c r="Z306" s="13" t="str">
        <x:v>Review before enabling. This workbook is a living taxonomy scaffold, not a validated scientific benchmark.</x:v>
      </x:c>
      <x:c r="AA306" s="13" t="str">
        <x:v>0.1.0-draft</x:v>
      </x:c>
      <x:c r="AB306" s="12" t="str">
        <x:f>IF(ISNUMBER(SEARCH("healthy",F306)),"healthy_reasoning_patterns",IF(ISNUMBER(SEARCH("statistical",F306)),"statistical_reasoning",IF(ISNUMBER(SEARCH("causal",F306)),"causal_reasoning",IF(ISNUMBER(SEARCH("social",F306)),"social_influence",IF(ISNUMBER(SEARCH("rhetoric",F306)),"rhetoric_discourse",IF(ISNUMBER(SEARCH("behavior",F306)),"behavioural_economics",IF(ISNUMBER(SEARCH("cognitive",F306)),"cognitive_biases",IF(J306="protective_pattern","healthy_reasoning_patterns",IF(L306="P0","core_mvp","extended_fallacies")))))))))</x:f>
        <x:v>extended_fallacies</x:v>
      </x:c>
      <x:c r="AC306" s="12" t="str">
        <x:f>IF(ISNUMBER(SEARCH("operational",J306)),"operational",IF(ISNUMBER(SEARCH("deprecated",J306)),"deprecated",IF(L306="P0","canonical","recognized_subtype")))</x:f>
        <x:v>operational</x:v>
      </x:c>
      <x:c r="AD306" s="12" t="str">
        <x:f>IF(AC306="canonical","high",IF(AC306="recognized_subtype","medium",IF(AC306="operational","operational_only","debated")))</x:f>
        <x:v>operational_only</x:v>
      </x:c>
      <x:c r="AE306" s="12" t="str">
        <x:f>IF(AC306="deprecated","deprecated",IF(M306="yes","active",IF(M306="review","review_required","backlog")))</x:f>
        <x:v>backlog</x:v>
      </x:c>
      <x:c r="AF306" s="12" t="str">
        <x:f>IF(OR(AE306="active",AE306="review_required"),"yes","no")</x:f>
        <x:v>no</x:v>
      </x:c>
      <x:c r="AG306" s="12" t="str">
        <x:f>IF(AND(AE306="active",M306="yes",NOT(ISNUMBER(SEARCH("healthy",AB306)))),"yes","no")</x:f>
        <x:v>no</x:v>
      </x:c>
      <x:c r="AH306" s="12" t="str">
        <x:f>IF(OR(H306="contextual",H306="dialogue",H306="discourse",I306="claim+context",I306="discourse_segment"),"yes","no")</x:f>
        <x:v>yes</x:v>
      </x:c>
      <x:c r="AI306" s="12" t="str">
        <x:f>IF(OR(AH306="yes",AD306="debated",AC306="operational"),"yes","no")</x:f>
        <x:v>yes</x:v>
      </x:c>
      <x:c r="AJ306" s="12" t="str">
        <x:f>IF(OR(AH306="yes",AC306="operational",AD306="debated"),"high",IF(AND(AG306="yes",L306="P0"),"medium","low"))</x:f>
        <x:v>high</x:v>
      </x:c>
      <x:c r="AK306" s="12" t="str">
        <x:f>IF(ISNUMBER(SEARCH("healthy",AB306)),"yes","no")</x:f>
        <x:v>no</x:v>
      </x:c>
      <x:c r="AL306" s="12" t="str">
        <x:f>IF(AG306="yes","yes","candidate_only")</x:f>
        <x:v>candidate_only</x:v>
      </x:c>
      <x:c r="AM306" s="12" t="str">
        <x:f>IF(OR(AC306="canonical",AG306="yes"),"yes","recommended")</x:f>
        <x:v>recommended</x:v>
      </x:c>
      <x:c r="AN306" s="12" t="str">
        <x:f>IF(AC306="deprecated","exclude",IF(AND(AG306="yes",AJ306="high"),"import_but_human_review_required",IF(AG306="yes","import_as_active","import_as_backlog")))</x:f>
        <x:v>import_as_backlog</x:v>
      </x:c>
      <x:c r="AO306" s="12" t="str">
        <x:f>IF(AND(AG306="yes",OR(P306="",Q306="",R306="",S306="")),"missing_required_mvp_fields",IF(AND(AC306="canonical",Y306=""),"missing_source_ref","ok"))</x:f>
        <x:v>ok</x:v>
      </x:c>
      <x:c r="AP306" s="12" t="str">
        <x:f>IF(AO306="ok","ready_for_codex_import","needs_review")</x:f>
        <x:v>ready_for_codex_import</x:v>
      </x:c>
      <x:c r="AQ306" s="12"/>
      <x:c r="AR306" s="12" t="str">
        <x:v>Added v2 operational fields. Review before classification activation.</x:v>
      </x:c>
    </x:row>
    <x:row r="307">
      <x:c r="A307" s="13" t="str">
        <x:v>rare_event_overweighting_denominator_variant</x:v>
      </x:c>
      <x:c r="B307" s="13" t="str">
        <x:v>rare_event_overweighting</x:v>
      </x:c>
      <x:c r="C307" s="13" t="str">
        <x:v>Rare-event overweighting</x:v>
      </x:c>
      <x:c r="D307" s="13" t="str">
        <x:v>بزرگ‌نمایی رخداد نادر</x:v>
      </x:c>
      <x:c r="E307" s="13" t="str">
        <x:v>Denominator variant</x:v>
      </x:c>
      <x:c r="F307" s="13" t="str">
        <x:v>probabilistic_failures</x:v>
      </x:c>
      <x:c r="G307" s="13" t="str">
        <x:v>operational_variant</x:v>
      </x:c>
      <x:c r="H307" s="13" t="str">
        <x:v>contextual</x:v>
      </x:c>
      <x:c r="I307" s="13" t="str">
        <x:v>claim+context</x:v>
      </x:c>
      <x:c r="J307" s="13" t="str">
        <x:v>derived_operational_subtype</x:v>
      </x:c>
      <x:c r="K307" s="13" t="str">
        <x:v>derived_from_established_parent_review_required</x:v>
      </x:c>
      <x:c r="L307" s="13" t="str">
        <x:v>P2</x:v>
      </x:c>
      <x:c r="M307" s="13" t="str">
        <x:v>no</x:v>
      </x:c>
      <x:c r="N307" s="13" t="str">
        <x:v>Operational subtype under Rare-event overweighting: the base, denominator, or exposure count is hidden. Parent definition: Overweighting rare events due to salience or vividness.</x:v>
      </x:c>
      <x:c r="O307" s="13" t="str">
        <x:v>Look for: explicit claim-level evidence; parent-family cues for Rare-event overweighting; variant cue: the base, denominator, or exposure count is hidden; avoid author-level inference.</x:v>
      </x:c>
      <x:c r="P307" s="13" t="str">
        <x:v>Exact evidence span in text plus claim-level reasoning link; for contextual/discourse entries, require surrounding context.</x:v>
      </x:c>
      <x:c r="Q307" s="13" t="str">
        <x:v>Do not label merely because topic is controversial, emotional, or wrong. Do not judge intent or personality. Require textual evidence and consider healthy-reasoning cues.</x:v>
      </x:c>
      <x:c r="R307" s="13" t="str">
        <x:v>Stub: A claim relies on the base, denominator, or exposure count is hidden to support a conclusion without adequate qualification.</x:v>
      </x:c>
      <x:c r="S307" s="13" t="str">
        <x:v>Stub: A claim discusses rare-event overweighting with caveats, balanced evidence, or no argumentative use of the pattern.</x:v>
      </x:c>
      <x:c r="T307" s="13" t="str">
        <x:v>Mild or ambiguous cue; do not classify without clear evidence span.</x:v>
      </x:c>
      <x:c r="U307" s="13" t="str">
        <x:v>Clear claim-level pattern with some argumentative impact.</x:v>
      </x:c>
      <x:c r="V307" s="13" t="str">
        <x:v>Strong pattern central to the conclusion and likely to materially distort reasoning.</x:v>
      </x:c>
      <x:c r="W307" s="13" t="str"/>
      <x:c r="X307" s="13" t="str">
        <x:v>kahneman_tversky_prospect_1979</x:v>
      </x:c>
      <x:c r="Y307" s="13" t="str">
        <x:v>https://doi.org/10.2307/1914185</x:v>
      </x:c>
      <x:c r="Z307" s="13" t="str">
        <x:v>Review before enabling. This workbook is a living taxonomy scaffold, not a validated scientific benchmark.</x:v>
      </x:c>
      <x:c r="AA307" s="13" t="str">
        <x:v>0.1.0-draft</x:v>
      </x:c>
      <x:c r="AB307" s="12" t="str">
        <x:f>IF(ISNUMBER(SEARCH("healthy",F307)),"healthy_reasoning_patterns",IF(ISNUMBER(SEARCH("statistical",F307)),"statistical_reasoning",IF(ISNUMBER(SEARCH("causal",F307)),"causal_reasoning",IF(ISNUMBER(SEARCH("social",F307)),"social_influence",IF(ISNUMBER(SEARCH("rhetoric",F307)),"rhetoric_discourse",IF(ISNUMBER(SEARCH("behavior",F307)),"behavioural_economics",IF(ISNUMBER(SEARCH("cognitive",F307)),"cognitive_biases",IF(J307="protective_pattern","healthy_reasoning_patterns",IF(L307="P0","core_mvp","extended_fallacies")))))))))</x:f>
        <x:v>extended_fallacies</x:v>
      </x:c>
      <x:c r="AC307" s="12" t="str">
        <x:f>IF(ISNUMBER(SEARCH("operational",J307)),"operational",IF(ISNUMBER(SEARCH("deprecated",J307)),"deprecated",IF(L307="P0","canonical","recognized_subtype")))</x:f>
        <x:v>operational</x:v>
      </x:c>
      <x:c r="AD307" s="12" t="str">
        <x:f>IF(AC307="canonical","high",IF(AC307="recognized_subtype","medium",IF(AC307="operational","operational_only","debated")))</x:f>
        <x:v>operational_only</x:v>
      </x:c>
      <x:c r="AE307" s="12" t="str">
        <x:f>IF(AC307="deprecated","deprecated",IF(M307="yes","active",IF(M307="review","review_required","backlog")))</x:f>
        <x:v>backlog</x:v>
      </x:c>
      <x:c r="AF307" s="12" t="str">
        <x:f>IF(OR(AE307="active",AE307="review_required"),"yes","no")</x:f>
        <x:v>no</x:v>
      </x:c>
      <x:c r="AG307" s="12" t="str">
        <x:f>IF(AND(AE307="active",M307="yes",NOT(ISNUMBER(SEARCH("healthy",AB307)))),"yes","no")</x:f>
        <x:v>no</x:v>
      </x:c>
      <x:c r="AH307" s="12" t="str">
        <x:f>IF(OR(H307="contextual",H307="dialogue",H307="discourse",I307="claim+context",I307="discourse_segment"),"yes","no")</x:f>
        <x:v>yes</x:v>
      </x:c>
      <x:c r="AI307" s="12" t="str">
        <x:f>IF(OR(AH307="yes",AD307="debated",AC307="operational"),"yes","no")</x:f>
        <x:v>yes</x:v>
      </x:c>
      <x:c r="AJ307" s="12" t="str">
        <x:f>IF(OR(AH307="yes",AC307="operational",AD307="debated"),"high",IF(AND(AG307="yes",L307="P0"),"medium","low"))</x:f>
        <x:v>high</x:v>
      </x:c>
      <x:c r="AK307" s="12" t="str">
        <x:f>IF(ISNUMBER(SEARCH("healthy",AB307)),"yes","no")</x:f>
        <x:v>no</x:v>
      </x:c>
      <x:c r="AL307" s="12" t="str">
        <x:f>IF(AG307="yes","yes","candidate_only")</x:f>
        <x:v>candidate_only</x:v>
      </x:c>
      <x:c r="AM307" s="12" t="str">
        <x:f>IF(OR(AC307="canonical",AG307="yes"),"yes","recommended")</x:f>
        <x:v>recommended</x:v>
      </x:c>
      <x:c r="AN307" s="12" t="str">
        <x:f>IF(AC307="deprecated","exclude",IF(AND(AG307="yes",AJ307="high"),"import_but_human_review_required",IF(AG307="yes","import_as_active","import_as_backlog")))</x:f>
        <x:v>import_as_backlog</x:v>
      </x:c>
      <x:c r="AO307" s="12" t="str">
        <x:f>IF(AND(AG307="yes",OR(P307="",Q307="",R307="",S307="")),"missing_required_mvp_fields",IF(AND(AC307="canonical",Y307=""),"missing_source_ref","ok"))</x:f>
        <x:v>ok</x:v>
      </x:c>
      <x:c r="AP307" s="12" t="str">
        <x:f>IF(AO307="ok","ready_for_codex_import","needs_review")</x:f>
        <x:v>ready_for_codex_import</x:v>
      </x:c>
      <x:c r="AQ307" s="12"/>
      <x:c r="AR307" s="12" t="str">
        <x:v>Added v2 operational fields. Review before classification activation.</x:v>
      </x:c>
    </x:row>
    <x:row r="308">
      <x:c r="A308" s="13" t="str">
        <x:v>normalcy_bias_probability_denominator_variant</x:v>
      </x:c>
      <x:c r="B308" s="13" t="str">
        <x:v>normalcy_bias_probability</x:v>
      </x:c>
      <x:c r="C308" s="13" t="str">
        <x:v>Normalcy bias in risk</x:v>
      </x:c>
      <x:c r="D308" s="13" t="str">
        <x:v>سوگیری عادی‌انگاری ریسک</x:v>
      </x:c>
      <x:c r="E308" s="13" t="str">
        <x:v>Denominator variant</x:v>
      </x:c>
      <x:c r="F308" s="13" t="str">
        <x:v>probabilistic_failures</x:v>
      </x:c>
      <x:c r="G308" s="13" t="str">
        <x:v>operational_variant</x:v>
      </x:c>
      <x:c r="H308" s="13" t="str">
        <x:v>contextual</x:v>
      </x:c>
      <x:c r="I308" s="13" t="str">
        <x:v>claim+context</x:v>
      </x:c>
      <x:c r="J308" s="13" t="str">
        <x:v>derived_operational_subtype</x:v>
      </x:c>
      <x:c r="K308" s="13" t="str">
        <x:v>derived_from_established_parent_review_required</x:v>
      </x:c>
      <x:c r="L308" s="13" t="str">
        <x:v>P2</x:v>
      </x:c>
      <x:c r="M308" s="13" t="str">
        <x:v>no</x:v>
      </x:c>
      <x:c r="N308" s="13" t="str">
        <x:v>Operational subtype under Normalcy bias in risk: the base, denominator, or exposure count is hidden. Parent definition: Assuming adverse outcomes are unlikely because they have not recently occurred.</x:v>
      </x:c>
      <x:c r="O308" s="13" t="str">
        <x:v>Look for: explicit claim-level evidence; parent-family cues for Normalcy bias in risk; variant cue: the base, denominator, or exposure count is hidden; avoid author-level inference.</x:v>
      </x:c>
      <x:c r="P308" s="13" t="str">
        <x:v>Exact evidence span in text plus claim-level reasoning link; for contextual/discourse entries, require surrounding context.</x:v>
      </x:c>
      <x:c r="Q308" s="13" t="str">
        <x:v>Do not label merely because topic is controversial, emotional, or wrong. Do not judge intent or personality. Require textual evidence and consider healthy-reasoning cues.</x:v>
      </x:c>
      <x:c r="R308" s="13" t="str">
        <x:v>Stub: A claim relies on the base, denominator, or exposure count is hidden to support a conclusion without adequate qualification.</x:v>
      </x:c>
      <x:c r="S308" s="13" t="str">
        <x:v>Stub: A claim discusses normalcy bias in risk with caveats, balanced evidence, or no argumentative use of the pattern.</x:v>
      </x:c>
      <x:c r="T308" s="13" t="str">
        <x:v>Mild or ambiguous cue; do not classify without clear evidence span.</x:v>
      </x:c>
      <x:c r="U308" s="13" t="str">
        <x:v>Clear claim-level pattern with some argumentative impact.</x:v>
      </x:c>
      <x:c r="V308" s="13" t="str">
        <x:v>Strong pattern central to the conclusion and likely to materially distort reasoning.</x:v>
      </x:c>
      <x:c r="W308" s="13" t="str"/>
      <x:c r="X308" s="13" t="str">
        <x:v>stanovich_dual_process</x:v>
      </x:c>
      <x:c r="Y308" s="13" t="str">
        <x:v>https://global.oup.com/academic/product/rationality-and-the-reflective-mind-9780195341140</x:v>
      </x:c>
      <x:c r="Z308" s="13" t="str">
        <x:v>Review before enabling. This workbook is a living taxonomy scaffold, not a validated scientific benchmark.</x:v>
      </x:c>
      <x:c r="AA308" s="13" t="str">
        <x:v>0.1.0-draft</x:v>
      </x:c>
      <x:c r="AB308" s="12" t="str">
        <x:f>IF(ISNUMBER(SEARCH("healthy",F308)),"healthy_reasoning_patterns",IF(ISNUMBER(SEARCH("statistical",F308)),"statistical_reasoning",IF(ISNUMBER(SEARCH("causal",F308)),"causal_reasoning",IF(ISNUMBER(SEARCH("social",F308)),"social_influence",IF(ISNUMBER(SEARCH("rhetoric",F308)),"rhetoric_discourse",IF(ISNUMBER(SEARCH("behavior",F308)),"behavioural_economics",IF(ISNUMBER(SEARCH("cognitive",F308)),"cognitive_biases",IF(J308="protective_pattern","healthy_reasoning_patterns",IF(L308="P0","core_mvp","extended_fallacies")))))))))</x:f>
        <x:v>extended_fallacies</x:v>
      </x:c>
      <x:c r="AC308" s="12" t="str">
        <x:f>IF(ISNUMBER(SEARCH("operational",J308)),"operational",IF(ISNUMBER(SEARCH("deprecated",J308)),"deprecated",IF(L308="P0","canonical","recognized_subtype")))</x:f>
        <x:v>operational</x:v>
      </x:c>
      <x:c r="AD308" s="12" t="str">
        <x:f>IF(AC308="canonical","high",IF(AC308="recognized_subtype","medium",IF(AC308="operational","operational_only","debated")))</x:f>
        <x:v>operational_only</x:v>
      </x:c>
      <x:c r="AE308" s="12" t="str">
        <x:f>IF(AC308="deprecated","deprecated",IF(M308="yes","active",IF(M308="review","review_required","backlog")))</x:f>
        <x:v>backlog</x:v>
      </x:c>
      <x:c r="AF308" s="12" t="str">
        <x:f>IF(OR(AE308="active",AE308="review_required"),"yes","no")</x:f>
        <x:v>no</x:v>
      </x:c>
      <x:c r="AG308" s="12" t="str">
        <x:f>IF(AND(AE308="active",M308="yes",NOT(ISNUMBER(SEARCH("healthy",AB308)))),"yes","no")</x:f>
        <x:v>no</x:v>
      </x:c>
      <x:c r="AH308" s="12" t="str">
        <x:f>IF(OR(H308="contextual",H308="dialogue",H308="discourse",I308="claim+context",I308="discourse_segment"),"yes","no")</x:f>
        <x:v>yes</x:v>
      </x:c>
      <x:c r="AI308" s="12" t="str">
        <x:f>IF(OR(AH308="yes",AD308="debated",AC308="operational"),"yes","no")</x:f>
        <x:v>yes</x:v>
      </x:c>
      <x:c r="AJ308" s="12" t="str">
        <x:f>IF(OR(AH308="yes",AC308="operational",AD308="debated"),"high",IF(AND(AG308="yes",L308="P0"),"medium","low"))</x:f>
        <x:v>high</x:v>
      </x:c>
      <x:c r="AK308" s="12" t="str">
        <x:f>IF(ISNUMBER(SEARCH("healthy",AB308)),"yes","no")</x:f>
        <x:v>no</x:v>
      </x:c>
      <x:c r="AL308" s="12" t="str">
        <x:f>IF(AG308="yes","yes","candidate_only")</x:f>
        <x:v>candidate_only</x:v>
      </x:c>
      <x:c r="AM308" s="12" t="str">
        <x:f>IF(OR(AC308="canonical",AG308="yes"),"yes","recommended")</x:f>
        <x:v>recommended</x:v>
      </x:c>
      <x:c r="AN308" s="12" t="str">
        <x:f>IF(AC308="deprecated","exclude",IF(AND(AG308="yes",AJ308="high"),"import_but_human_review_required",IF(AG308="yes","import_as_active","import_as_backlog")))</x:f>
        <x:v>import_as_backlog</x:v>
      </x:c>
      <x:c r="AO308" s="12" t="str">
        <x:f>IF(AND(AG308="yes",OR(P308="",Q308="",R308="",S308="")),"missing_required_mvp_fields",IF(AND(AC308="canonical",Y308=""),"missing_source_ref","ok"))</x:f>
        <x:v>ok</x:v>
      </x:c>
      <x:c r="AP308" s="12" t="str">
        <x:f>IF(AO308="ok","ready_for_codex_import","needs_review")</x:f>
        <x:v>ready_for_codex_import</x:v>
      </x:c>
      <x:c r="AQ308" s="12"/>
      <x:c r="AR308" s="12" t="str">
        <x:v>Added v2 operational fields. Review before classification activation.</x:v>
      </x:c>
    </x:row>
    <x:row r="309">
      <x:c r="A309" s="13" t="str">
        <x:v>certainty_effect_denominator_variant</x:v>
      </x:c>
      <x:c r="B309" s="13" t="str">
        <x:v>certainty_effect</x:v>
      </x:c>
      <x:c r="C309" s="13" t="str">
        <x:v>Certainty effect</x:v>
      </x:c>
      <x:c r="D309" s="13" t="str">
        <x:v>اثر قطعیت</x:v>
      </x:c>
      <x:c r="E309" s="13" t="str">
        <x:v>Denominator variant</x:v>
      </x:c>
      <x:c r="F309" s="13" t="str">
        <x:v>probabilistic_failures</x:v>
      </x:c>
      <x:c r="G309" s="13" t="str">
        <x:v>operational_variant</x:v>
      </x:c>
      <x:c r="H309" s="13" t="str">
        <x:v>contextual</x:v>
      </x:c>
      <x:c r="I309" s="13" t="str">
        <x:v>claim+context</x:v>
      </x:c>
      <x:c r="J309" s="13" t="str">
        <x:v>derived_operational_subtype</x:v>
      </x:c>
      <x:c r="K309" s="13" t="str">
        <x:v>derived_from_established_parent_review_required</x:v>
      </x:c>
      <x:c r="L309" s="13" t="str">
        <x:v>P2</x:v>
      </x:c>
      <x:c r="M309" s="13" t="str">
        <x:v>no</x:v>
      </x:c>
      <x:c r="N309" s="13" t="str">
        <x:v>Operational subtype under Certainty effect: the base, denominator, or exposure count is hidden. Parent definition: Overvaluing certain outcomes relative to merely probable outcomes.</x:v>
      </x:c>
      <x:c r="O309" s="13" t="str">
        <x:v>Look for: explicit claim-level evidence; parent-family cues for Certainty effect; variant cue: the base, denominator, or exposure count is hidden; avoid author-level inference.</x:v>
      </x:c>
      <x:c r="P309" s="13" t="str">
        <x:v>Exact evidence span in text plus claim-level reasoning link; for contextual/discourse entries, require surrounding context.</x:v>
      </x:c>
      <x:c r="Q309" s="13" t="str">
        <x:v>Do not label merely because topic is controversial, emotional, or wrong. Do not judge intent or personality. Require textual evidence and consider healthy-reasoning cues.</x:v>
      </x:c>
      <x:c r="R309" s="13" t="str">
        <x:v>Stub: A claim relies on the base, denominator, or exposure count is hidden to support a conclusion without adequate qualification.</x:v>
      </x:c>
      <x:c r="S309" s="13" t="str">
        <x:v>Stub: A claim discusses certainty effect with caveats, balanced evidence, or no argumentative use of the pattern.</x:v>
      </x:c>
      <x:c r="T309" s="13" t="str">
        <x:v>Mild or ambiguous cue; do not classify without clear evidence span.</x:v>
      </x:c>
      <x:c r="U309" s="13" t="str">
        <x:v>Clear claim-level pattern with some argumentative impact.</x:v>
      </x:c>
      <x:c r="V309" s="13" t="str">
        <x:v>Strong pattern central to the conclusion and likely to materially distort reasoning.</x:v>
      </x:c>
      <x:c r="W309" s="13" t="str"/>
      <x:c r="X309" s="13" t="str">
        <x:v>kahneman_tversky_prospect_1979</x:v>
      </x:c>
      <x:c r="Y309" s="13" t="str">
        <x:v>https://doi.org/10.2307/1914185</x:v>
      </x:c>
      <x:c r="Z309" s="13" t="str">
        <x:v>Review before enabling. This workbook is a living taxonomy scaffold, not a validated scientific benchmark.</x:v>
      </x:c>
      <x:c r="AA309" s="13" t="str">
        <x:v>0.1.0-draft</x:v>
      </x:c>
      <x:c r="AB309" s="12" t="str">
        <x:f>IF(ISNUMBER(SEARCH("healthy",F309)),"healthy_reasoning_patterns",IF(ISNUMBER(SEARCH("statistical",F309)),"statistical_reasoning",IF(ISNUMBER(SEARCH("causal",F309)),"causal_reasoning",IF(ISNUMBER(SEARCH("social",F309)),"social_influence",IF(ISNUMBER(SEARCH("rhetoric",F309)),"rhetoric_discourse",IF(ISNUMBER(SEARCH("behavior",F309)),"behavioural_economics",IF(ISNUMBER(SEARCH("cognitive",F309)),"cognitive_biases",IF(J309="protective_pattern","healthy_reasoning_patterns",IF(L309="P0","core_mvp","extended_fallacies")))))))))</x:f>
        <x:v>extended_fallacies</x:v>
      </x:c>
      <x:c r="AC309" s="12" t="str">
        <x:f>IF(ISNUMBER(SEARCH("operational",J309)),"operational",IF(ISNUMBER(SEARCH("deprecated",J309)),"deprecated",IF(L309="P0","canonical","recognized_subtype")))</x:f>
        <x:v>operational</x:v>
      </x:c>
      <x:c r="AD309" s="12" t="str">
        <x:f>IF(AC309="canonical","high",IF(AC309="recognized_subtype","medium",IF(AC309="operational","operational_only","debated")))</x:f>
        <x:v>operational_only</x:v>
      </x:c>
      <x:c r="AE309" s="12" t="str">
        <x:f>IF(AC309="deprecated","deprecated",IF(M309="yes","active",IF(M309="review","review_required","backlog")))</x:f>
        <x:v>backlog</x:v>
      </x:c>
      <x:c r="AF309" s="12" t="str">
        <x:f>IF(OR(AE309="active",AE309="review_required"),"yes","no")</x:f>
        <x:v>no</x:v>
      </x:c>
      <x:c r="AG309" s="12" t="str">
        <x:f>IF(AND(AE309="active",M309="yes",NOT(ISNUMBER(SEARCH("healthy",AB309)))),"yes","no")</x:f>
        <x:v>no</x:v>
      </x:c>
      <x:c r="AH309" s="12" t="str">
        <x:f>IF(OR(H309="contextual",H309="dialogue",H309="discourse",I309="claim+context",I309="discourse_segment"),"yes","no")</x:f>
        <x:v>yes</x:v>
      </x:c>
      <x:c r="AI309" s="12" t="str">
        <x:f>IF(OR(AH309="yes",AD309="debated",AC309="operational"),"yes","no")</x:f>
        <x:v>yes</x:v>
      </x:c>
      <x:c r="AJ309" s="12" t="str">
        <x:f>IF(OR(AH309="yes",AC309="operational",AD309="debated"),"high",IF(AND(AG309="yes",L309="P0"),"medium","low"))</x:f>
        <x:v>high</x:v>
      </x:c>
      <x:c r="AK309" s="12" t="str">
        <x:f>IF(ISNUMBER(SEARCH("healthy",AB309)),"yes","no")</x:f>
        <x:v>no</x:v>
      </x:c>
      <x:c r="AL309" s="12" t="str">
        <x:f>IF(AG309="yes","yes","candidate_only")</x:f>
        <x:v>candidate_only</x:v>
      </x:c>
      <x:c r="AM309" s="12" t="str">
        <x:f>IF(OR(AC309="canonical",AG309="yes"),"yes","recommended")</x:f>
        <x:v>recommended</x:v>
      </x:c>
      <x:c r="AN309" s="12" t="str">
        <x:f>IF(AC309="deprecated","exclude",IF(AND(AG309="yes",AJ309="high"),"import_but_human_review_required",IF(AG309="yes","import_as_active","import_as_backlog")))</x:f>
        <x:v>import_as_backlog</x:v>
      </x:c>
      <x:c r="AO309" s="12" t="str">
        <x:f>IF(AND(AG309="yes",OR(P309="",Q309="",R309="",S309="")),"missing_required_mvp_fields",IF(AND(AC309="canonical",Y309=""),"missing_source_ref","ok"))</x:f>
        <x:v>ok</x:v>
      </x:c>
      <x:c r="AP309" s="12" t="str">
        <x:f>IF(AO309="ok","ready_for_codex_import","needs_review")</x:f>
        <x:v>ready_for_codex_import</x:v>
      </x:c>
      <x:c r="AQ309" s="12"/>
      <x:c r="AR309" s="12" t="str">
        <x:v>Added v2 operational fields. Review before classification activation.</x:v>
      </x:c>
    </x:row>
    <x:row r="310">
      <x:c r="A310" s="13" t="str">
        <x:v>pseudocertainty_effect_denominator_variant</x:v>
      </x:c>
      <x:c r="B310" s="13" t="str">
        <x:v>pseudocertainty_effect</x:v>
      </x:c>
      <x:c r="C310" s="13" t="str">
        <x:v>Pseudocertainty effect</x:v>
      </x:c>
      <x:c r="D310" s="13" t="str">
        <x:v>اثر شبه‌قطعیت</x:v>
      </x:c>
      <x:c r="E310" s="13" t="str">
        <x:v>Denominator variant</x:v>
      </x:c>
      <x:c r="F310" s="13" t="str">
        <x:v>probabilistic_failures</x:v>
      </x:c>
      <x:c r="G310" s="13" t="str">
        <x:v>operational_variant</x:v>
      </x:c>
      <x:c r="H310" s="13" t="str">
        <x:v>contextual</x:v>
      </x:c>
      <x:c r="I310" s="13" t="str">
        <x:v>claim+context</x:v>
      </x:c>
      <x:c r="J310" s="13" t="str">
        <x:v>derived_operational_subtype</x:v>
      </x:c>
      <x:c r="K310" s="13" t="str">
        <x:v>derived_from_established_parent_review_required</x:v>
      </x:c>
      <x:c r="L310" s="13" t="str">
        <x:v>P2</x:v>
      </x:c>
      <x:c r="M310" s="13" t="str">
        <x:v>no</x:v>
      </x:c>
      <x:c r="N310" s="13" t="str">
        <x:v>Operational subtype under Pseudocertainty effect: the base, denominator, or exposure count is hidden. Parent definition: Treating an uncertain multi-stage outcome as certain at a later stage.</x:v>
      </x:c>
      <x:c r="O310" s="13" t="str">
        <x:v>Look for: explicit claim-level evidence; parent-family cues for Pseudocertainty effect; variant cue: the base, denominator, or exposure count is hidden; avoid author-level inference.</x:v>
      </x:c>
      <x:c r="P310" s="13" t="str">
        <x:v>Exact evidence span in text plus claim-level reasoning link; for contextual/discourse entries, require surrounding context.</x:v>
      </x:c>
      <x:c r="Q310" s="13" t="str">
        <x:v>Do not label merely because topic is controversial, emotional, or wrong. Do not judge intent or personality. Require textual evidence and consider healthy-reasoning cues.</x:v>
      </x:c>
      <x:c r="R310" s="13" t="str">
        <x:v>Stub: A claim relies on the base, denominator, or exposure count is hidden to support a conclusion without adequate qualification.</x:v>
      </x:c>
      <x:c r="S310" s="13" t="str">
        <x:v>Stub: A claim discusses pseudocertainty effect with caveats, balanced evidence, or no argumentative use of the pattern.</x:v>
      </x:c>
      <x:c r="T310" s="13" t="str">
        <x:v>Mild or ambiguous cue; do not classify without clear evidence span.</x:v>
      </x:c>
      <x:c r="U310" s="13" t="str">
        <x:v>Clear claim-level pattern with some argumentative impact.</x:v>
      </x:c>
      <x:c r="V310" s="13" t="str">
        <x:v>Strong pattern central to the conclusion and likely to materially distort reasoning.</x:v>
      </x:c>
      <x:c r="W310" s="13" t="str"/>
      <x:c r="X310" s="13" t="str">
        <x:v>tversky_kahneman_framing_1981</x:v>
      </x:c>
      <x:c r="Y310" s="13" t="str">
        <x:v>https://doi.org/10.1126/science.7455683</x:v>
      </x:c>
      <x:c r="Z310" s="13" t="str">
        <x:v>Review before enabling. This workbook is a living taxonomy scaffold, not a validated scientific benchmark.</x:v>
      </x:c>
      <x:c r="AA310" s="13" t="str">
        <x:v>0.1.0-draft</x:v>
      </x:c>
      <x:c r="AB310" s="12" t="str">
        <x:f>IF(ISNUMBER(SEARCH("healthy",F310)),"healthy_reasoning_patterns",IF(ISNUMBER(SEARCH("statistical",F310)),"statistical_reasoning",IF(ISNUMBER(SEARCH("causal",F310)),"causal_reasoning",IF(ISNUMBER(SEARCH("social",F310)),"social_influence",IF(ISNUMBER(SEARCH("rhetoric",F310)),"rhetoric_discourse",IF(ISNUMBER(SEARCH("behavior",F310)),"behavioural_economics",IF(ISNUMBER(SEARCH("cognitive",F310)),"cognitive_biases",IF(J310="protective_pattern","healthy_reasoning_patterns",IF(L310="P0","core_mvp","extended_fallacies")))))))))</x:f>
        <x:v>extended_fallacies</x:v>
      </x:c>
      <x:c r="AC310" s="12" t="str">
        <x:f>IF(ISNUMBER(SEARCH("operational",J310)),"operational",IF(ISNUMBER(SEARCH("deprecated",J310)),"deprecated",IF(L310="P0","canonical","recognized_subtype")))</x:f>
        <x:v>operational</x:v>
      </x:c>
      <x:c r="AD310" s="12" t="str">
        <x:f>IF(AC310="canonical","high",IF(AC310="recognized_subtype","medium",IF(AC310="operational","operational_only","debated")))</x:f>
        <x:v>operational_only</x:v>
      </x:c>
      <x:c r="AE310" s="12" t="str">
        <x:f>IF(AC310="deprecated","deprecated",IF(M310="yes","active",IF(M310="review","review_required","backlog")))</x:f>
        <x:v>backlog</x:v>
      </x:c>
      <x:c r="AF310" s="12" t="str">
        <x:f>IF(OR(AE310="active",AE310="review_required"),"yes","no")</x:f>
        <x:v>no</x:v>
      </x:c>
      <x:c r="AG310" s="12" t="str">
        <x:f>IF(AND(AE310="active",M310="yes",NOT(ISNUMBER(SEARCH("healthy",AB310)))),"yes","no")</x:f>
        <x:v>no</x:v>
      </x:c>
      <x:c r="AH310" s="12" t="str">
        <x:f>IF(OR(H310="contextual",H310="dialogue",H310="discourse",I310="claim+context",I310="discourse_segment"),"yes","no")</x:f>
        <x:v>yes</x:v>
      </x:c>
      <x:c r="AI310" s="12" t="str">
        <x:f>IF(OR(AH310="yes",AD310="debated",AC310="operational"),"yes","no")</x:f>
        <x:v>yes</x:v>
      </x:c>
      <x:c r="AJ310" s="12" t="str">
        <x:f>IF(OR(AH310="yes",AC310="operational",AD310="debated"),"high",IF(AND(AG310="yes",L310="P0"),"medium","low"))</x:f>
        <x:v>high</x:v>
      </x:c>
      <x:c r="AK310" s="12" t="str">
        <x:f>IF(ISNUMBER(SEARCH("healthy",AB310)),"yes","no")</x:f>
        <x:v>no</x:v>
      </x:c>
      <x:c r="AL310" s="12" t="str">
        <x:f>IF(AG310="yes","yes","candidate_only")</x:f>
        <x:v>candidate_only</x:v>
      </x:c>
      <x:c r="AM310" s="12" t="str">
        <x:f>IF(OR(AC310="canonical",AG310="yes"),"yes","recommended")</x:f>
        <x:v>recommended</x:v>
      </x:c>
      <x:c r="AN310" s="12" t="str">
        <x:f>IF(AC310="deprecated","exclude",IF(AND(AG310="yes",AJ310="high"),"import_but_human_review_required",IF(AG310="yes","import_as_active","import_as_backlog")))</x:f>
        <x:v>import_as_backlog</x:v>
      </x:c>
      <x:c r="AO310" s="12" t="str">
        <x:f>IF(AND(AG310="yes",OR(P310="",Q310="",R310="",S310="")),"missing_required_mvp_fields",IF(AND(AC310="canonical",Y310=""),"missing_source_ref","ok"))</x:f>
        <x:v>ok</x:v>
      </x:c>
      <x:c r="AP310" s="12" t="str">
        <x:f>IF(AO310="ok","ready_for_codex_import","needs_review")</x:f>
        <x:v>ready_for_codex_import</x:v>
      </x:c>
      <x:c r="AQ310" s="12"/>
      <x:c r="AR310" s="12" t="str">
        <x:v>Added v2 operational fields. Review before classification activation.</x:v>
      </x:c>
    </x:row>
    <x:row r="311">
      <x:c r="A311" s="13" t="str">
        <x:v>probability_neglect_denominator_variant</x:v>
      </x:c>
      <x:c r="B311" s="13" t="str">
        <x:v>probability_neglect</x:v>
      </x:c>
      <x:c r="C311" s="13" t="str">
        <x:v>Probability neglect</x:v>
      </x:c>
      <x:c r="D311" s="13" t="str">
        <x:v>نادیده‌گرفتن احتمال</x:v>
      </x:c>
      <x:c r="E311" s="13" t="str">
        <x:v>Denominator variant</x:v>
      </x:c>
      <x:c r="F311" s="13" t="str">
        <x:v>probabilistic_failures</x:v>
      </x:c>
      <x:c r="G311" s="13" t="str">
        <x:v>operational_variant</x:v>
      </x:c>
      <x:c r="H311" s="13" t="str">
        <x:v>contextual</x:v>
      </x:c>
      <x:c r="I311" s="13" t="str">
        <x:v>claim+context</x:v>
      </x:c>
      <x:c r="J311" s="13" t="str">
        <x:v>derived_operational_subtype</x:v>
      </x:c>
      <x:c r="K311" s="13" t="str">
        <x:v>derived_from_established_parent_review_required</x:v>
      </x:c>
      <x:c r="L311" s="13" t="str">
        <x:v>P2</x:v>
      </x:c>
      <x:c r="M311" s="13" t="str">
        <x:v>no</x:v>
      </x:c>
      <x:c r="N311" s="13" t="str">
        <x:v>Operational subtype under Probability neglect: the base, denominator, or exposure count is hidden. Parent definition: Reacting to possible outcomes without proportionate attention to likelihood.</x:v>
      </x:c>
      <x:c r="O311" s="13" t="str">
        <x:v>Look for: explicit claim-level evidence; parent-family cues for Probability neglect; variant cue: the base, denominator, or exposure count is hidden; avoid author-level inference.</x:v>
      </x:c>
      <x:c r="P311" s="13" t="str">
        <x:v>Exact evidence span in text plus claim-level reasoning link; for contextual/discourse entries, require surrounding context.</x:v>
      </x:c>
      <x:c r="Q311" s="13" t="str">
        <x:v>Do not label merely because topic is controversial, emotional, or wrong. Do not judge intent or personality. Require textual evidence and consider healthy-reasoning cues.</x:v>
      </x:c>
      <x:c r="R311" s="13" t="str">
        <x:v>Stub: A claim relies on the base, denominator, or exposure count is hidden to support a conclusion without adequate qualification.</x:v>
      </x:c>
      <x:c r="S311" s="13" t="str">
        <x:v>Stub: A claim discusses probability neglect with caveats, balanced evidence, or no argumentative use of the pattern.</x:v>
      </x:c>
      <x:c r="T311" s="13" t="str">
        <x:v>Mild or ambiguous cue; do not classify without clear evidence span.</x:v>
      </x:c>
      <x:c r="U311" s="13" t="str">
        <x:v>Clear claim-level pattern with some argumentative impact.</x:v>
      </x:c>
      <x:c r="V311" s="13" t="str">
        <x:v>Strong pattern central to the conclusion and likely to materially distort reasoning.</x:v>
      </x:c>
      <x:c r="W311" s="13" t="str"/>
      <x:c r="X311" s="13" t="str">
        <x:v>kahneman_tversky_prospect_1979</x:v>
      </x:c>
      <x:c r="Y311" s="13" t="str">
        <x:v>https://doi.org/10.2307/1914185</x:v>
      </x:c>
      <x:c r="Z311" s="13" t="str">
        <x:v>Review before enabling. This workbook is a living taxonomy scaffold, not a validated scientific benchmark.</x:v>
      </x:c>
      <x:c r="AA311" s="13" t="str">
        <x:v>0.1.0-draft</x:v>
      </x:c>
      <x:c r="AB311" s="12" t="str">
        <x:f>IF(ISNUMBER(SEARCH("healthy",F311)),"healthy_reasoning_patterns",IF(ISNUMBER(SEARCH("statistical",F311)),"statistical_reasoning",IF(ISNUMBER(SEARCH("causal",F311)),"causal_reasoning",IF(ISNUMBER(SEARCH("social",F311)),"social_influence",IF(ISNUMBER(SEARCH("rhetoric",F311)),"rhetoric_discourse",IF(ISNUMBER(SEARCH("behavior",F311)),"behavioural_economics",IF(ISNUMBER(SEARCH("cognitive",F311)),"cognitive_biases",IF(J311="protective_pattern","healthy_reasoning_patterns",IF(L311="P0","core_mvp","extended_fallacies")))))))))</x:f>
        <x:v>extended_fallacies</x:v>
      </x:c>
      <x:c r="AC311" s="12" t="str">
        <x:f>IF(ISNUMBER(SEARCH("operational",J311)),"operational",IF(ISNUMBER(SEARCH("deprecated",J311)),"deprecated",IF(L311="P0","canonical","recognized_subtype")))</x:f>
        <x:v>operational</x:v>
      </x:c>
      <x:c r="AD311" s="12" t="str">
        <x:f>IF(AC311="canonical","high",IF(AC311="recognized_subtype","medium",IF(AC311="operational","operational_only","debated")))</x:f>
        <x:v>operational_only</x:v>
      </x:c>
      <x:c r="AE311" s="12" t="str">
        <x:f>IF(AC311="deprecated","deprecated",IF(M311="yes","active",IF(M311="review","review_required","backlog")))</x:f>
        <x:v>backlog</x:v>
      </x:c>
      <x:c r="AF311" s="12" t="str">
        <x:f>IF(OR(AE311="active",AE311="review_required"),"yes","no")</x:f>
        <x:v>no</x:v>
      </x:c>
      <x:c r="AG311" s="12" t="str">
        <x:f>IF(AND(AE311="active",M311="yes",NOT(ISNUMBER(SEARCH("healthy",AB311)))),"yes","no")</x:f>
        <x:v>no</x:v>
      </x:c>
      <x:c r="AH311" s="12" t="str">
        <x:f>IF(OR(H311="contextual",H311="dialogue",H311="discourse",I311="claim+context",I311="discourse_segment"),"yes","no")</x:f>
        <x:v>yes</x:v>
      </x:c>
      <x:c r="AI311" s="12" t="str">
        <x:f>IF(OR(AH311="yes",AD311="debated",AC311="operational"),"yes","no")</x:f>
        <x:v>yes</x:v>
      </x:c>
      <x:c r="AJ311" s="12" t="str">
        <x:f>IF(OR(AH311="yes",AC311="operational",AD311="debated"),"high",IF(AND(AG311="yes",L311="P0"),"medium","low"))</x:f>
        <x:v>high</x:v>
      </x:c>
      <x:c r="AK311" s="12" t="str">
        <x:f>IF(ISNUMBER(SEARCH("healthy",AB311)),"yes","no")</x:f>
        <x:v>no</x:v>
      </x:c>
      <x:c r="AL311" s="12" t="str">
        <x:f>IF(AG311="yes","yes","candidate_only")</x:f>
        <x:v>candidate_only</x:v>
      </x:c>
      <x:c r="AM311" s="12" t="str">
        <x:f>IF(OR(AC311="canonical",AG311="yes"),"yes","recommended")</x:f>
        <x:v>recommended</x:v>
      </x:c>
      <x:c r="AN311" s="12" t="str">
        <x:f>IF(AC311="deprecated","exclude",IF(AND(AG311="yes",AJ311="high"),"import_but_human_review_required",IF(AG311="yes","import_as_active","import_as_backlog")))</x:f>
        <x:v>import_as_backlog</x:v>
      </x:c>
      <x:c r="AO311" s="12" t="str">
        <x:f>IF(AND(AG311="yes",OR(P311="",Q311="",R311="",S311="")),"missing_required_mvp_fields",IF(AND(AC311="canonical",Y311=""),"missing_source_ref","ok"))</x:f>
        <x:v>ok</x:v>
      </x:c>
      <x:c r="AP311" s="12" t="str">
        <x:f>IF(AO311="ok","ready_for_codex_import","needs_review")</x:f>
        <x:v>ready_for_codex_import</x:v>
      </x:c>
      <x:c r="AQ311" s="12"/>
      <x:c r="AR311" s="12" t="str">
        <x:v>Added v2 operational fields. Review before classification activation.</x:v>
      </x:c>
    </x:row>
    <x:row r="312">
      <x:c r="A312" s="13" t="str">
        <x:v>odds_ratio_misinterpretation_denominator_variant</x:v>
      </x:c>
      <x:c r="B312" s="13" t="str">
        <x:v>odds_ratio_misinterpretation</x:v>
      </x:c>
      <x:c r="C312" s="13" t="str">
        <x:v>Odds-ratio misinterpretation</x:v>
      </x:c>
      <x:c r="D312" s="13" t="str">
        <x:v>تفسیر نادرست نسبت شانس</x:v>
      </x:c>
      <x:c r="E312" s="13" t="str">
        <x:v>Denominator variant</x:v>
      </x:c>
      <x:c r="F312" s="13" t="str">
        <x:v>probabilistic_failures</x:v>
      </x:c>
      <x:c r="G312" s="13" t="str">
        <x:v>operational_variant</x:v>
      </x:c>
      <x:c r="H312" s="13" t="str">
        <x:v>contextual</x:v>
      </x:c>
      <x:c r="I312" s="13" t="str">
        <x:v>claim+context</x:v>
      </x:c>
      <x:c r="J312" s="13" t="str">
        <x:v>derived_operational_subtype</x:v>
      </x:c>
      <x:c r="K312" s="13" t="str">
        <x:v>derived_from_established_parent_review_required</x:v>
      </x:c>
      <x:c r="L312" s="13" t="str">
        <x:v>P2</x:v>
      </x:c>
      <x:c r="M312" s="13" t="str">
        <x:v>no</x:v>
      </x:c>
      <x:c r="N312" s="13" t="str">
        <x:v>Operational subtype under Odds-ratio misinterpretation: the base, denominator, or exposure count is hidden. Parent definition: Treating odds ratios as direct probability differences.</x:v>
      </x:c>
      <x:c r="O312" s="13" t="str">
        <x:v>Look for: explicit claim-level evidence; parent-family cues for Odds-ratio misinterpretation; variant cue: the base, denominator, or exposure count is hidden; avoid author-level inference.</x:v>
      </x:c>
      <x:c r="P312" s="13" t="str">
        <x:v>Exact evidence span in text plus claim-level reasoning link; for contextual/discourse entries, require surrounding context.</x:v>
      </x:c>
      <x:c r="Q312" s="13" t="str">
        <x:v>Do not label merely because topic is controversial, emotional, or wrong. Do not judge intent or personality. Require textual evidence and consider healthy-reasoning cues.</x:v>
      </x:c>
      <x:c r="R312" s="13" t="str">
        <x:v>Stub: A claim relies on the base, denominator, or exposure count is hidden to support a conclusion without adequate qualification.</x:v>
      </x:c>
      <x:c r="S312" s="13" t="str">
        <x:v>Stub: A claim discusses odds-ratio misinterpretation with caveats, balanced evidence, or no argumentative use of the pattern.</x:v>
      </x:c>
      <x:c r="T312" s="13" t="str">
        <x:v>Mild or ambiguous cue; do not classify without clear evidence span.</x:v>
      </x:c>
      <x:c r="U312" s="13" t="str">
        <x:v>Clear claim-level pattern with some argumentative impact.</x:v>
      </x:c>
      <x:c r="V312" s="13" t="str">
        <x:v>Strong pattern central to the conclusion and likely to materially distort reasoning.</x:v>
      </x:c>
      <x:c r="W312" s="13" t="str"/>
      <x:c r="X312" s="13" t="str">
        <x:v>stanovich_dual_process</x:v>
      </x:c>
      <x:c r="Y312" s="13" t="str">
        <x:v>https://global.oup.com/academic/product/rationality-and-the-reflective-mind-9780195341140</x:v>
      </x:c>
      <x:c r="Z312" s="13" t="str">
        <x:v>Review before enabling. This workbook is a living taxonomy scaffold, not a validated scientific benchmark.</x:v>
      </x:c>
      <x:c r="AA312" s="13" t="str">
        <x:v>0.1.0-draft</x:v>
      </x:c>
      <x:c r="AB312" s="12" t="str">
        <x:f>IF(ISNUMBER(SEARCH("healthy",F312)),"healthy_reasoning_patterns",IF(ISNUMBER(SEARCH("statistical",F312)),"statistical_reasoning",IF(ISNUMBER(SEARCH("causal",F312)),"causal_reasoning",IF(ISNUMBER(SEARCH("social",F312)),"social_influence",IF(ISNUMBER(SEARCH("rhetoric",F312)),"rhetoric_discourse",IF(ISNUMBER(SEARCH("behavior",F312)),"behavioural_economics",IF(ISNUMBER(SEARCH("cognitive",F312)),"cognitive_biases",IF(J312="protective_pattern","healthy_reasoning_patterns",IF(L312="P0","core_mvp","extended_fallacies")))))))))</x:f>
        <x:v>extended_fallacies</x:v>
      </x:c>
      <x:c r="AC312" s="12" t="str">
        <x:f>IF(ISNUMBER(SEARCH("operational",J312)),"operational",IF(ISNUMBER(SEARCH("deprecated",J312)),"deprecated",IF(L312="P0","canonical","recognized_subtype")))</x:f>
        <x:v>operational</x:v>
      </x:c>
      <x:c r="AD312" s="12" t="str">
        <x:f>IF(AC312="canonical","high",IF(AC312="recognized_subtype","medium",IF(AC312="operational","operational_only","debated")))</x:f>
        <x:v>operational_only</x:v>
      </x:c>
      <x:c r="AE312" s="12" t="str">
        <x:f>IF(AC312="deprecated","deprecated",IF(M312="yes","active",IF(M312="review","review_required","backlog")))</x:f>
        <x:v>backlog</x:v>
      </x:c>
      <x:c r="AF312" s="12" t="str">
        <x:f>IF(OR(AE312="active",AE312="review_required"),"yes","no")</x:f>
        <x:v>no</x:v>
      </x:c>
      <x:c r="AG312" s="12" t="str">
        <x:f>IF(AND(AE312="active",M312="yes",NOT(ISNUMBER(SEARCH("healthy",AB312)))),"yes","no")</x:f>
        <x:v>no</x:v>
      </x:c>
      <x:c r="AH312" s="12" t="str">
        <x:f>IF(OR(H312="contextual",H312="dialogue",H312="discourse",I312="claim+context",I312="discourse_segment"),"yes","no")</x:f>
        <x:v>yes</x:v>
      </x:c>
      <x:c r="AI312" s="12" t="str">
        <x:f>IF(OR(AH312="yes",AD312="debated",AC312="operational"),"yes","no")</x:f>
        <x:v>yes</x:v>
      </x:c>
      <x:c r="AJ312" s="12" t="str">
        <x:f>IF(OR(AH312="yes",AC312="operational",AD312="debated"),"high",IF(AND(AG312="yes",L312="P0"),"medium","low"))</x:f>
        <x:v>high</x:v>
      </x:c>
      <x:c r="AK312" s="12" t="str">
        <x:f>IF(ISNUMBER(SEARCH("healthy",AB312)),"yes","no")</x:f>
        <x:v>no</x:v>
      </x:c>
      <x:c r="AL312" s="12" t="str">
        <x:f>IF(AG312="yes","yes","candidate_only")</x:f>
        <x:v>candidate_only</x:v>
      </x:c>
      <x:c r="AM312" s="12" t="str">
        <x:f>IF(OR(AC312="canonical",AG312="yes"),"yes","recommended")</x:f>
        <x:v>recommended</x:v>
      </x:c>
      <x:c r="AN312" s="12" t="str">
        <x:f>IF(AC312="deprecated","exclude",IF(AND(AG312="yes",AJ312="high"),"import_but_human_review_required",IF(AG312="yes","import_as_active","import_as_backlog")))</x:f>
        <x:v>import_as_backlog</x:v>
      </x:c>
      <x:c r="AO312" s="12" t="str">
        <x:f>IF(AND(AG312="yes",OR(P312="",Q312="",R312="",S312="")),"missing_required_mvp_fields",IF(AND(AC312="canonical",Y312=""),"missing_source_ref","ok"))</x:f>
        <x:v>ok</x:v>
      </x:c>
      <x:c r="AP312" s="12" t="str">
        <x:f>IF(AO312="ok","ready_for_codex_import","needs_review")</x:f>
        <x:v>ready_for_codex_import</x:v>
      </x:c>
      <x:c r="AQ312" s="12"/>
      <x:c r="AR312" s="12" t="str">
        <x:v>Added v2 operational fields. Review before classification activation.</x:v>
      </x:c>
    </x:row>
    <x:row r="313">
      <x:c r="A313" s="13" t="str">
        <x:v>confidence_interval_neglect_denominator_variant</x:v>
      </x:c>
      <x:c r="B313" s="13" t="str">
        <x:v>confidence_interval_neglect</x:v>
      </x:c>
      <x:c r="C313" s="13" t="str">
        <x:v>Confidence interval neglect</x:v>
      </x:c>
      <x:c r="D313" s="13" t="str">
        <x:v>نادیده گرفتن بازه اطمینان</x:v>
      </x:c>
      <x:c r="E313" s="13" t="str">
        <x:v>Denominator variant</x:v>
      </x:c>
      <x:c r="F313" s="13" t="str">
        <x:v>probabilistic_failures</x:v>
      </x:c>
      <x:c r="G313" s="13" t="str">
        <x:v>operational_variant</x:v>
      </x:c>
      <x:c r="H313" s="13" t="str">
        <x:v>lexical</x:v>
      </x:c>
      <x:c r="I313" s="13" t="str">
        <x:v>claim</x:v>
      </x:c>
      <x:c r="J313" s="13" t="str">
        <x:v>derived_operational_subtype</x:v>
      </x:c>
      <x:c r="K313" s="13" t="str">
        <x:v>derived_from_established_parent_review_required</x:v>
      </x:c>
      <x:c r="L313" s="13" t="str">
        <x:v>P2</x:v>
      </x:c>
      <x:c r="M313" s="13" t="str">
        <x:v>no</x:v>
      </x:c>
      <x:c r="N313" s="13" t="str">
        <x:v>Operational subtype under Confidence interval neglect: the base, denominator, or exposure count is hidden. Parent definition: Using point estimates as if uncertainty intervals did not exist.</x:v>
      </x:c>
      <x:c r="O313" s="13" t="str">
        <x:v>Look for: explicit claim-level evidence; parent-family cues for Confidence interval neglect; variant cue: the base, denominator, or exposure count is hidden; avoid author-level inference.</x:v>
      </x:c>
      <x:c r="P313" s="13" t="str">
        <x:v>Exact evidence span in text plus claim-level reasoning link; for contextual/discourse entries, require surrounding context.</x:v>
      </x:c>
      <x:c r="Q313" s="13" t="str">
        <x:v>Do not label merely because topic is controversial, emotional, or wrong. Do not judge intent or personality. Require textual evidence and consider healthy-reasoning cues.</x:v>
      </x:c>
      <x:c r="R313" s="13" t="str">
        <x:v>Stub: A claim relies on the base, denominator, or exposure count is hidden to support a conclusion without adequate qualification.</x:v>
      </x:c>
      <x:c r="S313" s="13" t="str">
        <x:v>Stub: A claim discusses confidence interval neglect with caveats, balanced evidence, or no argumentative use of the pattern.</x:v>
      </x:c>
      <x:c r="T313" s="13" t="str">
        <x:v>Mild or ambiguous cue; do not classify without clear evidence span.</x:v>
      </x:c>
      <x:c r="U313" s="13" t="str">
        <x:v>Clear claim-level pattern with some argumentative impact.</x:v>
      </x:c>
      <x:c r="V313" s="13" t="str">
        <x:v>Strong pattern central to the conclusion and likely to materially distort reasoning.</x:v>
      </x:c>
      <x:c r="W313" s="13" t="str"/>
      <x:c r="X313" s="13" t="str">
        <x:v>stanovich_dual_process</x:v>
      </x:c>
      <x:c r="Y313" s="13" t="str">
        <x:v>https://global.oup.com/academic/product/rationality-and-the-reflective-mind-9780195341140</x:v>
      </x:c>
      <x:c r="Z313" s="13" t="str">
        <x:v>Review before enabling. This workbook is a living taxonomy scaffold, not a validated scientific benchmark.</x:v>
      </x:c>
      <x:c r="AA313" s="13" t="str">
        <x:v>0.1.0-draft</x:v>
      </x:c>
      <x:c r="AB313" s="12" t="str">
        <x:f>IF(ISNUMBER(SEARCH("healthy",F313)),"healthy_reasoning_patterns",IF(ISNUMBER(SEARCH("statistical",F313)),"statistical_reasoning",IF(ISNUMBER(SEARCH("causal",F313)),"causal_reasoning",IF(ISNUMBER(SEARCH("social",F313)),"social_influence",IF(ISNUMBER(SEARCH("rhetoric",F313)),"rhetoric_discourse",IF(ISNUMBER(SEARCH("behavior",F313)),"behavioural_economics",IF(ISNUMBER(SEARCH("cognitive",F313)),"cognitive_biases",IF(J313="protective_pattern","healthy_reasoning_patterns",IF(L313="P0","core_mvp","extended_fallacies")))))))))</x:f>
        <x:v>extended_fallacies</x:v>
      </x:c>
      <x:c r="AC313" s="12" t="str">
        <x:f>IF(ISNUMBER(SEARCH("operational",J313)),"operational",IF(ISNUMBER(SEARCH("deprecated",J313)),"deprecated",IF(L313="P0","canonical","recognized_subtype")))</x:f>
        <x:v>operational</x:v>
      </x:c>
      <x:c r="AD313" s="12" t="str">
        <x:f>IF(AC313="canonical","high",IF(AC313="recognized_subtype","medium",IF(AC313="operational","operational_only","debated")))</x:f>
        <x:v>operational_only</x:v>
      </x:c>
      <x:c r="AE313" s="12" t="str">
        <x:f>IF(AC313="deprecated","deprecated",IF(M313="yes","active",IF(M313="review","review_required","backlog")))</x:f>
        <x:v>backlog</x:v>
      </x:c>
      <x:c r="AF313" s="12" t="str">
        <x:f>IF(OR(AE313="active",AE313="review_required"),"yes","no")</x:f>
        <x:v>no</x:v>
      </x:c>
      <x:c r="AG313" s="12" t="str">
        <x:f>IF(AND(AE313="active",M313="yes",NOT(ISNUMBER(SEARCH("healthy",AB313)))),"yes","no")</x:f>
        <x:v>no</x:v>
      </x:c>
      <x:c r="AH313" s="12" t="str">
        <x:f>IF(OR(H313="contextual",H313="dialogue",H313="discourse",I313="claim+context",I313="discourse_segment"),"yes","no")</x:f>
        <x:v>no</x:v>
      </x:c>
      <x:c r="AI313" s="12" t="str">
        <x:f>IF(OR(AH313="yes",AD313="debated",AC313="operational"),"yes","no")</x:f>
        <x:v>yes</x:v>
      </x:c>
      <x:c r="AJ313" s="12" t="str">
        <x:f>IF(OR(AH313="yes",AC313="operational",AD313="debated"),"high",IF(AND(AG313="yes",L313="P0"),"medium","low"))</x:f>
        <x:v>high</x:v>
      </x:c>
      <x:c r="AK313" s="12" t="str">
        <x:f>IF(ISNUMBER(SEARCH("healthy",AB313)),"yes","no")</x:f>
        <x:v>no</x:v>
      </x:c>
      <x:c r="AL313" s="12" t="str">
        <x:f>IF(AG313="yes","yes","candidate_only")</x:f>
        <x:v>candidate_only</x:v>
      </x:c>
      <x:c r="AM313" s="12" t="str">
        <x:f>IF(OR(AC313="canonical",AG313="yes"),"yes","recommended")</x:f>
        <x:v>recommended</x:v>
      </x:c>
      <x:c r="AN313" s="12" t="str">
        <x:f>IF(AC313="deprecated","exclude",IF(AND(AG313="yes",AJ313="high"),"import_but_human_review_required",IF(AG313="yes","import_as_active","import_as_backlog")))</x:f>
        <x:v>import_as_backlog</x:v>
      </x:c>
      <x:c r="AO313" s="12" t="str">
        <x:f>IF(AND(AG313="yes",OR(P313="",Q313="",R313="",S313="")),"missing_required_mvp_fields",IF(AND(AC313="canonical",Y313=""),"missing_source_ref","ok"))</x:f>
        <x:v>ok</x:v>
      </x:c>
      <x:c r="AP313" s="12" t="str">
        <x:f>IF(AO313="ok","ready_for_codex_import","needs_review")</x:f>
        <x:v>ready_for_codex_import</x:v>
      </x:c>
      <x:c r="AQ313" s="12"/>
      <x:c r="AR313" s="12" t="str">
        <x:v>Added v2 operational fields. Review before classification activation.</x:v>
      </x:c>
    </x:row>
    <x:row r="314">
      <x:c r="A314" s="13" t="str">
        <x:v>forecast_base_rate_neglect_denominator_variant</x:v>
      </x:c>
      <x:c r="B314" s="13" t="str">
        <x:v>forecast_base_rate_neglect</x:v>
      </x:c>
      <x:c r="C314" s="13" t="str">
        <x:v>Forecast base-rate neglect</x:v>
      </x:c>
      <x:c r="D314" s="13" t="str">
        <x:v>نرخ پایه در پیش‌بینی</x:v>
      </x:c>
      <x:c r="E314" s="13" t="str">
        <x:v>Denominator variant</x:v>
      </x:c>
      <x:c r="F314" s="13" t="str">
        <x:v>probabilistic_failures</x:v>
      </x:c>
      <x:c r="G314" s="13" t="str">
        <x:v>operational_variant</x:v>
      </x:c>
      <x:c r="H314" s="13" t="str">
        <x:v>contextual</x:v>
      </x:c>
      <x:c r="I314" s="13" t="str">
        <x:v>claim+context</x:v>
      </x:c>
      <x:c r="J314" s="13" t="str">
        <x:v>derived_operational_subtype</x:v>
      </x:c>
      <x:c r="K314" s="13" t="str">
        <x:v>derived_from_established_parent_review_required</x:v>
      </x:c>
      <x:c r="L314" s="13" t="str">
        <x:v>P2</x:v>
      </x:c>
      <x:c r="M314" s="13" t="str">
        <x:v>no</x:v>
      </x:c>
      <x:c r="N314" s="13" t="str">
        <x:v>Operational subtype under Forecast base-rate neglect: the base, denominator, or exposure count is hidden. Parent definition: Making forecasts without considering historical frequencies.</x:v>
      </x:c>
      <x:c r="O314" s="13" t="str">
        <x:v>Look for: explicit claim-level evidence; parent-family cues for Forecast base-rate neglect; variant cue: the base, denominator, or exposure count is hidden; avoid author-level inference.</x:v>
      </x:c>
      <x:c r="P314" s="13" t="str">
        <x:v>Exact evidence span in text plus claim-level reasoning link; for contextual/discourse entries, require surrounding context.</x:v>
      </x:c>
      <x:c r="Q314" s="13" t="str">
        <x:v>Do not label merely because topic is controversial, emotional, or wrong. Do not judge intent or personality. Require textual evidence and consider healthy-reasoning cues.</x:v>
      </x:c>
      <x:c r="R314" s="13" t="str">
        <x:v>Stub: A claim relies on the base, denominator, or exposure count is hidden to support a conclusion without adequate qualification.</x:v>
      </x:c>
      <x:c r="S314" s="13" t="str">
        <x:v>Stub: A claim discusses forecast base-rate neglect with caveats, balanced evidence, or no argumentative use of the pattern.</x:v>
      </x:c>
      <x:c r="T314" s="13" t="str">
        <x:v>Mild or ambiguous cue; do not classify without clear evidence span.</x:v>
      </x:c>
      <x:c r="U314" s="13" t="str">
        <x:v>Clear claim-level pattern with some argumentative impact.</x:v>
      </x:c>
      <x:c r="V314" s="13" t="str">
        <x:v>Strong pattern central to the conclusion and likely to materially distort reasoning.</x:v>
      </x:c>
      <x:c r="W314" s="13" t="str"/>
      <x:c r="X314" s="13" t="str">
        <x:v>stanovich_dual_process</x:v>
      </x:c>
      <x:c r="Y314" s="13" t="str">
        <x:v>https://global.oup.com/academic/product/rationality-and-the-reflective-mind-9780195341140</x:v>
      </x:c>
      <x:c r="Z314" s="13" t="str">
        <x:v>Review before enabling. This workbook is a living taxonomy scaffold, not a validated scientific benchmark.</x:v>
      </x:c>
      <x:c r="AA314" s="13" t="str">
        <x:v>0.1.0-draft</x:v>
      </x:c>
      <x:c r="AB314" s="12" t="str">
        <x:f>IF(ISNUMBER(SEARCH("healthy",F314)),"healthy_reasoning_patterns",IF(ISNUMBER(SEARCH("statistical",F314)),"statistical_reasoning",IF(ISNUMBER(SEARCH("causal",F314)),"causal_reasoning",IF(ISNUMBER(SEARCH("social",F314)),"social_influence",IF(ISNUMBER(SEARCH("rhetoric",F314)),"rhetoric_discourse",IF(ISNUMBER(SEARCH("behavior",F314)),"behavioural_economics",IF(ISNUMBER(SEARCH("cognitive",F314)),"cognitive_biases",IF(J314="protective_pattern","healthy_reasoning_patterns",IF(L314="P0","core_mvp","extended_fallacies")))))))))</x:f>
        <x:v>extended_fallacies</x:v>
      </x:c>
      <x:c r="AC314" s="12" t="str">
        <x:f>IF(ISNUMBER(SEARCH("operational",J314)),"operational",IF(ISNUMBER(SEARCH("deprecated",J314)),"deprecated",IF(L314="P0","canonical","recognized_subtype")))</x:f>
        <x:v>operational</x:v>
      </x:c>
      <x:c r="AD314" s="12" t="str">
        <x:f>IF(AC314="canonical","high",IF(AC314="recognized_subtype","medium",IF(AC314="operational","operational_only","debated")))</x:f>
        <x:v>operational_only</x:v>
      </x:c>
      <x:c r="AE314" s="12" t="str">
        <x:f>IF(AC314="deprecated","deprecated",IF(M314="yes","active",IF(M314="review","review_required","backlog")))</x:f>
        <x:v>backlog</x:v>
      </x:c>
      <x:c r="AF314" s="12" t="str">
        <x:f>IF(OR(AE314="active",AE314="review_required"),"yes","no")</x:f>
        <x:v>no</x:v>
      </x:c>
      <x:c r="AG314" s="12" t="str">
        <x:f>IF(AND(AE314="active",M314="yes",NOT(ISNUMBER(SEARCH("healthy",AB314)))),"yes","no")</x:f>
        <x:v>no</x:v>
      </x:c>
      <x:c r="AH314" s="12" t="str">
        <x:f>IF(OR(H314="contextual",H314="dialogue",H314="discourse",I314="claim+context",I314="discourse_segment"),"yes","no")</x:f>
        <x:v>yes</x:v>
      </x:c>
      <x:c r="AI314" s="12" t="str">
        <x:f>IF(OR(AH314="yes",AD314="debated",AC314="operational"),"yes","no")</x:f>
        <x:v>yes</x:v>
      </x:c>
      <x:c r="AJ314" s="12" t="str">
        <x:f>IF(OR(AH314="yes",AC314="operational",AD314="debated"),"high",IF(AND(AG314="yes",L314="P0"),"medium","low"))</x:f>
        <x:v>high</x:v>
      </x:c>
      <x:c r="AK314" s="12" t="str">
        <x:f>IF(ISNUMBER(SEARCH("healthy",AB314)),"yes","no")</x:f>
        <x:v>no</x:v>
      </x:c>
      <x:c r="AL314" s="12" t="str">
        <x:f>IF(AG314="yes","yes","candidate_only")</x:f>
        <x:v>candidate_only</x:v>
      </x:c>
      <x:c r="AM314" s="12" t="str">
        <x:f>IF(OR(AC314="canonical",AG314="yes"),"yes","recommended")</x:f>
        <x:v>recommended</x:v>
      </x:c>
      <x:c r="AN314" s="12" t="str">
        <x:f>IF(AC314="deprecated","exclude",IF(AND(AG314="yes",AJ314="high"),"import_but_human_review_required",IF(AG314="yes","import_as_active","import_as_backlog")))</x:f>
        <x:v>import_as_backlog</x:v>
      </x:c>
      <x:c r="AO314" s="12" t="str">
        <x:f>IF(AND(AG314="yes",OR(P314="",Q314="",R314="",S314="")),"missing_required_mvp_fields",IF(AND(AC314="canonical",Y314=""),"missing_source_ref","ok"))</x:f>
        <x:v>ok</x:v>
      </x:c>
      <x:c r="AP314" s="12" t="str">
        <x:f>IF(AO314="ok","ready_for_codex_import","needs_review")</x:f>
        <x:v>ready_for_codex_import</x:v>
      </x:c>
      <x:c r="AQ314" s="12"/>
      <x:c r="AR314" s="12" t="str">
        <x:v>Added v2 operational fields. Review before classification activation.</x:v>
      </x:c>
    </x:row>
    <x:row r="315">
      <x:c r="A315" s="13" t="str">
        <x:v>calibration_error_denominator_variant</x:v>
      </x:c>
      <x:c r="B315" s="13" t="str">
        <x:v>calibration_error</x:v>
      </x:c>
      <x:c r="C315" s="13" t="str">
        <x:v>Calibration error</x:v>
      </x:c>
      <x:c r="D315" s="13" t="str">
        <x:v>خطای کالیبراسیون</x:v>
      </x:c>
      <x:c r="E315" s="13" t="str">
        <x:v>Denominator variant</x:v>
      </x:c>
      <x:c r="F315" s="13" t="str">
        <x:v>probabilistic_failures</x:v>
      </x:c>
      <x:c r="G315" s="13" t="str">
        <x:v>operational_variant</x:v>
      </x:c>
      <x:c r="H315" s="13" t="str">
        <x:v>contextual</x:v>
      </x:c>
      <x:c r="I315" s="13" t="str">
        <x:v>claim+context</x:v>
      </x:c>
      <x:c r="J315" s="13" t="str">
        <x:v>derived_operational_subtype</x:v>
      </x:c>
      <x:c r="K315" s="13" t="str">
        <x:v>derived_from_established_parent_review_required</x:v>
      </x:c>
      <x:c r="L315" s="13" t="str">
        <x:v>P2</x:v>
      </x:c>
      <x:c r="M315" s="13" t="str">
        <x:v>no</x:v>
      </x:c>
      <x:c r="N315" s="13" t="str">
        <x:v>Operational subtype under Calibration error: the base, denominator, or exposure count is hidden. Parent definition: Mismatch between expressed confidence and actual evidential support.</x:v>
      </x:c>
      <x:c r="O315" s="13" t="str">
        <x:v>Look for: explicit claim-level evidence; parent-family cues for Calibration error; variant cue: the base, denominator, or exposure count is hidden; avoid author-level inference.</x:v>
      </x:c>
      <x:c r="P315" s="13" t="str">
        <x:v>Exact evidence span in text plus claim-level reasoning link; for contextual/discourse entries, require surrounding context.</x:v>
      </x:c>
      <x:c r="Q315" s="13" t="str">
        <x:v>Do not label merely because topic is controversial, emotional, or wrong. Do not judge intent or personality. Require textual evidence and consider healthy-reasoning cues.</x:v>
      </x:c>
      <x:c r="R315" s="13" t="str">
        <x:v>Stub: A claim relies on the base, denominator, or exposure count is hidden to support a conclusion without adequate qualification.</x:v>
      </x:c>
      <x:c r="S315" s="13" t="str">
        <x:v>Stub: A claim discusses calibration error with caveats, balanced evidence, or no argumentative use of the pattern.</x:v>
      </x:c>
      <x:c r="T315" s="13" t="str">
        <x:v>Mild or ambiguous cue; do not classify without clear evidence span.</x:v>
      </x:c>
      <x:c r="U315" s="13" t="str">
        <x:v>Clear claim-level pattern with some argumentative impact.</x:v>
      </x:c>
      <x:c r="V315" s="13" t="str">
        <x:v>Strong pattern central to the conclusion and likely to materially distort reasoning.</x:v>
      </x:c>
      <x:c r="W315" s="13" t="str"/>
      <x:c r="X315" s="13" t="str">
        <x:v>stanovich_dual_process</x:v>
      </x:c>
      <x:c r="Y315" s="13" t="str">
        <x:v>https://global.oup.com/academic/product/rationality-and-the-reflective-mind-9780195341140</x:v>
      </x:c>
      <x:c r="Z315" s="13" t="str">
        <x:v>Review before enabling. This workbook is a living taxonomy scaffold, not a validated scientific benchmark.</x:v>
      </x:c>
      <x:c r="AA315" s="13" t="str">
        <x:v>0.1.0-draft</x:v>
      </x:c>
      <x:c r="AB315" s="12" t="str">
        <x:f>IF(ISNUMBER(SEARCH("healthy",F315)),"healthy_reasoning_patterns",IF(ISNUMBER(SEARCH("statistical",F315)),"statistical_reasoning",IF(ISNUMBER(SEARCH("causal",F315)),"causal_reasoning",IF(ISNUMBER(SEARCH("social",F315)),"social_influence",IF(ISNUMBER(SEARCH("rhetoric",F315)),"rhetoric_discourse",IF(ISNUMBER(SEARCH("behavior",F315)),"behavioural_economics",IF(ISNUMBER(SEARCH("cognitive",F315)),"cognitive_biases",IF(J315="protective_pattern","healthy_reasoning_patterns",IF(L315="P0","core_mvp","extended_fallacies")))))))))</x:f>
        <x:v>extended_fallacies</x:v>
      </x:c>
      <x:c r="AC315" s="12" t="str">
        <x:f>IF(ISNUMBER(SEARCH("operational",J315)),"operational",IF(ISNUMBER(SEARCH("deprecated",J315)),"deprecated",IF(L315="P0","canonical","recognized_subtype")))</x:f>
        <x:v>operational</x:v>
      </x:c>
      <x:c r="AD315" s="12" t="str">
        <x:f>IF(AC315="canonical","high",IF(AC315="recognized_subtype","medium",IF(AC315="operational","operational_only","debated")))</x:f>
        <x:v>operational_only</x:v>
      </x:c>
      <x:c r="AE315" s="12" t="str">
        <x:f>IF(AC315="deprecated","deprecated",IF(M315="yes","active",IF(M315="review","review_required","backlog")))</x:f>
        <x:v>backlog</x:v>
      </x:c>
      <x:c r="AF315" s="12" t="str">
        <x:f>IF(OR(AE315="active",AE315="review_required"),"yes","no")</x:f>
        <x:v>no</x:v>
      </x:c>
      <x:c r="AG315" s="12" t="str">
        <x:f>IF(AND(AE315="active",M315="yes",NOT(ISNUMBER(SEARCH("healthy",AB315)))),"yes","no")</x:f>
        <x:v>no</x:v>
      </x:c>
      <x:c r="AH315" s="12" t="str">
        <x:f>IF(OR(H315="contextual",H315="dialogue",H315="discourse",I315="claim+context",I315="discourse_segment"),"yes","no")</x:f>
        <x:v>yes</x:v>
      </x:c>
      <x:c r="AI315" s="12" t="str">
        <x:f>IF(OR(AH315="yes",AD315="debated",AC315="operational"),"yes","no")</x:f>
        <x:v>yes</x:v>
      </x:c>
      <x:c r="AJ315" s="12" t="str">
        <x:f>IF(OR(AH315="yes",AC315="operational",AD315="debated"),"high",IF(AND(AG315="yes",L315="P0"),"medium","low"))</x:f>
        <x:v>high</x:v>
      </x:c>
      <x:c r="AK315" s="12" t="str">
        <x:f>IF(ISNUMBER(SEARCH("healthy",AB315)),"yes","no")</x:f>
        <x:v>no</x:v>
      </x:c>
      <x:c r="AL315" s="12" t="str">
        <x:f>IF(AG315="yes","yes","candidate_only")</x:f>
        <x:v>candidate_only</x:v>
      </x:c>
      <x:c r="AM315" s="12" t="str">
        <x:f>IF(OR(AC315="canonical",AG315="yes"),"yes","recommended")</x:f>
        <x:v>recommended</x:v>
      </x:c>
      <x:c r="AN315" s="12" t="str">
        <x:f>IF(AC315="deprecated","exclude",IF(AND(AG315="yes",AJ315="high"),"import_but_human_review_required",IF(AG315="yes","import_as_active","import_as_backlog")))</x:f>
        <x:v>import_as_backlog</x:v>
      </x:c>
      <x:c r="AO315" s="12" t="str">
        <x:f>IF(AND(AG315="yes",OR(P315="",Q315="",R315="",S315="")),"missing_required_mvp_fields",IF(AND(AC315="canonical",Y315=""),"missing_source_ref","ok"))</x:f>
        <x:v>ok</x:v>
      </x:c>
      <x:c r="AP315" s="12" t="str">
        <x:f>IF(AO315="ok","ready_for_codex_import","needs_review")</x:f>
        <x:v>ready_for_codex_import</x:v>
      </x:c>
      <x:c r="AQ315" s="12"/>
      <x:c r="AR315" s="12" t="str">
        <x:v>Added v2 operational fields. Review before classification activation.</x:v>
      </x:c>
    </x:row>
    <x:row r="316">
      <x:c r="A316" s="13" t="str">
        <x:v>base_rate_neglect_conditional_probability_variant</x:v>
      </x:c>
      <x:c r="B316" s="13" t="str">
        <x:v>base_rate_neglect</x:v>
      </x:c>
      <x:c r="C316" s="13" t="str">
        <x:v>Base-rate neglect</x:v>
      </x:c>
      <x:c r="D316" s="13" t="str">
        <x:v>نادیده گرفتن نرخ پایه</x:v>
      </x:c>
      <x:c r="E316" s="13" t="str">
        <x:v>Conditional-probability variant</x:v>
      </x:c>
      <x:c r="F316" s="13" t="str">
        <x:v>probabilistic_failures</x:v>
      </x:c>
      <x:c r="G316" s="13" t="str">
        <x:v>operational_variant</x:v>
      </x:c>
      <x:c r="H316" s="13" t="str">
        <x:v>contextual</x:v>
      </x:c>
      <x:c r="I316" s="13" t="str">
        <x:v>claim+context</x:v>
      </x:c>
      <x:c r="J316" s="13" t="str">
        <x:v>derived_operational_subtype</x:v>
      </x:c>
      <x:c r="K316" s="13" t="str">
        <x:v>derived_from_established_parent_review_required</x:v>
      </x:c>
      <x:c r="L316" s="13" t="str">
        <x:v>P2</x:v>
      </x:c>
      <x:c r="M316" s="13" t="str">
        <x:v>no</x:v>
      </x:c>
      <x:c r="N316" s="13" t="str">
        <x:v>Operational subtype under Base-rate neglect: conditional probabilities are confused. Parent definition: Ignoring general statistical prevalence when judging a specific case.</x:v>
      </x:c>
      <x:c r="O316" s="13" t="str">
        <x:v>Look for: explicit claim-level evidence; parent-family cues for Base-rate neglect; variant cue: conditional probabilities are confused; avoid author-level inference.</x:v>
      </x:c>
      <x:c r="P316" s="13" t="str">
        <x:v>Exact evidence span in text plus claim-level reasoning link; for contextual/discourse entries, require surrounding context.</x:v>
      </x:c>
      <x:c r="Q316" s="13" t="str">
        <x:v>Do not label merely because topic is controversial, emotional, or wrong. Do not judge intent or personality. Require textual evidence and consider healthy-reasoning cues.</x:v>
      </x:c>
      <x:c r="R316" s="13" t="str">
        <x:v>Stub: A claim relies on conditional probabilities are confused to support a conclusion without adequate qualification.</x:v>
      </x:c>
      <x:c r="S316" s="13" t="str">
        <x:v>Stub: A claim discusses base-rate neglect with caveats, balanced evidence, or no argumentative use of the pattern.</x:v>
      </x:c>
      <x:c r="T316" s="13" t="str">
        <x:v>Mild or ambiguous cue; do not classify without clear evidence span.</x:v>
      </x:c>
      <x:c r="U316" s="13" t="str">
        <x:v>Clear claim-level pattern with some argumentative impact.</x:v>
      </x:c>
      <x:c r="V316" s="13" t="str">
        <x:v>Strong pattern central to the conclusion and likely to materially distort reasoning.</x:v>
      </x:c>
      <x:c r="W316" s="13" t="str"/>
      <x:c r="X316" s="13" t="str">
        <x:v>kahneman_tversky_heuristics_1974</x:v>
      </x:c>
      <x:c r="Y316" s="13" t="str">
        <x:v>https://doi.org/10.1126/science.185.4157.1124</x:v>
      </x:c>
      <x:c r="Z316" s="13" t="str">
        <x:v>Review before enabling. This workbook is a living taxonomy scaffold, not a validated scientific benchmark.</x:v>
      </x:c>
      <x:c r="AA316" s="13" t="str">
        <x:v>0.1.0-draft</x:v>
      </x:c>
      <x:c r="AB316" s="12" t="str">
        <x:f>IF(ISNUMBER(SEARCH("healthy",F316)),"healthy_reasoning_patterns",IF(ISNUMBER(SEARCH("statistical",F316)),"statistical_reasoning",IF(ISNUMBER(SEARCH("causal",F316)),"causal_reasoning",IF(ISNUMBER(SEARCH("social",F316)),"social_influence",IF(ISNUMBER(SEARCH("rhetoric",F316)),"rhetoric_discourse",IF(ISNUMBER(SEARCH("behavior",F316)),"behavioural_economics",IF(ISNUMBER(SEARCH("cognitive",F316)),"cognitive_biases",IF(J316="protective_pattern","healthy_reasoning_patterns",IF(L316="P0","core_mvp","extended_fallacies")))))))))</x:f>
        <x:v>extended_fallacies</x:v>
      </x:c>
      <x:c r="AC316" s="12" t="str">
        <x:f>IF(ISNUMBER(SEARCH("operational",J316)),"operational",IF(ISNUMBER(SEARCH("deprecated",J316)),"deprecated",IF(L316="P0","canonical","recognized_subtype")))</x:f>
        <x:v>operational</x:v>
      </x:c>
      <x:c r="AD316" s="12" t="str">
        <x:f>IF(AC316="canonical","high",IF(AC316="recognized_subtype","medium",IF(AC316="operational","operational_only","debated")))</x:f>
        <x:v>operational_only</x:v>
      </x:c>
      <x:c r="AE316" s="12" t="str">
        <x:f>IF(AC316="deprecated","deprecated",IF(M316="yes","active",IF(M316="review","review_required","backlog")))</x:f>
        <x:v>backlog</x:v>
      </x:c>
      <x:c r="AF316" s="12" t="str">
        <x:f>IF(OR(AE316="active",AE316="review_required"),"yes","no")</x:f>
        <x:v>no</x:v>
      </x:c>
      <x:c r="AG316" s="12" t="str">
        <x:f>IF(AND(AE316="active",M316="yes",NOT(ISNUMBER(SEARCH("healthy",AB316)))),"yes","no")</x:f>
        <x:v>no</x:v>
      </x:c>
      <x:c r="AH316" s="12" t="str">
        <x:f>IF(OR(H316="contextual",H316="dialogue",H316="discourse",I316="claim+context",I316="discourse_segment"),"yes","no")</x:f>
        <x:v>yes</x:v>
      </x:c>
      <x:c r="AI316" s="12" t="str">
        <x:f>IF(OR(AH316="yes",AD316="debated",AC316="operational"),"yes","no")</x:f>
        <x:v>yes</x:v>
      </x:c>
      <x:c r="AJ316" s="12" t="str">
        <x:f>IF(OR(AH316="yes",AC316="operational",AD316="debated"),"high",IF(AND(AG316="yes",L316="P0"),"medium","low"))</x:f>
        <x:v>high</x:v>
      </x:c>
      <x:c r="AK316" s="12" t="str">
        <x:f>IF(ISNUMBER(SEARCH("healthy",AB316)),"yes","no")</x:f>
        <x:v>no</x:v>
      </x:c>
      <x:c r="AL316" s="12" t="str">
        <x:f>IF(AG316="yes","yes","candidate_only")</x:f>
        <x:v>candidate_only</x:v>
      </x:c>
      <x:c r="AM316" s="12" t="str">
        <x:f>IF(OR(AC316="canonical",AG316="yes"),"yes","recommended")</x:f>
        <x:v>recommended</x:v>
      </x:c>
      <x:c r="AN316" s="12" t="str">
        <x:f>IF(AC316="deprecated","exclude",IF(AND(AG316="yes",AJ316="high"),"import_but_human_review_required",IF(AG316="yes","import_as_active","import_as_backlog")))</x:f>
        <x:v>import_as_backlog</x:v>
      </x:c>
      <x:c r="AO316" s="12" t="str">
        <x:f>IF(AND(AG316="yes",OR(P316="",Q316="",R316="",S316="")),"missing_required_mvp_fields",IF(AND(AC316="canonical",Y316=""),"missing_source_ref","ok"))</x:f>
        <x:v>ok</x:v>
      </x:c>
      <x:c r="AP316" s="12" t="str">
        <x:f>IF(AO316="ok","ready_for_codex_import","needs_review")</x:f>
        <x:v>ready_for_codex_import</x:v>
      </x:c>
      <x:c r="AQ316" s="12"/>
      <x:c r="AR316" s="12" t="str">
        <x:v>Added v2 operational fields. Review before classification activation.</x:v>
      </x:c>
    </x:row>
    <x:row r="317">
      <x:c r="A317" s="13" t="str">
        <x:v>conjunction_fallacy_conditional_probability_variant</x:v>
      </x:c>
      <x:c r="B317" s="13" t="str">
        <x:v>conjunction_fallacy</x:v>
      </x:c>
      <x:c r="C317" s="13" t="str">
        <x:v>Conjunction fallacy</x:v>
      </x:c>
      <x:c r="D317" s="13" t="str">
        <x:v>مغالطه عطف</x:v>
      </x:c>
      <x:c r="E317" s="13" t="str">
        <x:v>Conditional-probability variant</x:v>
      </x:c>
      <x:c r="F317" s="13" t="str">
        <x:v>probabilistic_failures</x:v>
      </x:c>
      <x:c r="G317" s="13" t="str">
        <x:v>operational_variant</x:v>
      </x:c>
      <x:c r="H317" s="13" t="str">
        <x:v>structural</x:v>
      </x:c>
      <x:c r="I317" s="13" t="str">
        <x:v>claim</x:v>
      </x:c>
      <x:c r="J317" s="13" t="str">
        <x:v>derived_operational_subtype</x:v>
      </x:c>
      <x:c r="K317" s="13" t="str">
        <x:v>derived_from_established_parent_review_required</x:v>
      </x:c>
      <x:c r="L317" s="13" t="str">
        <x:v>P2</x:v>
      </x:c>
      <x:c r="M317" s="13" t="str">
        <x:v>no</x:v>
      </x:c>
      <x:c r="N317" s="13" t="str">
        <x:v>Operational subtype under Conjunction fallacy: conditional probabilities are confused. Parent definition: Judging a conjunction as more probable than one of its components.</x:v>
      </x:c>
      <x:c r="O317" s="13" t="str">
        <x:v>Look for: explicit claim-level evidence; parent-family cues for Conjunction fallacy; variant cue: conditional probabilities are confused; avoid author-level inference.</x:v>
      </x:c>
      <x:c r="P317" s="13" t="str">
        <x:v>Exact evidence span in text plus claim-level reasoning link; for contextual/discourse entries, require surrounding context.</x:v>
      </x:c>
      <x:c r="Q317" s="13" t="str">
        <x:v>Do not label merely because topic is controversial, emotional, or wrong. Do not judge intent or personality. Require textual evidence and consider healthy-reasoning cues.</x:v>
      </x:c>
      <x:c r="R317" s="13" t="str">
        <x:v>Stub: A claim relies on conditional probabilities are confused to support a conclusion without adequate qualification.</x:v>
      </x:c>
      <x:c r="S317" s="13" t="str">
        <x:v>Stub: A claim discusses conjunction fallacy with caveats, balanced evidence, or no argumentative use of the pattern.</x:v>
      </x:c>
      <x:c r="T317" s="13" t="str">
        <x:v>Mild or ambiguous cue; do not classify without clear evidence span.</x:v>
      </x:c>
      <x:c r="U317" s="13" t="str">
        <x:v>Clear claim-level pattern with some argumentative impact.</x:v>
      </x:c>
      <x:c r="V317" s="13" t="str">
        <x:v>Strong pattern central to the conclusion and likely to materially distort reasoning.</x:v>
      </x:c>
      <x:c r="W317" s="13" t="str"/>
      <x:c r="X317" s="13" t="str">
        <x:v>kahneman_tversky_heuristics_1974</x:v>
      </x:c>
      <x:c r="Y317" s="13" t="str">
        <x:v>https://doi.org/10.1126/science.185.4157.1124</x:v>
      </x:c>
      <x:c r="Z317" s="13" t="str">
        <x:v>Review before enabling. This workbook is a living taxonomy scaffold, not a validated scientific benchmark.</x:v>
      </x:c>
      <x:c r="AA317" s="13" t="str">
        <x:v>0.1.0-draft</x:v>
      </x:c>
      <x:c r="AB317" s="12" t="str">
        <x:f>IF(ISNUMBER(SEARCH("healthy",F317)),"healthy_reasoning_patterns",IF(ISNUMBER(SEARCH("statistical",F317)),"statistical_reasoning",IF(ISNUMBER(SEARCH("causal",F317)),"causal_reasoning",IF(ISNUMBER(SEARCH("social",F317)),"social_influence",IF(ISNUMBER(SEARCH("rhetoric",F317)),"rhetoric_discourse",IF(ISNUMBER(SEARCH("behavior",F317)),"behavioural_economics",IF(ISNUMBER(SEARCH("cognitive",F317)),"cognitive_biases",IF(J317="protective_pattern","healthy_reasoning_patterns",IF(L317="P0","core_mvp","extended_fallacies")))))))))</x:f>
        <x:v>extended_fallacies</x:v>
      </x:c>
      <x:c r="AC317" s="12" t="str">
        <x:f>IF(ISNUMBER(SEARCH("operational",J317)),"operational",IF(ISNUMBER(SEARCH("deprecated",J317)),"deprecated",IF(L317="P0","canonical","recognized_subtype")))</x:f>
        <x:v>operational</x:v>
      </x:c>
      <x:c r="AD317" s="12" t="str">
        <x:f>IF(AC317="canonical","high",IF(AC317="recognized_subtype","medium",IF(AC317="operational","operational_only","debated")))</x:f>
        <x:v>operational_only</x:v>
      </x:c>
      <x:c r="AE317" s="12" t="str">
        <x:f>IF(AC317="deprecated","deprecated",IF(M317="yes","active",IF(M317="review","review_required","backlog")))</x:f>
        <x:v>backlog</x:v>
      </x:c>
      <x:c r="AF317" s="12" t="str">
        <x:f>IF(OR(AE317="active",AE317="review_required"),"yes","no")</x:f>
        <x:v>no</x:v>
      </x:c>
      <x:c r="AG317" s="12" t="str">
        <x:f>IF(AND(AE317="active",M317="yes",NOT(ISNUMBER(SEARCH("healthy",AB317)))),"yes","no")</x:f>
        <x:v>no</x:v>
      </x:c>
      <x:c r="AH317" s="12" t="str">
        <x:f>IF(OR(H317="contextual",H317="dialogue",H317="discourse",I317="claim+context",I317="discourse_segment"),"yes","no")</x:f>
        <x:v>no</x:v>
      </x:c>
      <x:c r="AI317" s="12" t="str">
        <x:f>IF(OR(AH317="yes",AD317="debated",AC317="operational"),"yes","no")</x:f>
        <x:v>yes</x:v>
      </x:c>
      <x:c r="AJ317" s="12" t="str">
        <x:f>IF(OR(AH317="yes",AC317="operational",AD317="debated"),"high",IF(AND(AG317="yes",L317="P0"),"medium","low"))</x:f>
        <x:v>high</x:v>
      </x:c>
      <x:c r="AK317" s="12" t="str">
        <x:f>IF(ISNUMBER(SEARCH("healthy",AB317)),"yes","no")</x:f>
        <x:v>no</x:v>
      </x:c>
      <x:c r="AL317" s="12" t="str">
        <x:f>IF(AG317="yes","yes","candidate_only")</x:f>
        <x:v>candidate_only</x:v>
      </x:c>
      <x:c r="AM317" s="12" t="str">
        <x:f>IF(OR(AC317="canonical",AG317="yes"),"yes","recommended")</x:f>
        <x:v>recommended</x:v>
      </x:c>
      <x:c r="AN317" s="12" t="str">
        <x:f>IF(AC317="deprecated","exclude",IF(AND(AG317="yes",AJ317="high"),"import_but_human_review_required",IF(AG317="yes","import_as_active","import_as_backlog")))</x:f>
        <x:v>import_as_backlog</x:v>
      </x:c>
      <x:c r="AO317" s="12" t="str">
        <x:f>IF(AND(AG317="yes",OR(P317="",Q317="",R317="",S317="")),"missing_required_mvp_fields",IF(AND(AC317="canonical",Y317=""),"missing_source_ref","ok"))</x:f>
        <x:v>ok</x:v>
      </x:c>
      <x:c r="AP317" s="12" t="str">
        <x:f>IF(AO317="ok","ready_for_codex_import","needs_review")</x:f>
        <x:v>ready_for_codex_import</x:v>
      </x:c>
      <x:c r="AQ317" s="12"/>
      <x:c r="AR317" s="12" t="str">
        <x:v>Added v2 operational fields. Review before classification activation.</x:v>
      </x:c>
    </x:row>
    <x:row r="318">
      <x:c r="A318" s="13" t="str">
        <x:v>gambler_fallacy_conditional_probability_variant</x:v>
      </x:c>
      <x:c r="B318" s="13" t="str">
        <x:v>gambler_fallacy</x:v>
      </x:c>
      <x:c r="C318" s="13" t="str">
        <x:v>Gambler's fallacy</x:v>
      </x:c>
      <x:c r="D318" s="13" t="str">
        <x:v>مغالطه قمارباز</x:v>
      </x:c>
      <x:c r="E318" s="13" t="str">
        <x:v>Conditional-probability variant</x:v>
      </x:c>
      <x:c r="F318" s="13" t="str">
        <x:v>probabilistic_failures</x:v>
      </x:c>
      <x:c r="G318" s="13" t="str">
        <x:v>operational_variant</x:v>
      </x:c>
      <x:c r="H318" s="13" t="str">
        <x:v>contextual</x:v>
      </x:c>
      <x:c r="I318" s="13" t="str">
        <x:v>claim+context</x:v>
      </x:c>
      <x:c r="J318" s="13" t="str">
        <x:v>derived_operational_subtype</x:v>
      </x:c>
      <x:c r="K318" s="13" t="str">
        <x:v>derived_from_established_parent_review_required</x:v>
      </x:c>
      <x:c r="L318" s="13" t="str">
        <x:v>P2</x:v>
      </x:c>
      <x:c r="M318" s="13" t="str">
        <x:v>no</x:v>
      </x:c>
      <x:c r="N318" s="13" t="str">
        <x:v>Operational subtype under Gambler's fallacy: conditional probabilities are confused. Parent definition: Expecting random outcomes to self-correct over short sequences.</x:v>
      </x:c>
      <x:c r="O318" s="13" t="str">
        <x:v>Look for: explicit claim-level evidence; parent-family cues for Gambler's fallacy; variant cue: conditional probabilities are confused; avoid author-level inference.</x:v>
      </x:c>
      <x:c r="P318" s="13" t="str">
        <x:v>Exact evidence span in text plus claim-level reasoning link; for contextual/discourse entries, require surrounding context.</x:v>
      </x:c>
      <x:c r="Q318" s="13" t="str">
        <x:v>Do not label merely because topic is controversial, emotional, or wrong. Do not judge intent or personality. Require textual evidence and consider healthy-reasoning cues.</x:v>
      </x:c>
      <x:c r="R318" s="13" t="str">
        <x:v>Stub: A claim relies on conditional probabilities are confused to support a conclusion without adequate qualification.</x:v>
      </x:c>
      <x:c r="S318" s="13" t="str">
        <x:v>Stub: A claim discusses gambler's fallacy with caveats, balanced evidence, or no argumentative use of the pattern.</x:v>
      </x:c>
      <x:c r="T318" s="13" t="str">
        <x:v>Mild or ambiguous cue; do not classify without clear evidence span.</x:v>
      </x:c>
      <x:c r="U318" s="13" t="str">
        <x:v>Clear claim-level pattern with some argumentative impact.</x:v>
      </x:c>
      <x:c r="V318" s="13" t="str">
        <x:v>Strong pattern central to the conclusion and likely to materially distort reasoning.</x:v>
      </x:c>
      <x:c r="W318" s="13" t="str"/>
      <x:c r="X318" s="13" t="str">
        <x:v>kahneman_tversky_heuristics_1974</x:v>
      </x:c>
      <x:c r="Y318" s="13" t="str">
        <x:v>https://doi.org/10.1126/science.185.4157.1124</x:v>
      </x:c>
      <x:c r="Z318" s="13" t="str">
        <x:v>Review before enabling. This workbook is a living taxonomy scaffold, not a validated scientific benchmark.</x:v>
      </x:c>
      <x:c r="AA318" s="13" t="str">
        <x:v>0.1.0-draft</x:v>
      </x:c>
      <x:c r="AB318" s="12" t="str">
        <x:f>IF(ISNUMBER(SEARCH("healthy",F318)),"healthy_reasoning_patterns",IF(ISNUMBER(SEARCH("statistical",F318)),"statistical_reasoning",IF(ISNUMBER(SEARCH("causal",F318)),"causal_reasoning",IF(ISNUMBER(SEARCH("social",F318)),"social_influence",IF(ISNUMBER(SEARCH("rhetoric",F318)),"rhetoric_discourse",IF(ISNUMBER(SEARCH("behavior",F318)),"behavioural_economics",IF(ISNUMBER(SEARCH("cognitive",F318)),"cognitive_biases",IF(J318="protective_pattern","healthy_reasoning_patterns",IF(L318="P0","core_mvp","extended_fallacies")))))))))</x:f>
        <x:v>extended_fallacies</x:v>
      </x:c>
      <x:c r="AC318" s="12" t="str">
        <x:f>IF(ISNUMBER(SEARCH("operational",J318)),"operational",IF(ISNUMBER(SEARCH("deprecated",J318)),"deprecated",IF(L318="P0","canonical","recognized_subtype")))</x:f>
        <x:v>operational</x:v>
      </x:c>
      <x:c r="AD318" s="12" t="str">
        <x:f>IF(AC318="canonical","high",IF(AC318="recognized_subtype","medium",IF(AC318="operational","operational_only","debated")))</x:f>
        <x:v>operational_only</x:v>
      </x:c>
      <x:c r="AE318" s="12" t="str">
        <x:f>IF(AC318="deprecated","deprecated",IF(M318="yes","active",IF(M318="review","review_required","backlog")))</x:f>
        <x:v>backlog</x:v>
      </x:c>
      <x:c r="AF318" s="12" t="str">
        <x:f>IF(OR(AE318="active",AE318="review_required"),"yes","no")</x:f>
        <x:v>no</x:v>
      </x:c>
      <x:c r="AG318" s="12" t="str">
        <x:f>IF(AND(AE318="active",M318="yes",NOT(ISNUMBER(SEARCH("healthy",AB318)))),"yes","no")</x:f>
        <x:v>no</x:v>
      </x:c>
      <x:c r="AH318" s="12" t="str">
        <x:f>IF(OR(H318="contextual",H318="dialogue",H318="discourse",I318="claim+context",I318="discourse_segment"),"yes","no")</x:f>
        <x:v>yes</x:v>
      </x:c>
      <x:c r="AI318" s="12" t="str">
        <x:f>IF(OR(AH318="yes",AD318="debated",AC318="operational"),"yes","no")</x:f>
        <x:v>yes</x:v>
      </x:c>
      <x:c r="AJ318" s="12" t="str">
        <x:f>IF(OR(AH318="yes",AC318="operational",AD318="debated"),"high",IF(AND(AG318="yes",L318="P0"),"medium","low"))</x:f>
        <x:v>high</x:v>
      </x:c>
      <x:c r="AK318" s="12" t="str">
        <x:f>IF(ISNUMBER(SEARCH("healthy",AB318)),"yes","no")</x:f>
        <x:v>no</x:v>
      </x:c>
      <x:c r="AL318" s="12" t="str">
        <x:f>IF(AG318="yes","yes","candidate_only")</x:f>
        <x:v>candidate_only</x:v>
      </x:c>
      <x:c r="AM318" s="12" t="str">
        <x:f>IF(OR(AC318="canonical",AG318="yes"),"yes","recommended")</x:f>
        <x:v>recommended</x:v>
      </x:c>
      <x:c r="AN318" s="12" t="str">
        <x:f>IF(AC318="deprecated","exclude",IF(AND(AG318="yes",AJ318="high"),"import_but_human_review_required",IF(AG318="yes","import_as_active","import_as_backlog")))</x:f>
        <x:v>import_as_backlog</x:v>
      </x:c>
      <x:c r="AO318" s="12" t="str">
        <x:f>IF(AND(AG318="yes",OR(P318="",Q318="",R318="",S318="")),"missing_required_mvp_fields",IF(AND(AC318="canonical",Y318=""),"missing_source_ref","ok"))</x:f>
        <x:v>ok</x:v>
      </x:c>
      <x:c r="AP318" s="12" t="str">
        <x:f>IF(AO318="ok","ready_for_codex_import","needs_review")</x:f>
        <x:v>ready_for_codex_import</x:v>
      </x:c>
      <x:c r="AQ318" s="12"/>
      <x:c r="AR318" s="12" t="str">
        <x:v>Added v2 operational fields. Review before classification activation.</x:v>
      </x:c>
    </x:row>
    <x:row r="319">
      <x:c r="A319" s="13" t="str">
        <x:v>hot_hand_fallacy_conditional_probability_variant</x:v>
      </x:c>
      <x:c r="B319" s="13" t="str">
        <x:v>hot_hand_fallacy</x:v>
      </x:c>
      <x:c r="C319" s="13" t="str">
        <x:v>Hot-hand fallacy</x:v>
      </x:c>
      <x:c r="D319" s="13" t="str">
        <x:v>خطای دست داغ</x:v>
      </x:c>
      <x:c r="E319" s="13" t="str">
        <x:v>Conditional-probability variant</x:v>
      </x:c>
      <x:c r="F319" s="13" t="str">
        <x:v>probabilistic_failures</x:v>
      </x:c>
      <x:c r="G319" s="13" t="str">
        <x:v>operational_variant</x:v>
      </x:c>
      <x:c r="H319" s="13" t="str">
        <x:v>contextual</x:v>
      </x:c>
      <x:c r="I319" s="13" t="str">
        <x:v>claim+context</x:v>
      </x:c>
      <x:c r="J319" s="13" t="str">
        <x:v>derived_operational_subtype</x:v>
      </x:c>
      <x:c r="K319" s="13" t="str">
        <x:v>derived_from_established_parent_review_required</x:v>
      </x:c>
      <x:c r="L319" s="13" t="str">
        <x:v>P2</x:v>
      </x:c>
      <x:c r="M319" s="13" t="str">
        <x:v>no</x:v>
      </x:c>
      <x:c r="N319" s="13" t="str">
        <x:v>Operational subtype under Hot-hand fallacy: conditional probabilities are confused. Parent definition: Inferring persistent streak-based ability from random or noisy sequences.</x:v>
      </x:c>
      <x:c r="O319" s="13" t="str">
        <x:v>Look for: explicit claim-level evidence; parent-family cues for Hot-hand fallacy; variant cue: conditional probabilities are confused; avoid author-level inference.</x:v>
      </x:c>
      <x:c r="P319" s="13" t="str">
        <x:v>Exact evidence span in text plus claim-level reasoning link; for contextual/discourse entries, require surrounding context.</x:v>
      </x:c>
      <x:c r="Q319" s="13" t="str">
        <x:v>Do not label merely because topic is controversial, emotional, or wrong. Do not judge intent or personality. Require textual evidence and consider healthy-reasoning cues.</x:v>
      </x:c>
      <x:c r="R319" s="13" t="str">
        <x:v>Stub: A claim relies on conditional probabilities are confused to support a conclusion without adequate qualification.</x:v>
      </x:c>
      <x:c r="S319" s="13" t="str">
        <x:v>Stub: A claim discusses hot-hand fallacy with caveats, balanced evidence, or no argumentative use of the pattern.</x:v>
      </x:c>
      <x:c r="T319" s="13" t="str">
        <x:v>Mild or ambiguous cue; do not classify without clear evidence span.</x:v>
      </x:c>
      <x:c r="U319" s="13" t="str">
        <x:v>Clear claim-level pattern with some argumentative impact.</x:v>
      </x:c>
      <x:c r="V319" s="13" t="str">
        <x:v>Strong pattern central to the conclusion and likely to materially distort reasoning.</x:v>
      </x:c>
      <x:c r="W319" s="13" t="str"/>
      <x:c r="X319" s="13" t="str">
        <x:v>gilovich_heuristics_biases</x:v>
      </x:c>
      <x:c r="Y319" s="13" t="str">
        <x:v>https://www.cambridge.org/core/books/heuristics-and-biases/3C30D3B05D2F190C3B8BE5E2531EFD24</x:v>
      </x:c>
      <x:c r="Z319" s="13" t="str">
        <x:v>Review before enabling. This workbook is a living taxonomy scaffold, not a validated scientific benchmark.</x:v>
      </x:c>
      <x:c r="AA319" s="13" t="str">
        <x:v>0.1.0-draft</x:v>
      </x:c>
      <x:c r="AB319" s="12" t="str">
        <x:f>IF(ISNUMBER(SEARCH("healthy",F319)),"healthy_reasoning_patterns",IF(ISNUMBER(SEARCH("statistical",F319)),"statistical_reasoning",IF(ISNUMBER(SEARCH("causal",F319)),"causal_reasoning",IF(ISNUMBER(SEARCH("social",F319)),"social_influence",IF(ISNUMBER(SEARCH("rhetoric",F319)),"rhetoric_discourse",IF(ISNUMBER(SEARCH("behavior",F319)),"behavioural_economics",IF(ISNUMBER(SEARCH("cognitive",F319)),"cognitive_biases",IF(J319="protective_pattern","healthy_reasoning_patterns",IF(L319="P0","core_mvp","extended_fallacies")))))))))</x:f>
        <x:v>extended_fallacies</x:v>
      </x:c>
      <x:c r="AC319" s="12" t="str">
        <x:f>IF(ISNUMBER(SEARCH("operational",J319)),"operational",IF(ISNUMBER(SEARCH("deprecated",J319)),"deprecated",IF(L319="P0","canonical","recognized_subtype")))</x:f>
        <x:v>operational</x:v>
      </x:c>
      <x:c r="AD319" s="12" t="str">
        <x:f>IF(AC319="canonical","high",IF(AC319="recognized_subtype","medium",IF(AC319="operational","operational_only","debated")))</x:f>
        <x:v>operational_only</x:v>
      </x:c>
      <x:c r="AE319" s="12" t="str">
        <x:f>IF(AC319="deprecated","deprecated",IF(M319="yes","active",IF(M319="review","review_required","backlog")))</x:f>
        <x:v>backlog</x:v>
      </x:c>
      <x:c r="AF319" s="12" t="str">
        <x:f>IF(OR(AE319="active",AE319="review_required"),"yes","no")</x:f>
        <x:v>no</x:v>
      </x:c>
      <x:c r="AG319" s="12" t="str">
        <x:f>IF(AND(AE319="active",M319="yes",NOT(ISNUMBER(SEARCH("healthy",AB319)))),"yes","no")</x:f>
        <x:v>no</x:v>
      </x:c>
      <x:c r="AH319" s="12" t="str">
        <x:f>IF(OR(H319="contextual",H319="dialogue",H319="discourse",I319="claim+context",I319="discourse_segment"),"yes","no")</x:f>
        <x:v>yes</x:v>
      </x:c>
      <x:c r="AI319" s="12" t="str">
        <x:f>IF(OR(AH319="yes",AD319="debated",AC319="operational"),"yes","no")</x:f>
        <x:v>yes</x:v>
      </x:c>
      <x:c r="AJ319" s="12" t="str">
        <x:f>IF(OR(AH319="yes",AC319="operational",AD319="debated"),"high",IF(AND(AG319="yes",L319="P0"),"medium","low"))</x:f>
        <x:v>high</x:v>
      </x:c>
      <x:c r="AK319" s="12" t="str">
        <x:f>IF(ISNUMBER(SEARCH("healthy",AB319)),"yes","no")</x:f>
        <x:v>no</x:v>
      </x:c>
      <x:c r="AL319" s="12" t="str">
        <x:f>IF(AG319="yes","yes","candidate_only")</x:f>
        <x:v>candidate_only</x:v>
      </x:c>
      <x:c r="AM319" s="12" t="str">
        <x:f>IF(OR(AC319="canonical",AG319="yes"),"yes","recommended")</x:f>
        <x:v>recommended</x:v>
      </x:c>
      <x:c r="AN319" s="12" t="str">
        <x:f>IF(AC319="deprecated","exclude",IF(AND(AG319="yes",AJ319="high"),"import_but_human_review_required",IF(AG319="yes","import_as_active","import_as_backlog")))</x:f>
        <x:v>import_as_backlog</x:v>
      </x:c>
      <x:c r="AO319" s="12" t="str">
        <x:f>IF(AND(AG319="yes",OR(P319="",Q319="",R319="",S319="")),"missing_required_mvp_fields",IF(AND(AC319="canonical",Y319=""),"missing_source_ref","ok"))</x:f>
        <x:v>ok</x:v>
      </x:c>
      <x:c r="AP319" s="12" t="str">
        <x:f>IF(AO319="ok","ready_for_codex_import","needs_review")</x:f>
        <x:v>ready_for_codex_import</x:v>
      </x:c>
      <x:c r="AQ319" s="12"/>
      <x:c r="AR319" s="12" t="str">
        <x:v>Added v2 operational fields. Review before classification activation.</x:v>
      </x:c>
    </x:row>
    <x:row r="320">
      <x:c r="A320" s="13" t="str">
        <x:v>regression_to_mean_neglect_conditional_probability_variant</x:v>
      </x:c>
      <x:c r="B320" s="13" t="str">
        <x:v>regression_to_mean_neglect</x:v>
      </x:c>
      <x:c r="C320" s="13" t="str">
        <x:v>Regression-to-mean neglect</x:v>
      </x:c>
      <x:c r="D320" s="13" t="str">
        <x:v>نادیده‌گرفتن بازگشت به میانگین</x:v>
      </x:c>
      <x:c r="E320" s="13" t="str">
        <x:v>Conditional-probability variant</x:v>
      </x:c>
      <x:c r="F320" s="13" t="str">
        <x:v>probabilistic_failures</x:v>
      </x:c>
      <x:c r="G320" s="13" t="str">
        <x:v>operational_variant</x:v>
      </x:c>
      <x:c r="H320" s="13" t="str">
        <x:v>contextual</x:v>
      </x:c>
      <x:c r="I320" s="13" t="str">
        <x:v>claim+context</x:v>
      </x:c>
      <x:c r="J320" s="13" t="str">
        <x:v>derived_operational_subtype</x:v>
      </x:c>
      <x:c r="K320" s="13" t="str">
        <x:v>derived_from_established_parent_review_required</x:v>
      </x:c>
      <x:c r="L320" s="13" t="str">
        <x:v>P2</x:v>
      </x:c>
      <x:c r="M320" s="13" t="str">
        <x:v>no</x:v>
      </x:c>
      <x:c r="N320" s="13" t="str">
        <x:v>Operational subtype under Regression-to-mean neglect: conditional probabilities are confused. Parent definition: Explaining natural reversion as if it were caused by an intervention.</x:v>
      </x:c>
      <x:c r="O320" s="13" t="str">
        <x:v>Look for: explicit claim-level evidence; parent-family cues for Regression-to-mean neglect; variant cue: conditional probabilities are confused; avoid author-level inference.</x:v>
      </x:c>
      <x:c r="P320" s="13" t="str">
        <x:v>Exact evidence span in text plus claim-level reasoning link; for contextual/discourse entries, require surrounding context.</x:v>
      </x:c>
      <x:c r="Q320" s="13" t="str">
        <x:v>Do not label merely because topic is controversial, emotional, or wrong. Do not judge intent or personality. Require textual evidence and consider healthy-reasoning cues.</x:v>
      </x:c>
      <x:c r="R320" s="13" t="str">
        <x:v>Stub: A claim relies on conditional probabilities are confused to support a conclusion without adequate qualification.</x:v>
      </x:c>
      <x:c r="S320" s="13" t="str">
        <x:v>Stub: A claim discusses regression-to-mean neglect with caveats, balanced evidence, or no argumentative use of the pattern.</x:v>
      </x:c>
      <x:c r="T320" s="13" t="str">
        <x:v>Mild or ambiguous cue; do not classify without clear evidence span.</x:v>
      </x:c>
      <x:c r="U320" s="13" t="str">
        <x:v>Clear claim-level pattern with some argumentative impact.</x:v>
      </x:c>
      <x:c r="V320" s="13" t="str">
        <x:v>Strong pattern central to the conclusion and likely to materially distort reasoning.</x:v>
      </x:c>
      <x:c r="W320" s="13" t="str"/>
      <x:c r="X320" s="13" t="str">
        <x:v>kahneman_tversky_heuristics_1974</x:v>
      </x:c>
      <x:c r="Y320" s="13" t="str">
        <x:v>https://doi.org/10.1126/science.185.4157.1124</x:v>
      </x:c>
      <x:c r="Z320" s="13" t="str">
        <x:v>Review before enabling. This workbook is a living taxonomy scaffold, not a validated scientific benchmark.</x:v>
      </x:c>
      <x:c r="AA320" s="13" t="str">
        <x:v>0.1.0-draft</x:v>
      </x:c>
      <x:c r="AB320" s="12" t="str">
        <x:f>IF(ISNUMBER(SEARCH("healthy",F320)),"healthy_reasoning_patterns",IF(ISNUMBER(SEARCH("statistical",F320)),"statistical_reasoning",IF(ISNUMBER(SEARCH("causal",F320)),"causal_reasoning",IF(ISNUMBER(SEARCH("social",F320)),"social_influence",IF(ISNUMBER(SEARCH("rhetoric",F320)),"rhetoric_discourse",IF(ISNUMBER(SEARCH("behavior",F320)),"behavioural_economics",IF(ISNUMBER(SEARCH("cognitive",F320)),"cognitive_biases",IF(J320="protective_pattern","healthy_reasoning_patterns",IF(L320="P0","core_mvp","extended_fallacies")))))))))</x:f>
        <x:v>extended_fallacies</x:v>
      </x:c>
      <x:c r="AC320" s="12" t="str">
        <x:f>IF(ISNUMBER(SEARCH("operational",J320)),"operational",IF(ISNUMBER(SEARCH("deprecated",J320)),"deprecated",IF(L320="P0","canonical","recognized_subtype")))</x:f>
        <x:v>operational</x:v>
      </x:c>
      <x:c r="AD320" s="12" t="str">
        <x:f>IF(AC320="canonical","high",IF(AC320="recognized_subtype","medium",IF(AC320="operational","operational_only","debated")))</x:f>
        <x:v>operational_only</x:v>
      </x:c>
      <x:c r="AE320" s="12" t="str">
        <x:f>IF(AC320="deprecated","deprecated",IF(M320="yes","active",IF(M320="review","review_required","backlog")))</x:f>
        <x:v>backlog</x:v>
      </x:c>
      <x:c r="AF320" s="12" t="str">
        <x:f>IF(OR(AE320="active",AE320="review_required"),"yes","no")</x:f>
        <x:v>no</x:v>
      </x:c>
      <x:c r="AG320" s="12" t="str">
        <x:f>IF(AND(AE320="active",M320="yes",NOT(ISNUMBER(SEARCH("healthy",AB320)))),"yes","no")</x:f>
        <x:v>no</x:v>
      </x:c>
      <x:c r="AH320" s="12" t="str">
        <x:f>IF(OR(H320="contextual",H320="dialogue",H320="discourse",I320="claim+context",I320="discourse_segment"),"yes","no")</x:f>
        <x:v>yes</x:v>
      </x:c>
      <x:c r="AI320" s="12" t="str">
        <x:f>IF(OR(AH320="yes",AD320="debated",AC320="operational"),"yes","no")</x:f>
        <x:v>yes</x:v>
      </x:c>
      <x:c r="AJ320" s="12" t="str">
        <x:f>IF(OR(AH320="yes",AC320="operational",AD320="debated"),"high",IF(AND(AG320="yes",L320="P0"),"medium","low"))</x:f>
        <x:v>high</x:v>
      </x:c>
      <x:c r="AK320" s="12" t="str">
        <x:f>IF(ISNUMBER(SEARCH("healthy",AB320)),"yes","no")</x:f>
        <x:v>no</x:v>
      </x:c>
      <x:c r="AL320" s="12" t="str">
        <x:f>IF(AG320="yes","yes","candidate_only")</x:f>
        <x:v>candidate_only</x:v>
      </x:c>
      <x:c r="AM320" s="12" t="str">
        <x:f>IF(OR(AC320="canonical",AG320="yes"),"yes","recommended")</x:f>
        <x:v>recommended</x:v>
      </x:c>
      <x:c r="AN320" s="12" t="str">
        <x:f>IF(AC320="deprecated","exclude",IF(AND(AG320="yes",AJ320="high"),"import_but_human_review_required",IF(AG320="yes","import_as_active","import_as_backlog")))</x:f>
        <x:v>import_as_backlog</x:v>
      </x:c>
      <x:c r="AO320" s="12" t="str">
        <x:f>IF(AND(AG320="yes",OR(P320="",Q320="",R320="",S320="")),"missing_required_mvp_fields",IF(AND(AC320="canonical",Y320=""),"missing_source_ref","ok"))</x:f>
        <x:v>ok</x:v>
      </x:c>
      <x:c r="AP320" s="12" t="str">
        <x:f>IF(AO320="ok","ready_for_codex_import","needs_review")</x:f>
        <x:v>ready_for_codex_import</x:v>
      </x:c>
      <x:c r="AQ320" s="12"/>
      <x:c r="AR320" s="12" t="str">
        <x:v>Added v2 operational fields. Review before classification activation.</x:v>
      </x:c>
    </x:row>
    <x:row r="321">
      <x:c r="A321" s="13" t="str">
        <x:v>inverse_probability_error_conditional_probability_variant</x:v>
      </x:c>
      <x:c r="B321" s="13" t="str">
        <x:v>inverse_probability_error</x:v>
      </x:c>
      <x:c r="C321" s="13" t="str">
        <x:v>Inverse probability error</x:v>
      </x:c>
      <x:c r="D321" s="13" t="str">
        <x:v>اشتباه احتمال معکوس</x:v>
      </x:c>
      <x:c r="E321" s="13" t="str">
        <x:v>Conditional-probability variant</x:v>
      </x:c>
      <x:c r="F321" s="13" t="str">
        <x:v>probabilistic_failures</x:v>
      </x:c>
      <x:c r="G321" s="13" t="str">
        <x:v>operational_variant</x:v>
      </x:c>
      <x:c r="H321" s="13" t="str">
        <x:v>structural</x:v>
      </x:c>
      <x:c r="I321" s="13" t="str">
        <x:v>claim</x:v>
      </x:c>
      <x:c r="J321" s="13" t="str">
        <x:v>derived_operational_subtype</x:v>
      </x:c>
      <x:c r="K321" s="13" t="str">
        <x:v>derived_from_established_parent_review_required</x:v>
      </x:c>
      <x:c r="L321" s="13" t="str">
        <x:v>P2</x:v>
      </x:c>
      <x:c r="M321" s="13" t="str">
        <x:v>no</x:v>
      </x:c>
      <x:c r="N321" s="13" t="str">
        <x:v>Operational subtype under Inverse probability error: conditional probabilities are confused. Parent definition: Confusing P(A|B) with P(B|A).</x:v>
      </x:c>
      <x:c r="O321" s="13" t="str">
        <x:v>Look for: explicit claim-level evidence; parent-family cues for Inverse probability error; variant cue: conditional probabilities are confused; avoid author-level inference.</x:v>
      </x:c>
      <x:c r="P321" s="13" t="str">
        <x:v>Exact evidence span in text plus claim-level reasoning link; for contextual/discourse entries, require surrounding context.</x:v>
      </x:c>
      <x:c r="Q321" s="13" t="str">
        <x:v>Do not label merely because topic is controversial, emotional, or wrong. Do not judge intent or personality. Require textual evidence and consider healthy-reasoning cues.</x:v>
      </x:c>
      <x:c r="R321" s="13" t="str">
        <x:v>Stub: A claim relies on conditional probabilities are confused to support a conclusion without adequate qualification.</x:v>
      </x:c>
      <x:c r="S321" s="13" t="str">
        <x:v>Stub: A claim discusses inverse probability error with caveats, balanced evidence, or no argumentative use of the pattern.</x:v>
      </x:c>
      <x:c r="T321" s="13" t="str">
        <x:v>Mild or ambiguous cue; do not classify without clear evidence span.</x:v>
      </x:c>
      <x:c r="U321" s="13" t="str">
        <x:v>Clear claim-level pattern with some argumentative impact.</x:v>
      </x:c>
      <x:c r="V321" s="13" t="str">
        <x:v>Strong pattern central to the conclusion and likely to materially distort reasoning.</x:v>
      </x:c>
      <x:c r="W321" s="13" t="str"/>
      <x:c r="X321" s="13" t="str">
        <x:v>stanovich_dual_process</x:v>
      </x:c>
      <x:c r="Y321" s="13" t="str">
        <x:v>https://global.oup.com/academic/product/rationality-and-the-reflective-mind-9780195341140</x:v>
      </x:c>
      <x:c r="Z321" s="13" t="str">
        <x:v>Review before enabling. This workbook is a living taxonomy scaffold, not a validated scientific benchmark.</x:v>
      </x:c>
      <x:c r="AA321" s="13" t="str">
        <x:v>0.1.0-draft</x:v>
      </x:c>
      <x:c r="AB321" s="12" t="str">
        <x:f>IF(ISNUMBER(SEARCH("healthy",F321)),"healthy_reasoning_patterns",IF(ISNUMBER(SEARCH("statistical",F321)),"statistical_reasoning",IF(ISNUMBER(SEARCH("causal",F321)),"causal_reasoning",IF(ISNUMBER(SEARCH("social",F321)),"social_influence",IF(ISNUMBER(SEARCH("rhetoric",F321)),"rhetoric_discourse",IF(ISNUMBER(SEARCH("behavior",F321)),"behavioural_economics",IF(ISNUMBER(SEARCH("cognitive",F321)),"cognitive_biases",IF(J321="protective_pattern","healthy_reasoning_patterns",IF(L321="P0","core_mvp","extended_fallacies")))))))))</x:f>
        <x:v>extended_fallacies</x:v>
      </x:c>
      <x:c r="AC321" s="12" t="str">
        <x:f>IF(ISNUMBER(SEARCH("operational",J321)),"operational",IF(ISNUMBER(SEARCH("deprecated",J321)),"deprecated",IF(L321="P0","canonical","recognized_subtype")))</x:f>
        <x:v>operational</x:v>
      </x:c>
      <x:c r="AD321" s="12" t="str">
        <x:f>IF(AC321="canonical","high",IF(AC321="recognized_subtype","medium",IF(AC321="operational","operational_only","debated")))</x:f>
        <x:v>operational_only</x:v>
      </x:c>
      <x:c r="AE321" s="12" t="str">
        <x:f>IF(AC321="deprecated","deprecated",IF(M321="yes","active",IF(M321="review","review_required","backlog")))</x:f>
        <x:v>backlog</x:v>
      </x:c>
      <x:c r="AF321" s="12" t="str">
        <x:f>IF(OR(AE321="active",AE321="review_required"),"yes","no")</x:f>
        <x:v>no</x:v>
      </x:c>
      <x:c r="AG321" s="12" t="str">
        <x:f>IF(AND(AE321="active",M321="yes",NOT(ISNUMBER(SEARCH("healthy",AB321)))),"yes","no")</x:f>
        <x:v>no</x:v>
      </x:c>
      <x:c r="AH321" s="12" t="str">
        <x:f>IF(OR(H321="contextual",H321="dialogue",H321="discourse",I321="claim+context",I321="discourse_segment"),"yes","no")</x:f>
        <x:v>no</x:v>
      </x:c>
      <x:c r="AI321" s="12" t="str">
        <x:f>IF(OR(AH321="yes",AD321="debated",AC321="operational"),"yes","no")</x:f>
        <x:v>yes</x:v>
      </x:c>
      <x:c r="AJ321" s="12" t="str">
        <x:f>IF(OR(AH321="yes",AC321="operational",AD321="debated"),"high",IF(AND(AG321="yes",L321="P0"),"medium","low"))</x:f>
        <x:v>high</x:v>
      </x:c>
      <x:c r="AK321" s="12" t="str">
        <x:f>IF(ISNUMBER(SEARCH("healthy",AB321)),"yes","no")</x:f>
        <x:v>no</x:v>
      </x:c>
      <x:c r="AL321" s="12" t="str">
        <x:f>IF(AG321="yes","yes","candidate_only")</x:f>
        <x:v>candidate_only</x:v>
      </x:c>
      <x:c r="AM321" s="12" t="str">
        <x:f>IF(OR(AC321="canonical",AG321="yes"),"yes","recommended")</x:f>
        <x:v>recommended</x:v>
      </x:c>
      <x:c r="AN321" s="12" t="str">
        <x:f>IF(AC321="deprecated","exclude",IF(AND(AG321="yes",AJ321="high"),"import_but_human_review_required",IF(AG321="yes","import_as_active","import_as_backlog")))</x:f>
        <x:v>import_as_backlog</x:v>
      </x:c>
      <x:c r="AO321" s="12" t="str">
        <x:f>IF(AND(AG321="yes",OR(P321="",Q321="",R321="",S321="")),"missing_required_mvp_fields",IF(AND(AC321="canonical",Y321=""),"missing_source_ref","ok"))</x:f>
        <x:v>ok</x:v>
      </x:c>
      <x:c r="AP321" s="12" t="str">
        <x:f>IF(AO321="ok","ready_for_codex_import","needs_review")</x:f>
        <x:v>ready_for_codex_import</x:v>
      </x:c>
      <x:c r="AQ321" s="12"/>
      <x:c r="AR321" s="12" t="str">
        <x:v>Added v2 operational fields. Review before classification activation.</x:v>
      </x:c>
    </x:row>
    <x:row r="322">
      <x:c r="A322" s="13" t="str">
        <x:v>prosecutor_fallacy_conditional_probability_variant</x:v>
      </x:c>
      <x:c r="B322" s="13" t="str">
        <x:v>prosecutor_fallacy</x:v>
      </x:c>
      <x:c r="C322" s="13" t="str">
        <x:v>Prosecutor's fallacy</x:v>
      </x:c>
      <x:c r="D322" s="13" t="str">
        <x:v>مغالطه دادستان</x:v>
      </x:c>
      <x:c r="E322" s="13" t="str">
        <x:v>Conditional-probability variant</x:v>
      </x:c>
      <x:c r="F322" s="13" t="str">
        <x:v>probabilistic_failures</x:v>
      </x:c>
      <x:c r="G322" s="13" t="str">
        <x:v>operational_variant</x:v>
      </x:c>
      <x:c r="H322" s="13" t="str">
        <x:v>structural</x:v>
      </x:c>
      <x:c r="I322" s="13" t="str">
        <x:v>claim</x:v>
      </x:c>
      <x:c r="J322" s="13" t="str">
        <x:v>derived_operational_subtype</x:v>
      </x:c>
      <x:c r="K322" s="13" t="str">
        <x:v>derived_from_established_parent_review_required</x:v>
      </x:c>
      <x:c r="L322" s="13" t="str">
        <x:v>P2</x:v>
      </x:c>
      <x:c r="M322" s="13" t="str">
        <x:v>no</x:v>
      </x:c>
      <x:c r="N322" s="13" t="str">
        <x:v>Operational subtype under Prosecutor's fallacy: conditional probabilities are confused. Parent definition: Overstating evidential strength by confusing match probability with guilt probability.</x:v>
      </x:c>
      <x:c r="O322" s="13" t="str">
        <x:v>Look for: explicit claim-level evidence; parent-family cues for Prosecutor's fallacy; variant cue: conditional probabilities are confused; avoid author-level inference.</x:v>
      </x:c>
      <x:c r="P322" s="13" t="str">
        <x:v>Exact evidence span in text plus claim-level reasoning link; for contextual/discourse entries, require surrounding context.</x:v>
      </x:c>
      <x:c r="Q322" s="13" t="str">
        <x:v>Do not label merely because topic is controversial, emotional, or wrong. Do not judge intent or personality. Require textual evidence and consider healthy-reasoning cues.</x:v>
      </x:c>
      <x:c r="R322" s="13" t="str">
        <x:v>Stub: A claim relies on conditional probabilities are confused to support a conclusion without adequate qualification.</x:v>
      </x:c>
      <x:c r="S322" s="13" t="str">
        <x:v>Stub: A claim discusses prosecutor's fallacy with caveats, balanced evidence, or no argumentative use of the pattern.</x:v>
      </x:c>
      <x:c r="T322" s="13" t="str">
        <x:v>Mild or ambiguous cue; do not classify without clear evidence span.</x:v>
      </x:c>
      <x:c r="U322" s="13" t="str">
        <x:v>Clear claim-level pattern with some argumentative impact.</x:v>
      </x:c>
      <x:c r="V322" s="13" t="str">
        <x:v>Strong pattern central to the conclusion and likely to materially distort reasoning.</x:v>
      </x:c>
      <x:c r="W322" s="13" t="str"/>
      <x:c r="X322" s="13" t="str">
        <x:v>stanovich_dual_process</x:v>
      </x:c>
      <x:c r="Y322" s="13" t="str">
        <x:v>https://global.oup.com/academic/product/rationality-and-the-reflective-mind-9780195341140</x:v>
      </x:c>
      <x:c r="Z322" s="13" t="str">
        <x:v>Review before enabling. This workbook is a living taxonomy scaffold, not a validated scientific benchmark.</x:v>
      </x:c>
      <x:c r="AA322" s="13" t="str">
        <x:v>0.1.0-draft</x:v>
      </x:c>
      <x:c r="AB322" s="12" t="str">
        <x:f>IF(ISNUMBER(SEARCH("healthy",F322)),"healthy_reasoning_patterns",IF(ISNUMBER(SEARCH("statistical",F322)),"statistical_reasoning",IF(ISNUMBER(SEARCH("causal",F322)),"causal_reasoning",IF(ISNUMBER(SEARCH("social",F322)),"social_influence",IF(ISNUMBER(SEARCH("rhetoric",F322)),"rhetoric_discourse",IF(ISNUMBER(SEARCH("behavior",F322)),"behavioural_economics",IF(ISNUMBER(SEARCH("cognitive",F322)),"cognitive_biases",IF(J322="protective_pattern","healthy_reasoning_patterns",IF(L322="P0","core_mvp","extended_fallacies")))))))))</x:f>
        <x:v>extended_fallacies</x:v>
      </x:c>
      <x:c r="AC322" s="12" t="str">
        <x:f>IF(ISNUMBER(SEARCH("operational",J322)),"operational",IF(ISNUMBER(SEARCH("deprecated",J322)),"deprecated",IF(L322="P0","canonical","recognized_subtype")))</x:f>
        <x:v>operational</x:v>
      </x:c>
      <x:c r="AD322" s="12" t="str">
        <x:f>IF(AC322="canonical","high",IF(AC322="recognized_subtype","medium",IF(AC322="operational","operational_only","debated")))</x:f>
        <x:v>operational_only</x:v>
      </x:c>
      <x:c r="AE322" s="12" t="str">
        <x:f>IF(AC322="deprecated","deprecated",IF(M322="yes","active",IF(M322="review","review_required","backlog")))</x:f>
        <x:v>backlog</x:v>
      </x:c>
      <x:c r="AF322" s="12" t="str">
        <x:f>IF(OR(AE322="active",AE322="review_required"),"yes","no")</x:f>
        <x:v>no</x:v>
      </x:c>
      <x:c r="AG322" s="12" t="str">
        <x:f>IF(AND(AE322="active",M322="yes",NOT(ISNUMBER(SEARCH("healthy",AB322)))),"yes","no")</x:f>
        <x:v>no</x:v>
      </x:c>
      <x:c r="AH322" s="12" t="str">
        <x:f>IF(OR(H322="contextual",H322="dialogue",H322="discourse",I322="claim+context",I322="discourse_segment"),"yes","no")</x:f>
        <x:v>no</x:v>
      </x:c>
      <x:c r="AI322" s="12" t="str">
        <x:f>IF(OR(AH322="yes",AD322="debated",AC322="operational"),"yes","no")</x:f>
        <x:v>yes</x:v>
      </x:c>
      <x:c r="AJ322" s="12" t="str">
        <x:f>IF(OR(AH322="yes",AC322="operational",AD322="debated"),"high",IF(AND(AG322="yes",L322="P0"),"medium","low"))</x:f>
        <x:v>high</x:v>
      </x:c>
      <x:c r="AK322" s="12" t="str">
        <x:f>IF(ISNUMBER(SEARCH("healthy",AB322)),"yes","no")</x:f>
        <x:v>no</x:v>
      </x:c>
      <x:c r="AL322" s="12" t="str">
        <x:f>IF(AG322="yes","yes","candidate_only")</x:f>
        <x:v>candidate_only</x:v>
      </x:c>
      <x:c r="AM322" s="12" t="str">
        <x:f>IF(OR(AC322="canonical",AG322="yes"),"yes","recommended")</x:f>
        <x:v>recommended</x:v>
      </x:c>
      <x:c r="AN322" s="12" t="str">
        <x:f>IF(AC322="deprecated","exclude",IF(AND(AG322="yes",AJ322="high"),"import_but_human_review_required",IF(AG322="yes","import_as_active","import_as_backlog")))</x:f>
        <x:v>import_as_backlog</x:v>
      </x:c>
      <x:c r="AO322" s="12" t="str">
        <x:f>IF(AND(AG322="yes",OR(P322="",Q322="",R322="",S322="")),"missing_required_mvp_fields",IF(AND(AC322="canonical",Y322=""),"missing_source_ref","ok"))</x:f>
        <x:v>ok</x:v>
      </x:c>
      <x:c r="AP322" s="12" t="str">
        <x:f>IF(AO322="ok","ready_for_codex_import","needs_review")</x:f>
        <x:v>ready_for_codex_import</x:v>
      </x:c>
      <x:c r="AQ322" s="12"/>
      <x:c r="AR322" s="12" t="str">
        <x:v>Added v2 operational fields. Review before classification activation.</x:v>
      </x:c>
    </x:row>
    <x:row r="323">
      <x:c r="A323" s="13" t="str">
        <x:v>denominator_neglect_conditional_probability_variant</x:v>
      </x:c>
      <x:c r="B323" s="13" t="str">
        <x:v>denominator_neglect</x:v>
      </x:c>
      <x:c r="C323" s="13" t="str">
        <x:v>Denominator neglect</x:v>
      </x:c>
      <x:c r="D323" s="13" t="str">
        <x:v>نادیده‌گرفتن مخرج</x:v>
      </x:c>
      <x:c r="E323" s="13" t="str">
        <x:v>Conditional-probability variant</x:v>
      </x:c>
      <x:c r="F323" s="13" t="str">
        <x:v>probabilistic_failures</x:v>
      </x:c>
      <x:c r="G323" s="13" t="str">
        <x:v>operational_variant</x:v>
      </x:c>
      <x:c r="H323" s="13" t="str">
        <x:v>lexical</x:v>
      </x:c>
      <x:c r="I323" s="13" t="str">
        <x:v>claim</x:v>
      </x:c>
      <x:c r="J323" s="13" t="str">
        <x:v>derived_operational_subtype</x:v>
      </x:c>
      <x:c r="K323" s="13" t="str">
        <x:v>derived_from_established_parent_review_required</x:v>
      </x:c>
      <x:c r="L323" s="13" t="str">
        <x:v>P2</x:v>
      </x:c>
      <x:c r="M323" s="13" t="str">
        <x:v>no</x:v>
      </x:c>
      <x:c r="N323" s="13" t="str">
        <x:v>Operational subtype under Denominator neglect: conditional probabilities are confused. Parent definition: Focusing on counts while ignoring the denominator or exposure base.</x:v>
      </x:c>
      <x:c r="O323" s="13" t="str">
        <x:v>Look for: explicit claim-level evidence; parent-family cues for Denominator neglect; variant cue: conditional probabilities are confused; avoid author-level inference.</x:v>
      </x:c>
      <x:c r="P323" s="13" t="str">
        <x:v>Exact evidence span in text plus claim-level reasoning link; for contextual/discourse entries, require surrounding context.</x:v>
      </x:c>
      <x:c r="Q323" s="13" t="str">
        <x:v>Do not label merely because topic is controversial, emotional, or wrong. Do not judge intent or personality. Require textual evidence and consider healthy-reasoning cues.</x:v>
      </x:c>
      <x:c r="R323" s="13" t="str">
        <x:v>Stub: A claim relies on conditional probabilities are confused to support a conclusion without adequate qualification.</x:v>
      </x:c>
      <x:c r="S323" s="13" t="str">
        <x:v>Stub: A claim discusses denominator neglect with caveats, balanced evidence, or no argumentative use of the pattern.</x:v>
      </x:c>
      <x:c r="T323" s="13" t="str">
        <x:v>Mild or ambiguous cue; do not classify without clear evidence span.</x:v>
      </x:c>
      <x:c r="U323" s="13" t="str">
        <x:v>Clear claim-level pattern with some argumentative impact.</x:v>
      </x:c>
      <x:c r="V323" s="13" t="str">
        <x:v>Strong pattern central to the conclusion and likely to materially distort reasoning.</x:v>
      </x:c>
      <x:c r="W323" s="13" t="str"/>
      <x:c r="X323" s="13" t="str">
        <x:v>kahneman_tversky_heuristics_1974</x:v>
      </x:c>
      <x:c r="Y323" s="13" t="str">
        <x:v>https://doi.org/10.1126/science.185.4157.1124</x:v>
      </x:c>
      <x:c r="Z323" s="13" t="str">
        <x:v>Review before enabling. This workbook is a living taxonomy scaffold, not a validated scientific benchmark.</x:v>
      </x:c>
      <x:c r="AA323" s="13" t="str">
        <x:v>0.1.0-draft</x:v>
      </x:c>
      <x:c r="AB323" s="12" t="str">
        <x:f>IF(ISNUMBER(SEARCH("healthy",F323)),"healthy_reasoning_patterns",IF(ISNUMBER(SEARCH("statistical",F323)),"statistical_reasoning",IF(ISNUMBER(SEARCH("causal",F323)),"causal_reasoning",IF(ISNUMBER(SEARCH("social",F323)),"social_influence",IF(ISNUMBER(SEARCH("rhetoric",F323)),"rhetoric_discourse",IF(ISNUMBER(SEARCH("behavior",F323)),"behavioural_economics",IF(ISNUMBER(SEARCH("cognitive",F323)),"cognitive_biases",IF(J323="protective_pattern","healthy_reasoning_patterns",IF(L323="P0","core_mvp","extended_fallacies")))))))))</x:f>
        <x:v>extended_fallacies</x:v>
      </x:c>
      <x:c r="AC323" s="12" t="str">
        <x:f>IF(ISNUMBER(SEARCH("operational",J323)),"operational",IF(ISNUMBER(SEARCH("deprecated",J323)),"deprecated",IF(L323="P0","canonical","recognized_subtype")))</x:f>
        <x:v>operational</x:v>
      </x:c>
      <x:c r="AD323" s="12" t="str">
        <x:f>IF(AC323="canonical","high",IF(AC323="recognized_subtype","medium",IF(AC323="operational","operational_only","debated")))</x:f>
        <x:v>operational_only</x:v>
      </x:c>
      <x:c r="AE323" s="12" t="str">
        <x:f>IF(AC323="deprecated","deprecated",IF(M323="yes","active",IF(M323="review","review_required","backlog")))</x:f>
        <x:v>backlog</x:v>
      </x:c>
      <x:c r="AF323" s="12" t="str">
        <x:f>IF(OR(AE323="active",AE323="review_required"),"yes","no")</x:f>
        <x:v>no</x:v>
      </x:c>
      <x:c r="AG323" s="12" t="str">
        <x:f>IF(AND(AE323="active",M323="yes",NOT(ISNUMBER(SEARCH("healthy",AB323)))),"yes","no")</x:f>
        <x:v>no</x:v>
      </x:c>
      <x:c r="AH323" s="12" t="str">
        <x:f>IF(OR(H323="contextual",H323="dialogue",H323="discourse",I323="claim+context",I323="discourse_segment"),"yes","no")</x:f>
        <x:v>no</x:v>
      </x:c>
      <x:c r="AI323" s="12" t="str">
        <x:f>IF(OR(AH323="yes",AD323="debated",AC323="operational"),"yes","no")</x:f>
        <x:v>yes</x:v>
      </x:c>
      <x:c r="AJ323" s="12" t="str">
        <x:f>IF(OR(AH323="yes",AC323="operational",AD323="debated"),"high",IF(AND(AG323="yes",L323="P0"),"medium","low"))</x:f>
        <x:v>high</x:v>
      </x:c>
      <x:c r="AK323" s="12" t="str">
        <x:f>IF(ISNUMBER(SEARCH("healthy",AB323)),"yes","no")</x:f>
        <x:v>no</x:v>
      </x:c>
      <x:c r="AL323" s="12" t="str">
        <x:f>IF(AG323="yes","yes","candidate_only")</x:f>
        <x:v>candidate_only</x:v>
      </x:c>
      <x:c r="AM323" s="12" t="str">
        <x:f>IF(OR(AC323="canonical",AG323="yes"),"yes","recommended")</x:f>
        <x:v>recommended</x:v>
      </x:c>
      <x:c r="AN323" s="12" t="str">
        <x:f>IF(AC323="deprecated","exclude",IF(AND(AG323="yes",AJ323="high"),"import_but_human_review_required",IF(AG323="yes","import_as_active","import_as_backlog")))</x:f>
        <x:v>import_as_backlog</x:v>
      </x:c>
      <x:c r="AO323" s="12" t="str">
        <x:f>IF(AND(AG323="yes",OR(P323="",Q323="",R323="",S323="")),"missing_required_mvp_fields",IF(AND(AC323="canonical",Y323=""),"missing_source_ref","ok"))</x:f>
        <x:v>ok</x:v>
      </x:c>
      <x:c r="AP323" s="12" t="str">
        <x:f>IF(AO323="ok","ready_for_codex_import","needs_review")</x:f>
        <x:v>ready_for_codex_import</x:v>
      </x:c>
      <x:c r="AQ323" s="12"/>
      <x:c r="AR323" s="12" t="str">
        <x:v>Added v2 operational fields. Review before classification activation.</x:v>
      </x:c>
    </x:row>
    <x:row r="324">
      <x:c r="A324" s="13" t="str">
        <x:v>law_of_small_numbers_conditional_probability_variant</x:v>
      </x:c>
      <x:c r="B324" s="13" t="str">
        <x:v>law_of_small_numbers</x:v>
      </x:c>
      <x:c r="C324" s="13" t="str">
        <x:v>Law of small numbers</x:v>
      </x:c>
      <x:c r="D324" s="13" t="str">
        <x:v>قانون اعداد کوچک</x:v>
      </x:c>
      <x:c r="E324" s="13" t="str">
        <x:v>Conditional-probability variant</x:v>
      </x:c>
      <x:c r="F324" s="13" t="str">
        <x:v>probabilistic_failures</x:v>
      </x:c>
      <x:c r="G324" s="13" t="str">
        <x:v>operational_variant</x:v>
      </x:c>
      <x:c r="H324" s="13" t="str">
        <x:v>contextual</x:v>
      </x:c>
      <x:c r="I324" s="13" t="str">
        <x:v>claim+context</x:v>
      </x:c>
      <x:c r="J324" s="13" t="str">
        <x:v>derived_operational_subtype</x:v>
      </x:c>
      <x:c r="K324" s="13" t="str">
        <x:v>derived_from_established_parent_review_required</x:v>
      </x:c>
      <x:c r="L324" s="13" t="str">
        <x:v>P2</x:v>
      </x:c>
      <x:c r="M324" s="13" t="str">
        <x:v>no</x:v>
      </x:c>
      <x:c r="N324" s="13" t="str">
        <x:v>Operational subtype under Law of small numbers: conditional probabilities are confused. Parent definition: Expecting small samples to resemble the population too closely.</x:v>
      </x:c>
      <x:c r="O324" s="13" t="str">
        <x:v>Look for: explicit claim-level evidence; parent-family cues for Law of small numbers; variant cue: conditional probabilities are confused; avoid author-level inference.</x:v>
      </x:c>
      <x:c r="P324" s="13" t="str">
        <x:v>Exact evidence span in text plus claim-level reasoning link; for contextual/discourse entries, require surrounding context.</x:v>
      </x:c>
      <x:c r="Q324" s="13" t="str">
        <x:v>Do not label merely because topic is controversial, emotional, or wrong. Do not judge intent or personality. Require textual evidence and consider healthy-reasoning cues.</x:v>
      </x:c>
      <x:c r="R324" s="13" t="str">
        <x:v>Stub: A claim relies on conditional probabilities are confused to support a conclusion without adequate qualification.</x:v>
      </x:c>
      <x:c r="S324" s="13" t="str">
        <x:v>Stub: A claim discusses law of small numbers with caveats, balanced evidence, or no argumentative use of the pattern.</x:v>
      </x:c>
      <x:c r="T324" s="13" t="str">
        <x:v>Mild or ambiguous cue; do not classify without clear evidence span.</x:v>
      </x:c>
      <x:c r="U324" s="13" t="str">
        <x:v>Clear claim-level pattern with some argumentative impact.</x:v>
      </x:c>
      <x:c r="V324" s="13" t="str">
        <x:v>Strong pattern central to the conclusion and likely to materially distort reasoning.</x:v>
      </x:c>
      <x:c r="W324" s="13" t="str"/>
      <x:c r="X324" s="13" t="str">
        <x:v>kahneman_tversky_heuristics_1974</x:v>
      </x:c>
      <x:c r="Y324" s="13" t="str">
        <x:v>https://doi.org/10.1126/science.185.4157.1124</x:v>
      </x:c>
      <x:c r="Z324" s="13" t="str">
        <x:v>Review before enabling. This workbook is a living taxonomy scaffold, not a validated scientific benchmark.</x:v>
      </x:c>
      <x:c r="AA324" s="13" t="str">
        <x:v>0.1.0-draft</x:v>
      </x:c>
      <x:c r="AB324" s="12" t="str">
        <x:f>IF(ISNUMBER(SEARCH("healthy",F324)),"healthy_reasoning_patterns",IF(ISNUMBER(SEARCH("statistical",F324)),"statistical_reasoning",IF(ISNUMBER(SEARCH("causal",F324)),"causal_reasoning",IF(ISNUMBER(SEARCH("social",F324)),"social_influence",IF(ISNUMBER(SEARCH("rhetoric",F324)),"rhetoric_discourse",IF(ISNUMBER(SEARCH("behavior",F324)),"behavioural_economics",IF(ISNUMBER(SEARCH("cognitive",F324)),"cognitive_biases",IF(J324="protective_pattern","healthy_reasoning_patterns",IF(L324="P0","core_mvp","extended_fallacies")))))))))</x:f>
        <x:v>extended_fallacies</x:v>
      </x:c>
      <x:c r="AC324" s="12" t="str">
        <x:f>IF(ISNUMBER(SEARCH("operational",J324)),"operational",IF(ISNUMBER(SEARCH("deprecated",J324)),"deprecated",IF(L324="P0","canonical","recognized_subtype")))</x:f>
        <x:v>operational</x:v>
      </x:c>
      <x:c r="AD324" s="12" t="str">
        <x:f>IF(AC324="canonical","high",IF(AC324="recognized_subtype","medium",IF(AC324="operational","operational_only","debated")))</x:f>
        <x:v>operational_only</x:v>
      </x:c>
      <x:c r="AE324" s="12" t="str">
        <x:f>IF(AC324="deprecated","deprecated",IF(M324="yes","active",IF(M324="review","review_required","backlog")))</x:f>
        <x:v>backlog</x:v>
      </x:c>
      <x:c r="AF324" s="12" t="str">
        <x:f>IF(OR(AE324="active",AE324="review_required"),"yes","no")</x:f>
        <x:v>no</x:v>
      </x:c>
      <x:c r="AG324" s="12" t="str">
        <x:f>IF(AND(AE324="active",M324="yes",NOT(ISNUMBER(SEARCH("healthy",AB324)))),"yes","no")</x:f>
        <x:v>no</x:v>
      </x:c>
      <x:c r="AH324" s="12" t="str">
        <x:f>IF(OR(H324="contextual",H324="dialogue",H324="discourse",I324="claim+context",I324="discourse_segment"),"yes","no")</x:f>
        <x:v>yes</x:v>
      </x:c>
      <x:c r="AI324" s="12" t="str">
        <x:f>IF(OR(AH324="yes",AD324="debated",AC324="operational"),"yes","no")</x:f>
        <x:v>yes</x:v>
      </x:c>
      <x:c r="AJ324" s="12" t="str">
        <x:f>IF(OR(AH324="yes",AC324="operational",AD324="debated"),"high",IF(AND(AG324="yes",L324="P0"),"medium","low"))</x:f>
        <x:v>high</x:v>
      </x:c>
      <x:c r="AK324" s="12" t="str">
        <x:f>IF(ISNUMBER(SEARCH("healthy",AB324)),"yes","no")</x:f>
        <x:v>no</x:v>
      </x:c>
      <x:c r="AL324" s="12" t="str">
        <x:f>IF(AG324="yes","yes","candidate_only")</x:f>
        <x:v>candidate_only</x:v>
      </x:c>
      <x:c r="AM324" s="12" t="str">
        <x:f>IF(OR(AC324="canonical",AG324="yes"),"yes","recommended")</x:f>
        <x:v>recommended</x:v>
      </x:c>
      <x:c r="AN324" s="12" t="str">
        <x:f>IF(AC324="deprecated","exclude",IF(AND(AG324="yes",AJ324="high"),"import_but_human_review_required",IF(AG324="yes","import_as_active","import_as_backlog")))</x:f>
        <x:v>import_as_backlog</x:v>
      </x:c>
      <x:c r="AO324" s="12" t="str">
        <x:f>IF(AND(AG324="yes",OR(P324="",Q324="",R324="",S324="")),"missing_required_mvp_fields",IF(AND(AC324="canonical",Y324=""),"missing_source_ref","ok"))</x:f>
        <x:v>ok</x:v>
      </x:c>
      <x:c r="AP324" s="12" t="str">
        <x:f>IF(AO324="ok","ready_for_codex_import","needs_review")</x:f>
        <x:v>ready_for_codex_import</x:v>
      </x:c>
      <x:c r="AQ324" s="12"/>
      <x:c r="AR324" s="12" t="str">
        <x:v>Added v2 operational fields. Review before classification activation.</x:v>
      </x:c>
    </x:row>
    <x:row r="325">
      <x:c r="A325" s="13" t="str">
        <x:v>sample_space_confusion_conditional_probability_variant</x:v>
      </x:c>
      <x:c r="B325" s="13" t="str">
        <x:v>sample_space_confusion</x:v>
      </x:c>
      <x:c r="C325" s="13" t="str">
        <x:v>Sample-space confusion</x:v>
      </x:c>
      <x:c r="D325" s="13" t="str">
        <x:v>ابهام فضای نمونه</x:v>
      </x:c>
      <x:c r="E325" s="13" t="str">
        <x:v>Conditional-probability variant</x:v>
      </x:c>
      <x:c r="F325" s="13" t="str">
        <x:v>probabilistic_failures</x:v>
      </x:c>
      <x:c r="G325" s="13" t="str">
        <x:v>operational_variant</x:v>
      </x:c>
      <x:c r="H325" s="13" t="str">
        <x:v>structural</x:v>
      </x:c>
      <x:c r="I325" s="13" t="str">
        <x:v>claim</x:v>
      </x:c>
      <x:c r="J325" s="13" t="str">
        <x:v>derived_operational_subtype</x:v>
      </x:c>
      <x:c r="K325" s="13" t="str">
        <x:v>derived_from_established_parent_review_required</x:v>
      </x:c>
      <x:c r="L325" s="13" t="str">
        <x:v>P2</x:v>
      </x:c>
      <x:c r="M325" s="13" t="str">
        <x:v>no</x:v>
      </x:c>
      <x:c r="N325" s="13" t="str">
        <x:v>Operational subtype under Sample-space confusion: conditional probabilities are confused. Parent definition: Reasoning about probabilities without specifying the relevant outcome space.</x:v>
      </x:c>
      <x:c r="O325" s="13" t="str">
        <x:v>Look for: explicit claim-level evidence; parent-family cues for Sample-space confusion; variant cue: conditional probabilities are confused; avoid author-level inference.</x:v>
      </x:c>
      <x:c r="P325" s="13" t="str">
        <x:v>Exact evidence span in text plus claim-level reasoning link; for contextual/discourse entries, require surrounding context.</x:v>
      </x:c>
      <x:c r="Q325" s="13" t="str">
        <x:v>Do not label merely because topic is controversial, emotional, or wrong. Do not judge intent or personality. Require textual evidence and consider healthy-reasoning cues.</x:v>
      </x:c>
      <x:c r="R325" s="13" t="str">
        <x:v>Stub: A claim relies on conditional probabilities are confused to support a conclusion without adequate qualification.</x:v>
      </x:c>
      <x:c r="S325" s="13" t="str">
        <x:v>Stub: A claim discusses sample-space confusion with caveats, balanced evidence, or no argumentative use of the pattern.</x:v>
      </x:c>
      <x:c r="T325" s="13" t="str">
        <x:v>Mild or ambiguous cue; do not classify without clear evidence span.</x:v>
      </x:c>
      <x:c r="U325" s="13" t="str">
        <x:v>Clear claim-level pattern with some argumentative impact.</x:v>
      </x:c>
      <x:c r="V325" s="13" t="str">
        <x:v>Strong pattern central to the conclusion and likely to materially distort reasoning.</x:v>
      </x:c>
      <x:c r="W325" s="13" t="str"/>
      <x:c r="X325" s="13" t="str">
        <x:v>stanovich_dual_process</x:v>
      </x:c>
      <x:c r="Y325" s="13" t="str">
        <x:v>https://global.oup.com/academic/product/rationality-and-the-reflective-mind-9780195341140</x:v>
      </x:c>
      <x:c r="Z325" s="13" t="str">
        <x:v>Review before enabling. This workbook is a living taxonomy scaffold, not a validated scientific benchmark.</x:v>
      </x:c>
      <x:c r="AA325" s="13" t="str">
        <x:v>0.1.0-draft</x:v>
      </x:c>
      <x:c r="AB325" s="12" t="str">
        <x:f>IF(ISNUMBER(SEARCH("healthy",F325)),"healthy_reasoning_patterns",IF(ISNUMBER(SEARCH("statistical",F325)),"statistical_reasoning",IF(ISNUMBER(SEARCH("causal",F325)),"causal_reasoning",IF(ISNUMBER(SEARCH("social",F325)),"social_influence",IF(ISNUMBER(SEARCH("rhetoric",F325)),"rhetoric_discourse",IF(ISNUMBER(SEARCH("behavior",F325)),"behavioural_economics",IF(ISNUMBER(SEARCH("cognitive",F325)),"cognitive_biases",IF(J325="protective_pattern","healthy_reasoning_patterns",IF(L325="P0","core_mvp","extended_fallacies")))))))))</x:f>
        <x:v>extended_fallacies</x:v>
      </x:c>
      <x:c r="AC325" s="12" t="str">
        <x:f>IF(ISNUMBER(SEARCH("operational",J325)),"operational",IF(ISNUMBER(SEARCH("deprecated",J325)),"deprecated",IF(L325="P0","canonical","recognized_subtype")))</x:f>
        <x:v>operational</x:v>
      </x:c>
      <x:c r="AD325" s="12" t="str">
        <x:f>IF(AC325="canonical","high",IF(AC325="recognized_subtype","medium",IF(AC325="operational","operational_only","debated")))</x:f>
        <x:v>operational_only</x:v>
      </x:c>
      <x:c r="AE325" s="12" t="str">
        <x:f>IF(AC325="deprecated","deprecated",IF(M325="yes","active",IF(M325="review","review_required","backlog")))</x:f>
        <x:v>backlog</x:v>
      </x:c>
      <x:c r="AF325" s="12" t="str">
        <x:f>IF(OR(AE325="active",AE325="review_required"),"yes","no")</x:f>
        <x:v>no</x:v>
      </x:c>
      <x:c r="AG325" s="12" t="str">
        <x:f>IF(AND(AE325="active",M325="yes",NOT(ISNUMBER(SEARCH("healthy",AB325)))),"yes","no")</x:f>
        <x:v>no</x:v>
      </x:c>
      <x:c r="AH325" s="12" t="str">
        <x:f>IF(OR(H325="contextual",H325="dialogue",H325="discourse",I325="claim+context",I325="discourse_segment"),"yes","no")</x:f>
        <x:v>no</x:v>
      </x:c>
      <x:c r="AI325" s="12" t="str">
        <x:f>IF(OR(AH325="yes",AD325="debated",AC325="operational"),"yes","no")</x:f>
        <x:v>yes</x:v>
      </x:c>
      <x:c r="AJ325" s="12" t="str">
        <x:f>IF(OR(AH325="yes",AC325="operational",AD325="debated"),"high",IF(AND(AG325="yes",L325="P0"),"medium","low"))</x:f>
        <x:v>high</x:v>
      </x:c>
      <x:c r="AK325" s="12" t="str">
        <x:f>IF(ISNUMBER(SEARCH("healthy",AB325)),"yes","no")</x:f>
        <x:v>no</x:v>
      </x:c>
      <x:c r="AL325" s="12" t="str">
        <x:f>IF(AG325="yes","yes","candidate_only")</x:f>
        <x:v>candidate_only</x:v>
      </x:c>
      <x:c r="AM325" s="12" t="str">
        <x:f>IF(OR(AC325="canonical",AG325="yes"),"yes","recommended")</x:f>
        <x:v>recommended</x:v>
      </x:c>
      <x:c r="AN325" s="12" t="str">
        <x:f>IF(AC325="deprecated","exclude",IF(AND(AG325="yes",AJ325="high"),"import_but_human_review_required",IF(AG325="yes","import_as_active","import_as_backlog")))</x:f>
        <x:v>import_as_backlog</x:v>
      </x:c>
      <x:c r="AO325" s="12" t="str">
        <x:f>IF(AND(AG325="yes",OR(P325="",Q325="",R325="",S325="")),"missing_required_mvp_fields",IF(AND(AC325="canonical",Y325=""),"missing_source_ref","ok"))</x:f>
        <x:v>ok</x:v>
      </x:c>
      <x:c r="AP325" s="12" t="str">
        <x:f>IF(AO325="ok","ready_for_codex_import","needs_review")</x:f>
        <x:v>ready_for_codex_import</x:v>
      </x:c>
      <x:c r="AQ325" s="12"/>
      <x:c r="AR325" s="12" t="str">
        <x:v>Added v2 operational fields. Review before classification activation.</x:v>
      </x:c>
    </x:row>
    <x:row r="326">
      <x:c r="A326" s="13" t="str">
        <x:v>risk_ratio_absolute_risk_confusion_conditional_probability_variant</x:v>
      </x:c>
      <x:c r="B326" s="13" t="str">
        <x:v>risk_ratio_absolute_risk_confusion</x:v>
      </x:c>
      <x:c r="C326" s="13" t="str">
        <x:v>Relative vs absolute risk confusion</x:v>
      </x:c>
      <x:c r="D326" s="13" t="str">
        <x:v>ابهام ریسک نسبی و مطلق</x:v>
      </x:c>
      <x:c r="E326" s="13" t="str">
        <x:v>Conditional-probability variant</x:v>
      </x:c>
      <x:c r="F326" s="13" t="str">
        <x:v>probabilistic_failures</x:v>
      </x:c>
      <x:c r="G326" s="13" t="str">
        <x:v>operational_variant</x:v>
      </x:c>
      <x:c r="H326" s="13" t="str">
        <x:v>lexical</x:v>
      </x:c>
      <x:c r="I326" s="13" t="str">
        <x:v>claim</x:v>
      </x:c>
      <x:c r="J326" s="13" t="str">
        <x:v>derived_operational_subtype</x:v>
      </x:c>
      <x:c r="K326" s="13" t="str">
        <x:v>derived_from_established_parent_review_required</x:v>
      </x:c>
      <x:c r="L326" s="13" t="str">
        <x:v>P2</x:v>
      </x:c>
      <x:c r="M326" s="13" t="str">
        <x:v>no</x:v>
      </x:c>
      <x:c r="N326" s="13" t="str">
        <x:v>Operational subtype under Relative vs absolute risk confusion: conditional probabilities are confused. Parent definition: Using relative change while hiding absolute magnitude.</x:v>
      </x:c>
      <x:c r="O326" s="13" t="str">
        <x:v>Look for: explicit claim-level evidence; parent-family cues for Relative vs absolute risk confusion; variant cue: conditional probabilities are confused; avoid author-level inference.</x:v>
      </x:c>
      <x:c r="P326" s="13" t="str">
        <x:v>Exact evidence span in text plus claim-level reasoning link; for contextual/discourse entries, require surrounding context.</x:v>
      </x:c>
      <x:c r="Q326" s="13" t="str">
        <x:v>Do not label merely because topic is controversial, emotional, or wrong. Do not judge intent or personality. Require textual evidence and consider healthy-reasoning cues.</x:v>
      </x:c>
      <x:c r="R326" s="13" t="str">
        <x:v>Stub: A claim relies on conditional probabilities are confused to support a conclusion without adequate qualification.</x:v>
      </x:c>
      <x:c r="S326" s="13" t="str">
        <x:v>Stub: A claim discusses relative vs absolute risk confusion with caveats, balanced evidence, or no argumentative use of the pattern.</x:v>
      </x:c>
      <x:c r="T326" s="13" t="str">
        <x:v>Mild or ambiguous cue; do not classify without clear evidence span.</x:v>
      </x:c>
      <x:c r="U326" s="13" t="str">
        <x:v>Clear claim-level pattern with some argumentative impact.</x:v>
      </x:c>
      <x:c r="V326" s="13" t="str">
        <x:v>Strong pattern central to the conclusion and likely to materially distort reasoning.</x:v>
      </x:c>
      <x:c r="W326" s="13" t="str"/>
      <x:c r="X326" s="13" t="str">
        <x:v>stanovich_dual_process</x:v>
      </x:c>
      <x:c r="Y326" s="13" t="str">
        <x:v>https://global.oup.com/academic/product/rationality-and-the-reflective-mind-9780195341140</x:v>
      </x:c>
      <x:c r="Z326" s="13" t="str">
        <x:v>Review before enabling. This workbook is a living taxonomy scaffold, not a validated scientific benchmark.</x:v>
      </x:c>
      <x:c r="AA326" s="13" t="str">
        <x:v>0.1.0-draft</x:v>
      </x:c>
      <x:c r="AB326" s="12" t="str">
        <x:f>IF(ISNUMBER(SEARCH("healthy",F326)),"healthy_reasoning_patterns",IF(ISNUMBER(SEARCH("statistical",F326)),"statistical_reasoning",IF(ISNUMBER(SEARCH("causal",F326)),"causal_reasoning",IF(ISNUMBER(SEARCH("social",F326)),"social_influence",IF(ISNUMBER(SEARCH("rhetoric",F326)),"rhetoric_discourse",IF(ISNUMBER(SEARCH("behavior",F326)),"behavioural_economics",IF(ISNUMBER(SEARCH("cognitive",F326)),"cognitive_biases",IF(J326="protective_pattern","healthy_reasoning_patterns",IF(L326="P0","core_mvp","extended_fallacies")))))))))</x:f>
        <x:v>extended_fallacies</x:v>
      </x:c>
      <x:c r="AC326" s="12" t="str">
        <x:f>IF(ISNUMBER(SEARCH("operational",J326)),"operational",IF(ISNUMBER(SEARCH("deprecated",J326)),"deprecated",IF(L326="P0","canonical","recognized_subtype")))</x:f>
        <x:v>operational</x:v>
      </x:c>
      <x:c r="AD326" s="12" t="str">
        <x:f>IF(AC326="canonical","high",IF(AC326="recognized_subtype","medium",IF(AC326="operational","operational_only","debated")))</x:f>
        <x:v>operational_only</x:v>
      </x:c>
      <x:c r="AE326" s="12" t="str">
        <x:f>IF(AC326="deprecated","deprecated",IF(M326="yes","active",IF(M326="review","review_required","backlog")))</x:f>
        <x:v>backlog</x:v>
      </x:c>
      <x:c r="AF326" s="12" t="str">
        <x:f>IF(OR(AE326="active",AE326="review_required"),"yes","no")</x:f>
        <x:v>no</x:v>
      </x:c>
      <x:c r="AG326" s="12" t="str">
        <x:f>IF(AND(AE326="active",M326="yes",NOT(ISNUMBER(SEARCH("healthy",AB326)))),"yes","no")</x:f>
        <x:v>no</x:v>
      </x:c>
      <x:c r="AH326" s="12" t="str">
        <x:f>IF(OR(H326="contextual",H326="dialogue",H326="discourse",I326="claim+context",I326="discourse_segment"),"yes","no")</x:f>
        <x:v>no</x:v>
      </x:c>
      <x:c r="AI326" s="12" t="str">
        <x:f>IF(OR(AH326="yes",AD326="debated",AC326="operational"),"yes","no")</x:f>
        <x:v>yes</x:v>
      </x:c>
      <x:c r="AJ326" s="12" t="str">
        <x:f>IF(OR(AH326="yes",AC326="operational",AD326="debated"),"high",IF(AND(AG326="yes",L326="P0"),"medium","low"))</x:f>
        <x:v>high</x:v>
      </x:c>
      <x:c r="AK326" s="12" t="str">
        <x:f>IF(ISNUMBER(SEARCH("healthy",AB326)),"yes","no")</x:f>
        <x:v>no</x:v>
      </x:c>
      <x:c r="AL326" s="12" t="str">
        <x:f>IF(AG326="yes","yes","candidate_only")</x:f>
        <x:v>candidate_only</x:v>
      </x:c>
      <x:c r="AM326" s="12" t="str">
        <x:f>IF(OR(AC326="canonical",AG326="yes"),"yes","recommended")</x:f>
        <x:v>recommended</x:v>
      </x:c>
      <x:c r="AN326" s="12" t="str">
        <x:f>IF(AC326="deprecated","exclude",IF(AND(AG326="yes",AJ326="high"),"import_but_human_review_required",IF(AG326="yes","import_as_active","import_as_backlog")))</x:f>
        <x:v>import_as_backlog</x:v>
      </x:c>
      <x:c r="AO326" s="12" t="str">
        <x:f>IF(AND(AG326="yes",OR(P326="",Q326="",R326="",S326="")),"missing_required_mvp_fields",IF(AND(AC326="canonical",Y326=""),"missing_source_ref","ok"))</x:f>
        <x:v>ok</x:v>
      </x:c>
      <x:c r="AP326" s="12" t="str">
        <x:f>IF(AO326="ok","ready_for_codex_import","needs_review")</x:f>
        <x:v>ready_for_codex_import</x:v>
      </x:c>
      <x:c r="AQ326" s="12"/>
      <x:c r="AR326" s="12" t="str">
        <x:v>Added v2 operational fields. Review before classification activation.</x:v>
      </x:c>
    </x:row>
    <x:row r="327">
      <x:c r="A327" s="13" t="str">
        <x:v>expected_value_neglect_conditional_probability_variant</x:v>
      </x:c>
      <x:c r="B327" s="13" t="str">
        <x:v>expected_value_neglect</x:v>
      </x:c>
      <x:c r="C327" s="13" t="str">
        <x:v>Expected-value neglect</x:v>
      </x:c>
      <x:c r="D327" s="13" t="str">
        <x:v>نادیده‌گرفتن امید ریاضی</x:v>
      </x:c>
      <x:c r="E327" s="13" t="str">
        <x:v>Conditional-probability variant</x:v>
      </x:c>
      <x:c r="F327" s="13" t="str">
        <x:v>probabilistic_failures</x:v>
      </x:c>
      <x:c r="G327" s="13" t="str">
        <x:v>operational_variant</x:v>
      </x:c>
      <x:c r="H327" s="13" t="str">
        <x:v>contextual</x:v>
      </x:c>
      <x:c r="I327" s="13" t="str">
        <x:v>claim+context</x:v>
      </x:c>
      <x:c r="J327" s="13" t="str">
        <x:v>derived_operational_subtype</x:v>
      </x:c>
      <x:c r="K327" s="13" t="str">
        <x:v>derived_from_established_parent_review_required</x:v>
      </x:c>
      <x:c r="L327" s="13" t="str">
        <x:v>P2</x:v>
      </x:c>
      <x:c r="M327" s="13" t="str">
        <x:v>no</x:v>
      </x:c>
      <x:c r="N327" s="13" t="str">
        <x:v>Operational subtype under Expected-value neglect: conditional probabilities are confused. Parent definition: Focusing on salient outcomes while ignoring probability-weighted value.</x:v>
      </x:c>
      <x:c r="O327" s="13" t="str">
        <x:v>Look for: explicit claim-level evidence; parent-family cues for Expected-value neglect; variant cue: conditional probabilities are confused; avoid author-level inference.</x:v>
      </x:c>
      <x:c r="P327" s="13" t="str">
        <x:v>Exact evidence span in text plus claim-level reasoning link; for contextual/discourse entries, require surrounding context.</x:v>
      </x:c>
      <x:c r="Q327" s="13" t="str">
        <x:v>Do not label merely because topic is controversial, emotional, or wrong. Do not judge intent or personality. Require textual evidence and consider healthy-reasoning cues.</x:v>
      </x:c>
      <x:c r="R327" s="13" t="str">
        <x:v>Stub: A claim relies on conditional probabilities are confused to support a conclusion without adequate qualification.</x:v>
      </x:c>
      <x:c r="S327" s="13" t="str">
        <x:v>Stub: A claim discusses expected-value neglect with caveats, balanced evidence, or no argumentative use of the pattern.</x:v>
      </x:c>
      <x:c r="T327" s="13" t="str">
        <x:v>Mild or ambiguous cue; do not classify without clear evidence span.</x:v>
      </x:c>
      <x:c r="U327" s="13" t="str">
        <x:v>Clear claim-level pattern with some argumentative impact.</x:v>
      </x:c>
      <x:c r="V327" s="13" t="str">
        <x:v>Strong pattern central to the conclusion and likely to materially distort reasoning.</x:v>
      </x:c>
      <x:c r="W327" s="13" t="str"/>
      <x:c r="X327" s="13" t="str">
        <x:v>kahneman_tversky_prospect_1979</x:v>
      </x:c>
      <x:c r="Y327" s="13" t="str">
        <x:v>https://doi.org/10.2307/1914185</x:v>
      </x:c>
      <x:c r="Z327" s="13" t="str">
        <x:v>Review before enabling. This workbook is a living taxonomy scaffold, not a validated scientific benchmark.</x:v>
      </x:c>
      <x:c r="AA327" s="13" t="str">
        <x:v>0.1.0-draft</x:v>
      </x:c>
      <x:c r="AB327" s="12" t="str">
        <x:f>IF(ISNUMBER(SEARCH("healthy",F327)),"healthy_reasoning_patterns",IF(ISNUMBER(SEARCH("statistical",F327)),"statistical_reasoning",IF(ISNUMBER(SEARCH("causal",F327)),"causal_reasoning",IF(ISNUMBER(SEARCH("social",F327)),"social_influence",IF(ISNUMBER(SEARCH("rhetoric",F327)),"rhetoric_discourse",IF(ISNUMBER(SEARCH("behavior",F327)),"behavioural_economics",IF(ISNUMBER(SEARCH("cognitive",F327)),"cognitive_biases",IF(J327="protective_pattern","healthy_reasoning_patterns",IF(L327="P0","core_mvp","extended_fallacies")))))))))</x:f>
        <x:v>extended_fallacies</x:v>
      </x:c>
      <x:c r="AC327" s="12" t="str">
        <x:f>IF(ISNUMBER(SEARCH("operational",J327)),"operational",IF(ISNUMBER(SEARCH("deprecated",J327)),"deprecated",IF(L327="P0","canonical","recognized_subtype")))</x:f>
        <x:v>operational</x:v>
      </x:c>
      <x:c r="AD327" s="12" t="str">
        <x:f>IF(AC327="canonical","high",IF(AC327="recognized_subtype","medium",IF(AC327="operational","operational_only","debated")))</x:f>
        <x:v>operational_only</x:v>
      </x:c>
      <x:c r="AE327" s="12" t="str">
        <x:f>IF(AC327="deprecated","deprecated",IF(M327="yes","active",IF(M327="review","review_required","backlog")))</x:f>
        <x:v>backlog</x:v>
      </x:c>
      <x:c r="AF327" s="12" t="str">
        <x:f>IF(OR(AE327="active",AE327="review_required"),"yes","no")</x:f>
        <x:v>no</x:v>
      </x:c>
      <x:c r="AG327" s="12" t="str">
        <x:f>IF(AND(AE327="active",M327="yes",NOT(ISNUMBER(SEARCH("healthy",AB327)))),"yes","no")</x:f>
        <x:v>no</x:v>
      </x:c>
      <x:c r="AH327" s="12" t="str">
        <x:f>IF(OR(H327="contextual",H327="dialogue",H327="discourse",I327="claim+context",I327="discourse_segment"),"yes","no")</x:f>
        <x:v>yes</x:v>
      </x:c>
      <x:c r="AI327" s="12" t="str">
        <x:f>IF(OR(AH327="yes",AD327="debated",AC327="operational"),"yes","no")</x:f>
        <x:v>yes</x:v>
      </x:c>
      <x:c r="AJ327" s="12" t="str">
        <x:f>IF(OR(AH327="yes",AC327="operational",AD327="debated"),"high",IF(AND(AG327="yes",L327="P0"),"medium","low"))</x:f>
        <x:v>high</x:v>
      </x:c>
      <x:c r="AK327" s="12" t="str">
        <x:f>IF(ISNUMBER(SEARCH("healthy",AB327)),"yes","no")</x:f>
        <x:v>no</x:v>
      </x:c>
      <x:c r="AL327" s="12" t="str">
        <x:f>IF(AG327="yes","yes","candidate_only")</x:f>
        <x:v>candidate_only</x:v>
      </x:c>
      <x:c r="AM327" s="12" t="str">
        <x:f>IF(OR(AC327="canonical",AG327="yes"),"yes","recommended")</x:f>
        <x:v>recommended</x:v>
      </x:c>
      <x:c r="AN327" s="12" t="str">
        <x:f>IF(AC327="deprecated","exclude",IF(AND(AG327="yes",AJ327="high"),"import_but_human_review_required",IF(AG327="yes","import_as_active","import_as_backlog")))</x:f>
        <x:v>import_as_backlog</x:v>
      </x:c>
      <x:c r="AO327" s="12" t="str">
        <x:f>IF(AND(AG327="yes",OR(P327="",Q327="",R327="",S327="")),"missing_required_mvp_fields",IF(AND(AC327="canonical",Y327=""),"missing_source_ref","ok"))</x:f>
        <x:v>ok</x:v>
      </x:c>
      <x:c r="AP327" s="12" t="str">
        <x:f>IF(AO327="ok","ready_for_codex_import","needs_review")</x:f>
        <x:v>ready_for_codex_import</x:v>
      </x:c>
      <x:c r="AQ327" s="12"/>
      <x:c r="AR327" s="12" t="str">
        <x:v>Added v2 operational fields. Review before classification activation.</x:v>
      </x:c>
    </x:row>
    <x:row r="328">
      <x:c r="A328" s="13" t="str">
        <x:v>tail_risk_neglect_conditional_probability_variant</x:v>
      </x:c>
      <x:c r="B328" s="13" t="str">
        <x:v>tail_risk_neglect</x:v>
      </x:c>
      <x:c r="C328" s="13" t="str">
        <x:v>Tail-risk neglect</x:v>
      </x:c>
      <x:c r="D328" s="13" t="str">
        <x:v>نادیده‌گرفتن ریسک دنباله</x:v>
      </x:c>
      <x:c r="E328" s="13" t="str">
        <x:v>Conditional-probability variant</x:v>
      </x:c>
      <x:c r="F328" s="13" t="str">
        <x:v>probabilistic_failures</x:v>
      </x:c>
      <x:c r="G328" s="13" t="str">
        <x:v>operational_variant</x:v>
      </x:c>
      <x:c r="H328" s="13" t="str">
        <x:v>contextual</x:v>
      </x:c>
      <x:c r="I328" s="13" t="str">
        <x:v>claim+context</x:v>
      </x:c>
      <x:c r="J328" s="13" t="str">
        <x:v>derived_operational_subtype</x:v>
      </x:c>
      <x:c r="K328" s="13" t="str">
        <x:v>derived_from_established_parent_review_required</x:v>
      </x:c>
      <x:c r="L328" s="13" t="str">
        <x:v>P2</x:v>
      </x:c>
      <x:c r="M328" s="13" t="str">
        <x:v>no</x:v>
      </x:c>
      <x:c r="N328" s="13" t="str">
        <x:v>Operational subtype under Tail-risk neglect: conditional probabilities are confused. Parent definition: Ignoring low-probability but high-impact outcomes when relevant.</x:v>
      </x:c>
      <x:c r="O328" s="13" t="str">
        <x:v>Look for: explicit claim-level evidence; parent-family cues for Tail-risk neglect; variant cue: conditional probabilities are confused; avoid author-level inference.</x:v>
      </x:c>
      <x:c r="P328" s="13" t="str">
        <x:v>Exact evidence span in text plus claim-level reasoning link; for contextual/discourse entries, require surrounding context.</x:v>
      </x:c>
      <x:c r="Q328" s="13" t="str">
        <x:v>Do not label merely because topic is controversial, emotional, or wrong. Do not judge intent or personality. Require textual evidence and consider healthy-reasoning cues.</x:v>
      </x:c>
      <x:c r="R328" s="13" t="str">
        <x:v>Stub: A claim relies on conditional probabilities are confused to support a conclusion without adequate qualification.</x:v>
      </x:c>
      <x:c r="S328" s="13" t="str">
        <x:v>Stub: A claim discusses tail-risk neglect with caveats, balanced evidence, or no argumentative use of the pattern.</x:v>
      </x:c>
      <x:c r="T328" s="13" t="str">
        <x:v>Mild or ambiguous cue; do not classify without clear evidence span.</x:v>
      </x:c>
      <x:c r="U328" s="13" t="str">
        <x:v>Clear claim-level pattern with some argumentative impact.</x:v>
      </x:c>
      <x:c r="V328" s="13" t="str">
        <x:v>Strong pattern central to the conclusion and likely to materially distort reasoning.</x:v>
      </x:c>
      <x:c r="W328" s="13" t="str"/>
      <x:c r="X328" s="13" t="str">
        <x:v>kahneman_tversky_prospect_1979</x:v>
      </x:c>
      <x:c r="Y328" s="13" t="str">
        <x:v>https://doi.org/10.2307/1914185</x:v>
      </x:c>
      <x:c r="Z328" s="13" t="str">
        <x:v>Review before enabling. This workbook is a living taxonomy scaffold, not a validated scientific benchmark.</x:v>
      </x:c>
      <x:c r="AA328" s="13" t="str">
        <x:v>0.1.0-draft</x:v>
      </x:c>
      <x:c r="AB328" s="12" t="str">
        <x:f>IF(ISNUMBER(SEARCH("healthy",F328)),"healthy_reasoning_patterns",IF(ISNUMBER(SEARCH("statistical",F328)),"statistical_reasoning",IF(ISNUMBER(SEARCH("causal",F328)),"causal_reasoning",IF(ISNUMBER(SEARCH("social",F328)),"social_influence",IF(ISNUMBER(SEARCH("rhetoric",F328)),"rhetoric_discourse",IF(ISNUMBER(SEARCH("behavior",F328)),"behavioural_economics",IF(ISNUMBER(SEARCH("cognitive",F328)),"cognitive_biases",IF(J328="protective_pattern","healthy_reasoning_patterns",IF(L328="P0","core_mvp","extended_fallacies")))))))))</x:f>
        <x:v>extended_fallacies</x:v>
      </x:c>
      <x:c r="AC328" s="12" t="str">
        <x:f>IF(ISNUMBER(SEARCH("operational",J328)),"operational",IF(ISNUMBER(SEARCH("deprecated",J328)),"deprecated",IF(L328="P0","canonical","recognized_subtype")))</x:f>
        <x:v>operational</x:v>
      </x:c>
      <x:c r="AD328" s="12" t="str">
        <x:f>IF(AC328="canonical","high",IF(AC328="recognized_subtype","medium",IF(AC328="operational","operational_only","debated")))</x:f>
        <x:v>operational_only</x:v>
      </x:c>
      <x:c r="AE328" s="12" t="str">
        <x:f>IF(AC328="deprecated","deprecated",IF(M328="yes","active",IF(M328="review","review_required","backlog")))</x:f>
        <x:v>backlog</x:v>
      </x:c>
      <x:c r="AF328" s="12" t="str">
        <x:f>IF(OR(AE328="active",AE328="review_required"),"yes","no")</x:f>
        <x:v>no</x:v>
      </x:c>
      <x:c r="AG328" s="12" t="str">
        <x:f>IF(AND(AE328="active",M328="yes",NOT(ISNUMBER(SEARCH("healthy",AB328)))),"yes","no")</x:f>
        <x:v>no</x:v>
      </x:c>
      <x:c r="AH328" s="12" t="str">
        <x:f>IF(OR(H328="contextual",H328="dialogue",H328="discourse",I328="claim+context",I328="discourse_segment"),"yes","no")</x:f>
        <x:v>yes</x:v>
      </x:c>
      <x:c r="AI328" s="12" t="str">
        <x:f>IF(OR(AH328="yes",AD328="debated",AC328="operational"),"yes","no")</x:f>
        <x:v>yes</x:v>
      </x:c>
      <x:c r="AJ328" s="12" t="str">
        <x:f>IF(OR(AH328="yes",AC328="operational",AD328="debated"),"high",IF(AND(AG328="yes",L328="P0"),"medium","low"))</x:f>
        <x:v>high</x:v>
      </x:c>
      <x:c r="AK328" s="12" t="str">
        <x:f>IF(ISNUMBER(SEARCH("healthy",AB328)),"yes","no")</x:f>
        <x:v>no</x:v>
      </x:c>
      <x:c r="AL328" s="12" t="str">
        <x:f>IF(AG328="yes","yes","candidate_only")</x:f>
        <x:v>candidate_only</x:v>
      </x:c>
      <x:c r="AM328" s="12" t="str">
        <x:f>IF(OR(AC328="canonical",AG328="yes"),"yes","recommended")</x:f>
        <x:v>recommended</x:v>
      </x:c>
      <x:c r="AN328" s="12" t="str">
        <x:f>IF(AC328="deprecated","exclude",IF(AND(AG328="yes",AJ328="high"),"import_but_human_review_required",IF(AG328="yes","import_as_active","import_as_backlog")))</x:f>
        <x:v>import_as_backlog</x:v>
      </x:c>
      <x:c r="AO328" s="12" t="str">
        <x:f>IF(AND(AG328="yes",OR(P328="",Q328="",R328="",S328="")),"missing_required_mvp_fields",IF(AND(AC328="canonical",Y328=""),"missing_source_ref","ok"))</x:f>
        <x:v>ok</x:v>
      </x:c>
      <x:c r="AP328" s="12" t="str">
        <x:f>IF(AO328="ok","ready_for_codex_import","needs_review")</x:f>
        <x:v>ready_for_codex_import</x:v>
      </x:c>
      <x:c r="AQ328" s="12"/>
      <x:c r="AR328" s="12" t="str">
        <x:v>Added v2 operational fields. Review before classification activation.</x:v>
      </x:c>
    </x:row>
    <x:row r="329">
      <x:c r="A329" s="13" t="str">
        <x:v>rare_event_overweighting_conditional_probability_variant</x:v>
      </x:c>
      <x:c r="B329" s="13" t="str">
        <x:v>rare_event_overweighting</x:v>
      </x:c>
      <x:c r="C329" s="13" t="str">
        <x:v>Rare-event overweighting</x:v>
      </x:c>
      <x:c r="D329" s="13" t="str">
        <x:v>بزرگ‌نمایی رخداد نادر</x:v>
      </x:c>
      <x:c r="E329" s="13" t="str">
        <x:v>Conditional-probability variant</x:v>
      </x:c>
      <x:c r="F329" s="13" t="str">
        <x:v>probabilistic_failures</x:v>
      </x:c>
      <x:c r="G329" s="13" t="str">
        <x:v>operational_variant</x:v>
      </x:c>
      <x:c r="H329" s="13" t="str">
        <x:v>contextual</x:v>
      </x:c>
      <x:c r="I329" s="13" t="str">
        <x:v>claim+context</x:v>
      </x:c>
      <x:c r="J329" s="13" t="str">
        <x:v>derived_operational_subtype</x:v>
      </x:c>
      <x:c r="K329" s="13" t="str">
        <x:v>derived_from_established_parent_review_required</x:v>
      </x:c>
      <x:c r="L329" s="13" t="str">
        <x:v>P2</x:v>
      </x:c>
      <x:c r="M329" s="13" t="str">
        <x:v>no</x:v>
      </x:c>
      <x:c r="N329" s="13" t="str">
        <x:v>Operational subtype under Rare-event overweighting: conditional probabilities are confused. Parent definition: Overweighting rare events due to salience or vividness.</x:v>
      </x:c>
      <x:c r="O329" s="13" t="str">
        <x:v>Look for: explicit claim-level evidence; parent-family cues for Rare-event overweighting; variant cue: conditional probabilities are confused; avoid author-level inference.</x:v>
      </x:c>
      <x:c r="P329" s="13" t="str">
        <x:v>Exact evidence span in text plus claim-level reasoning link; for contextual/discourse entries, require surrounding context.</x:v>
      </x:c>
      <x:c r="Q329" s="13" t="str">
        <x:v>Do not label merely because topic is controversial, emotional, or wrong. Do not judge intent or personality. Require textual evidence and consider healthy-reasoning cues.</x:v>
      </x:c>
      <x:c r="R329" s="13" t="str">
        <x:v>Stub: A claim relies on conditional probabilities are confused to support a conclusion without adequate qualification.</x:v>
      </x:c>
      <x:c r="S329" s="13" t="str">
        <x:v>Stub: A claim discusses rare-event overweighting with caveats, balanced evidence, or no argumentative use of the pattern.</x:v>
      </x:c>
      <x:c r="T329" s="13" t="str">
        <x:v>Mild or ambiguous cue; do not classify without clear evidence span.</x:v>
      </x:c>
      <x:c r="U329" s="13" t="str">
        <x:v>Clear claim-level pattern with some argumentative impact.</x:v>
      </x:c>
      <x:c r="V329" s="13" t="str">
        <x:v>Strong pattern central to the conclusion and likely to materially distort reasoning.</x:v>
      </x:c>
      <x:c r="W329" s="13" t="str"/>
      <x:c r="X329" s="13" t="str">
        <x:v>kahneman_tversky_prospect_1979</x:v>
      </x:c>
      <x:c r="Y329" s="13" t="str">
        <x:v>https://doi.org/10.2307/1914185</x:v>
      </x:c>
      <x:c r="Z329" s="13" t="str">
        <x:v>Review before enabling. This workbook is a living taxonomy scaffold, not a validated scientific benchmark.</x:v>
      </x:c>
      <x:c r="AA329" s="13" t="str">
        <x:v>0.1.0-draft</x:v>
      </x:c>
      <x:c r="AB329" s="12" t="str">
        <x:f>IF(ISNUMBER(SEARCH("healthy",F329)),"healthy_reasoning_patterns",IF(ISNUMBER(SEARCH("statistical",F329)),"statistical_reasoning",IF(ISNUMBER(SEARCH("causal",F329)),"causal_reasoning",IF(ISNUMBER(SEARCH("social",F329)),"social_influence",IF(ISNUMBER(SEARCH("rhetoric",F329)),"rhetoric_discourse",IF(ISNUMBER(SEARCH("behavior",F329)),"behavioural_economics",IF(ISNUMBER(SEARCH("cognitive",F329)),"cognitive_biases",IF(J329="protective_pattern","healthy_reasoning_patterns",IF(L329="P0","core_mvp","extended_fallacies")))))))))</x:f>
        <x:v>extended_fallacies</x:v>
      </x:c>
      <x:c r="AC329" s="12" t="str">
        <x:f>IF(ISNUMBER(SEARCH("operational",J329)),"operational",IF(ISNUMBER(SEARCH("deprecated",J329)),"deprecated",IF(L329="P0","canonical","recognized_subtype")))</x:f>
        <x:v>operational</x:v>
      </x:c>
      <x:c r="AD329" s="12" t="str">
        <x:f>IF(AC329="canonical","high",IF(AC329="recognized_subtype","medium",IF(AC329="operational","operational_only","debated")))</x:f>
        <x:v>operational_only</x:v>
      </x:c>
      <x:c r="AE329" s="12" t="str">
        <x:f>IF(AC329="deprecated","deprecated",IF(M329="yes","active",IF(M329="review","review_required","backlog")))</x:f>
        <x:v>backlog</x:v>
      </x:c>
      <x:c r="AF329" s="12" t="str">
        <x:f>IF(OR(AE329="active",AE329="review_required"),"yes","no")</x:f>
        <x:v>no</x:v>
      </x:c>
      <x:c r="AG329" s="12" t="str">
        <x:f>IF(AND(AE329="active",M329="yes",NOT(ISNUMBER(SEARCH("healthy",AB329)))),"yes","no")</x:f>
        <x:v>no</x:v>
      </x:c>
      <x:c r="AH329" s="12" t="str">
        <x:f>IF(OR(H329="contextual",H329="dialogue",H329="discourse",I329="claim+context",I329="discourse_segment"),"yes","no")</x:f>
        <x:v>yes</x:v>
      </x:c>
      <x:c r="AI329" s="12" t="str">
        <x:f>IF(OR(AH329="yes",AD329="debated",AC329="operational"),"yes","no")</x:f>
        <x:v>yes</x:v>
      </x:c>
      <x:c r="AJ329" s="12" t="str">
        <x:f>IF(OR(AH329="yes",AC329="operational",AD329="debated"),"high",IF(AND(AG329="yes",L329="P0"),"medium","low"))</x:f>
        <x:v>high</x:v>
      </x:c>
      <x:c r="AK329" s="12" t="str">
        <x:f>IF(ISNUMBER(SEARCH("healthy",AB329)),"yes","no")</x:f>
        <x:v>no</x:v>
      </x:c>
      <x:c r="AL329" s="12" t="str">
        <x:f>IF(AG329="yes","yes","candidate_only")</x:f>
        <x:v>candidate_only</x:v>
      </x:c>
      <x:c r="AM329" s="12" t="str">
        <x:f>IF(OR(AC329="canonical",AG329="yes"),"yes","recommended")</x:f>
        <x:v>recommended</x:v>
      </x:c>
      <x:c r="AN329" s="12" t="str">
        <x:f>IF(AC329="deprecated","exclude",IF(AND(AG329="yes",AJ329="high"),"import_but_human_review_required",IF(AG329="yes","import_as_active","import_as_backlog")))</x:f>
        <x:v>import_as_backlog</x:v>
      </x:c>
      <x:c r="AO329" s="12" t="str">
        <x:f>IF(AND(AG329="yes",OR(P329="",Q329="",R329="",S329="")),"missing_required_mvp_fields",IF(AND(AC329="canonical",Y329=""),"missing_source_ref","ok"))</x:f>
        <x:v>ok</x:v>
      </x:c>
      <x:c r="AP329" s="12" t="str">
        <x:f>IF(AO329="ok","ready_for_codex_import","needs_review")</x:f>
        <x:v>ready_for_codex_import</x:v>
      </x:c>
      <x:c r="AQ329" s="12"/>
      <x:c r="AR329" s="12" t="str">
        <x:v>Added v2 operational fields. Review before classification activation.</x:v>
      </x:c>
    </x:row>
    <x:row r="330">
      <x:c r="A330" s="13" t="str">
        <x:v>normalcy_bias_probability_conditional_probability_variant</x:v>
      </x:c>
      <x:c r="B330" s="13" t="str">
        <x:v>normalcy_bias_probability</x:v>
      </x:c>
      <x:c r="C330" s="13" t="str">
        <x:v>Normalcy bias in risk</x:v>
      </x:c>
      <x:c r="D330" s="13" t="str">
        <x:v>سوگیری عادی‌انگاری ریسک</x:v>
      </x:c>
      <x:c r="E330" s="13" t="str">
        <x:v>Conditional-probability variant</x:v>
      </x:c>
      <x:c r="F330" s="13" t="str">
        <x:v>probabilistic_failures</x:v>
      </x:c>
      <x:c r="G330" s="13" t="str">
        <x:v>operational_variant</x:v>
      </x:c>
      <x:c r="H330" s="13" t="str">
        <x:v>contextual</x:v>
      </x:c>
      <x:c r="I330" s="13" t="str">
        <x:v>claim+context</x:v>
      </x:c>
      <x:c r="J330" s="13" t="str">
        <x:v>derived_operational_subtype</x:v>
      </x:c>
      <x:c r="K330" s="13" t="str">
        <x:v>derived_from_established_parent_review_required</x:v>
      </x:c>
      <x:c r="L330" s="13" t="str">
        <x:v>P2</x:v>
      </x:c>
      <x:c r="M330" s="13" t="str">
        <x:v>no</x:v>
      </x:c>
      <x:c r="N330" s="13" t="str">
        <x:v>Operational subtype under Normalcy bias in risk: conditional probabilities are confused. Parent definition: Assuming adverse outcomes are unlikely because they have not recently occurred.</x:v>
      </x:c>
      <x:c r="O330" s="13" t="str">
        <x:v>Look for: explicit claim-level evidence; parent-family cues for Normalcy bias in risk; variant cue: conditional probabilities are confused; avoid author-level inference.</x:v>
      </x:c>
      <x:c r="P330" s="13" t="str">
        <x:v>Exact evidence span in text plus claim-level reasoning link; for contextual/discourse entries, require surrounding context.</x:v>
      </x:c>
      <x:c r="Q330" s="13" t="str">
        <x:v>Do not label merely because topic is controversial, emotional, or wrong. Do not judge intent or personality. Require textual evidence and consider healthy-reasoning cues.</x:v>
      </x:c>
      <x:c r="R330" s="13" t="str">
        <x:v>Stub: A claim relies on conditional probabilities are confused to support a conclusion without adequate qualification.</x:v>
      </x:c>
      <x:c r="S330" s="13" t="str">
        <x:v>Stub: A claim discusses normalcy bias in risk with caveats, balanced evidence, or no argumentative use of the pattern.</x:v>
      </x:c>
      <x:c r="T330" s="13" t="str">
        <x:v>Mild or ambiguous cue; do not classify without clear evidence span.</x:v>
      </x:c>
      <x:c r="U330" s="13" t="str">
        <x:v>Clear claim-level pattern with some argumentative impact.</x:v>
      </x:c>
      <x:c r="V330" s="13" t="str">
        <x:v>Strong pattern central to the conclusion and likely to materially distort reasoning.</x:v>
      </x:c>
      <x:c r="W330" s="13" t="str"/>
      <x:c r="X330" s="13" t="str">
        <x:v>stanovich_dual_process</x:v>
      </x:c>
      <x:c r="Y330" s="13" t="str">
        <x:v>https://global.oup.com/academic/product/rationality-and-the-reflective-mind-9780195341140</x:v>
      </x:c>
      <x:c r="Z330" s="13" t="str">
        <x:v>Review before enabling. This workbook is a living taxonomy scaffold, not a validated scientific benchmark.</x:v>
      </x:c>
      <x:c r="AA330" s="13" t="str">
        <x:v>0.1.0-draft</x:v>
      </x:c>
      <x:c r="AB330" s="12" t="str">
        <x:f>IF(ISNUMBER(SEARCH("healthy",F330)),"healthy_reasoning_patterns",IF(ISNUMBER(SEARCH("statistical",F330)),"statistical_reasoning",IF(ISNUMBER(SEARCH("causal",F330)),"causal_reasoning",IF(ISNUMBER(SEARCH("social",F330)),"social_influence",IF(ISNUMBER(SEARCH("rhetoric",F330)),"rhetoric_discourse",IF(ISNUMBER(SEARCH("behavior",F330)),"behavioural_economics",IF(ISNUMBER(SEARCH("cognitive",F330)),"cognitive_biases",IF(J330="protective_pattern","healthy_reasoning_patterns",IF(L330="P0","core_mvp","extended_fallacies")))))))))</x:f>
        <x:v>extended_fallacies</x:v>
      </x:c>
      <x:c r="AC330" s="12" t="str">
        <x:f>IF(ISNUMBER(SEARCH("operational",J330)),"operational",IF(ISNUMBER(SEARCH("deprecated",J330)),"deprecated",IF(L330="P0","canonical","recognized_subtype")))</x:f>
        <x:v>operational</x:v>
      </x:c>
      <x:c r="AD330" s="12" t="str">
        <x:f>IF(AC330="canonical","high",IF(AC330="recognized_subtype","medium",IF(AC330="operational","operational_only","debated")))</x:f>
        <x:v>operational_only</x:v>
      </x:c>
      <x:c r="AE330" s="12" t="str">
        <x:f>IF(AC330="deprecated","deprecated",IF(M330="yes","active",IF(M330="review","review_required","backlog")))</x:f>
        <x:v>backlog</x:v>
      </x:c>
      <x:c r="AF330" s="12" t="str">
        <x:f>IF(OR(AE330="active",AE330="review_required"),"yes","no")</x:f>
        <x:v>no</x:v>
      </x:c>
      <x:c r="AG330" s="12" t="str">
        <x:f>IF(AND(AE330="active",M330="yes",NOT(ISNUMBER(SEARCH("healthy",AB330)))),"yes","no")</x:f>
        <x:v>no</x:v>
      </x:c>
      <x:c r="AH330" s="12" t="str">
        <x:f>IF(OR(H330="contextual",H330="dialogue",H330="discourse",I330="claim+context",I330="discourse_segment"),"yes","no")</x:f>
        <x:v>yes</x:v>
      </x:c>
      <x:c r="AI330" s="12" t="str">
        <x:f>IF(OR(AH330="yes",AD330="debated",AC330="operational"),"yes","no")</x:f>
        <x:v>yes</x:v>
      </x:c>
      <x:c r="AJ330" s="12" t="str">
        <x:f>IF(OR(AH330="yes",AC330="operational",AD330="debated"),"high",IF(AND(AG330="yes",L330="P0"),"medium","low"))</x:f>
        <x:v>high</x:v>
      </x:c>
      <x:c r="AK330" s="12" t="str">
        <x:f>IF(ISNUMBER(SEARCH("healthy",AB330)),"yes","no")</x:f>
        <x:v>no</x:v>
      </x:c>
      <x:c r="AL330" s="12" t="str">
        <x:f>IF(AG330="yes","yes","candidate_only")</x:f>
        <x:v>candidate_only</x:v>
      </x:c>
      <x:c r="AM330" s="12" t="str">
        <x:f>IF(OR(AC330="canonical",AG330="yes"),"yes","recommended")</x:f>
        <x:v>recommended</x:v>
      </x:c>
      <x:c r="AN330" s="12" t="str">
        <x:f>IF(AC330="deprecated","exclude",IF(AND(AG330="yes",AJ330="high"),"import_but_human_review_required",IF(AG330="yes","import_as_active","import_as_backlog")))</x:f>
        <x:v>import_as_backlog</x:v>
      </x:c>
      <x:c r="AO330" s="12" t="str">
        <x:f>IF(AND(AG330="yes",OR(P330="",Q330="",R330="",S330="")),"missing_required_mvp_fields",IF(AND(AC330="canonical",Y330=""),"missing_source_ref","ok"))</x:f>
        <x:v>ok</x:v>
      </x:c>
      <x:c r="AP330" s="12" t="str">
        <x:f>IF(AO330="ok","ready_for_codex_import","needs_review")</x:f>
        <x:v>ready_for_codex_import</x:v>
      </x:c>
      <x:c r="AQ330" s="12"/>
      <x:c r="AR330" s="12" t="str">
        <x:v>Added v2 operational fields. Review before classification activation.</x:v>
      </x:c>
    </x:row>
    <x:row r="331">
      <x:c r="A331" s="13" t="str">
        <x:v>certainty_effect_conditional_probability_variant</x:v>
      </x:c>
      <x:c r="B331" s="13" t="str">
        <x:v>certainty_effect</x:v>
      </x:c>
      <x:c r="C331" s="13" t="str">
        <x:v>Certainty effect</x:v>
      </x:c>
      <x:c r="D331" s="13" t="str">
        <x:v>اثر قطعیت</x:v>
      </x:c>
      <x:c r="E331" s="13" t="str">
        <x:v>Conditional-probability variant</x:v>
      </x:c>
      <x:c r="F331" s="13" t="str">
        <x:v>probabilistic_failures</x:v>
      </x:c>
      <x:c r="G331" s="13" t="str">
        <x:v>operational_variant</x:v>
      </x:c>
      <x:c r="H331" s="13" t="str">
        <x:v>contextual</x:v>
      </x:c>
      <x:c r="I331" s="13" t="str">
        <x:v>claim+context</x:v>
      </x:c>
      <x:c r="J331" s="13" t="str">
        <x:v>derived_operational_subtype</x:v>
      </x:c>
      <x:c r="K331" s="13" t="str">
        <x:v>derived_from_established_parent_review_required</x:v>
      </x:c>
      <x:c r="L331" s="13" t="str">
        <x:v>P2</x:v>
      </x:c>
      <x:c r="M331" s="13" t="str">
        <x:v>no</x:v>
      </x:c>
      <x:c r="N331" s="13" t="str">
        <x:v>Operational subtype under Certainty effect: conditional probabilities are confused. Parent definition: Overvaluing certain outcomes relative to merely probable outcomes.</x:v>
      </x:c>
      <x:c r="O331" s="13" t="str">
        <x:v>Look for: explicit claim-level evidence; parent-family cues for Certainty effect; variant cue: conditional probabilities are confused; avoid author-level inference.</x:v>
      </x:c>
      <x:c r="P331" s="13" t="str">
        <x:v>Exact evidence span in text plus claim-level reasoning link; for contextual/discourse entries, require surrounding context.</x:v>
      </x:c>
      <x:c r="Q331" s="13" t="str">
        <x:v>Do not label merely because topic is controversial, emotional, or wrong. Do not judge intent or personality. Require textual evidence and consider healthy-reasoning cues.</x:v>
      </x:c>
      <x:c r="R331" s="13" t="str">
        <x:v>Stub: A claim relies on conditional probabilities are confused to support a conclusion without adequate qualification.</x:v>
      </x:c>
      <x:c r="S331" s="13" t="str">
        <x:v>Stub: A claim discusses certainty effect with caveats, balanced evidence, or no argumentative use of the pattern.</x:v>
      </x:c>
      <x:c r="T331" s="13" t="str">
        <x:v>Mild or ambiguous cue; do not classify without clear evidence span.</x:v>
      </x:c>
      <x:c r="U331" s="13" t="str">
        <x:v>Clear claim-level pattern with some argumentative impact.</x:v>
      </x:c>
      <x:c r="V331" s="13" t="str">
        <x:v>Strong pattern central to the conclusion and likely to materially distort reasoning.</x:v>
      </x:c>
      <x:c r="W331" s="13" t="str"/>
      <x:c r="X331" s="13" t="str">
        <x:v>kahneman_tversky_prospect_1979</x:v>
      </x:c>
      <x:c r="Y331" s="13" t="str">
        <x:v>https://doi.org/10.2307/1914185</x:v>
      </x:c>
      <x:c r="Z331" s="13" t="str">
        <x:v>Review before enabling. This workbook is a living taxonomy scaffold, not a validated scientific benchmark.</x:v>
      </x:c>
      <x:c r="AA331" s="13" t="str">
        <x:v>0.1.0-draft</x:v>
      </x:c>
      <x:c r="AB331" s="12" t="str">
        <x:f>IF(ISNUMBER(SEARCH("healthy",F331)),"healthy_reasoning_patterns",IF(ISNUMBER(SEARCH("statistical",F331)),"statistical_reasoning",IF(ISNUMBER(SEARCH("causal",F331)),"causal_reasoning",IF(ISNUMBER(SEARCH("social",F331)),"social_influence",IF(ISNUMBER(SEARCH("rhetoric",F331)),"rhetoric_discourse",IF(ISNUMBER(SEARCH("behavior",F331)),"behavioural_economics",IF(ISNUMBER(SEARCH("cognitive",F331)),"cognitive_biases",IF(J331="protective_pattern","healthy_reasoning_patterns",IF(L331="P0","core_mvp","extended_fallacies")))))))))</x:f>
        <x:v>extended_fallacies</x:v>
      </x:c>
      <x:c r="AC331" s="12" t="str">
        <x:f>IF(ISNUMBER(SEARCH("operational",J331)),"operational",IF(ISNUMBER(SEARCH("deprecated",J331)),"deprecated",IF(L331="P0","canonical","recognized_subtype")))</x:f>
        <x:v>operational</x:v>
      </x:c>
      <x:c r="AD331" s="12" t="str">
        <x:f>IF(AC331="canonical","high",IF(AC331="recognized_subtype","medium",IF(AC331="operational","operational_only","debated")))</x:f>
        <x:v>operational_only</x:v>
      </x:c>
      <x:c r="AE331" s="12" t="str">
        <x:f>IF(AC331="deprecated","deprecated",IF(M331="yes","active",IF(M331="review","review_required","backlog")))</x:f>
        <x:v>backlog</x:v>
      </x:c>
      <x:c r="AF331" s="12" t="str">
        <x:f>IF(OR(AE331="active",AE331="review_required"),"yes","no")</x:f>
        <x:v>no</x:v>
      </x:c>
      <x:c r="AG331" s="12" t="str">
        <x:f>IF(AND(AE331="active",M331="yes",NOT(ISNUMBER(SEARCH("healthy",AB331)))),"yes","no")</x:f>
        <x:v>no</x:v>
      </x:c>
      <x:c r="AH331" s="12" t="str">
        <x:f>IF(OR(H331="contextual",H331="dialogue",H331="discourse",I331="claim+context",I331="discourse_segment"),"yes","no")</x:f>
        <x:v>yes</x:v>
      </x:c>
      <x:c r="AI331" s="12" t="str">
        <x:f>IF(OR(AH331="yes",AD331="debated",AC331="operational"),"yes","no")</x:f>
        <x:v>yes</x:v>
      </x:c>
      <x:c r="AJ331" s="12" t="str">
        <x:f>IF(OR(AH331="yes",AC331="operational",AD331="debated"),"high",IF(AND(AG331="yes",L331="P0"),"medium","low"))</x:f>
        <x:v>high</x:v>
      </x:c>
      <x:c r="AK331" s="12" t="str">
        <x:f>IF(ISNUMBER(SEARCH("healthy",AB331)),"yes","no")</x:f>
        <x:v>no</x:v>
      </x:c>
      <x:c r="AL331" s="12" t="str">
        <x:f>IF(AG331="yes","yes","candidate_only")</x:f>
        <x:v>candidate_only</x:v>
      </x:c>
      <x:c r="AM331" s="12" t="str">
        <x:f>IF(OR(AC331="canonical",AG331="yes"),"yes","recommended")</x:f>
        <x:v>recommended</x:v>
      </x:c>
      <x:c r="AN331" s="12" t="str">
        <x:f>IF(AC331="deprecated","exclude",IF(AND(AG331="yes",AJ331="high"),"import_but_human_review_required",IF(AG331="yes","import_as_active","import_as_backlog")))</x:f>
        <x:v>import_as_backlog</x:v>
      </x:c>
      <x:c r="AO331" s="12" t="str">
        <x:f>IF(AND(AG331="yes",OR(P331="",Q331="",R331="",S331="")),"missing_required_mvp_fields",IF(AND(AC331="canonical",Y331=""),"missing_source_ref","ok"))</x:f>
        <x:v>ok</x:v>
      </x:c>
      <x:c r="AP331" s="12" t="str">
        <x:f>IF(AO331="ok","ready_for_codex_import","needs_review")</x:f>
        <x:v>ready_for_codex_import</x:v>
      </x:c>
      <x:c r="AQ331" s="12"/>
      <x:c r="AR331" s="12" t="str">
        <x:v>Added v2 operational fields. Review before classification activation.</x:v>
      </x:c>
    </x:row>
    <x:row r="332">
      <x:c r="A332" s="13" t="str">
        <x:v>pseudocertainty_effect_conditional_probability_variant</x:v>
      </x:c>
      <x:c r="B332" s="13" t="str">
        <x:v>pseudocertainty_effect</x:v>
      </x:c>
      <x:c r="C332" s="13" t="str">
        <x:v>Pseudocertainty effect</x:v>
      </x:c>
      <x:c r="D332" s="13" t="str">
        <x:v>اثر شبه‌قطعیت</x:v>
      </x:c>
      <x:c r="E332" s="13" t="str">
        <x:v>Conditional-probability variant</x:v>
      </x:c>
      <x:c r="F332" s="13" t="str">
        <x:v>probabilistic_failures</x:v>
      </x:c>
      <x:c r="G332" s="13" t="str">
        <x:v>operational_variant</x:v>
      </x:c>
      <x:c r="H332" s="13" t="str">
        <x:v>contextual</x:v>
      </x:c>
      <x:c r="I332" s="13" t="str">
        <x:v>claim+context</x:v>
      </x:c>
      <x:c r="J332" s="13" t="str">
        <x:v>derived_operational_subtype</x:v>
      </x:c>
      <x:c r="K332" s="13" t="str">
        <x:v>derived_from_established_parent_review_required</x:v>
      </x:c>
      <x:c r="L332" s="13" t="str">
        <x:v>P2</x:v>
      </x:c>
      <x:c r="M332" s="13" t="str">
        <x:v>no</x:v>
      </x:c>
      <x:c r="N332" s="13" t="str">
        <x:v>Operational subtype under Pseudocertainty effect: conditional probabilities are confused. Parent definition: Treating an uncertain multi-stage outcome as certain at a later stage.</x:v>
      </x:c>
      <x:c r="O332" s="13" t="str">
        <x:v>Look for: explicit claim-level evidence; parent-family cues for Pseudocertainty effect; variant cue: conditional probabilities are confused; avoid author-level inference.</x:v>
      </x:c>
      <x:c r="P332" s="13" t="str">
        <x:v>Exact evidence span in text plus claim-level reasoning link; for contextual/discourse entries, require surrounding context.</x:v>
      </x:c>
      <x:c r="Q332" s="13" t="str">
        <x:v>Do not label merely because topic is controversial, emotional, or wrong. Do not judge intent or personality. Require textual evidence and consider healthy-reasoning cues.</x:v>
      </x:c>
      <x:c r="R332" s="13" t="str">
        <x:v>Stub: A claim relies on conditional probabilities are confused to support a conclusion without adequate qualification.</x:v>
      </x:c>
      <x:c r="S332" s="13" t="str">
        <x:v>Stub: A claim discusses pseudocertainty effect with caveats, balanced evidence, or no argumentative use of the pattern.</x:v>
      </x:c>
      <x:c r="T332" s="13" t="str">
        <x:v>Mild or ambiguous cue; do not classify without clear evidence span.</x:v>
      </x:c>
      <x:c r="U332" s="13" t="str">
        <x:v>Clear claim-level pattern with some argumentative impact.</x:v>
      </x:c>
      <x:c r="V332" s="13" t="str">
        <x:v>Strong pattern central to the conclusion and likely to materially distort reasoning.</x:v>
      </x:c>
      <x:c r="W332" s="13" t="str"/>
      <x:c r="X332" s="13" t="str">
        <x:v>tversky_kahneman_framing_1981</x:v>
      </x:c>
      <x:c r="Y332" s="13" t="str">
        <x:v>https://doi.org/10.1126/science.7455683</x:v>
      </x:c>
      <x:c r="Z332" s="13" t="str">
        <x:v>Review before enabling. This workbook is a living taxonomy scaffold, not a validated scientific benchmark.</x:v>
      </x:c>
      <x:c r="AA332" s="13" t="str">
        <x:v>0.1.0-draft</x:v>
      </x:c>
      <x:c r="AB332" s="12" t="str">
        <x:f>IF(ISNUMBER(SEARCH("healthy",F332)),"healthy_reasoning_patterns",IF(ISNUMBER(SEARCH("statistical",F332)),"statistical_reasoning",IF(ISNUMBER(SEARCH("causal",F332)),"causal_reasoning",IF(ISNUMBER(SEARCH("social",F332)),"social_influence",IF(ISNUMBER(SEARCH("rhetoric",F332)),"rhetoric_discourse",IF(ISNUMBER(SEARCH("behavior",F332)),"behavioural_economics",IF(ISNUMBER(SEARCH("cognitive",F332)),"cognitive_biases",IF(J332="protective_pattern","healthy_reasoning_patterns",IF(L332="P0","core_mvp","extended_fallacies")))))))))</x:f>
        <x:v>extended_fallacies</x:v>
      </x:c>
      <x:c r="AC332" s="12" t="str">
        <x:f>IF(ISNUMBER(SEARCH("operational",J332)),"operational",IF(ISNUMBER(SEARCH("deprecated",J332)),"deprecated",IF(L332="P0","canonical","recognized_subtype")))</x:f>
        <x:v>operational</x:v>
      </x:c>
      <x:c r="AD332" s="12" t="str">
        <x:f>IF(AC332="canonical","high",IF(AC332="recognized_subtype","medium",IF(AC332="operational","operational_only","debated")))</x:f>
        <x:v>operational_only</x:v>
      </x:c>
      <x:c r="AE332" s="12" t="str">
        <x:f>IF(AC332="deprecated","deprecated",IF(M332="yes","active",IF(M332="review","review_required","backlog")))</x:f>
        <x:v>backlog</x:v>
      </x:c>
      <x:c r="AF332" s="12" t="str">
        <x:f>IF(OR(AE332="active",AE332="review_required"),"yes","no")</x:f>
        <x:v>no</x:v>
      </x:c>
      <x:c r="AG332" s="12" t="str">
        <x:f>IF(AND(AE332="active",M332="yes",NOT(ISNUMBER(SEARCH("healthy",AB332)))),"yes","no")</x:f>
        <x:v>no</x:v>
      </x:c>
      <x:c r="AH332" s="12" t="str">
        <x:f>IF(OR(H332="contextual",H332="dialogue",H332="discourse",I332="claim+context",I332="discourse_segment"),"yes","no")</x:f>
        <x:v>yes</x:v>
      </x:c>
      <x:c r="AI332" s="12" t="str">
        <x:f>IF(OR(AH332="yes",AD332="debated",AC332="operational"),"yes","no")</x:f>
        <x:v>yes</x:v>
      </x:c>
      <x:c r="AJ332" s="12" t="str">
        <x:f>IF(OR(AH332="yes",AC332="operational",AD332="debated"),"high",IF(AND(AG332="yes",L332="P0"),"medium","low"))</x:f>
        <x:v>high</x:v>
      </x:c>
      <x:c r="AK332" s="12" t="str">
        <x:f>IF(ISNUMBER(SEARCH("healthy",AB332)),"yes","no")</x:f>
        <x:v>no</x:v>
      </x:c>
      <x:c r="AL332" s="12" t="str">
        <x:f>IF(AG332="yes","yes","candidate_only")</x:f>
        <x:v>candidate_only</x:v>
      </x:c>
      <x:c r="AM332" s="12" t="str">
        <x:f>IF(OR(AC332="canonical",AG332="yes"),"yes","recommended")</x:f>
        <x:v>recommended</x:v>
      </x:c>
      <x:c r="AN332" s="12" t="str">
        <x:f>IF(AC332="deprecated","exclude",IF(AND(AG332="yes",AJ332="high"),"import_but_human_review_required",IF(AG332="yes","import_as_active","import_as_backlog")))</x:f>
        <x:v>import_as_backlog</x:v>
      </x:c>
      <x:c r="AO332" s="12" t="str">
        <x:f>IF(AND(AG332="yes",OR(P332="",Q332="",R332="",S332="")),"missing_required_mvp_fields",IF(AND(AC332="canonical",Y332=""),"missing_source_ref","ok"))</x:f>
        <x:v>ok</x:v>
      </x:c>
      <x:c r="AP332" s="12" t="str">
        <x:f>IF(AO332="ok","ready_for_codex_import","needs_review")</x:f>
        <x:v>ready_for_codex_import</x:v>
      </x:c>
      <x:c r="AQ332" s="12"/>
      <x:c r="AR332" s="12" t="str">
        <x:v>Added v2 operational fields. Review before classification activation.</x:v>
      </x:c>
    </x:row>
    <x:row r="333">
      <x:c r="A333" s="13" t="str">
        <x:v>probability_neglect_conditional_probability_variant</x:v>
      </x:c>
      <x:c r="B333" s="13" t="str">
        <x:v>probability_neglect</x:v>
      </x:c>
      <x:c r="C333" s="13" t="str">
        <x:v>Probability neglect</x:v>
      </x:c>
      <x:c r="D333" s="13" t="str">
        <x:v>نادیده‌گرفتن احتمال</x:v>
      </x:c>
      <x:c r="E333" s="13" t="str">
        <x:v>Conditional-probability variant</x:v>
      </x:c>
      <x:c r="F333" s="13" t="str">
        <x:v>probabilistic_failures</x:v>
      </x:c>
      <x:c r="G333" s="13" t="str">
        <x:v>operational_variant</x:v>
      </x:c>
      <x:c r="H333" s="13" t="str">
        <x:v>contextual</x:v>
      </x:c>
      <x:c r="I333" s="13" t="str">
        <x:v>claim+context</x:v>
      </x:c>
      <x:c r="J333" s="13" t="str">
        <x:v>derived_operational_subtype</x:v>
      </x:c>
      <x:c r="K333" s="13" t="str">
        <x:v>derived_from_established_parent_review_required</x:v>
      </x:c>
      <x:c r="L333" s="13" t="str">
        <x:v>P2</x:v>
      </x:c>
      <x:c r="M333" s="13" t="str">
        <x:v>no</x:v>
      </x:c>
      <x:c r="N333" s="13" t="str">
        <x:v>Operational subtype under Probability neglect: conditional probabilities are confused. Parent definition: Reacting to possible outcomes without proportionate attention to likelihood.</x:v>
      </x:c>
      <x:c r="O333" s="13" t="str">
        <x:v>Look for: explicit claim-level evidence; parent-family cues for Probability neglect; variant cue: conditional probabilities are confused; avoid author-level inference.</x:v>
      </x:c>
      <x:c r="P333" s="13" t="str">
        <x:v>Exact evidence span in text plus claim-level reasoning link; for contextual/discourse entries, require surrounding context.</x:v>
      </x:c>
      <x:c r="Q333" s="13" t="str">
        <x:v>Do not label merely because topic is controversial, emotional, or wrong. Do not judge intent or personality. Require textual evidence and consider healthy-reasoning cues.</x:v>
      </x:c>
      <x:c r="R333" s="13" t="str">
        <x:v>Stub: A claim relies on conditional probabilities are confused to support a conclusion without adequate qualification.</x:v>
      </x:c>
      <x:c r="S333" s="13" t="str">
        <x:v>Stub: A claim discusses probability neglect with caveats, balanced evidence, or no argumentative use of the pattern.</x:v>
      </x:c>
      <x:c r="T333" s="13" t="str">
        <x:v>Mild or ambiguous cue; do not classify without clear evidence span.</x:v>
      </x:c>
      <x:c r="U333" s="13" t="str">
        <x:v>Clear claim-level pattern with some argumentative impact.</x:v>
      </x:c>
      <x:c r="V333" s="13" t="str">
        <x:v>Strong pattern central to the conclusion and likely to materially distort reasoning.</x:v>
      </x:c>
      <x:c r="W333" s="13" t="str"/>
      <x:c r="X333" s="13" t="str">
        <x:v>kahneman_tversky_prospect_1979</x:v>
      </x:c>
      <x:c r="Y333" s="13" t="str">
        <x:v>https://doi.org/10.2307/1914185</x:v>
      </x:c>
      <x:c r="Z333" s="13" t="str">
        <x:v>Review before enabling. This workbook is a living taxonomy scaffold, not a validated scientific benchmark.</x:v>
      </x:c>
      <x:c r="AA333" s="13" t="str">
        <x:v>0.1.0-draft</x:v>
      </x:c>
      <x:c r="AB333" s="12" t="str">
        <x:f>IF(ISNUMBER(SEARCH("healthy",F333)),"healthy_reasoning_patterns",IF(ISNUMBER(SEARCH("statistical",F333)),"statistical_reasoning",IF(ISNUMBER(SEARCH("causal",F333)),"causal_reasoning",IF(ISNUMBER(SEARCH("social",F333)),"social_influence",IF(ISNUMBER(SEARCH("rhetoric",F333)),"rhetoric_discourse",IF(ISNUMBER(SEARCH("behavior",F333)),"behavioural_economics",IF(ISNUMBER(SEARCH("cognitive",F333)),"cognitive_biases",IF(J333="protective_pattern","healthy_reasoning_patterns",IF(L333="P0","core_mvp","extended_fallacies")))))))))</x:f>
        <x:v>extended_fallacies</x:v>
      </x:c>
      <x:c r="AC333" s="12" t="str">
        <x:f>IF(ISNUMBER(SEARCH("operational",J333)),"operational",IF(ISNUMBER(SEARCH("deprecated",J333)),"deprecated",IF(L333="P0","canonical","recognized_subtype")))</x:f>
        <x:v>operational</x:v>
      </x:c>
      <x:c r="AD333" s="12" t="str">
        <x:f>IF(AC333="canonical","high",IF(AC333="recognized_subtype","medium",IF(AC333="operational","operational_only","debated")))</x:f>
        <x:v>operational_only</x:v>
      </x:c>
      <x:c r="AE333" s="12" t="str">
        <x:f>IF(AC333="deprecated","deprecated",IF(M333="yes","active",IF(M333="review","review_required","backlog")))</x:f>
        <x:v>backlog</x:v>
      </x:c>
      <x:c r="AF333" s="12" t="str">
        <x:f>IF(OR(AE333="active",AE333="review_required"),"yes","no")</x:f>
        <x:v>no</x:v>
      </x:c>
      <x:c r="AG333" s="12" t="str">
        <x:f>IF(AND(AE333="active",M333="yes",NOT(ISNUMBER(SEARCH("healthy",AB333)))),"yes","no")</x:f>
        <x:v>no</x:v>
      </x:c>
      <x:c r="AH333" s="12" t="str">
        <x:f>IF(OR(H333="contextual",H333="dialogue",H333="discourse",I333="claim+context",I333="discourse_segment"),"yes","no")</x:f>
        <x:v>yes</x:v>
      </x:c>
      <x:c r="AI333" s="12" t="str">
        <x:f>IF(OR(AH333="yes",AD333="debated",AC333="operational"),"yes","no")</x:f>
        <x:v>yes</x:v>
      </x:c>
      <x:c r="AJ333" s="12" t="str">
        <x:f>IF(OR(AH333="yes",AC333="operational",AD333="debated"),"high",IF(AND(AG333="yes",L333="P0"),"medium","low"))</x:f>
        <x:v>high</x:v>
      </x:c>
      <x:c r="AK333" s="12" t="str">
        <x:f>IF(ISNUMBER(SEARCH("healthy",AB333)),"yes","no")</x:f>
        <x:v>no</x:v>
      </x:c>
      <x:c r="AL333" s="12" t="str">
        <x:f>IF(AG333="yes","yes","candidate_only")</x:f>
        <x:v>candidate_only</x:v>
      </x:c>
      <x:c r="AM333" s="12" t="str">
        <x:f>IF(OR(AC333="canonical",AG333="yes"),"yes","recommended")</x:f>
        <x:v>recommended</x:v>
      </x:c>
      <x:c r="AN333" s="12" t="str">
        <x:f>IF(AC333="deprecated","exclude",IF(AND(AG333="yes",AJ333="high"),"import_but_human_review_required",IF(AG333="yes","import_as_active","import_as_backlog")))</x:f>
        <x:v>import_as_backlog</x:v>
      </x:c>
      <x:c r="AO333" s="12" t="str">
        <x:f>IF(AND(AG333="yes",OR(P333="",Q333="",R333="",S333="")),"missing_required_mvp_fields",IF(AND(AC333="canonical",Y333=""),"missing_source_ref","ok"))</x:f>
        <x:v>ok</x:v>
      </x:c>
      <x:c r="AP333" s="12" t="str">
        <x:f>IF(AO333="ok","ready_for_codex_import","needs_review")</x:f>
        <x:v>ready_for_codex_import</x:v>
      </x:c>
      <x:c r="AQ333" s="12"/>
      <x:c r="AR333" s="12" t="str">
        <x:v>Added v2 operational fields. Review before classification activation.</x:v>
      </x:c>
    </x:row>
    <x:row r="334">
      <x:c r="A334" s="13" t="str">
        <x:v>odds_ratio_misinterpretation_conditional_probability_variant</x:v>
      </x:c>
      <x:c r="B334" s="13" t="str">
        <x:v>odds_ratio_misinterpretation</x:v>
      </x:c>
      <x:c r="C334" s="13" t="str">
        <x:v>Odds-ratio misinterpretation</x:v>
      </x:c>
      <x:c r="D334" s="13" t="str">
        <x:v>تفسیر نادرست نسبت شانس</x:v>
      </x:c>
      <x:c r="E334" s="13" t="str">
        <x:v>Conditional-probability variant</x:v>
      </x:c>
      <x:c r="F334" s="13" t="str">
        <x:v>probabilistic_failures</x:v>
      </x:c>
      <x:c r="G334" s="13" t="str">
        <x:v>operational_variant</x:v>
      </x:c>
      <x:c r="H334" s="13" t="str">
        <x:v>contextual</x:v>
      </x:c>
      <x:c r="I334" s="13" t="str">
        <x:v>claim+context</x:v>
      </x:c>
      <x:c r="J334" s="13" t="str">
        <x:v>derived_operational_subtype</x:v>
      </x:c>
      <x:c r="K334" s="13" t="str">
        <x:v>derived_from_established_parent_review_required</x:v>
      </x:c>
      <x:c r="L334" s="13" t="str">
        <x:v>P2</x:v>
      </x:c>
      <x:c r="M334" s="13" t="str">
        <x:v>no</x:v>
      </x:c>
      <x:c r="N334" s="13" t="str">
        <x:v>Operational subtype under Odds-ratio misinterpretation: conditional probabilities are confused. Parent definition: Treating odds ratios as direct probability differences.</x:v>
      </x:c>
      <x:c r="O334" s="13" t="str">
        <x:v>Look for: explicit claim-level evidence; parent-family cues for Odds-ratio misinterpretation; variant cue: conditional probabilities are confused; avoid author-level inference.</x:v>
      </x:c>
      <x:c r="P334" s="13" t="str">
        <x:v>Exact evidence span in text plus claim-level reasoning link; for contextual/discourse entries, require surrounding context.</x:v>
      </x:c>
      <x:c r="Q334" s="13" t="str">
        <x:v>Do not label merely because topic is controversial, emotional, or wrong. Do not judge intent or personality. Require textual evidence and consider healthy-reasoning cues.</x:v>
      </x:c>
      <x:c r="R334" s="13" t="str">
        <x:v>Stub: A claim relies on conditional probabilities are confused to support a conclusion without adequate qualification.</x:v>
      </x:c>
      <x:c r="S334" s="13" t="str">
        <x:v>Stub: A claim discusses odds-ratio misinterpretation with caveats, balanced evidence, or no argumentative use of the pattern.</x:v>
      </x:c>
      <x:c r="T334" s="13" t="str">
        <x:v>Mild or ambiguous cue; do not classify without clear evidence span.</x:v>
      </x:c>
      <x:c r="U334" s="13" t="str">
        <x:v>Clear claim-level pattern with some argumentative impact.</x:v>
      </x:c>
      <x:c r="V334" s="13" t="str">
        <x:v>Strong pattern central to the conclusion and likely to materially distort reasoning.</x:v>
      </x:c>
      <x:c r="W334" s="13" t="str"/>
      <x:c r="X334" s="13" t="str">
        <x:v>stanovich_dual_process</x:v>
      </x:c>
      <x:c r="Y334" s="13" t="str">
        <x:v>https://global.oup.com/academic/product/rationality-and-the-reflective-mind-9780195341140</x:v>
      </x:c>
      <x:c r="Z334" s="13" t="str">
        <x:v>Review before enabling. This workbook is a living taxonomy scaffold, not a validated scientific benchmark.</x:v>
      </x:c>
      <x:c r="AA334" s="13" t="str">
        <x:v>0.1.0-draft</x:v>
      </x:c>
      <x:c r="AB334" s="12" t="str">
        <x:f>IF(ISNUMBER(SEARCH("healthy",F334)),"healthy_reasoning_patterns",IF(ISNUMBER(SEARCH("statistical",F334)),"statistical_reasoning",IF(ISNUMBER(SEARCH("causal",F334)),"causal_reasoning",IF(ISNUMBER(SEARCH("social",F334)),"social_influence",IF(ISNUMBER(SEARCH("rhetoric",F334)),"rhetoric_discourse",IF(ISNUMBER(SEARCH("behavior",F334)),"behavioural_economics",IF(ISNUMBER(SEARCH("cognitive",F334)),"cognitive_biases",IF(J334="protective_pattern","healthy_reasoning_patterns",IF(L334="P0","core_mvp","extended_fallacies")))))))))</x:f>
        <x:v>extended_fallacies</x:v>
      </x:c>
      <x:c r="AC334" s="12" t="str">
        <x:f>IF(ISNUMBER(SEARCH("operational",J334)),"operational",IF(ISNUMBER(SEARCH("deprecated",J334)),"deprecated",IF(L334="P0","canonical","recognized_subtype")))</x:f>
        <x:v>operational</x:v>
      </x:c>
      <x:c r="AD334" s="12" t="str">
        <x:f>IF(AC334="canonical","high",IF(AC334="recognized_subtype","medium",IF(AC334="operational","operational_only","debated")))</x:f>
        <x:v>operational_only</x:v>
      </x:c>
      <x:c r="AE334" s="12" t="str">
        <x:f>IF(AC334="deprecated","deprecated",IF(M334="yes","active",IF(M334="review","review_required","backlog")))</x:f>
        <x:v>backlog</x:v>
      </x:c>
      <x:c r="AF334" s="12" t="str">
        <x:f>IF(OR(AE334="active",AE334="review_required"),"yes","no")</x:f>
        <x:v>no</x:v>
      </x:c>
      <x:c r="AG334" s="12" t="str">
        <x:f>IF(AND(AE334="active",M334="yes",NOT(ISNUMBER(SEARCH("healthy",AB334)))),"yes","no")</x:f>
        <x:v>no</x:v>
      </x:c>
      <x:c r="AH334" s="12" t="str">
        <x:f>IF(OR(H334="contextual",H334="dialogue",H334="discourse",I334="claim+context",I334="discourse_segment"),"yes","no")</x:f>
        <x:v>yes</x:v>
      </x:c>
      <x:c r="AI334" s="12" t="str">
        <x:f>IF(OR(AH334="yes",AD334="debated",AC334="operational"),"yes","no")</x:f>
        <x:v>yes</x:v>
      </x:c>
      <x:c r="AJ334" s="12" t="str">
        <x:f>IF(OR(AH334="yes",AC334="operational",AD334="debated"),"high",IF(AND(AG334="yes",L334="P0"),"medium","low"))</x:f>
        <x:v>high</x:v>
      </x:c>
      <x:c r="AK334" s="12" t="str">
        <x:f>IF(ISNUMBER(SEARCH("healthy",AB334)),"yes","no")</x:f>
        <x:v>no</x:v>
      </x:c>
      <x:c r="AL334" s="12" t="str">
        <x:f>IF(AG334="yes","yes","candidate_only")</x:f>
        <x:v>candidate_only</x:v>
      </x:c>
      <x:c r="AM334" s="12" t="str">
        <x:f>IF(OR(AC334="canonical",AG334="yes"),"yes","recommended")</x:f>
        <x:v>recommended</x:v>
      </x:c>
      <x:c r="AN334" s="12" t="str">
        <x:f>IF(AC334="deprecated","exclude",IF(AND(AG334="yes",AJ334="high"),"import_but_human_review_required",IF(AG334="yes","import_as_active","import_as_backlog")))</x:f>
        <x:v>import_as_backlog</x:v>
      </x:c>
      <x:c r="AO334" s="12" t="str">
        <x:f>IF(AND(AG334="yes",OR(P334="",Q334="",R334="",S334="")),"missing_required_mvp_fields",IF(AND(AC334="canonical",Y334=""),"missing_source_ref","ok"))</x:f>
        <x:v>ok</x:v>
      </x:c>
      <x:c r="AP334" s="12" t="str">
        <x:f>IF(AO334="ok","ready_for_codex_import","needs_review")</x:f>
        <x:v>ready_for_codex_import</x:v>
      </x:c>
      <x:c r="AQ334" s="12"/>
      <x:c r="AR334" s="12" t="str">
        <x:v>Added v2 operational fields. Review before classification activation.</x:v>
      </x:c>
    </x:row>
    <x:row r="335">
      <x:c r="A335" s="13" t="str">
        <x:v>confidence_interval_neglect_conditional_probability_variant</x:v>
      </x:c>
      <x:c r="B335" s="13" t="str">
        <x:v>confidence_interval_neglect</x:v>
      </x:c>
      <x:c r="C335" s="13" t="str">
        <x:v>Confidence interval neglect</x:v>
      </x:c>
      <x:c r="D335" s="13" t="str">
        <x:v>نادیده گرفتن بازه اطمینان</x:v>
      </x:c>
      <x:c r="E335" s="13" t="str">
        <x:v>Conditional-probability variant</x:v>
      </x:c>
      <x:c r="F335" s="13" t="str">
        <x:v>probabilistic_failures</x:v>
      </x:c>
      <x:c r="G335" s="13" t="str">
        <x:v>operational_variant</x:v>
      </x:c>
      <x:c r="H335" s="13" t="str">
        <x:v>lexical</x:v>
      </x:c>
      <x:c r="I335" s="13" t="str">
        <x:v>claim</x:v>
      </x:c>
      <x:c r="J335" s="13" t="str">
        <x:v>derived_operational_subtype</x:v>
      </x:c>
      <x:c r="K335" s="13" t="str">
        <x:v>derived_from_established_parent_review_required</x:v>
      </x:c>
      <x:c r="L335" s="13" t="str">
        <x:v>P2</x:v>
      </x:c>
      <x:c r="M335" s="13" t="str">
        <x:v>no</x:v>
      </x:c>
      <x:c r="N335" s="13" t="str">
        <x:v>Operational subtype under Confidence interval neglect: conditional probabilities are confused. Parent definition: Using point estimates as if uncertainty intervals did not exist.</x:v>
      </x:c>
      <x:c r="O335" s="13" t="str">
        <x:v>Look for: explicit claim-level evidence; parent-family cues for Confidence interval neglect; variant cue: conditional probabilities are confused; avoid author-level inference.</x:v>
      </x:c>
      <x:c r="P335" s="13" t="str">
        <x:v>Exact evidence span in text plus claim-level reasoning link; for contextual/discourse entries, require surrounding context.</x:v>
      </x:c>
      <x:c r="Q335" s="13" t="str">
        <x:v>Do not label merely because topic is controversial, emotional, or wrong. Do not judge intent or personality. Require textual evidence and consider healthy-reasoning cues.</x:v>
      </x:c>
      <x:c r="R335" s="13" t="str">
        <x:v>Stub: A claim relies on conditional probabilities are confused to support a conclusion without adequate qualification.</x:v>
      </x:c>
      <x:c r="S335" s="13" t="str">
        <x:v>Stub: A claim discusses confidence interval neglect with caveats, balanced evidence, or no argumentative use of the pattern.</x:v>
      </x:c>
      <x:c r="T335" s="13" t="str">
        <x:v>Mild or ambiguous cue; do not classify without clear evidence span.</x:v>
      </x:c>
      <x:c r="U335" s="13" t="str">
        <x:v>Clear claim-level pattern with some argumentative impact.</x:v>
      </x:c>
      <x:c r="V335" s="13" t="str">
        <x:v>Strong pattern central to the conclusion and likely to materially distort reasoning.</x:v>
      </x:c>
      <x:c r="W335" s="13" t="str"/>
      <x:c r="X335" s="13" t="str">
        <x:v>stanovich_dual_process</x:v>
      </x:c>
      <x:c r="Y335" s="13" t="str">
        <x:v>https://global.oup.com/academic/product/rationality-and-the-reflective-mind-9780195341140</x:v>
      </x:c>
      <x:c r="Z335" s="13" t="str">
        <x:v>Review before enabling. This workbook is a living taxonomy scaffold, not a validated scientific benchmark.</x:v>
      </x:c>
      <x:c r="AA335" s="13" t="str">
        <x:v>0.1.0-draft</x:v>
      </x:c>
      <x:c r="AB335" s="12" t="str">
        <x:f>IF(ISNUMBER(SEARCH("healthy",F335)),"healthy_reasoning_patterns",IF(ISNUMBER(SEARCH("statistical",F335)),"statistical_reasoning",IF(ISNUMBER(SEARCH("causal",F335)),"causal_reasoning",IF(ISNUMBER(SEARCH("social",F335)),"social_influence",IF(ISNUMBER(SEARCH("rhetoric",F335)),"rhetoric_discourse",IF(ISNUMBER(SEARCH("behavior",F335)),"behavioural_economics",IF(ISNUMBER(SEARCH("cognitive",F335)),"cognitive_biases",IF(J335="protective_pattern","healthy_reasoning_patterns",IF(L335="P0","core_mvp","extended_fallacies")))))))))</x:f>
        <x:v>extended_fallacies</x:v>
      </x:c>
      <x:c r="AC335" s="12" t="str">
        <x:f>IF(ISNUMBER(SEARCH("operational",J335)),"operational",IF(ISNUMBER(SEARCH("deprecated",J335)),"deprecated",IF(L335="P0","canonical","recognized_subtype")))</x:f>
        <x:v>operational</x:v>
      </x:c>
      <x:c r="AD335" s="12" t="str">
        <x:f>IF(AC335="canonical","high",IF(AC335="recognized_subtype","medium",IF(AC335="operational","operational_only","debated")))</x:f>
        <x:v>operational_only</x:v>
      </x:c>
      <x:c r="AE335" s="12" t="str">
        <x:f>IF(AC335="deprecated","deprecated",IF(M335="yes","active",IF(M335="review","review_required","backlog")))</x:f>
        <x:v>backlog</x:v>
      </x:c>
      <x:c r="AF335" s="12" t="str">
        <x:f>IF(OR(AE335="active",AE335="review_required"),"yes","no")</x:f>
        <x:v>no</x:v>
      </x:c>
      <x:c r="AG335" s="12" t="str">
        <x:f>IF(AND(AE335="active",M335="yes",NOT(ISNUMBER(SEARCH("healthy",AB335)))),"yes","no")</x:f>
        <x:v>no</x:v>
      </x:c>
      <x:c r="AH335" s="12" t="str">
        <x:f>IF(OR(H335="contextual",H335="dialogue",H335="discourse",I335="claim+context",I335="discourse_segment"),"yes","no")</x:f>
        <x:v>no</x:v>
      </x:c>
      <x:c r="AI335" s="12" t="str">
        <x:f>IF(OR(AH335="yes",AD335="debated",AC335="operational"),"yes","no")</x:f>
        <x:v>yes</x:v>
      </x:c>
      <x:c r="AJ335" s="12" t="str">
        <x:f>IF(OR(AH335="yes",AC335="operational",AD335="debated"),"high",IF(AND(AG335="yes",L335="P0"),"medium","low"))</x:f>
        <x:v>high</x:v>
      </x:c>
      <x:c r="AK335" s="12" t="str">
        <x:f>IF(ISNUMBER(SEARCH("healthy",AB335)),"yes","no")</x:f>
        <x:v>no</x:v>
      </x:c>
      <x:c r="AL335" s="12" t="str">
        <x:f>IF(AG335="yes","yes","candidate_only")</x:f>
        <x:v>candidate_only</x:v>
      </x:c>
      <x:c r="AM335" s="12" t="str">
        <x:f>IF(OR(AC335="canonical",AG335="yes"),"yes","recommended")</x:f>
        <x:v>recommended</x:v>
      </x:c>
      <x:c r="AN335" s="12" t="str">
        <x:f>IF(AC335="deprecated","exclude",IF(AND(AG335="yes",AJ335="high"),"import_but_human_review_required",IF(AG335="yes","import_as_active","import_as_backlog")))</x:f>
        <x:v>import_as_backlog</x:v>
      </x:c>
      <x:c r="AO335" s="12" t="str">
        <x:f>IF(AND(AG335="yes",OR(P335="",Q335="",R335="",S335="")),"missing_required_mvp_fields",IF(AND(AC335="canonical",Y335=""),"missing_source_ref","ok"))</x:f>
        <x:v>ok</x:v>
      </x:c>
      <x:c r="AP335" s="12" t="str">
        <x:f>IF(AO335="ok","ready_for_codex_import","needs_review")</x:f>
        <x:v>ready_for_codex_import</x:v>
      </x:c>
      <x:c r="AQ335" s="12"/>
      <x:c r="AR335" s="12" t="str">
        <x:v>Added v2 operational fields. Review before classification activation.</x:v>
      </x:c>
    </x:row>
    <x:row r="336">
      <x:c r="A336" s="13" t="str">
        <x:v>forecast_base_rate_neglect_conditional_probability_variant</x:v>
      </x:c>
      <x:c r="B336" s="13" t="str">
        <x:v>forecast_base_rate_neglect</x:v>
      </x:c>
      <x:c r="C336" s="13" t="str">
        <x:v>Forecast base-rate neglect</x:v>
      </x:c>
      <x:c r="D336" s="13" t="str">
        <x:v>نرخ پایه در پیش‌بینی</x:v>
      </x:c>
      <x:c r="E336" s="13" t="str">
        <x:v>Conditional-probability variant</x:v>
      </x:c>
      <x:c r="F336" s="13" t="str">
        <x:v>probabilistic_failures</x:v>
      </x:c>
      <x:c r="G336" s="13" t="str">
        <x:v>operational_variant</x:v>
      </x:c>
      <x:c r="H336" s="13" t="str">
        <x:v>contextual</x:v>
      </x:c>
      <x:c r="I336" s="13" t="str">
        <x:v>claim+context</x:v>
      </x:c>
      <x:c r="J336" s="13" t="str">
        <x:v>derived_operational_subtype</x:v>
      </x:c>
      <x:c r="K336" s="13" t="str">
        <x:v>derived_from_established_parent_review_required</x:v>
      </x:c>
      <x:c r="L336" s="13" t="str">
        <x:v>P2</x:v>
      </x:c>
      <x:c r="M336" s="13" t="str">
        <x:v>no</x:v>
      </x:c>
      <x:c r="N336" s="13" t="str">
        <x:v>Operational subtype under Forecast base-rate neglect: conditional probabilities are confused. Parent definition: Making forecasts without considering historical frequencies.</x:v>
      </x:c>
      <x:c r="O336" s="13" t="str">
        <x:v>Look for: explicit claim-level evidence; parent-family cues for Forecast base-rate neglect; variant cue: conditional probabilities are confused; avoid author-level inference.</x:v>
      </x:c>
      <x:c r="P336" s="13" t="str">
        <x:v>Exact evidence span in text plus claim-level reasoning link; for contextual/discourse entries, require surrounding context.</x:v>
      </x:c>
      <x:c r="Q336" s="13" t="str">
        <x:v>Do not label merely because topic is controversial, emotional, or wrong. Do not judge intent or personality. Require textual evidence and consider healthy-reasoning cues.</x:v>
      </x:c>
      <x:c r="R336" s="13" t="str">
        <x:v>Stub: A claim relies on conditional probabilities are confused to support a conclusion without adequate qualification.</x:v>
      </x:c>
      <x:c r="S336" s="13" t="str">
        <x:v>Stub: A claim discusses forecast base-rate neglect with caveats, balanced evidence, or no argumentative use of the pattern.</x:v>
      </x:c>
      <x:c r="T336" s="13" t="str">
        <x:v>Mild or ambiguous cue; do not classify without clear evidence span.</x:v>
      </x:c>
      <x:c r="U336" s="13" t="str">
        <x:v>Clear claim-level pattern with some argumentative impact.</x:v>
      </x:c>
      <x:c r="V336" s="13" t="str">
        <x:v>Strong pattern central to the conclusion and likely to materially distort reasoning.</x:v>
      </x:c>
      <x:c r="W336" s="13" t="str"/>
      <x:c r="X336" s="13" t="str">
        <x:v>stanovich_dual_process</x:v>
      </x:c>
      <x:c r="Y336" s="13" t="str">
        <x:v>https://global.oup.com/academic/product/rationality-and-the-reflective-mind-9780195341140</x:v>
      </x:c>
      <x:c r="Z336" s="13" t="str">
        <x:v>Review before enabling. This workbook is a living taxonomy scaffold, not a validated scientific benchmark.</x:v>
      </x:c>
      <x:c r="AA336" s="13" t="str">
        <x:v>0.1.0-draft</x:v>
      </x:c>
      <x:c r="AB336" s="12" t="str">
        <x:f>IF(ISNUMBER(SEARCH("healthy",F336)),"healthy_reasoning_patterns",IF(ISNUMBER(SEARCH("statistical",F336)),"statistical_reasoning",IF(ISNUMBER(SEARCH("causal",F336)),"causal_reasoning",IF(ISNUMBER(SEARCH("social",F336)),"social_influence",IF(ISNUMBER(SEARCH("rhetoric",F336)),"rhetoric_discourse",IF(ISNUMBER(SEARCH("behavior",F336)),"behavioural_economics",IF(ISNUMBER(SEARCH("cognitive",F336)),"cognitive_biases",IF(J336="protective_pattern","healthy_reasoning_patterns",IF(L336="P0","core_mvp","extended_fallacies")))))))))</x:f>
        <x:v>extended_fallacies</x:v>
      </x:c>
      <x:c r="AC336" s="12" t="str">
        <x:f>IF(ISNUMBER(SEARCH("operational",J336)),"operational",IF(ISNUMBER(SEARCH("deprecated",J336)),"deprecated",IF(L336="P0","canonical","recognized_subtype")))</x:f>
        <x:v>operational</x:v>
      </x:c>
      <x:c r="AD336" s="12" t="str">
        <x:f>IF(AC336="canonical","high",IF(AC336="recognized_subtype","medium",IF(AC336="operational","operational_only","debated")))</x:f>
        <x:v>operational_only</x:v>
      </x:c>
      <x:c r="AE336" s="12" t="str">
        <x:f>IF(AC336="deprecated","deprecated",IF(M336="yes","active",IF(M336="review","review_required","backlog")))</x:f>
        <x:v>backlog</x:v>
      </x:c>
      <x:c r="AF336" s="12" t="str">
        <x:f>IF(OR(AE336="active",AE336="review_required"),"yes","no")</x:f>
        <x:v>no</x:v>
      </x:c>
      <x:c r="AG336" s="12" t="str">
        <x:f>IF(AND(AE336="active",M336="yes",NOT(ISNUMBER(SEARCH("healthy",AB336)))),"yes","no")</x:f>
        <x:v>no</x:v>
      </x:c>
      <x:c r="AH336" s="12" t="str">
        <x:f>IF(OR(H336="contextual",H336="dialogue",H336="discourse",I336="claim+context",I336="discourse_segment"),"yes","no")</x:f>
        <x:v>yes</x:v>
      </x:c>
      <x:c r="AI336" s="12" t="str">
        <x:f>IF(OR(AH336="yes",AD336="debated",AC336="operational"),"yes","no")</x:f>
        <x:v>yes</x:v>
      </x:c>
      <x:c r="AJ336" s="12" t="str">
        <x:f>IF(OR(AH336="yes",AC336="operational",AD336="debated"),"high",IF(AND(AG336="yes",L336="P0"),"medium","low"))</x:f>
        <x:v>high</x:v>
      </x:c>
      <x:c r="AK336" s="12" t="str">
        <x:f>IF(ISNUMBER(SEARCH("healthy",AB336)),"yes","no")</x:f>
        <x:v>no</x:v>
      </x:c>
      <x:c r="AL336" s="12" t="str">
        <x:f>IF(AG336="yes","yes","candidate_only")</x:f>
        <x:v>candidate_only</x:v>
      </x:c>
      <x:c r="AM336" s="12" t="str">
        <x:f>IF(OR(AC336="canonical",AG336="yes"),"yes","recommended")</x:f>
        <x:v>recommended</x:v>
      </x:c>
      <x:c r="AN336" s="12" t="str">
        <x:f>IF(AC336="deprecated","exclude",IF(AND(AG336="yes",AJ336="high"),"import_but_human_review_required",IF(AG336="yes","import_as_active","import_as_backlog")))</x:f>
        <x:v>import_as_backlog</x:v>
      </x:c>
      <x:c r="AO336" s="12" t="str">
        <x:f>IF(AND(AG336="yes",OR(P336="",Q336="",R336="",S336="")),"missing_required_mvp_fields",IF(AND(AC336="canonical",Y336=""),"missing_source_ref","ok"))</x:f>
        <x:v>ok</x:v>
      </x:c>
      <x:c r="AP336" s="12" t="str">
        <x:f>IF(AO336="ok","ready_for_codex_import","needs_review")</x:f>
        <x:v>ready_for_codex_import</x:v>
      </x:c>
      <x:c r="AQ336" s="12"/>
      <x:c r="AR336" s="12" t="str">
        <x:v>Added v2 operational fields. Review before classification activation.</x:v>
      </x:c>
    </x:row>
    <x:row r="337">
      <x:c r="A337" s="13" t="str">
        <x:v>calibration_error_conditional_probability_variant</x:v>
      </x:c>
      <x:c r="B337" s="13" t="str">
        <x:v>calibration_error</x:v>
      </x:c>
      <x:c r="C337" s="13" t="str">
        <x:v>Calibration error</x:v>
      </x:c>
      <x:c r="D337" s="13" t="str">
        <x:v>خطای کالیبراسیون</x:v>
      </x:c>
      <x:c r="E337" s="13" t="str">
        <x:v>Conditional-probability variant</x:v>
      </x:c>
      <x:c r="F337" s="13" t="str">
        <x:v>probabilistic_failures</x:v>
      </x:c>
      <x:c r="G337" s="13" t="str">
        <x:v>operational_variant</x:v>
      </x:c>
      <x:c r="H337" s="13" t="str">
        <x:v>contextual</x:v>
      </x:c>
      <x:c r="I337" s="13" t="str">
        <x:v>claim+context</x:v>
      </x:c>
      <x:c r="J337" s="13" t="str">
        <x:v>derived_operational_subtype</x:v>
      </x:c>
      <x:c r="K337" s="13" t="str">
        <x:v>derived_from_established_parent_review_required</x:v>
      </x:c>
      <x:c r="L337" s="13" t="str">
        <x:v>P2</x:v>
      </x:c>
      <x:c r="M337" s="13" t="str">
        <x:v>no</x:v>
      </x:c>
      <x:c r="N337" s="13" t="str">
        <x:v>Operational subtype under Calibration error: conditional probabilities are confused. Parent definition: Mismatch between expressed confidence and actual evidential support.</x:v>
      </x:c>
      <x:c r="O337" s="13" t="str">
        <x:v>Look for: explicit claim-level evidence; parent-family cues for Calibration error; variant cue: conditional probabilities are confused; avoid author-level inference.</x:v>
      </x:c>
      <x:c r="P337" s="13" t="str">
        <x:v>Exact evidence span in text plus claim-level reasoning link; for contextual/discourse entries, require surrounding context.</x:v>
      </x:c>
      <x:c r="Q337" s="13" t="str">
        <x:v>Do not label merely because topic is controversial, emotional, or wrong. Do not judge intent or personality. Require textual evidence and consider healthy-reasoning cues.</x:v>
      </x:c>
      <x:c r="R337" s="13" t="str">
        <x:v>Stub: A claim relies on conditional probabilities are confused to support a conclusion without adequate qualification.</x:v>
      </x:c>
      <x:c r="S337" s="13" t="str">
        <x:v>Stub: A claim discusses calibration error with caveats, balanced evidence, or no argumentative use of the pattern.</x:v>
      </x:c>
      <x:c r="T337" s="13" t="str">
        <x:v>Mild or ambiguous cue; do not classify without clear evidence span.</x:v>
      </x:c>
      <x:c r="U337" s="13" t="str">
        <x:v>Clear claim-level pattern with some argumentative impact.</x:v>
      </x:c>
      <x:c r="V337" s="13" t="str">
        <x:v>Strong pattern central to the conclusion and likely to materially distort reasoning.</x:v>
      </x:c>
      <x:c r="W337" s="13" t="str"/>
      <x:c r="X337" s="13" t="str">
        <x:v>stanovich_dual_process</x:v>
      </x:c>
      <x:c r="Y337" s="13" t="str">
        <x:v>https://global.oup.com/academic/product/rationality-and-the-reflective-mind-9780195341140</x:v>
      </x:c>
      <x:c r="Z337" s="13" t="str">
        <x:v>Review before enabling. This workbook is a living taxonomy scaffold, not a validated scientific benchmark.</x:v>
      </x:c>
      <x:c r="AA337" s="13" t="str">
        <x:v>0.1.0-draft</x:v>
      </x:c>
      <x:c r="AB337" s="12" t="str">
        <x:f>IF(ISNUMBER(SEARCH("healthy",F337)),"healthy_reasoning_patterns",IF(ISNUMBER(SEARCH("statistical",F337)),"statistical_reasoning",IF(ISNUMBER(SEARCH("causal",F337)),"causal_reasoning",IF(ISNUMBER(SEARCH("social",F337)),"social_influence",IF(ISNUMBER(SEARCH("rhetoric",F337)),"rhetoric_discourse",IF(ISNUMBER(SEARCH("behavior",F337)),"behavioural_economics",IF(ISNUMBER(SEARCH("cognitive",F337)),"cognitive_biases",IF(J337="protective_pattern","healthy_reasoning_patterns",IF(L337="P0","core_mvp","extended_fallacies")))))))))</x:f>
        <x:v>extended_fallacies</x:v>
      </x:c>
      <x:c r="AC337" s="12" t="str">
        <x:f>IF(ISNUMBER(SEARCH("operational",J337)),"operational",IF(ISNUMBER(SEARCH("deprecated",J337)),"deprecated",IF(L337="P0","canonical","recognized_subtype")))</x:f>
        <x:v>operational</x:v>
      </x:c>
      <x:c r="AD337" s="12" t="str">
        <x:f>IF(AC337="canonical","high",IF(AC337="recognized_subtype","medium",IF(AC337="operational","operational_only","debated")))</x:f>
        <x:v>operational_only</x:v>
      </x:c>
      <x:c r="AE337" s="12" t="str">
        <x:f>IF(AC337="deprecated","deprecated",IF(M337="yes","active",IF(M337="review","review_required","backlog")))</x:f>
        <x:v>backlog</x:v>
      </x:c>
      <x:c r="AF337" s="12" t="str">
        <x:f>IF(OR(AE337="active",AE337="review_required"),"yes","no")</x:f>
        <x:v>no</x:v>
      </x:c>
      <x:c r="AG337" s="12" t="str">
        <x:f>IF(AND(AE337="active",M337="yes",NOT(ISNUMBER(SEARCH("healthy",AB337)))),"yes","no")</x:f>
        <x:v>no</x:v>
      </x:c>
      <x:c r="AH337" s="12" t="str">
        <x:f>IF(OR(H337="contextual",H337="dialogue",H337="discourse",I337="claim+context",I337="discourse_segment"),"yes","no")</x:f>
        <x:v>yes</x:v>
      </x:c>
      <x:c r="AI337" s="12" t="str">
        <x:f>IF(OR(AH337="yes",AD337="debated",AC337="operational"),"yes","no")</x:f>
        <x:v>yes</x:v>
      </x:c>
      <x:c r="AJ337" s="12" t="str">
        <x:f>IF(OR(AH337="yes",AC337="operational",AD337="debated"),"high",IF(AND(AG337="yes",L337="P0"),"medium","low"))</x:f>
        <x:v>high</x:v>
      </x:c>
      <x:c r="AK337" s="12" t="str">
        <x:f>IF(ISNUMBER(SEARCH("healthy",AB337)),"yes","no")</x:f>
        <x:v>no</x:v>
      </x:c>
      <x:c r="AL337" s="12" t="str">
        <x:f>IF(AG337="yes","yes","candidate_only")</x:f>
        <x:v>candidate_only</x:v>
      </x:c>
      <x:c r="AM337" s="12" t="str">
        <x:f>IF(OR(AC337="canonical",AG337="yes"),"yes","recommended")</x:f>
        <x:v>recommended</x:v>
      </x:c>
      <x:c r="AN337" s="12" t="str">
        <x:f>IF(AC337="deprecated","exclude",IF(AND(AG337="yes",AJ337="high"),"import_but_human_review_required",IF(AG337="yes","import_as_active","import_as_backlog")))</x:f>
        <x:v>import_as_backlog</x:v>
      </x:c>
      <x:c r="AO337" s="12" t="str">
        <x:f>IF(AND(AG337="yes",OR(P337="",Q337="",R337="",S337="")),"missing_required_mvp_fields",IF(AND(AC337="canonical",Y337=""),"missing_source_ref","ok"))</x:f>
        <x:v>ok</x:v>
      </x:c>
      <x:c r="AP337" s="12" t="str">
        <x:f>IF(AO337="ok","ready_for_codex_import","needs_review")</x:f>
        <x:v>ready_for_codex_import</x:v>
      </x:c>
      <x:c r="AQ337" s="12"/>
      <x:c r="AR337" s="12" t="str">
        <x:v>Added v2 operational fields. Review before classification activation.</x:v>
      </x:c>
    </x:row>
    <x:row r="338">
      <x:c r="A338" s="13" t="str">
        <x:v>base_rate_neglect_small_sample_variant</x:v>
      </x:c>
      <x:c r="B338" s="13" t="str">
        <x:v>base_rate_neglect</x:v>
      </x:c>
      <x:c r="C338" s="13" t="str">
        <x:v>Base-rate neglect</x:v>
      </x:c>
      <x:c r="D338" s="13" t="str">
        <x:v>نادیده گرفتن نرخ پایه</x:v>
      </x:c>
      <x:c r="E338" s="13" t="str">
        <x:v>Small-sample variant</x:v>
      </x:c>
      <x:c r="F338" s="13" t="str">
        <x:v>probabilistic_failures</x:v>
      </x:c>
      <x:c r="G338" s="13" t="str">
        <x:v>operational_variant</x:v>
      </x:c>
      <x:c r="H338" s="13" t="str">
        <x:v>contextual</x:v>
      </x:c>
      <x:c r="I338" s="13" t="str">
        <x:v>claim+context</x:v>
      </x:c>
      <x:c r="J338" s="13" t="str">
        <x:v>derived_operational_subtype</x:v>
      </x:c>
      <x:c r="K338" s="13" t="str">
        <x:v>derived_from_established_parent_review_required</x:v>
      </x:c>
      <x:c r="L338" s="13" t="str">
        <x:v>P3</x:v>
      </x:c>
      <x:c r="M338" s="13" t="str">
        <x:v>no</x:v>
      </x:c>
      <x:c r="N338" s="13" t="str">
        <x:v>Operational subtype under Base-rate neglect: small or noisy samples are overinterpreted. Parent definition: Ignoring general statistical prevalence when judging a specific case.</x:v>
      </x:c>
      <x:c r="O338" s="13" t="str">
        <x:v>Look for: explicit claim-level evidence; parent-family cues for Base-rate neglect; variant cue: small or noisy samples are overinterpreted; avoid author-level inference.</x:v>
      </x:c>
      <x:c r="P338" s="13" t="str">
        <x:v>Exact evidence span in text plus claim-level reasoning link; for contextual/discourse entries, require surrounding context.</x:v>
      </x:c>
      <x:c r="Q338" s="13" t="str">
        <x:v>Do not label merely because topic is controversial, emotional, or wrong. Do not judge intent or personality. Require textual evidence and consider healthy-reasoning cues.</x:v>
      </x:c>
      <x:c r="R338" s="13" t="str">
        <x:v>Stub: A claim relies on small or noisy samples are overinterpreted to support a conclusion without adequate qualification.</x:v>
      </x:c>
      <x:c r="S338" s="13" t="str">
        <x:v>Stub: A claim discusses base-rate neglect with caveats, balanced evidence, or no argumentative use of the pattern.</x:v>
      </x:c>
      <x:c r="T338" s="13" t="str">
        <x:v>Mild or ambiguous cue; do not classify without clear evidence span.</x:v>
      </x:c>
      <x:c r="U338" s="13" t="str">
        <x:v>Clear claim-level pattern with some argumentative impact.</x:v>
      </x:c>
      <x:c r="V338" s="13" t="str">
        <x:v>Strong pattern central to the conclusion and likely to materially distort reasoning.</x:v>
      </x:c>
      <x:c r="W338" s="13" t="str"/>
      <x:c r="X338" s="13" t="str">
        <x:v>kahneman_tversky_heuristics_1974</x:v>
      </x:c>
      <x:c r="Y338" s="13" t="str">
        <x:v>https://doi.org/10.1126/science.185.4157.1124</x:v>
      </x:c>
      <x:c r="Z338" s="13" t="str">
        <x:v>Review before enabling. This workbook is a living taxonomy scaffold, not a validated scientific benchmark.</x:v>
      </x:c>
      <x:c r="AA338" s="13" t="str">
        <x:v>0.1.0-draft</x:v>
      </x:c>
      <x:c r="AB338" s="12" t="str">
        <x:f>IF(ISNUMBER(SEARCH("healthy",F338)),"healthy_reasoning_patterns",IF(ISNUMBER(SEARCH("statistical",F338)),"statistical_reasoning",IF(ISNUMBER(SEARCH("causal",F338)),"causal_reasoning",IF(ISNUMBER(SEARCH("social",F338)),"social_influence",IF(ISNUMBER(SEARCH("rhetoric",F338)),"rhetoric_discourse",IF(ISNUMBER(SEARCH("behavior",F338)),"behavioural_economics",IF(ISNUMBER(SEARCH("cognitive",F338)),"cognitive_biases",IF(J338="protective_pattern","healthy_reasoning_patterns",IF(L338="P0","core_mvp","extended_fallacies")))))))))</x:f>
        <x:v>extended_fallacies</x:v>
      </x:c>
      <x:c r="AC338" s="12" t="str">
        <x:f>IF(ISNUMBER(SEARCH("operational",J338)),"operational",IF(ISNUMBER(SEARCH("deprecated",J338)),"deprecated",IF(L338="P0","canonical","recognized_subtype")))</x:f>
        <x:v>operational</x:v>
      </x:c>
      <x:c r="AD338" s="12" t="str">
        <x:f>IF(AC338="canonical","high",IF(AC338="recognized_subtype","medium",IF(AC338="operational","operational_only","debated")))</x:f>
        <x:v>operational_only</x:v>
      </x:c>
      <x:c r="AE338" s="12" t="str">
        <x:f>IF(AC338="deprecated","deprecated",IF(M338="yes","active",IF(M338="review","review_required","backlog")))</x:f>
        <x:v>backlog</x:v>
      </x:c>
      <x:c r="AF338" s="12" t="str">
        <x:f>IF(OR(AE338="active",AE338="review_required"),"yes","no")</x:f>
        <x:v>no</x:v>
      </x:c>
      <x:c r="AG338" s="12" t="str">
        <x:f>IF(AND(AE338="active",M338="yes",NOT(ISNUMBER(SEARCH("healthy",AB338)))),"yes","no")</x:f>
        <x:v>no</x:v>
      </x:c>
      <x:c r="AH338" s="12" t="str">
        <x:f>IF(OR(H338="contextual",H338="dialogue",H338="discourse",I338="claim+context",I338="discourse_segment"),"yes","no")</x:f>
        <x:v>yes</x:v>
      </x:c>
      <x:c r="AI338" s="12" t="str">
        <x:f>IF(OR(AH338="yes",AD338="debated",AC338="operational"),"yes","no")</x:f>
        <x:v>yes</x:v>
      </x:c>
      <x:c r="AJ338" s="12" t="str">
        <x:f>IF(OR(AH338="yes",AC338="operational",AD338="debated"),"high",IF(AND(AG338="yes",L338="P0"),"medium","low"))</x:f>
        <x:v>high</x:v>
      </x:c>
      <x:c r="AK338" s="12" t="str">
        <x:f>IF(ISNUMBER(SEARCH("healthy",AB338)),"yes","no")</x:f>
        <x:v>no</x:v>
      </x:c>
      <x:c r="AL338" s="12" t="str">
        <x:f>IF(AG338="yes","yes","candidate_only")</x:f>
        <x:v>candidate_only</x:v>
      </x:c>
      <x:c r="AM338" s="12" t="str">
        <x:f>IF(OR(AC338="canonical",AG338="yes"),"yes","recommended")</x:f>
        <x:v>recommended</x:v>
      </x:c>
      <x:c r="AN338" s="12" t="str">
        <x:f>IF(AC338="deprecated","exclude",IF(AND(AG338="yes",AJ338="high"),"import_but_human_review_required",IF(AG338="yes","import_as_active","import_as_backlog")))</x:f>
        <x:v>import_as_backlog</x:v>
      </x:c>
      <x:c r="AO338" s="12" t="str">
        <x:f>IF(AND(AG338="yes",OR(P338="",Q338="",R338="",S338="")),"missing_required_mvp_fields",IF(AND(AC338="canonical",Y338=""),"missing_source_ref","ok"))</x:f>
        <x:v>ok</x:v>
      </x:c>
      <x:c r="AP338" s="12" t="str">
        <x:f>IF(AO338="ok","ready_for_codex_import","needs_review")</x:f>
        <x:v>ready_for_codex_import</x:v>
      </x:c>
      <x:c r="AQ338" s="12"/>
      <x:c r="AR338" s="12" t="str">
        <x:v>Added v2 operational fields. Review before classification activation.</x:v>
      </x:c>
    </x:row>
    <x:row r="339">
      <x:c r="A339" s="13" t="str">
        <x:v>conjunction_fallacy_small_sample_variant</x:v>
      </x:c>
      <x:c r="B339" s="13" t="str">
        <x:v>conjunction_fallacy</x:v>
      </x:c>
      <x:c r="C339" s="13" t="str">
        <x:v>Conjunction fallacy</x:v>
      </x:c>
      <x:c r="D339" s="13" t="str">
        <x:v>مغالطه عطف</x:v>
      </x:c>
      <x:c r="E339" s="13" t="str">
        <x:v>Small-sample variant</x:v>
      </x:c>
      <x:c r="F339" s="13" t="str">
        <x:v>probabilistic_failures</x:v>
      </x:c>
      <x:c r="G339" s="13" t="str">
        <x:v>operational_variant</x:v>
      </x:c>
      <x:c r="H339" s="13" t="str">
        <x:v>structural</x:v>
      </x:c>
      <x:c r="I339" s="13" t="str">
        <x:v>claim</x:v>
      </x:c>
      <x:c r="J339" s="13" t="str">
        <x:v>derived_operational_subtype</x:v>
      </x:c>
      <x:c r="K339" s="13" t="str">
        <x:v>derived_from_established_parent_review_required</x:v>
      </x:c>
      <x:c r="L339" s="13" t="str">
        <x:v>P3</x:v>
      </x:c>
      <x:c r="M339" s="13" t="str">
        <x:v>no</x:v>
      </x:c>
      <x:c r="N339" s="13" t="str">
        <x:v>Operational subtype under Conjunction fallacy: small or noisy samples are overinterpreted. Parent definition: Judging a conjunction as more probable than one of its components.</x:v>
      </x:c>
      <x:c r="O339" s="13" t="str">
        <x:v>Look for: explicit claim-level evidence; parent-family cues for Conjunction fallacy; variant cue: small or noisy samples are overinterpreted; avoid author-level inference.</x:v>
      </x:c>
      <x:c r="P339" s="13" t="str">
        <x:v>Exact evidence span in text plus claim-level reasoning link; for contextual/discourse entries, require surrounding context.</x:v>
      </x:c>
      <x:c r="Q339" s="13" t="str">
        <x:v>Do not label merely because topic is controversial, emotional, or wrong. Do not judge intent or personality. Require textual evidence and consider healthy-reasoning cues.</x:v>
      </x:c>
      <x:c r="R339" s="13" t="str">
        <x:v>Stub: A claim relies on small or noisy samples are overinterpreted to support a conclusion without adequate qualification.</x:v>
      </x:c>
      <x:c r="S339" s="13" t="str">
        <x:v>Stub: A claim discusses conjunction fallacy with caveats, balanced evidence, or no argumentative use of the pattern.</x:v>
      </x:c>
      <x:c r="T339" s="13" t="str">
        <x:v>Mild or ambiguous cue; do not classify without clear evidence span.</x:v>
      </x:c>
      <x:c r="U339" s="13" t="str">
        <x:v>Clear claim-level pattern with some argumentative impact.</x:v>
      </x:c>
      <x:c r="V339" s="13" t="str">
        <x:v>Strong pattern central to the conclusion and likely to materially distort reasoning.</x:v>
      </x:c>
      <x:c r="W339" s="13" t="str"/>
      <x:c r="X339" s="13" t="str">
        <x:v>kahneman_tversky_heuristics_1974</x:v>
      </x:c>
      <x:c r="Y339" s="13" t="str">
        <x:v>https://doi.org/10.1126/science.185.4157.1124</x:v>
      </x:c>
      <x:c r="Z339" s="13" t="str">
        <x:v>Review before enabling. This workbook is a living taxonomy scaffold, not a validated scientific benchmark.</x:v>
      </x:c>
      <x:c r="AA339" s="13" t="str">
        <x:v>0.1.0-draft</x:v>
      </x:c>
      <x:c r="AB339" s="12" t="str">
        <x:f>IF(ISNUMBER(SEARCH("healthy",F339)),"healthy_reasoning_patterns",IF(ISNUMBER(SEARCH("statistical",F339)),"statistical_reasoning",IF(ISNUMBER(SEARCH("causal",F339)),"causal_reasoning",IF(ISNUMBER(SEARCH("social",F339)),"social_influence",IF(ISNUMBER(SEARCH("rhetoric",F339)),"rhetoric_discourse",IF(ISNUMBER(SEARCH("behavior",F339)),"behavioural_economics",IF(ISNUMBER(SEARCH("cognitive",F339)),"cognitive_biases",IF(J339="protective_pattern","healthy_reasoning_patterns",IF(L339="P0","core_mvp","extended_fallacies")))))))))</x:f>
        <x:v>extended_fallacies</x:v>
      </x:c>
      <x:c r="AC339" s="12" t="str">
        <x:f>IF(ISNUMBER(SEARCH("operational",J339)),"operational",IF(ISNUMBER(SEARCH("deprecated",J339)),"deprecated",IF(L339="P0","canonical","recognized_subtype")))</x:f>
        <x:v>operational</x:v>
      </x:c>
      <x:c r="AD339" s="12" t="str">
        <x:f>IF(AC339="canonical","high",IF(AC339="recognized_subtype","medium",IF(AC339="operational","operational_only","debated")))</x:f>
        <x:v>operational_only</x:v>
      </x:c>
      <x:c r="AE339" s="12" t="str">
        <x:f>IF(AC339="deprecated","deprecated",IF(M339="yes","active",IF(M339="review","review_required","backlog")))</x:f>
        <x:v>backlog</x:v>
      </x:c>
      <x:c r="AF339" s="12" t="str">
        <x:f>IF(OR(AE339="active",AE339="review_required"),"yes","no")</x:f>
        <x:v>no</x:v>
      </x:c>
      <x:c r="AG339" s="12" t="str">
        <x:f>IF(AND(AE339="active",M339="yes",NOT(ISNUMBER(SEARCH("healthy",AB339)))),"yes","no")</x:f>
        <x:v>no</x:v>
      </x:c>
      <x:c r="AH339" s="12" t="str">
        <x:f>IF(OR(H339="contextual",H339="dialogue",H339="discourse",I339="claim+context",I339="discourse_segment"),"yes","no")</x:f>
        <x:v>no</x:v>
      </x:c>
      <x:c r="AI339" s="12" t="str">
        <x:f>IF(OR(AH339="yes",AD339="debated",AC339="operational"),"yes","no")</x:f>
        <x:v>yes</x:v>
      </x:c>
      <x:c r="AJ339" s="12" t="str">
        <x:f>IF(OR(AH339="yes",AC339="operational",AD339="debated"),"high",IF(AND(AG339="yes",L339="P0"),"medium","low"))</x:f>
        <x:v>high</x:v>
      </x:c>
      <x:c r="AK339" s="12" t="str">
        <x:f>IF(ISNUMBER(SEARCH("healthy",AB339)),"yes","no")</x:f>
        <x:v>no</x:v>
      </x:c>
      <x:c r="AL339" s="12" t="str">
        <x:f>IF(AG339="yes","yes","candidate_only")</x:f>
        <x:v>candidate_only</x:v>
      </x:c>
      <x:c r="AM339" s="12" t="str">
        <x:f>IF(OR(AC339="canonical",AG339="yes"),"yes","recommended")</x:f>
        <x:v>recommended</x:v>
      </x:c>
      <x:c r="AN339" s="12" t="str">
        <x:f>IF(AC339="deprecated","exclude",IF(AND(AG339="yes",AJ339="high"),"import_but_human_review_required",IF(AG339="yes","import_as_active","import_as_backlog")))</x:f>
        <x:v>import_as_backlog</x:v>
      </x:c>
      <x:c r="AO339" s="12" t="str">
        <x:f>IF(AND(AG339="yes",OR(P339="",Q339="",R339="",S339="")),"missing_required_mvp_fields",IF(AND(AC339="canonical",Y339=""),"missing_source_ref","ok"))</x:f>
        <x:v>ok</x:v>
      </x:c>
      <x:c r="AP339" s="12" t="str">
        <x:f>IF(AO339="ok","ready_for_codex_import","needs_review")</x:f>
        <x:v>ready_for_codex_import</x:v>
      </x:c>
      <x:c r="AQ339" s="12"/>
      <x:c r="AR339" s="12" t="str">
        <x:v>Added v2 operational fields. Review before classification activation.</x:v>
      </x:c>
    </x:row>
    <x:row r="340">
      <x:c r="A340" s="13" t="str">
        <x:v>gambler_fallacy_small_sample_variant</x:v>
      </x:c>
      <x:c r="B340" s="13" t="str">
        <x:v>gambler_fallacy</x:v>
      </x:c>
      <x:c r="C340" s="13" t="str">
        <x:v>Gambler's fallacy</x:v>
      </x:c>
      <x:c r="D340" s="13" t="str">
        <x:v>مغالطه قمارباز</x:v>
      </x:c>
      <x:c r="E340" s="13" t="str">
        <x:v>Small-sample variant</x:v>
      </x:c>
      <x:c r="F340" s="13" t="str">
        <x:v>probabilistic_failures</x:v>
      </x:c>
      <x:c r="G340" s="13" t="str">
        <x:v>operational_variant</x:v>
      </x:c>
      <x:c r="H340" s="13" t="str">
        <x:v>contextual</x:v>
      </x:c>
      <x:c r="I340" s="13" t="str">
        <x:v>claim+context</x:v>
      </x:c>
      <x:c r="J340" s="13" t="str">
        <x:v>derived_operational_subtype</x:v>
      </x:c>
      <x:c r="K340" s="13" t="str">
        <x:v>derived_from_established_parent_review_required</x:v>
      </x:c>
      <x:c r="L340" s="13" t="str">
        <x:v>P3</x:v>
      </x:c>
      <x:c r="M340" s="13" t="str">
        <x:v>no</x:v>
      </x:c>
      <x:c r="N340" s="13" t="str">
        <x:v>Operational subtype under Gambler's fallacy: small or noisy samples are overinterpreted. Parent definition: Expecting random outcomes to self-correct over short sequences.</x:v>
      </x:c>
      <x:c r="O340" s="13" t="str">
        <x:v>Look for: explicit claim-level evidence; parent-family cues for Gambler's fallacy; variant cue: small or noisy samples are overinterpreted; avoid author-level inference.</x:v>
      </x:c>
      <x:c r="P340" s="13" t="str">
        <x:v>Exact evidence span in text plus claim-level reasoning link; for contextual/discourse entries, require surrounding context.</x:v>
      </x:c>
      <x:c r="Q340" s="13" t="str">
        <x:v>Do not label merely because topic is controversial, emotional, or wrong. Do not judge intent or personality. Require textual evidence and consider healthy-reasoning cues.</x:v>
      </x:c>
      <x:c r="R340" s="13" t="str">
        <x:v>Stub: A claim relies on small or noisy samples are overinterpreted to support a conclusion without adequate qualification.</x:v>
      </x:c>
      <x:c r="S340" s="13" t="str">
        <x:v>Stub: A claim discusses gambler's fallacy with caveats, balanced evidence, or no argumentative use of the pattern.</x:v>
      </x:c>
      <x:c r="T340" s="13" t="str">
        <x:v>Mild or ambiguous cue; do not classify without clear evidence span.</x:v>
      </x:c>
      <x:c r="U340" s="13" t="str">
        <x:v>Clear claim-level pattern with some argumentative impact.</x:v>
      </x:c>
      <x:c r="V340" s="13" t="str">
        <x:v>Strong pattern central to the conclusion and likely to materially distort reasoning.</x:v>
      </x:c>
      <x:c r="W340" s="13" t="str"/>
      <x:c r="X340" s="13" t="str">
        <x:v>kahneman_tversky_heuristics_1974</x:v>
      </x:c>
      <x:c r="Y340" s="13" t="str">
        <x:v>https://doi.org/10.1126/science.185.4157.1124</x:v>
      </x:c>
      <x:c r="Z340" s="13" t="str">
        <x:v>Review before enabling. This workbook is a living taxonomy scaffold, not a validated scientific benchmark.</x:v>
      </x:c>
      <x:c r="AA340" s="13" t="str">
        <x:v>0.1.0-draft</x:v>
      </x:c>
      <x:c r="AB340" s="12" t="str">
        <x:f>IF(ISNUMBER(SEARCH("healthy",F340)),"healthy_reasoning_patterns",IF(ISNUMBER(SEARCH("statistical",F340)),"statistical_reasoning",IF(ISNUMBER(SEARCH("causal",F340)),"causal_reasoning",IF(ISNUMBER(SEARCH("social",F340)),"social_influence",IF(ISNUMBER(SEARCH("rhetoric",F340)),"rhetoric_discourse",IF(ISNUMBER(SEARCH("behavior",F340)),"behavioural_economics",IF(ISNUMBER(SEARCH("cognitive",F340)),"cognitive_biases",IF(J340="protective_pattern","healthy_reasoning_patterns",IF(L340="P0","core_mvp","extended_fallacies")))))))))</x:f>
        <x:v>extended_fallacies</x:v>
      </x:c>
      <x:c r="AC340" s="12" t="str">
        <x:f>IF(ISNUMBER(SEARCH("operational",J340)),"operational",IF(ISNUMBER(SEARCH("deprecated",J340)),"deprecated",IF(L340="P0","canonical","recognized_subtype")))</x:f>
        <x:v>operational</x:v>
      </x:c>
      <x:c r="AD340" s="12" t="str">
        <x:f>IF(AC340="canonical","high",IF(AC340="recognized_subtype","medium",IF(AC340="operational","operational_only","debated")))</x:f>
        <x:v>operational_only</x:v>
      </x:c>
      <x:c r="AE340" s="12" t="str">
        <x:f>IF(AC340="deprecated","deprecated",IF(M340="yes","active",IF(M340="review","review_required","backlog")))</x:f>
        <x:v>backlog</x:v>
      </x:c>
      <x:c r="AF340" s="12" t="str">
        <x:f>IF(OR(AE340="active",AE340="review_required"),"yes","no")</x:f>
        <x:v>no</x:v>
      </x:c>
      <x:c r="AG340" s="12" t="str">
        <x:f>IF(AND(AE340="active",M340="yes",NOT(ISNUMBER(SEARCH("healthy",AB340)))),"yes","no")</x:f>
        <x:v>no</x:v>
      </x:c>
      <x:c r="AH340" s="12" t="str">
        <x:f>IF(OR(H340="contextual",H340="dialogue",H340="discourse",I340="claim+context",I340="discourse_segment"),"yes","no")</x:f>
        <x:v>yes</x:v>
      </x:c>
      <x:c r="AI340" s="12" t="str">
        <x:f>IF(OR(AH340="yes",AD340="debated",AC340="operational"),"yes","no")</x:f>
        <x:v>yes</x:v>
      </x:c>
      <x:c r="AJ340" s="12" t="str">
        <x:f>IF(OR(AH340="yes",AC340="operational",AD340="debated"),"high",IF(AND(AG340="yes",L340="P0"),"medium","low"))</x:f>
        <x:v>high</x:v>
      </x:c>
      <x:c r="AK340" s="12" t="str">
        <x:f>IF(ISNUMBER(SEARCH("healthy",AB340)),"yes","no")</x:f>
        <x:v>no</x:v>
      </x:c>
      <x:c r="AL340" s="12" t="str">
        <x:f>IF(AG340="yes","yes","candidate_only")</x:f>
        <x:v>candidate_only</x:v>
      </x:c>
      <x:c r="AM340" s="12" t="str">
        <x:f>IF(OR(AC340="canonical",AG340="yes"),"yes","recommended")</x:f>
        <x:v>recommended</x:v>
      </x:c>
      <x:c r="AN340" s="12" t="str">
        <x:f>IF(AC340="deprecated","exclude",IF(AND(AG340="yes",AJ340="high"),"import_but_human_review_required",IF(AG340="yes","import_as_active","import_as_backlog")))</x:f>
        <x:v>import_as_backlog</x:v>
      </x:c>
      <x:c r="AO340" s="12" t="str">
        <x:f>IF(AND(AG340="yes",OR(P340="",Q340="",R340="",S340="")),"missing_required_mvp_fields",IF(AND(AC340="canonical",Y340=""),"missing_source_ref","ok"))</x:f>
        <x:v>ok</x:v>
      </x:c>
      <x:c r="AP340" s="12" t="str">
        <x:f>IF(AO340="ok","ready_for_codex_import","needs_review")</x:f>
        <x:v>ready_for_codex_import</x:v>
      </x:c>
      <x:c r="AQ340" s="12"/>
      <x:c r="AR340" s="12" t="str">
        <x:v>Added v2 operational fields. Review before classification activation.</x:v>
      </x:c>
    </x:row>
    <x:row r="341">
      <x:c r="A341" s="13" t="str">
        <x:v>hot_hand_fallacy_small_sample_variant</x:v>
      </x:c>
      <x:c r="B341" s="13" t="str">
        <x:v>hot_hand_fallacy</x:v>
      </x:c>
      <x:c r="C341" s="13" t="str">
        <x:v>Hot-hand fallacy</x:v>
      </x:c>
      <x:c r="D341" s="13" t="str">
        <x:v>خطای دست داغ</x:v>
      </x:c>
      <x:c r="E341" s="13" t="str">
        <x:v>Small-sample variant</x:v>
      </x:c>
      <x:c r="F341" s="13" t="str">
        <x:v>probabilistic_failures</x:v>
      </x:c>
      <x:c r="G341" s="13" t="str">
        <x:v>operational_variant</x:v>
      </x:c>
      <x:c r="H341" s="13" t="str">
        <x:v>contextual</x:v>
      </x:c>
      <x:c r="I341" s="13" t="str">
        <x:v>claim+context</x:v>
      </x:c>
      <x:c r="J341" s="13" t="str">
        <x:v>derived_operational_subtype</x:v>
      </x:c>
      <x:c r="K341" s="13" t="str">
        <x:v>derived_from_established_parent_review_required</x:v>
      </x:c>
      <x:c r="L341" s="13" t="str">
        <x:v>P3</x:v>
      </x:c>
      <x:c r="M341" s="13" t="str">
        <x:v>no</x:v>
      </x:c>
      <x:c r="N341" s="13" t="str">
        <x:v>Operational subtype under Hot-hand fallacy: small or noisy samples are overinterpreted. Parent definition: Inferring persistent streak-based ability from random or noisy sequences.</x:v>
      </x:c>
      <x:c r="O341" s="13" t="str">
        <x:v>Look for: explicit claim-level evidence; parent-family cues for Hot-hand fallacy; variant cue: small or noisy samples are overinterpreted; avoid author-level inference.</x:v>
      </x:c>
      <x:c r="P341" s="13" t="str">
        <x:v>Exact evidence span in text plus claim-level reasoning link; for contextual/discourse entries, require surrounding context.</x:v>
      </x:c>
      <x:c r="Q341" s="13" t="str">
        <x:v>Do not label merely because topic is controversial, emotional, or wrong. Do not judge intent or personality. Require textual evidence and consider healthy-reasoning cues.</x:v>
      </x:c>
      <x:c r="R341" s="13" t="str">
        <x:v>Stub: A claim relies on small or noisy samples are overinterpreted to support a conclusion without adequate qualification.</x:v>
      </x:c>
      <x:c r="S341" s="13" t="str">
        <x:v>Stub: A claim discusses hot-hand fallacy with caveats, balanced evidence, or no argumentative use of the pattern.</x:v>
      </x:c>
      <x:c r="T341" s="13" t="str">
        <x:v>Mild or ambiguous cue; do not classify without clear evidence span.</x:v>
      </x:c>
      <x:c r="U341" s="13" t="str">
        <x:v>Clear claim-level pattern with some argumentative impact.</x:v>
      </x:c>
      <x:c r="V341" s="13" t="str">
        <x:v>Strong pattern central to the conclusion and likely to materially distort reasoning.</x:v>
      </x:c>
      <x:c r="W341" s="13" t="str"/>
      <x:c r="X341" s="13" t="str">
        <x:v>gilovich_heuristics_biases</x:v>
      </x:c>
      <x:c r="Y341" s="13" t="str">
        <x:v>https://www.cambridge.org/core/books/heuristics-and-biases/3C30D3B05D2F190C3B8BE5E2531EFD24</x:v>
      </x:c>
      <x:c r="Z341" s="13" t="str">
        <x:v>Review before enabling. This workbook is a living taxonomy scaffold, not a validated scientific benchmark.</x:v>
      </x:c>
      <x:c r="AA341" s="13" t="str">
        <x:v>0.1.0-draft</x:v>
      </x:c>
      <x:c r="AB341" s="12" t="str">
        <x:f>IF(ISNUMBER(SEARCH("healthy",F341)),"healthy_reasoning_patterns",IF(ISNUMBER(SEARCH("statistical",F341)),"statistical_reasoning",IF(ISNUMBER(SEARCH("causal",F341)),"causal_reasoning",IF(ISNUMBER(SEARCH("social",F341)),"social_influence",IF(ISNUMBER(SEARCH("rhetoric",F341)),"rhetoric_discourse",IF(ISNUMBER(SEARCH("behavior",F341)),"behavioural_economics",IF(ISNUMBER(SEARCH("cognitive",F341)),"cognitive_biases",IF(J341="protective_pattern","healthy_reasoning_patterns",IF(L341="P0","core_mvp","extended_fallacies")))))))))</x:f>
        <x:v>extended_fallacies</x:v>
      </x:c>
      <x:c r="AC341" s="12" t="str">
        <x:f>IF(ISNUMBER(SEARCH("operational",J341)),"operational",IF(ISNUMBER(SEARCH("deprecated",J341)),"deprecated",IF(L341="P0","canonical","recognized_subtype")))</x:f>
        <x:v>operational</x:v>
      </x:c>
      <x:c r="AD341" s="12" t="str">
        <x:f>IF(AC341="canonical","high",IF(AC341="recognized_subtype","medium",IF(AC341="operational","operational_only","debated")))</x:f>
        <x:v>operational_only</x:v>
      </x:c>
      <x:c r="AE341" s="12" t="str">
        <x:f>IF(AC341="deprecated","deprecated",IF(M341="yes","active",IF(M341="review","review_required","backlog")))</x:f>
        <x:v>backlog</x:v>
      </x:c>
      <x:c r="AF341" s="12" t="str">
        <x:f>IF(OR(AE341="active",AE341="review_required"),"yes","no")</x:f>
        <x:v>no</x:v>
      </x:c>
      <x:c r="AG341" s="12" t="str">
        <x:f>IF(AND(AE341="active",M341="yes",NOT(ISNUMBER(SEARCH("healthy",AB341)))),"yes","no")</x:f>
        <x:v>no</x:v>
      </x:c>
      <x:c r="AH341" s="12" t="str">
        <x:f>IF(OR(H341="contextual",H341="dialogue",H341="discourse",I341="claim+context",I341="discourse_segment"),"yes","no")</x:f>
        <x:v>yes</x:v>
      </x:c>
      <x:c r="AI341" s="12" t="str">
        <x:f>IF(OR(AH341="yes",AD341="debated",AC341="operational"),"yes","no")</x:f>
        <x:v>yes</x:v>
      </x:c>
      <x:c r="AJ341" s="12" t="str">
        <x:f>IF(OR(AH341="yes",AC341="operational",AD341="debated"),"high",IF(AND(AG341="yes",L341="P0"),"medium","low"))</x:f>
        <x:v>high</x:v>
      </x:c>
      <x:c r="AK341" s="12" t="str">
        <x:f>IF(ISNUMBER(SEARCH("healthy",AB341)),"yes","no")</x:f>
        <x:v>no</x:v>
      </x:c>
      <x:c r="AL341" s="12" t="str">
        <x:f>IF(AG341="yes","yes","candidate_only")</x:f>
        <x:v>candidate_only</x:v>
      </x:c>
      <x:c r="AM341" s="12" t="str">
        <x:f>IF(OR(AC341="canonical",AG341="yes"),"yes","recommended")</x:f>
        <x:v>recommended</x:v>
      </x:c>
      <x:c r="AN341" s="12" t="str">
        <x:f>IF(AC341="deprecated","exclude",IF(AND(AG341="yes",AJ341="high"),"import_but_human_review_required",IF(AG341="yes","import_as_active","import_as_backlog")))</x:f>
        <x:v>import_as_backlog</x:v>
      </x:c>
      <x:c r="AO341" s="12" t="str">
        <x:f>IF(AND(AG341="yes",OR(P341="",Q341="",R341="",S341="")),"missing_required_mvp_fields",IF(AND(AC341="canonical",Y341=""),"missing_source_ref","ok"))</x:f>
        <x:v>ok</x:v>
      </x:c>
      <x:c r="AP341" s="12" t="str">
        <x:f>IF(AO341="ok","ready_for_codex_import","needs_review")</x:f>
        <x:v>ready_for_codex_import</x:v>
      </x:c>
      <x:c r="AQ341" s="12"/>
      <x:c r="AR341" s="12" t="str">
        <x:v>Added v2 operational fields. Review before classification activation.</x:v>
      </x:c>
    </x:row>
    <x:row r="342">
      <x:c r="A342" s="13" t="str">
        <x:v>regression_to_mean_neglect_small_sample_variant</x:v>
      </x:c>
      <x:c r="B342" s="13" t="str">
        <x:v>regression_to_mean_neglect</x:v>
      </x:c>
      <x:c r="C342" s="13" t="str">
        <x:v>Regression-to-mean neglect</x:v>
      </x:c>
      <x:c r="D342" s="13" t="str">
        <x:v>نادیده‌گرفتن بازگشت به میانگین</x:v>
      </x:c>
      <x:c r="E342" s="13" t="str">
        <x:v>Small-sample variant</x:v>
      </x:c>
      <x:c r="F342" s="13" t="str">
        <x:v>probabilistic_failures</x:v>
      </x:c>
      <x:c r="G342" s="13" t="str">
        <x:v>operational_variant</x:v>
      </x:c>
      <x:c r="H342" s="13" t="str">
        <x:v>contextual</x:v>
      </x:c>
      <x:c r="I342" s="13" t="str">
        <x:v>claim+context</x:v>
      </x:c>
      <x:c r="J342" s="13" t="str">
        <x:v>derived_operational_subtype</x:v>
      </x:c>
      <x:c r="K342" s="13" t="str">
        <x:v>derived_from_established_parent_review_required</x:v>
      </x:c>
      <x:c r="L342" s="13" t="str">
        <x:v>P3</x:v>
      </x:c>
      <x:c r="M342" s="13" t="str">
        <x:v>no</x:v>
      </x:c>
      <x:c r="N342" s="13" t="str">
        <x:v>Operational subtype under Regression-to-mean neglect: small or noisy samples are overinterpreted. Parent definition: Explaining natural reversion as if it were caused by an intervention.</x:v>
      </x:c>
      <x:c r="O342" s="13" t="str">
        <x:v>Look for: explicit claim-level evidence; parent-family cues for Regression-to-mean neglect; variant cue: small or noisy samples are overinterpreted; avoid author-level inference.</x:v>
      </x:c>
      <x:c r="P342" s="13" t="str">
        <x:v>Exact evidence span in text plus claim-level reasoning link; for contextual/discourse entries, require surrounding context.</x:v>
      </x:c>
      <x:c r="Q342" s="13" t="str">
        <x:v>Do not label merely because topic is controversial, emotional, or wrong. Do not judge intent or personality. Require textual evidence and consider healthy-reasoning cues.</x:v>
      </x:c>
      <x:c r="R342" s="13" t="str">
        <x:v>Stub: A claim relies on small or noisy samples are overinterpreted to support a conclusion without adequate qualification.</x:v>
      </x:c>
      <x:c r="S342" s="13" t="str">
        <x:v>Stub: A claim discusses regression-to-mean neglect with caveats, balanced evidence, or no argumentative use of the pattern.</x:v>
      </x:c>
      <x:c r="T342" s="13" t="str">
        <x:v>Mild or ambiguous cue; do not classify without clear evidence span.</x:v>
      </x:c>
      <x:c r="U342" s="13" t="str">
        <x:v>Clear claim-level pattern with some argumentative impact.</x:v>
      </x:c>
      <x:c r="V342" s="13" t="str">
        <x:v>Strong pattern central to the conclusion and likely to materially distort reasoning.</x:v>
      </x:c>
      <x:c r="W342" s="13" t="str"/>
      <x:c r="X342" s="13" t="str">
        <x:v>kahneman_tversky_heuristics_1974</x:v>
      </x:c>
      <x:c r="Y342" s="13" t="str">
        <x:v>https://doi.org/10.1126/science.185.4157.1124</x:v>
      </x:c>
      <x:c r="Z342" s="13" t="str">
        <x:v>Review before enabling. This workbook is a living taxonomy scaffold, not a validated scientific benchmark.</x:v>
      </x:c>
      <x:c r="AA342" s="13" t="str">
        <x:v>0.1.0-draft</x:v>
      </x:c>
      <x:c r="AB342" s="12" t="str">
        <x:f>IF(ISNUMBER(SEARCH("healthy",F342)),"healthy_reasoning_patterns",IF(ISNUMBER(SEARCH("statistical",F342)),"statistical_reasoning",IF(ISNUMBER(SEARCH("causal",F342)),"causal_reasoning",IF(ISNUMBER(SEARCH("social",F342)),"social_influence",IF(ISNUMBER(SEARCH("rhetoric",F342)),"rhetoric_discourse",IF(ISNUMBER(SEARCH("behavior",F342)),"behavioural_economics",IF(ISNUMBER(SEARCH("cognitive",F342)),"cognitive_biases",IF(J342="protective_pattern","healthy_reasoning_patterns",IF(L342="P0","core_mvp","extended_fallacies")))))))))</x:f>
        <x:v>extended_fallacies</x:v>
      </x:c>
      <x:c r="AC342" s="12" t="str">
        <x:f>IF(ISNUMBER(SEARCH("operational",J342)),"operational",IF(ISNUMBER(SEARCH("deprecated",J342)),"deprecated",IF(L342="P0","canonical","recognized_subtype")))</x:f>
        <x:v>operational</x:v>
      </x:c>
      <x:c r="AD342" s="12" t="str">
        <x:f>IF(AC342="canonical","high",IF(AC342="recognized_subtype","medium",IF(AC342="operational","operational_only","debated")))</x:f>
        <x:v>operational_only</x:v>
      </x:c>
      <x:c r="AE342" s="12" t="str">
        <x:f>IF(AC342="deprecated","deprecated",IF(M342="yes","active",IF(M342="review","review_required","backlog")))</x:f>
        <x:v>backlog</x:v>
      </x:c>
      <x:c r="AF342" s="12" t="str">
        <x:f>IF(OR(AE342="active",AE342="review_required"),"yes","no")</x:f>
        <x:v>no</x:v>
      </x:c>
      <x:c r="AG342" s="12" t="str">
        <x:f>IF(AND(AE342="active",M342="yes",NOT(ISNUMBER(SEARCH("healthy",AB342)))),"yes","no")</x:f>
        <x:v>no</x:v>
      </x:c>
      <x:c r="AH342" s="12" t="str">
        <x:f>IF(OR(H342="contextual",H342="dialogue",H342="discourse",I342="claim+context",I342="discourse_segment"),"yes","no")</x:f>
        <x:v>yes</x:v>
      </x:c>
      <x:c r="AI342" s="12" t="str">
        <x:f>IF(OR(AH342="yes",AD342="debated",AC342="operational"),"yes","no")</x:f>
        <x:v>yes</x:v>
      </x:c>
      <x:c r="AJ342" s="12" t="str">
        <x:f>IF(OR(AH342="yes",AC342="operational",AD342="debated"),"high",IF(AND(AG342="yes",L342="P0"),"medium","low"))</x:f>
        <x:v>high</x:v>
      </x:c>
      <x:c r="AK342" s="12" t="str">
        <x:f>IF(ISNUMBER(SEARCH("healthy",AB342)),"yes","no")</x:f>
        <x:v>no</x:v>
      </x:c>
      <x:c r="AL342" s="12" t="str">
        <x:f>IF(AG342="yes","yes","candidate_only")</x:f>
        <x:v>candidate_only</x:v>
      </x:c>
      <x:c r="AM342" s="12" t="str">
        <x:f>IF(OR(AC342="canonical",AG342="yes"),"yes","recommended")</x:f>
        <x:v>recommended</x:v>
      </x:c>
      <x:c r="AN342" s="12" t="str">
        <x:f>IF(AC342="deprecated","exclude",IF(AND(AG342="yes",AJ342="high"),"import_but_human_review_required",IF(AG342="yes","import_as_active","import_as_backlog")))</x:f>
        <x:v>import_as_backlog</x:v>
      </x:c>
      <x:c r="AO342" s="12" t="str">
        <x:f>IF(AND(AG342="yes",OR(P342="",Q342="",R342="",S342="")),"missing_required_mvp_fields",IF(AND(AC342="canonical",Y342=""),"missing_source_ref","ok"))</x:f>
        <x:v>ok</x:v>
      </x:c>
      <x:c r="AP342" s="12" t="str">
        <x:f>IF(AO342="ok","ready_for_codex_import","needs_review")</x:f>
        <x:v>ready_for_codex_import</x:v>
      </x:c>
      <x:c r="AQ342" s="12"/>
      <x:c r="AR342" s="12" t="str">
        <x:v>Added v2 operational fields. Review before classification activation.</x:v>
      </x:c>
    </x:row>
    <x:row r="343">
      <x:c r="A343" s="13" t="str">
        <x:v>inverse_probability_error_small_sample_variant</x:v>
      </x:c>
      <x:c r="B343" s="13" t="str">
        <x:v>inverse_probability_error</x:v>
      </x:c>
      <x:c r="C343" s="13" t="str">
        <x:v>Inverse probability error</x:v>
      </x:c>
      <x:c r="D343" s="13" t="str">
        <x:v>اشتباه احتمال معکوس</x:v>
      </x:c>
      <x:c r="E343" s="13" t="str">
        <x:v>Small-sample variant</x:v>
      </x:c>
      <x:c r="F343" s="13" t="str">
        <x:v>probabilistic_failures</x:v>
      </x:c>
      <x:c r="G343" s="13" t="str">
        <x:v>operational_variant</x:v>
      </x:c>
      <x:c r="H343" s="13" t="str">
        <x:v>structural</x:v>
      </x:c>
      <x:c r="I343" s="13" t="str">
        <x:v>claim</x:v>
      </x:c>
      <x:c r="J343" s="13" t="str">
        <x:v>derived_operational_subtype</x:v>
      </x:c>
      <x:c r="K343" s="13" t="str">
        <x:v>derived_from_established_parent_review_required</x:v>
      </x:c>
      <x:c r="L343" s="13" t="str">
        <x:v>P3</x:v>
      </x:c>
      <x:c r="M343" s="13" t="str">
        <x:v>no</x:v>
      </x:c>
      <x:c r="N343" s="13" t="str">
        <x:v>Operational subtype under Inverse probability error: small or noisy samples are overinterpreted. Parent definition: Confusing P(A|B) with P(B|A).</x:v>
      </x:c>
      <x:c r="O343" s="13" t="str">
        <x:v>Look for: explicit claim-level evidence; parent-family cues for Inverse probability error; variant cue: small or noisy samples are overinterpreted; avoid author-level inference.</x:v>
      </x:c>
      <x:c r="P343" s="13" t="str">
        <x:v>Exact evidence span in text plus claim-level reasoning link; for contextual/discourse entries, require surrounding context.</x:v>
      </x:c>
      <x:c r="Q343" s="13" t="str">
        <x:v>Do not label merely because topic is controversial, emotional, or wrong. Do not judge intent or personality. Require textual evidence and consider healthy-reasoning cues.</x:v>
      </x:c>
      <x:c r="R343" s="13" t="str">
        <x:v>Stub: A claim relies on small or noisy samples are overinterpreted to support a conclusion without adequate qualification.</x:v>
      </x:c>
      <x:c r="S343" s="13" t="str">
        <x:v>Stub: A claim discusses inverse probability error with caveats, balanced evidence, or no argumentative use of the pattern.</x:v>
      </x:c>
      <x:c r="T343" s="13" t="str">
        <x:v>Mild or ambiguous cue; do not classify without clear evidence span.</x:v>
      </x:c>
      <x:c r="U343" s="13" t="str">
        <x:v>Clear claim-level pattern with some argumentative impact.</x:v>
      </x:c>
      <x:c r="V343" s="13" t="str">
        <x:v>Strong pattern central to the conclusion and likely to materially distort reasoning.</x:v>
      </x:c>
      <x:c r="W343" s="13" t="str"/>
      <x:c r="X343" s="13" t="str">
        <x:v>stanovich_dual_process</x:v>
      </x:c>
      <x:c r="Y343" s="13" t="str">
        <x:v>https://global.oup.com/academic/product/rationality-and-the-reflective-mind-9780195341140</x:v>
      </x:c>
      <x:c r="Z343" s="13" t="str">
        <x:v>Review before enabling. This workbook is a living taxonomy scaffold, not a validated scientific benchmark.</x:v>
      </x:c>
      <x:c r="AA343" s="13" t="str">
        <x:v>0.1.0-draft</x:v>
      </x:c>
      <x:c r="AB343" s="12" t="str">
        <x:f>IF(ISNUMBER(SEARCH("healthy",F343)),"healthy_reasoning_patterns",IF(ISNUMBER(SEARCH("statistical",F343)),"statistical_reasoning",IF(ISNUMBER(SEARCH("causal",F343)),"causal_reasoning",IF(ISNUMBER(SEARCH("social",F343)),"social_influence",IF(ISNUMBER(SEARCH("rhetoric",F343)),"rhetoric_discourse",IF(ISNUMBER(SEARCH("behavior",F343)),"behavioural_economics",IF(ISNUMBER(SEARCH("cognitive",F343)),"cognitive_biases",IF(J343="protective_pattern","healthy_reasoning_patterns",IF(L343="P0","core_mvp","extended_fallacies")))))))))</x:f>
        <x:v>extended_fallacies</x:v>
      </x:c>
      <x:c r="AC343" s="12" t="str">
        <x:f>IF(ISNUMBER(SEARCH("operational",J343)),"operational",IF(ISNUMBER(SEARCH("deprecated",J343)),"deprecated",IF(L343="P0","canonical","recognized_subtype")))</x:f>
        <x:v>operational</x:v>
      </x:c>
      <x:c r="AD343" s="12" t="str">
        <x:f>IF(AC343="canonical","high",IF(AC343="recognized_subtype","medium",IF(AC343="operational","operational_only","debated")))</x:f>
        <x:v>operational_only</x:v>
      </x:c>
      <x:c r="AE343" s="12" t="str">
        <x:f>IF(AC343="deprecated","deprecated",IF(M343="yes","active",IF(M343="review","review_required","backlog")))</x:f>
        <x:v>backlog</x:v>
      </x:c>
      <x:c r="AF343" s="12" t="str">
        <x:f>IF(OR(AE343="active",AE343="review_required"),"yes","no")</x:f>
        <x:v>no</x:v>
      </x:c>
      <x:c r="AG343" s="12" t="str">
        <x:f>IF(AND(AE343="active",M343="yes",NOT(ISNUMBER(SEARCH("healthy",AB343)))),"yes","no")</x:f>
        <x:v>no</x:v>
      </x:c>
      <x:c r="AH343" s="12" t="str">
        <x:f>IF(OR(H343="contextual",H343="dialogue",H343="discourse",I343="claim+context",I343="discourse_segment"),"yes","no")</x:f>
        <x:v>no</x:v>
      </x:c>
      <x:c r="AI343" s="12" t="str">
        <x:f>IF(OR(AH343="yes",AD343="debated",AC343="operational"),"yes","no")</x:f>
        <x:v>yes</x:v>
      </x:c>
      <x:c r="AJ343" s="12" t="str">
        <x:f>IF(OR(AH343="yes",AC343="operational",AD343="debated"),"high",IF(AND(AG343="yes",L343="P0"),"medium","low"))</x:f>
        <x:v>high</x:v>
      </x:c>
      <x:c r="AK343" s="12" t="str">
        <x:f>IF(ISNUMBER(SEARCH("healthy",AB343)),"yes","no")</x:f>
        <x:v>no</x:v>
      </x:c>
      <x:c r="AL343" s="12" t="str">
        <x:f>IF(AG343="yes","yes","candidate_only")</x:f>
        <x:v>candidate_only</x:v>
      </x:c>
      <x:c r="AM343" s="12" t="str">
        <x:f>IF(OR(AC343="canonical",AG343="yes"),"yes","recommended")</x:f>
        <x:v>recommended</x:v>
      </x:c>
      <x:c r="AN343" s="12" t="str">
        <x:f>IF(AC343="deprecated","exclude",IF(AND(AG343="yes",AJ343="high"),"import_but_human_review_required",IF(AG343="yes","import_as_active","import_as_backlog")))</x:f>
        <x:v>import_as_backlog</x:v>
      </x:c>
      <x:c r="AO343" s="12" t="str">
        <x:f>IF(AND(AG343="yes",OR(P343="",Q343="",R343="",S343="")),"missing_required_mvp_fields",IF(AND(AC343="canonical",Y343=""),"missing_source_ref","ok"))</x:f>
        <x:v>ok</x:v>
      </x:c>
      <x:c r="AP343" s="12" t="str">
        <x:f>IF(AO343="ok","ready_for_codex_import","needs_review")</x:f>
        <x:v>ready_for_codex_import</x:v>
      </x:c>
      <x:c r="AQ343" s="12"/>
      <x:c r="AR343" s="12" t="str">
        <x:v>Added v2 operational fields. Review before classification activation.</x:v>
      </x:c>
    </x:row>
    <x:row r="344">
      <x:c r="A344" s="13" t="str">
        <x:v>prosecutor_fallacy_small_sample_variant</x:v>
      </x:c>
      <x:c r="B344" s="13" t="str">
        <x:v>prosecutor_fallacy</x:v>
      </x:c>
      <x:c r="C344" s="13" t="str">
        <x:v>Prosecutor's fallacy</x:v>
      </x:c>
      <x:c r="D344" s="13" t="str">
        <x:v>مغالطه دادستان</x:v>
      </x:c>
      <x:c r="E344" s="13" t="str">
        <x:v>Small-sample variant</x:v>
      </x:c>
      <x:c r="F344" s="13" t="str">
        <x:v>probabilistic_failures</x:v>
      </x:c>
      <x:c r="G344" s="13" t="str">
        <x:v>operational_variant</x:v>
      </x:c>
      <x:c r="H344" s="13" t="str">
        <x:v>structural</x:v>
      </x:c>
      <x:c r="I344" s="13" t="str">
        <x:v>claim</x:v>
      </x:c>
      <x:c r="J344" s="13" t="str">
        <x:v>derived_operational_subtype</x:v>
      </x:c>
      <x:c r="K344" s="13" t="str">
        <x:v>derived_from_established_parent_review_required</x:v>
      </x:c>
      <x:c r="L344" s="13" t="str">
        <x:v>P3</x:v>
      </x:c>
      <x:c r="M344" s="13" t="str">
        <x:v>no</x:v>
      </x:c>
      <x:c r="N344" s="13" t="str">
        <x:v>Operational subtype under Prosecutor's fallacy: small or noisy samples are overinterpreted. Parent definition: Overstating evidential strength by confusing match probability with guilt probability.</x:v>
      </x:c>
      <x:c r="O344" s="13" t="str">
        <x:v>Look for: explicit claim-level evidence; parent-family cues for Prosecutor's fallacy; variant cue: small or noisy samples are overinterpreted; avoid author-level inference.</x:v>
      </x:c>
      <x:c r="P344" s="13" t="str">
        <x:v>Exact evidence span in text plus claim-level reasoning link; for contextual/discourse entries, require surrounding context.</x:v>
      </x:c>
      <x:c r="Q344" s="13" t="str">
        <x:v>Do not label merely because topic is controversial, emotional, or wrong. Do not judge intent or personality. Require textual evidence and consider healthy-reasoning cues.</x:v>
      </x:c>
      <x:c r="R344" s="13" t="str">
        <x:v>Stub: A claim relies on small or noisy samples are overinterpreted to support a conclusion without adequate qualification.</x:v>
      </x:c>
      <x:c r="S344" s="13" t="str">
        <x:v>Stub: A claim discusses prosecutor's fallacy with caveats, balanced evidence, or no argumentative use of the pattern.</x:v>
      </x:c>
      <x:c r="T344" s="13" t="str">
        <x:v>Mild or ambiguous cue; do not classify without clear evidence span.</x:v>
      </x:c>
      <x:c r="U344" s="13" t="str">
        <x:v>Clear claim-level pattern with some argumentative impact.</x:v>
      </x:c>
      <x:c r="V344" s="13" t="str">
        <x:v>Strong pattern central to the conclusion and likely to materially distort reasoning.</x:v>
      </x:c>
      <x:c r="W344" s="13" t="str"/>
      <x:c r="X344" s="13" t="str">
        <x:v>stanovich_dual_process</x:v>
      </x:c>
      <x:c r="Y344" s="13" t="str">
        <x:v>https://global.oup.com/academic/product/rationality-and-the-reflective-mind-9780195341140</x:v>
      </x:c>
      <x:c r="Z344" s="13" t="str">
        <x:v>Review before enabling. This workbook is a living taxonomy scaffold, not a validated scientific benchmark.</x:v>
      </x:c>
      <x:c r="AA344" s="13" t="str">
        <x:v>0.1.0-draft</x:v>
      </x:c>
      <x:c r="AB344" s="12" t="str">
        <x:f>IF(ISNUMBER(SEARCH("healthy",F344)),"healthy_reasoning_patterns",IF(ISNUMBER(SEARCH("statistical",F344)),"statistical_reasoning",IF(ISNUMBER(SEARCH("causal",F344)),"causal_reasoning",IF(ISNUMBER(SEARCH("social",F344)),"social_influence",IF(ISNUMBER(SEARCH("rhetoric",F344)),"rhetoric_discourse",IF(ISNUMBER(SEARCH("behavior",F344)),"behavioural_economics",IF(ISNUMBER(SEARCH("cognitive",F344)),"cognitive_biases",IF(J344="protective_pattern","healthy_reasoning_patterns",IF(L344="P0","core_mvp","extended_fallacies")))))))))</x:f>
        <x:v>extended_fallacies</x:v>
      </x:c>
      <x:c r="AC344" s="12" t="str">
        <x:f>IF(ISNUMBER(SEARCH("operational",J344)),"operational",IF(ISNUMBER(SEARCH("deprecated",J344)),"deprecated",IF(L344="P0","canonical","recognized_subtype")))</x:f>
        <x:v>operational</x:v>
      </x:c>
      <x:c r="AD344" s="12" t="str">
        <x:f>IF(AC344="canonical","high",IF(AC344="recognized_subtype","medium",IF(AC344="operational","operational_only","debated")))</x:f>
        <x:v>operational_only</x:v>
      </x:c>
      <x:c r="AE344" s="12" t="str">
        <x:f>IF(AC344="deprecated","deprecated",IF(M344="yes","active",IF(M344="review","review_required","backlog")))</x:f>
        <x:v>backlog</x:v>
      </x:c>
      <x:c r="AF344" s="12" t="str">
        <x:f>IF(OR(AE344="active",AE344="review_required"),"yes","no")</x:f>
        <x:v>no</x:v>
      </x:c>
      <x:c r="AG344" s="12" t="str">
        <x:f>IF(AND(AE344="active",M344="yes",NOT(ISNUMBER(SEARCH("healthy",AB344)))),"yes","no")</x:f>
        <x:v>no</x:v>
      </x:c>
      <x:c r="AH344" s="12" t="str">
        <x:f>IF(OR(H344="contextual",H344="dialogue",H344="discourse",I344="claim+context",I344="discourse_segment"),"yes","no")</x:f>
        <x:v>no</x:v>
      </x:c>
      <x:c r="AI344" s="12" t="str">
        <x:f>IF(OR(AH344="yes",AD344="debated",AC344="operational"),"yes","no")</x:f>
        <x:v>yes</x:v>
      </x:c>
      <x:c r="AJ344" s="12" t="str">
        <x:f>IF(OR(AH344="yes",AC344="operational",AD344="debated"),"high",IF(AND(AG344="yes",L344="P0"),"medium","low"))</x:f>
        <x:v>high</x:v>
      </x:c>
      <x:c r="AK344" s="12" t="str">
        <x:f>IF(ISNUMBER(SEARCH("healthy",AB344)),"yes","no")</x:f>
        <x:v>no</x:v>
      </x:c>
      <x:c r="AL344" s="12" t="str">
        <x:f>IF(AG344="yes","yes","candidate_only")</x:f>
        <x:v>candidate_only</x:v>
      </x:c>
      <x:c r="AM344" s="12" t="str">
        <x:f>IF(OR(AC344="canonical",AG344="yes"),"yes","recommended")</x:f>
        <x:v>recommended</x:v>
      </x:c>
      <x:c r="AN344" s="12" t="str">
        <x:f>IF(AC344="deprecated","exclude",IF(AND(AG344="yes",AJ344="high"),"import_but_human_review_required",IF(AG344="yes","import_as_active","import_as_backlog")))</x:f>
        <x:v>import_as_backlog</x:v>
      </x:c>
      <x:c r="AO344" s="12" t="str">
        <x:f>IF(AND(AG344="yes",OR(P344="",Q344="",R344="",S344="")),"missing_required_mvp_fields",IF(AND(AC344="canonical",Y344=""),"missing_source_ref","ok"))</x:f>
        <x:v>ok</x:v>
      </x:c>
      <x:c r="AP344" s="12" t="str">
        <x:f>IF(AO344="ok","ready_for_codex_import","needs_review")</x:f>
        <x:v>ready_for_codex_import</x:v>
      </x:c>
      <x:c r="AQ344" s="12"/>
      <x:c r="AR344" s="12" t="str">
        <x:v>Added v2 operational fields. Review before classification activation.</x:v>
      </x:c>
    </x:row>
    <x:row r="345">
      <x:c r="A345" s="13" t="str">
        <x:v>denominator_neglect_small_sample_variant</x:v>
      </x:c>
      <x:c r="B345" s="13" t="str">
        <x:v>denominator_neglect</x:v>
      </x:c>
      <x:c r="C345" s="13" t="str">
        <x:v>Denominator neglect</x:v>
      </x:c>
      <x:c r="D345" s="13" t="str">
        <x:v>نادیده‌گرفتن مخرج</x:v>
      </x:c>
      <x:c r="E345" s="13" t="str">
        <x:v>Small-sample variant</x:v>
      </x:c>
      <x:c r="F345" s="13" t="str">
        <x:v>probabilistic_failures</x:v>
      </x:c>
      <x:c r="G345" s="13" t="str">
        <x:v>operational_variant</x:v>
      </x:c>
      <x:c r="H345" s="13" t="str">
        <x:v>lexical</x:v>
      </x:c>
      <x:c r="I345" s="13" t="str">
        <x:v>claim</x:v>
      </x:c>
      <x:c r="J345" s="13" t="str">
        <x:v>derived_operational_subtype</x:v>
      </x:c>
      <x:c r="K345" s="13" t="str">
        <x:v>derived_from_established_parent_review_required</x:v>
      </x:c>
      <x:c r="L345" s="13" t="str">
        <x:v>P3</x:v>
      </x:c>
      <x:c r="M345" s="13" t="str">
        <x:v>no</x:v>
      </x:c>
      <x:c r="N345" s="13" t="str">
        <x:v>Operational subtype under Denominator neglect: small or noisy samples are overinterpreted. Parent definition: Focusing on counts while ignoring the denominator or exposure base.</x:v>
      </x:c>
      <x:c r="O345" s="13" t="str">
        <x:v>Look for: explicit claim-level evidence; parent-family cues for Denominator neglect; variant cue: small or noisy samples are overinterpreted; avoid author-level inference.</x:v>
      </x:c>
      <x:c r="P345" s="13" t="str">
        <x:v>Exact evidence span in text plus claim-level reasoning link; for contextual/discourse entries, require surrounding context.</x:v>
      </x:c>
      <x:c r="Q345" s="13" t="str">
        <x:v>Do not label merely because topic is controversial, emotional, or wrong. Do not judge intent or personality. Require textual evidence and consider healthy-reasoning cues.</x:v>
      </x:c>
      <x:c r="R345" s="13" t="str">
        <x:v>Stub: A claim relies on small or noisy samples are overinterpreted to support a conclusion without adequate qualification.</x:v>
      </x:c>
      <x:c r="S345" s="13" t="str">
        <x:v>Stub: A claim discusses denominator neglect with caveats, balanced evidence, or no argumentative use of the pattern.</x:v>
      </x:c>
      <x:c r="T345" s="13" t="str">
        <x:v>Mild or ambiguous cue; do not classify without clear evidence span.</x:v>
      </x:c>
      <x:c r="U345" s="13" t="str">
        <x:v>Clear claim-level pattern with some argumentative impact.</x:v>
      </x:c>
      <x:c r="V345" s="13" t="str">
        <x:v>Strong pattern central to the conclusion and likely to materially distort reasoning.</x:v>
      </x:c>
      <x:c r="W345" s="13" t="str"/>
      <x:c r="X345" s="13" t="str">
        <x:v>kahneman_tversky_heuristics_1974</x:v>
      </x:c>
      <x:c r="Y345" s="13" t="str">
        <x:v>https://doi.org/10.1126/science.185.4157.1124</x:v>
      </x:c>
      <x:c r="Z345" s="13" t="str">
        <x:v>Review before enabling. This workbook is a living taxonomy scaffold, not a validated scientific benchmark.</x:v>
      </x:c>
      <x:c r="AA345" s="13" t="str">
        <x:v>0.1.0-draft</x:v>
      </x:c>
      <x:c r="AB345" s="12" t="str">
        <x:f>IF(ISNUMBER(SEARCH("healthy",F345)),"healthy_reasoning_patterns",IF(ISNUMBER(SEARCH("statistical",F345)),"statistical_reasoning",IF(ISNUMBER(SEARCH("causal",F345)),"causal_reasoning",IF(ISNUMBER(SEARCH("social",F345)),"social_influence",IF(ISNUMBER(SEARCH("rhetoric",F345)),"rhetoric_discourse",IF(ISNUMBER(SEARCH("behavior",F345)),"behavioural_economics",IF(ISNUMBER(SEARCH("cognitive",F345)),"cognitive_biases",IF(J345="protective_pattern","healthy_reasoning_patterns",IF(L345="P0","core_mvp","extended_fallacies")))))))))</x:f>
        <x:v>extended_fallacies</x:v>
      </x:c>
      <x:c r="AC345" s="12" t="str">
        <x:f>IF(ISNUMBER(SEARCH("operational",J345)),"operational",IF(ISNUMBER(SEARCH("deprecated",J345)),"deprecated",IF(L345="P0","canonical","recognized_subtype")))</x:f>
        <x:v>operational</x:v>
      </x:c>
      <x:c r="AD345" s="12" t="str">
        <x:f>IF(AC345="canonical","high",IF(AC345="recognized_subtype","medium",IF(AC345="operational","operational_only","debated")))</x:f>
        <x:v>operational_only</x:v>
      </x:c>
      <x:c r="AE345" s="12" t="str">
        <x:f>IF(AC345="deprecated","deprecated",IF(M345="yes","active",IF(M345="review","review_required","backlog")))</x:f>
        <x:v>backlog</x:v>
      </x:c>
      <x:c r="AF345" s="12" t="str">
        <x:f>IF(OR(AE345="active",AE345="review_required"),"yes","no")</x:f>
        <x:v>no</x:v>
      </x:c>
      <x:c r="AG345" s="12" t="str">
        <x:f>IF(AND(AE345="active",M345="yes",NOT(ISNUMBER(SEARCH("healthy",AB345)))),"yes","no")</x:f>
        <x:v>no</x:v>
      </x:c>
      <x:c r="AH345" s="12" t="str">
        <x:f>IF(OR(H345="contextual",H345="dialogue",H345="discourse",I345="claim+context",I345="discourse_segment"),"yes","no")</x:f>
        <x:v>no</x:v>
      </x:c>
      <x:c r="AI345" s="12" t="str">
        <x:f>IF(OR(AH345="yes",AD345="debated",AC345="operational"),"yes","no")</x:f>
        <x:v>yes</x:v>
      </x:c>
      <x:c r="AJ345" s="12" t="str">
        <x:f>IF(OR(AH345="yes",AC345="operational",AD345="debated"),"high",IF(AND(AG345="yes",L345="P0"),"medium","low"))</x:f>
        <x:v>high</x:v>
      </x:c>
      <x:c r="AK345" s="12" t="str">
        <x:f>IF(ISNUMBER(SEARCH("healthy",AB345)),"yes","no")</x:f>
        <x:v>no</x:v>
      </x:c>
      <x:c r="AL345" s="12" t="str">
        <x:f>IF(AG345="yes","yes","candidate_only")</x:f>
        <x:v>candidate_only</x:v>
      </x:c>
      <x:c r="AM345" s="12" t="str">
        <x:f>IF(OR(AC345="canonical",AG345="yes"),"yes","recommended")</x:f>
        <x:v>recommended</x:v>
      </x:c>
      <x:c r="AN345" s="12" t="str">
        <x:f>IF(AC345="deprecated","exclude",IF(AND(AG345="yes",AJ345="high"),"import_but_human_review_required",IF(AG345="yes","import_as_active","import_as_backlog")))</x:f>
        <x:v>import_as_backlog</x:v>
      </x:c>
      <x:c r="AO345" s="12" t="str">
        <x:f>IF(AND(AG345="yes",OR(P345="",Q345="",R345="",S345="")),"missing_required_mvp_fields",IF(AND(AC345="canonical",Y345=""),"missing_source_ref","ok"))</x:f>
        <x:v>ok</x:v>
      </x:c>
      <x:c r="AP345" s="12" t="str">
        <x:f>IF(AO345="ok","ready_for_codex_import","needs_review")</x:f>
        <x:v>ready_for_codex_import</x:v>
      </x:c>
      <x:c r="AQ345" s="12"/>
      <x:c r="AR345" s="12" t="str">
        <x:v>Added v2 operational fields. Review before classification activation.</x:v>
      </x:c>
    </x:row>
    <x:row r="346">
      <x:c r="A346" s="13" t="str">
        <x:v>law_of_small_numbers_small_sample_variant</x:v>
      </x:c>
      <x:c r="B346" s="13" t="str">
        <x:v>law_of_small_numbers</x:v>
      </x:c>
      <x:c r="C346" s="13" t="str">
        <x:v>Law of small numbers</x:v>
      </x:c>
      <x:c r="D346" s="13" t="str">
        <x:v>قانون اعداد کوچک</x:v>
      </x:c>
      <x:c r="E346" s="13" t="str">
        <x:v>Small-sample variant</x:v>
      </x:c>
      <x:c r="F346" s="13" t="str">
        <x:v>probabilistic_failures</x:v>
      </x:c>
      <x:c r="G346" s="13" t="str">
        <x:v>operational_variant</x:v>
      </x:c>
      <x:c r="H346" s="13" t="str">
        <x:v>contextual</x:v>
      </x:c>
      <x:c r="I346" s="13" t="str">
        <x:v>claim+context</x:v>
      </x:c>
      <x:c r="J346" s="13" t="str">
        <x:v>derived_operational_subtype</x:v>
      </x:c>
      <x:c r="K346" s="13" t="str">
        <x:v>derived_from_established_parent_review_required</x:v>
      </x:c>
      <x:c r="L346" s="13" t="str">
        <x:v>P3</x:v>
      </x:c>
      <x:c r="M346" s="13" t="str">
        <x:v>no</x:v>
      </x:c>
      <x:c r="N346" s="13" t="str">
        <x:v>Operational subtype under Law of small numbers: small or noisy samples are overinterpreted. Parent definition: Expecting small samples to resemble the population too closely.</x:v>
      </x:c>
      <x:c r="O346" s="13" t="str">
        <x:v>Look for: explicit claim-level evidence; parent-family cues for Law of small numbers; variant cue: small or noisy samples are overinterpreted; avoid author-level inference.</x:v>
      </x:c>
      <x:c r="P346" s="13" t="str">
        <x:v>Exact evidence span in text plus claim-level reasoning link; for contextual/discourse entries, require surrounding context.</x:v>
      </x:c>
      <x:c r="Q346" s="13" t="str">
        <x:v>Do not label merely because topic is controversial, emotional, or wrong. Do not judge intent or personality. Require textual evidence and consider healthy-reasoning cues.</x:v>
      </x:c>
      <x:c r="R346" s="13" t="str">
        <x:v>Stub: A claim relies on small or noisy samples are overinterpreted to support a conclusion without adequate qualification.</x:v>
      </x:c>
      <x:c r="S346" s="13" t="str">
        <x:v>Stub: A claim discusses law of small numbers with caveats, balanced evidence, or no argumentative use of the pattern.</x:v>
      </x:c>
      <x:c r="T346" s="13" t="str">
        <x:v>Mild or ambiguous cue; do not classify without clear evidence span.</x:v>
      </x:c>
      <x:c r="U346" s="13" t="str">
        <x:v>Clear claim-level pattern with some argumentative impact.</x:v>
      </x:c>
      <x:c r="V346" s="13" t="str">
        <x:v>Strong pattern central to the conclusion and likely to materially distort reasoning.</x:v>
      </x:c>
      <x:c r="W346" s="13" t="str"/>
      <x:c r="X346" s="13" t="str">
        <x:v>kahneman_tversky_heuristics_1974</x:v>
      </x:c>
      <x:c r="Y346" s="13" t="str">
        <x:v>https://doi.org/10.1126/science.185.4157.1124</x:v>
      </x:c>
      <x:c r="Z346" s="13" t="str">
        <x:v>Review before enabling. This workbook is a living taxonomy scaffold, not a validated scientific benchmark.</x:v>
      </x:c>
      <x:c r="AA346" s="13" t="str">
        <x:v>0.1.0-draft</x:v>
      </x:c>
      <x:c r="AB346" s="12" t="str">
        <x:f>IF(ISNUMBER(SEARCH("healthy",F346)),"healthy_reasoning_patterns",IF(ISNUMBER(SEARCH("statistical",F346)),"statistical_reasoning",IF(ISNUMBER(SEARCH("causal",F346)),"causal_reasoning",IF(ISNUMBER(SEARCH("social",F346)),"social_influence",IF(ISNUMBER(SEARCH("rhetoric",F346)),"rhetoric_discourse",IF(ISNUMBER(SEARCH("behavior",F346)),"behavioural_economics",IF(ISNUMBER(SEARCH("cognitive",F346)),"cognitive_biases",IF(J346="protective_pattern","healthy_reasoning_patterns",IF(L346="P0","core_mvp","extended_fallacies")))))))))</x:f>
        <x:v>extended_fallacies</x:v>
      </x:c>
      <x:c r="AC346" s="12" t="str">
        <x:f>IF(ISNUMBER(SEARCH("operational",J346)),"operational",IF(ISNUMBER(SEARCH("deprecated",J346)),"deprecated",IF(L346="P0","canonical","recognized_subtype")))</x:f>
        <x:v>operational</x:v>
      </x:c>
      <x:c r="AD346" s="12" t="str">
        <x:f>IF(AC346="canonical","high",IF(AC346="recognized_subtype","medium",IF(AC346="operational","operational_only","debated")))</x:f>
        <x:v>operational_only</x:v>
      </x:c>
      <x:c r="AE346" s="12" t="str">
        <x:f>IF(AC346="deprecated","deprecated",IF(M346="yes","active",IF(M346="review","review_required","backlog")))</x:f>
        <x:v>backlog</x:v>
      </x:c>
      <x:c r="AF346" s="12" t="str">
        <x:f>IF(OR(AE346="active",AE346="review_required"),"yes","no")</x:f>
        <x:v>no</x:v>
      </x:c>
      <x:c r="AG346" s="12" t="str">
        <x:f>IF(AND(AE346="active",M346="yes",NOT(ISNUMBER(SEARCH("healthy",AB346)))),"yes","no")</x:f>
        <x:v>no</x:v>
      </x:c>
      <x:c r="AH346" s="12" t="str">
        <x:f>IF(OR(H346="contextual",H346="dialogue",H346="discourse",I346="claim+context",I346="discourse_segment"),"yes","no")</x:f>
        <x:v>yes</x:v>
      </x:c>
      <x:c r="AI346" s="12" t="str">
        <x:f>IF(OR(AH346="yes",AD346="debated",AC346="operational"),"yes","no")</x:f>
        <x:v>yes</x:v>
      </x:c>
      <x:c r="AJ346" s="12" t="str">
        <x:f>IF(OR(AH346="yes",AC346="operational",AD346="debated"),"high",IF(AND(AG346="yes",L346="P0"),"medium","low"))</x:f>
        <x:v>high</x:v>
      </x:c>
      <x:c r="AK346" s="12" t="str">
        <x:f>IF(ISNUMBER(SEARCH("healthy",AB346)),"yes","no")</x:f>
        <x:v>no</x:v>
      </x:c>
      <x:c r="AL346" s="12" t="str">
        <x:f>IF(AG346="yes","yes","candidate_only")</x:f>
        <x:v>candidate_only</x:v>
      </x:c>
      <x:c r="AM346" s="12" t="str">
        <x:f>IF(OR(AC346="canonical",AG346="yes"),"yes","recommended")</x:f>
        <x:v>recommended</x:v>
      </x:c>
      <x:c r="AN346" s="12" t="str">
        <x:f>IF(AC346="deprecated","exclude",IF(AND(AG346="yes",AJ346="high"),"import_but_human_review_required",IF(AG346="yes","import_as_active","import_as_backlog")))</x:f>
        <x:v>import_as_backlog</x:v>
      </x:c>
      <x:c r="AO346" s="12" t="str">
        <x:f>IF(AND(AG346="yes",OR(P346="",Q346="",R346="",S346="")),"missing_required_mvp_fields",IF(AND(AC346="canonical",Y346=""),"missing_source_ref","ok"))</x:f>
        <x:v>ok</x:v>
      </x:c>
      <x:c r="AP346" s="12" t="str">
        <x:f>IF(AO346="ok","ready_for_codex_import","needs_review")</x:f>
        <x:v>ready_for_codex_import</x:v>
      </x:c>
      <x:c r="AQ346" s="12"/>
      <x:c r="AR346" s="12" t="str">
        <x:v>Added v2 operational fields. Review before classification activation.</x:v>
      </x:c>
    </x:row>
    <x:row r="347">
      <x:c r="A347" s="13" t="str">
        <x:v>sample_space_confusion_small_sample_variant</x:v>
      </x:c>
      <x:c r="B347" s="13" t="str">
        <x:v>sample_space_confusion</x:v>
      </x:c>
      <x:c r="C347" s="13" t="str">
        <x:v>Sample-space confusion</x:v>
      </x:c>
      <x:c r="D347" s="13" t="str">
        <x:v>ابهام فضای نمونه</x:v>
      </x:c>
      <x:c r="E347" s="13" t="str">
        <x:v>Small-sample variant</x:v>
      </x:c>
      <x:c r="F347" s="13" t="str">
        <x:v>probabilistic_failures</x:v>
      </x:c>
      <x:c r="G347" s="13" t="str">
        <x:v>operational_variant</x:v>
      </x:c>
      <x:c r="H347" s="13" t="str">
        <x:v>structural</x:v>
      </x:c>
      <x:c r="I347" s="13" t="str">
        <x:v>claim</x:v>
      </x:c>
      <x:c r="J347" s="13" t="str">
        <x:v>derived_operational_subtype</x:v>
      </x:c>
      <x:c r="K347" s="13" t="str">
        <x:v>derived_from_established_parent_review_required</x:v>
      </x:c>
      <x:c r="L347" s="13" t="str">
        <x:v>P3</x:v>
      </x:c>
      <x:c r="M347" s="13" t="str">
        <x:v>no</x:v>
      </x:c>
      <x:c r="N347" s="13" t="str">
        <x:v>Operational subtype under Sample-space confusion: small or noisy samples are overinterpreted. Parent definition: Reasoning about probabilities without specifying the relevant outcome space.</x:v>
      </x:c>
      <x:c r="O347" s="13" t="str">
        <x:v>Look for: explicit claim-level evidence; parent-family cues for Sample-space confusion; variant cue: small or noisy samples are overinterpreted; avoid author-level inference.</x:v>
      </x:c>
      <x:c r="P347" s="13" t="str">
        <x:v>Exact evidence span in text plus claim-level reasoning link; for contextual/discourse entries, require surrounding context.</x:v>
      </x:c>
      <x:c r="Q347" s="13" t="str">
        <x:v>Do not label merely because topic is controversial, emotional, or wrong. Do not judge intent or personality. Require textual evidence and consider healthy-reasoning cues.</x:v>
      </x:c>
      <x:c r="R347" s="13" t="str">
        <x:v>Stub: A claim relies on small or noisy samples are overinterpreted to support a conclusion without adequate qualification.</x:v>
      </x:c>
      <x:c r="S347" s="13" t="str">
        <x:v>Stub: A claim discusses sample-space confusion with caveats, balanced evidence, or no argumentative use of the pattern.</x:v>
      </x:c>
      <x:c r="T347" s="13" t="str">
        <x:v>Mild or ambiguous cue; do not classify without clear evidence span.</x:v>
      </x:c>
      <x:c r="U347" s="13" t="str">
        <x:v>Clear claim-level pattern with some argumentative impact.</x:v>
      </x:c>
      <x:c r="V347" s="13" t="str">
        <x:v>Strong pattern central to the conclusion and likely to materially distort reasoning.</x:v>
      </x:c>
      <x:c r="W347" s="13" t="str"/>
      <x:c r="X347" s="13" t="str">
        <x:v>stanovich_dual_process</x:v>
      </x:c>
      <x:c r="Y347" s="13" t="str">
        <x:v>https://global.oup.com/academic/product/rationality-and-the-reflective-mind-9780195341140</x:v>
      </x:c>
      <x:c r="Z347" s="13" t="str">
        <x:v>Review before enabling. This workbook is a living taxonomy scaffold, not a validated scientific benchmark.</x:v>
      </x:c>
      <x:c r="AA347" s="13" t="str">
        <x:v>0.1.0-draft</x:v>
      </x:c>
      <x:c r="AB347" s="12" t="str">
        <x:f>IF(ISNUMBER(SEARCH("healthy",F347)),"healthy_reasoning_patterns",IF(ISNUMBER(SEARCH("statistical",F347)),"statistical_reasoning",IF(ISNUMBER(SEARCH("causal",F347)),"causal_reasoning",IF(ISNUMBER(SEARCH("social",F347)),"social_influence",IF(ISNUMBER(SEARCH("rhetoric",F347)),"rhetoric_discourse",IF(ISNUMBER(SEARCH("behavior",F347)),"behavioural_economics",IF(ISNUMBER(SEARCH("cognitive",F347)),"cognitive_biases",IF(J347="protective_pattern","healthy_reasoning_patterns",IF(L347="P0","core_mvp","extended_fallacies")))))))))</x:f>
        <x:v>extended_fallacies</x:v>
      </x:c>
      <x:c r="AC347" s="12" t="str">
        <x:f>IF(ISNUMBER(SEARCH("operational",J347)),"operational",IF(ISNUMBER(SEARCH("deprecated",J347)),"deprecated",IF(L347="P0","canonical","recognized_subtype")))</x:f>
        <x:v>operational</x:v>
      </x:c>
      <x:c r="AD347" s="12" t="str">
        <x:f>IF(AC347="canonical","high",IF(AC347="recognized_subtype","medium",IF(AC347="operational","operational_only","debated")))</x:f>
        <x:v>operational_only</x:v>
      </x:c>
      <x:c r="AE347" s="12" t="str">
        <x:f>IF(AC347="deprecated","deprecated",IF(M347="yes","active",IF(M347="review","review_required","backlog")))</x:f>
        <x:v>backlog</x:v>
      </x:c>
      <x:c r="AF347" s="12" t="str">
        <x:f>IF(OR(AE347="active",AE347="review_required"),"yes","no")</x:f>
        <x:v>no</x:v>
      </x:c>
      <x:c r="AG347" s="12" t="str">
        <x:f>IF(AND(AE347="active",M347="yes",NOT(ISNUMBER(SEARCH("healthy",AB347)))),"yes","no")</x:f>
        <x:v>no</x:v>
      </x:c>
      <x:c r="AH347" s="12" t="str">
        <x:f>IF(OR(H347="contextual",H347="dialogue",H347="discourse",I347="claim+context",I347="discourse_segment"),"yes","no")</x:f>
        <x:v>no</x:v>
      </x:c>
      <x:c r="AI347" s="12" t="str">
        <x:f>IF(OR(AH347="yes",AD347="debated",AC347="operational"),"yes","no")</x:f>
        <x:v>yes</x:v>
      </x:c>
      <x:c r="AJ347" s="12" t="str">
        <x:f>IF(OR(AH347="yes",AC347="operational",AD347="debated"),"high",IF(AND(AG347="yes",L347="P0"),"medium","low"))</x:f>
        <x:v>high</x:v>
      </x:c>
      <x:c r="AK347" s="12" t="str">
        <x:f>IF(ISNUMBER(SEARCH("healthy",AB347)),"yes","no")</x:f>
        <x:v>no</x:v>
      </x:c>
      <x:c r="AL347" s="12" t="str">
        <x:f>IF(AG347="yes","yes","candidate_only")</x:f>
        <x:v>candidate_only</x:v>
      </x:c>
      <x:c r="AM347" s="12" t="str">
        <x:f>IF(OR(AC347="canonical",AG347="yes"),"yes","recommended")</x:f>
        <x:v>recommended</x:v>
      </x:c>
      <x:c r="AN347" s="12" t="str">
        <x:f>IF(AC347="deprecated","exclude",IF(AND(AG347="yes",AJ347="high"),"import_but_human_review_required",IF(AG347="yes","import_as_active","import_as_backlog")))</x:f>
        <x:v>import_as_backlog</x:v>
      </x:c>
      <x:c r="AO347" s="12" t="str">
        <x:f>IF(AND(AG347="yes",OR(P347="",Q347="",R347="",S347="")),"missing_required_mvp_fields",IF(AND(AC347="canonical",Y347=""),"missing_source_ref","ok"))</x:f>
        <x:v>ok</x:v>
      </x:c>
      <x:c r="AP347" s="12" t="str">
        <x:f>IF(AO347="ok","ready_for_codex_import","needs_review")</x:f>
        <x:v>ready_for_codex_import</x:v>
      </x:c>
      <x:c r="AQ347" s="12"/>
      <x:c r="AR347" s="12" t="str">
        <x:v>Added v2 operational fields. Review before classification activation.</x:v>
      </x:c>
    </x:row>
    <x:row r="348">
      <x:c r="A348" s="13" t="str">
        <x:v>risk_ratio_absolute_risk_confusion_small_sample_variant</x:v>
      </x:c>
      <x:c r="B348" s="13" t="str">
        <x:v>risk_ratio_absolute_risk_confusion</x:v>
      </x:c>
      <x:c r="C348" s="13" t="str">
        <x:v>Relative vs absolute risk confusion</x:v>
      </x:c>
      <x:c r="D348" s="13" t="str">
        <x:v>ابهام ریسک نسبی و مطلق</x:v>
      </x:c>
      <x:c r="E348" s="13" t="str">
        <x:v>Small-sample variant</x:v>
      </x:c>
      <x:c r="F348" s="13" t="str">
        <x:v>probabilistic_failures</x:v>
      </x:c>
      <x:c r="G348" s="13" t="str">
        <x:v>operational_variant</x:v>
      </x:c>
      <x:c r="H348" s="13" t="str">
        <x:v>lexical</x:v>
      </x:c>
      <x:c r="I348" s="13" t="str">
        <x:v>claim</x:v>
      </x:c>
      <x:c r="J348" s="13" t="str">
        <x:v>derived_operational_subtype</x:v>
      </x:c>
      <x:c r="K348" s="13" t="str">
        <x:v>derived_from_established_parent_review_required</x:v>
      </x:c>
      <x:c r="L348" s="13" t="str">
        <x:v>P3</x:v>
      </x:c>
      <x:c r="M348" s="13" t="str">
        <x:v>no</x:v>
      </x:c>
      <x:c r="N348" s="13" t="str">
        <x:v>Operational subtype under Relative vs absolute risk confusion: small or noisy samples are overinterpreted. Parent definition: Using relative change while hiding absolute magnitude.</x:v>
      </x:c>
      <x:c r="O348" s="13" t="str">
        <x:v>Look for: explicit claim-level evidence; parent-family cues for Relative vs absolute risk confusion; variant cue: small or noisy samples are overinterpreted; avoid author-level inference.</x:v>
      </x:c>
      <x:c r="P348" s="13" t="str">
        <x:v>Exact evidence span in text plus claim-level reasoning link; for contextual/discourse entries, require surrounding context.</x:v>
      </x:c>
      <x:c r="Q348" s="13" t="str">
        <x:v>Do not label merely because topic is controversial, emotional, or wrong. Do not judge intent or personality. Require textual evidence and consider healthy-reasoning cues.</x:v>
      </x:c>
      <x:c r="R348" s="13" t="str">
        <x:v>Stub: A claim relies on small or noisy samples are overinterpreted to support a conclusion without adequate qualification.</x:v>
      </x:c>
      <x:c r="S348" s="13" t="str">
        <x:v>Stub: A claim discusses relative vs absolute risk confusion with caveats, balanced evidence, or no argumentative use of the pattern.</x:v>
      </x:c>
      <x:c r="T348" s="13" t="str">
        <x:v>Mild or ambiguous cue; do not classify without clear evidence span.</x:v>
      </x:c>
      <x:c r="U348" s="13" t="str">
        <x:v>Clear claim-level pattern with some argumentative impact.</x:v>
      </x:c>
      <x:c r="V348" s="13" t="str">
        <x:v>Strong pattern central to the conclusion and likely to materially distort reasoning.</x:v>
      </x:c>
      <x:c r="W348" s="13" t="str"/>
      <x:c r="X348" s="13" t="str">
        <x:v>stanovich_dual_process</x:v>
      </x:c>
      <x:c r="Y348" s="13" t="str">
        <x:v>https://global.oup.com/academic/product/rationality-and-the-reflective-mind-9780195341140</x:v>
      </x:c>
      <x:c r="Z348" s="13" t="str">
        <x:v>Review before enabling. This workbook is a living taxonomy scaffold, not a validated scientific benchmark.</x:v>
      </x:c>
      <x:c r="AA348" s="13" t="str">
        <x:v>0.1.0-draft</x:v>
      </x:c>
      <x:c r="AB348" s="12" t="str">
        <x:f>IF(ISNUMBER(SEARCH("healthy",F348)),"healthy_reasoning_patterns",IF(ISNUMBER(SEARCH("statistical",F348)),"statistical_reasoning",IF(ISNUMBER(SEARCH("causal",F348)),"causal_reasoning",IF(ISNUMBER(SEARCH("social",F348)),"social_influence",IF(ISNUMBER(SEARCH("rhetoric",F348)),"rhetoric_discourse",IF(ISNUMBER(SEARCH("behavior",F348)),"behavioural_economics",IF(ISNUMBER(SEARCH("cognitive",F348)),"cognitive_biases",IF(J348="protective_pattern","healthy_reasoning_patterns",IF(L348="P0","core_mvp","extended_fallacies")))))))))</x:f>
        <x:v>extended_fallacies</x:v>
      </x:c>
      <x:c r="AC348" s="12" t="str">
        <x:f>IF(ISNUMBER(SEARCH("operational",J348)),"operational",IF(ISNUMBER(SEARCH("deprecated",J348)),"deprecated",IF(L348="P0","canonical","recognized_subtype")))</x:f>
        <x:v>operational</x:v>
      </x:c>
      <x:c r="AD348" s="12" t="str">
        <x:f>IF(AC348="canonical","high",IF(AC348="recognized_subtype","medium",IF(AC348="operational","operational_only","debated")))</x:f>
        <x:v>operational_only</x:v>
      </x:c>
      <x:c r="AE348" s="12" t="str">
        <x:f>IF(AC348="deprecated","deprecated",IF(M348="yes","active",IF(M348="review","review_required","backlog")))</x:f>
        <x:v>backlog</x:v>
      </x:c>
      <x:c r="AF348" s="12" t="str">
        <x:f>IF(OR(AE348="active",AE348="review_required"),"yes","no")</x:f>
        <x:v>no</x:v>
      </x:c>
      <x:c r="AG348" s="12" t="str">
        <x:f>IF(AND(AE348="active",M348="yes",NOT(ISNUMBER(SEARCH("healthy",AB348)))),"yes","no")</x:f>
        <x:v>no</x:v>
      </x:c>
      <x:c r="AH348" s="12" t="str">
        <x:f>IF(OR(H348="contextual",H348="dialogue",H348="discourse",I348="claim+context",I348="discourse_segment"),"yes","no")</x:f>
        <x:v>no</x:v>
      </x:c>
      <x:c r="AI348" s="12" t="str">
        <x:f>IF(OR(AH348="yes",AD348="debated",AC348="operational"),"yes","no")</x:f>
        <x:v>yes</x:v>
      </x:c>
      <x:c r="AJ348" s="12" t="str">
        <x:f>IF(OR(AH348="yes",AC348="operational",AD348="debated"),"high",IF(AND(AG348="yes",L348="P0"),"medium","low"))</x:f>
        <x:v>high</x:v>
      </x:c>
      <x:c r="AK348" s="12" t="str">
        <x:f>IF(ISNUMBER(SEARCH("healthy",AB348)),"yes","no")</x:f>
        <x:v>no</x:v>
      </x:c>
      <x:c r="AL348" s="12" t="str">
        <x:f>IF(AG348="yes","yes","candidate_only")</x:f>
        <x:v>candidate_only</x:v>
      </x:c>
      <x:c r="AM348" s="12" t="str">
        <x:f>IF(OR(AC348="canonical",AG348="yes"),"yes","recommended")</x:f>
        <x:v>recommended</x:v>
      </x:c>
      <x:c r="AN348" s="12" t="str">
        <x:f>IF(AC348="deprecated","exclude",IF(AND(AG348="yes",AJ348="high"),"import_but_human_review_required",IF(AG348="yes","import_as_active","import_as_backlog")))</x:f>
        <x:v>import_as_backlog</x:v>
      </x:c>
      <x:c r="AO348" s="12" t="str">
        <x:f>IF(AND(AG348="yes",OR(P348="",Q348="",R348="",S348="")),"missing_required_mvp_fields",IF(AND(AC348="canonical",Y348=""),"missing_source_ref","ok"))</x:f>
        <x:v>ok</x:v>
      </x:c>
      <x:c r="AP348" s="12" t="str">
        <x:f>IF(AO348="ok","ready_for_codex_import","needs_review")</x:f>
        <x:v>ready_for_codex_import</x:v>
      </x:c>
      <x:c r="AQ348" s="12"/>
      <x:c r="AR348" s="12" t="str">
        <x:v>Added v2 operational fields. Review before classification activation.</x:v>
      </x:c>
    </x:row>
    <x:row r="349">
      <x:c r="A349" s="13" t="str">
        <x:v>expected_value_neglect_small_sample_variant</x:v>
      </x:c>
      <x:c r="B349" s="13" t="str">
        <x:v>expected_value_neglect</x:v>
      </x:c>
      <x:c r="C349" s="13" t="str">
        <x:v>Expected-value neglect</x:v>
      </x:c>
      <x:c r="D349" s="13" t="str">
        <x:v>نادیده‌گرفتن امید ریاضی</x:v>
      </x:c>
      <x:c r="E349" s="13" t="str">
        <x:v>Small-sample variant</x:v>
      </x:c>
      <x:c r="F349" s="13" t="str">
        <x:v>probabilistic_failures</x:v>
      </x:c>
      <x:c r="G349" s="13" t="str">
        <x:v>operational_variant</x:v>
      </x:c>
      <x:c r="H349" s="13" t="str">
        <x:v>contextual</x:v>
      </x:c>
      <x:c r="I349" s="13" t="str">
        <x:v>claim+context</x:v>
      </x:c>
      <x:c r="J349" s="13" t="str">
        <x:v>derived_operational_subtype</x:v>
      </x:c>
      <x:c r="K349" s="13" t="str">
        <x:v>derived_from_established_parent_review_required</x:v>
      </x:c>
      <x:c r="L349" s="13" t="str">
        <x:v>P3</x:v>
      </x:c>
      <x:c r="M349" s="13" t="str">
        <x:v>no</x:v>
      </x:c>
      <x:c r="N349" s="13" t="str">
        <x:v>Operational subtype under Expected-value neglect: small or noisy samples are overinterpreted. Parent definition: Focusing on salient outcomes while ignoring probability-weighted value.</x:v>
      </x:c>
      <x:c r="O349" s="13" t="str">
        <x:v>Look for: explicit claim-level evidence; parent-family cues for Expected-value neglect; variant cue: small or noisy samples are overinterpreted; avoid author-level inference.</x:v>
      </x:c>
      <x:c r="P349" s="13" t="str">
        <x:v>Exact evidence span in text plus claim-level reasoning link; for contextual/discourse entries, require surrounding context.</x:v>
      </x:c>
      <x:c r="Q349" s="13" t="str">
        <x:v>Do not label merely because topic is controversial, emotional, or wrong. Do not judge intent or personality. Require textual evidence and consider healthy-reasoning cues.</x:v>
      </x:c>
      <x:c r="R349" s="13" t="str">
        <x:v>Stub: A claim relies on small or noisy samples are overinterpreted to support a conclusion without adequate qualification.</x:v>
      </x:c>
      <x:c r="S349" s="13" t="str">
        <x:v>Stub: A claim discusses expected-value neglect with caveats, balanced evidence, or no argumentative use of the pattern.</x:v>
      </x:c>
      <x:c r="T349" s="13" t="str">
        <x:v>Mild or ambiguous cue; do not classify without clear evidence span.</x:v>
      </x:c>
      <x:c r="U349" s="13" t="str">
        <x:v>Clear claim-level pattern with some argumentative impact.</x:v>
      </x:c>
      <x:c r="V349" s="13" t="str">
        <x:v>Strong pattern central to the conclusion and likely to materially distort reasoning.</x:v>
      </x:c>
      <x:c r="W349" s="13" t="str"/>
      <x:c r="X349" s="13" t="str">
        <x:v>kahneman_tversky_prospect_1979</x:v>
      </x:c>
      <x:c r="Y349" s="13" t="str">
        <x:v>https://doi.org/10.2307/1914185</x:v>
      </x:c>
      <x:c r="Z349" s="13" t="str">
        <x:v>Review before enabling. This workbook is a living taxonomy scaffold, not a validated scientific benchmark.</x:v>
      </x:c>
      <x:c r="AA349" s="13" t="str">
        <x:v>0.1.0-draft</x:v>
      </x:c>
      <x:c r="AB349" s="12" t="str">
        <x:f>IF(ISNUMBER(SEARCH("healthy",F349)),"healthy_reasoning_patterns",IF(ISNUMBER(SEARCH("statistical",F349)),"statistical_reasoning",IF(ISNUMBER(SEARCH("causal",F349)),"causal_reasoning",IF(ISNUMBER(SEARCH("social",F349)),"social_influence",IF(ISNUMBER(SEARCH("rhetoric",F349)),"rhetoric_discourse",IF(ISNUMBER(SEARCH("behavior",F349)),"behavioural_economics",IF(ISNUMBER(SEARCH("cognitive",F349)),"cognitive_biases",IF(J349="protective_pattern","healthy_reasoning_patterns",IF(L349="P0","core_mvp","extended_fallacies")))))))))</x:f>
        <x:v>extended_fallacies</x:v>
      </x:c>
      <x:c r="AC349" s="12" t="str">
        <x:f>IF(ISNUMBER(SEARCH("operational",J349)),"operational",IF(ISNUMBER(SEARCH("deprecated",J349)),"deprecated",IF(L349="P0","canonical","recognized_subtype")))</x:f>
        <x:v>operational</x:v>
      </x:c>
      <x:c r="AD349" s="12" t="str">
        <x:f>IF(AC349="canonical","high",IF(AC349="recognized_subtype","medium",IF(AC349="operational","operational_only","debated")))</x:f>
        <x:v>operational_only</x:v>
      </x:c>
      <x:c r="AE349" s="12" t="str">
        <x:f>IF(AC349="deprecated","deprecated",IF(M349="yes","active",IF(M349="review","review_required","backlog")))</x:f>
        <x:v>backlog</x:v>
      </x:c>
      <x:c r="AF349" s="12" t="str">
        <x:f>IF(OR(AE349="active",AE349="review_required"),"yes","no")</x:f>
        <x:v>no</x:v>
      </x:c>
      <x:c r="AG349" s="12" t="str">
        <x:f>IF(AND(AE349="active",M349="yes",NOT(ISNUMBER(SEARCH("healthy",AB349)))),"yes","no")</x:f>
        <x:v>no</x:v>
      </x:c>
      <x:c r="AH349" s="12" t="str">
        <x:f>IF(OR(H349="contextual",H349="dialogue",H349="discourse",I349="claim+context",I349="discourse_segment"),"yes","no")</x:f>
        <x:v>yes</x:v>
      </x:c>
      <x:c r="AI349" s="12" t="str">
        <x:f>IF(OR(AH349="yes",AD349="debated",AC349="operational"),"yes","no")</x:f>
        <x:v>yes</x:v>
      </x:c>
      <x:c r="AJ349" s="12" t="str">
        <x:f>IF(OR(AH349="yes",AC349="operational",AD349="debated"),"high",IF(AND(AG349="yes",L349="P0"),"medium","low"))</x:f>
        <x:v>high</x:v>
      </x:c>
      <x:c r="AK349" s="12" t="str">
        <x:f>IF(ISNUMBER(SEARCH("healthy",AB349)),"yes","no")</x:f>
        <x:v>no</x:v>
      </x:c>
      <x:c r="AL349" s="12" t="str">
        <x:f>IF(AG349="yes","yes","candidate_only")</x:f>
        <x:v>candidate_only</x:v>
      </x:c>
      <x:c r="AM349" s="12" t="str">
        <x:f>IF(OR(AC349="canonical",AG349="yes"),"yes","recommended")</x:f>
        <x:v>recommended</x:v>
      </x:c>
      <x:c r="AN349" s="12" t="str">
        <x:f>IF(AC349="deprecated","exclude",IF(AND(AG349="yes",AJ349="high"),"import_but_human_review_required",IF(AG349="yes","import_as_active","import_as_backlog")))</x:f>
        <x:v>import_as_backlog</x:v>
      </x:c>
      <x:c r="AO349" s="12" t="str">
        <x:f>IF(AND(AG349="yes",OR(P349="",Q349="",R349="",S349="")),"missing_required_mvp_fields",IF(AND(AC349="canonical",Y349=""),"missing_source_ref","ok"))</x:f>
        <x:v>ok</x:v>
      </x:c>
      <x:c r="AP349" s="12" t="str">
        <x:f>IF(AO349="ok","ready_for_codex_import","needs_review")</x:f>
        <x:v>ready_for_codex_import</x:v>
      </x:c>
      <x:c r="AQ349" s="12"/>
      <x:c r="AR349" s="12" t="str">
        <x:v>Added v2 operational fields. Review before classification activation.</x:v>
      </x:c>
    </x:row>
    <x:row r="350">
      <x:c r="A350" s="13" t="str">
        <x:v>tail_risk_neglect_small_sample_variant</x:v>
      </x:c>
      <x:c r="B350" s="13" t="str">
        <x:v>tail_risk_neglect</x:v>
      </x:c>
      <x:c r="C350" s="13" t="str">
        <x:v>Tail-risk neglect</x:v>
      </x:c>
      <x:c r="D350" s="13" t="str">
        <x:v>نادیده‌گرفتن ریسک دنباله</x:v>
      </x:c>
      <x:c r="E350" s="13" t="str">
        <x:v>Small-sample variant</x:v>
      </x:c>
      <x:c r="F350" s="13" t="str">
        <x:v>probabilistic_failures</x:v>
      </x:c>
      <x:c r="G350" s="13" t="str">
        <x:v>operational_variant</x:v>
      </x:c>
      <x:c r="H350" s="13" t="str">
        <x:v>contextual</x:v>
      </x:c>
      <x:c r="I350" s="13" t="str">
        <x:v>claim+context</x:v>
      </x:c>
      <x:c r="J350" s="13" t="str">
        <x:v>derived_operational_subtype</x:v>
      </x:c>
      <x:c r="K350" s="13" t="str">
        <x:v>derived_from_established_parent_review_required</x:v>
      </x:c>
      <x:c r="L350" s="13" t="str">
        <x:v>P3</x:v>
      </x:c>
      <x:c r="M350" s="13" t="str">
        <x:v>no</x:v>
      </x:c>
      <x:c r="N350" s="13" t="str">
        <x:v>Operational subtype under Tail-risk neglect: small or noisy samples are overinterpreted. Parent definition: Ignoring low-probability but high-impact outcomes when relevant.</x:v>
      </x:c>
      <x:c r="O350" s="13" t="str">
        <x:v>Look for: explicit claim-level evidence; parent-family cues for Tail-risk neglect; variant cue: small or noisy samples are overinterpreted; avoid author-level inference.</x:v>
      </x:c>
      <x:c r="P350" s="13" t="str">
        <x:v>Exact evidence span in text plus claim-level reasoning link; for contextual/discourse entries, require surrounding context.</x:v>
      </x:c>
      <x:c r="Q350" s="13" t="str">
        <x:v>Do not label merely because topic is controversial, emotional, or wrong. Do not judge intent or personality. Require textual evidence and consider healthy-reasoning cues.</x:v>
      </x:c>
      <x:c r="R350" s="13" t="str">
        <x:v>Stub: A claim relies on small or noisy samples are overinterpreted to support a conclusion without adequate qualification.</x:v>
      </x:c>
      <x:c r="S350" s="13" t="str">
        <x:v>Stub: A claim discusses tail-risk neglect with caveats, balanced evidence, or no argumentative use of the pattern.</x:v>
      </x:c>
      <x:c r="T350" s="13" t="str">
        <x:v>Mild or ambiguous cue; do not classify without clear evidence span.</x:v>
      </x:c>
      <x:c r="U350" s="13" t="str">
        <x:v>Clear claim-level pattern with some argumentative impact.</x:v>
      </x:c>
      <x:c r="V350" s="13" t="str">
        <x:v>Strong pattern central to the conclusion and likely to materially distort reasoning.</x:v>
      </x:c>
      <x:c r="W350" s="13" t="str"/>
      <x:c r="X350" s="13" t="str">
        <x:v>kahneman_tversky_prospect_1979</x:v>
      </x:c>
      <x:c r="Y350" s="13" t="str">
        <x:v>https://doi.org/10.2307/1914185</x:v>
      </x:c>
      <x:c r="Z350" s="13" t="str">
        <x:v>Review before enabling. This workbook is a living taxonomy scaffold, not a validated scientific benchmark.</x:v>
      </x:c>
      <x:c r="AA350" s="13" t="str">
        <x:v>0.1.0-draft</x:v>
      </x:c>
      <x:c r="AB350" s="12" t="str">
        <x:f>IF(ISNUMBER(SEARCH("healthy",F350)),"healthy_reasoning_patterns",IF(ISNUMBER(SEARCH("statistical",F350)),"statistical_reasoning",IF(ISNUMBER(SEARCH("causal",F350)),"causal_reasoning",IF(ISNUMBER(SEARCH("social",F350)),"social_influence",IF(ISNUMBER(SEARCH("rhetoric",F350)),"rhetoric_discourse",IF(ISNUMBER(SEARCH("behavior",F350)),"behavioural_economics",IF(ISNUMBER(SEARCH("cognitive",F350)),"cognitive_biases",IF(J350="protective_pattern","healthy_reasoning_patterns",IF(L350="P0","core_mvp","extended_fallacies")))))))))</x:f>
        <x:v>extended_fallacies</x:v>
      </x:c>
      <x:c r="AC350" s="12" t="str">
        <x:f>IF(ISNUMBER(SEARCH("operational",J350)),"operational",IF(ISNUMBER(SEARCH("deprecated",J350)),"deprecated",IF(L350="P0","canonical","recognized_subtype")))</x:f>
        <x:v>operational</x:v>
      </x:c>
      <x:c r="AD350" s="12" t="str">
        <x:f>IF(AC350="canonical","high",IF(AC350="recognized_subtype","medium",IF(AC350="operational","operational_only","debated")))</x:f>
        <x:v>operational_only</x:v>
      </x:c>
      <x:c r="AE350" s="12" t="str">
        <x:f>IF(AC350="deprecated","deprecated",IF(M350="yes","active",IF(M350="review","review_required","backlog")))</x:f>
        <x:v>backlog</x:v>
      </x:c>
      <x:c r="AF350" s="12" t="str">
        <x:f>IF(OR(AE350="active",AE350="review_required"),"yes","no")</x:f>
        <x:v>no</x:v>
      </x:c>
      <x:c r="AG350" s="12" t="str">
        <x:f>IF(AND(AE350="active",M350="yes",NOT(ISNUMBER(SEARCH("healthy",AB350)))),"yes","no")</x:f>
        <x:v>no</x:v>
      </x:c>
      <x:c r="AH350" s="12" t="str">
        <x:f>IF(OR(H350="contextual",H350="dialogue",H350="discourse",I350="claim+context",I350="discourse_segment"),"yes","no")</x:f>
        <x:v>yes</x:v>
      </x:c>
      <x:c r="AI350" s="12" t="str">
        <x:f>IF(OR(AH350="yes",AD350="debated",AC350="operational"),"yes","no")</x:f>
        <x:v>yes</x:v>
      </x:c>
      <x:c r="AJ350" s="12" t="str">
        <x:f>IF(OR(AH350="yes",AC350="operational",AD350="debated"),"high",IF(AND(AG350="yes",L350="P0"),"medium","low"))</x:f>
        <x:v>high</x:v>
      </x:c>
      <x:c r="AK350" s="12" t="str">
        <x:f>IF(ISNUMBER(SEARCH("healthy",AB350)),"yes","no")</x:f>
        <x:v>no</x:v>
      </x:c>
      <x:c r="AL350" s="12" t="str">
        <x:f>IF(AG350="yes","yes","candidate_only")</x:f>
        <x:v>candidate_only</x:v>
      </x:c>
      <x:c r="AM350" s="12" t="str">
        <x:f>IF(OR(AC350="canonical",AG350="yes"),"yes","recommended")</x:f>
        <x:v>recommended</x:v>
      </x:c>
      <x:c r="AN350" s="12" t="str">
        <x:f>IF(AC350="deprecated","exclude",IF(AND(AG350="yes",AJ350="high"),"import_but_human_review_required",IF(AG350="yes","import_as_active","import_as_backlog")))</x:f>
        <x:v>import_as_backlog</x:v>
      </x:c>
      <x:c r="AO350" s="12" t="str">
        <x:f>IF(AND(AG350="yes",OR(P350="",Q350="",R350="",S350="")),"missing_required_mvp_fields",IF(AND(AC350="canonical",Y350=""),"missing_source_ref","ok"))</x:f>
        <x:v>ok</x:v>
      </x:c>
      <x:c r="AP350" s="12" t="str">
        <x:f>IF(AO350="ok","ready_for_codex_import","needs_review")</x:f>
        <x:v>ready_for_codex_import</x:v>
      </x:c>
      <x:c r="AQ350" s="12"/>
      <x:c r="AR350" s="12" t="str">
        <x:v>Added v2 operational fields. Review before classification activation.</x:v>
      </x:c>
    </x:row>
    <x:row r="351">
      <x:c r="A351" s="13" t="str">
        <x:v>rare_event_overweighting_small_sample_variant</x:v>
      </x:c>
      <x:c r="B351" s="13" t="str">
        <x:v>rare_event_overweighting</x:v>
      </x:c>
      <x:c r="C351" s="13" t="str">
        <x:v>Rare-event overweighting</x:v>
      </x:c>
      <x:c r="D351" s="13" t="str">
        <x:v>بزرگ‌نمایی رخداد نادر</x:v>
      </x:c>
      <x:c r="E351" s="13" t="str">
        <x:v>Small-sample variant</x:v>
      </x:c>
      <x:c r="F351" s="13" t="str">
        <x:v>probabilistic_failures</x:v>
      </x:c>
      <x:c r="G351" s="13" t="str">
        <x:v>operational_variant</x:v>
      </x:c>
      <x:c r="H351" s="13" t="str">
        <x:v>contextual</x:v>
      </x:c>
      <x:c r="I351" s="13" t="str">
        <x:v>claim+context</x:v>
      </x:c>
      <x:c r="J351" s="13" t="str">
        <x:v>derived_operational_subtype</x:v>
      </x:c>
      <x:c r="K351" s="13" t="str">
        <x:v>derived_from_established_parent_review_required</x:v>
      </x:c>
      <x:c r="L351" s="13" t="str">
        <x:v>P3</x:v>
      </x:c>
      <x:c r="M351" s="13" t="str">
        <x:v>no</x:v>
      </x:c>
      <x:c r="N351" s="13" t="str">
        <x:v>Operational subtype under Rare-event overweighting: small or noisy samples are overinterpreted. Parent definition: Overweighting rare events due to salience or vividness.</x:v>
      </x:c>
      <x:c r="O351" s="13" t="str">
        <x:v>Look for: explicit claim-level evidence; parent-family cues for Rare-event overweighting; variant cue: small or noisy samples are overinterpreted; avoid author-level inference.</x:v>
      </x:c>
      <x:c r="P351" s="13" t="str">
        <x:v>Exact evidence span in text plus claim-level reasoning link; for contextual/discourse entries, require surrounding context.</x:v>
      </x:c>
      <x:c r="Q351" s="13" t="str">
        <x:v>Do not label merely because topic is controversial, emotional, or wrong. Do not judge intent or personality. Require textual evidence and consider healthy-reasoning cues.</x:v>
      </x:c>
      <x:c r="R351" s="13" t="str">
        <x:v>Stub: A claim relies on small or noisy samples are overinterpreted to support a conclusion without adequate qualification.</x:v>
      </x:c>
      <x:c r="S351" s="13" t="str">
        <x:v>Stub: A claim discusses rare-event overweighting with caveats, balanced evidence, or no argumentative use of the pattern.</x:v>
      </x:c>
      <x:c r="T351" s="13" t="str">
        <x:v>Mild or ambiguous cue; do not classify without clear evidence span.</x:v>
      </x:c>
      <x:c r="U351" s="13" t="str">
        <x:v>Clear claim-level pattern with some argumentative impact.</x:v>
      </x:c>
      <x:c r="V351" s="13" t="str">
        <x:v>Strong pattern central to the conclusion and likely to materially distort reasoning.</x:v>
      </x:c>
      <x:c r="W351" s="13" t="str"/>
      <x:c r="X351" s="13" t="str">
        <x:v>kahneman_tversky_prospect_1979</x:v>
      </x:c>
      <x:c r="Y351" s="13" t="str">
        <x:v>https://doi.org/10.2307/1914185</x:v>
      </x:c>
      <x:c r="Z351" s="13" t="str">
        <x:v>Review before enabling. This workbook is a living taxonomy scaffold, not a validated scientific benchmark.</x:v>
      </x:c>
      <x:c r="AA351" s="13" t="str">
        <x:v>0.1.0-draft</x:v>
      </x:c>
      <x:c r="AB351" s="12" t="str">
        <x:f>IF(ISNUMBER(SEARCH("healthy",F351)),"healthy_reasoning_patterns",IF(ISNUMBER(SEARCH("statistical",F351)),"statistical_reasoning",IF(ISNUMBER(SEARCH("causal",F351)),"causal_reasoning",IF(ISNUMBER(SEARCH("social",F351)),"social_influence",IF(ISNUMBER(SEARCH("rhetoric",F351)),"rhetoric_discourse",IF(ISNUMBER(SEARCH("behavior",F351)),"behavioural_economics",IF(ISNUMBER(SEARCH("cognitive",F351)),"cognitive_biases",IF(J351="protective_pattern","healthy_reasoning_patterns",IF(L351="P0","core_mvp","extended_fallacies")))))))))</x:f>
        <x:v>extended_fallacies</x:v>
      </x:c>
      <x:c r="AC351" s="12" t="str">
        <x:f>IF(ISNUMBER(SEARCH("operational",J351)),"operational",IF(ISNUMBER(SEARCH("deprecated",J351)),"deprecated",IF(L351="P0","canonical","recognized_subtype")))</x:f>
        <x:v>operational</x:v>
      </x:c>
      <x:c r="AD351" s="12" t="str">
        <x:f>IF(AC351="canonical","high",IF(AC351="recognized_subtype","medium",IF(AC351="operational","operational_only","debated")))</x:f>
        <x:v>operational_only</x:v>
      </x:c>
      <x:c r="AE351" s="12" t="str">
        <x:f>IF(AC351="deprecated","deprecated",IF(M351="yes","active",IF(M351="review","review_required","backlog")))</x:f>
        <x:v>backlog</x:v>
      </x:c>
      <x:c r="AF351" s="12" t="str">
        <x:f>IF(OR(AE351="active",AE351="review_required"),"yes","no")</x:f>
        <x:v>no</x:v>
      </x:c>
      <x:c r="AG351" s="12" t="str">
        <x:f>IF(AND(AE351="active",M351="yes",NOT(ISNUMBER(SEARCH("healthy",AB351)))),"yes","no")</x:f>
        <x:v>no</x:v>
      </x:c>
      <x:c r="AH351" s="12" t="str">
        <x:f>IF(OR(H351="contextual",H351="dialogue",H351="discourse",I351="claim+context",I351="discourse_segment"),"yes","no")</x:f>
        <x:v>yes</x:v>
      </x:c>
      <x:c r="AI351" s="12" t="str">
        <x:f>IF(OR(AH351="yes",AD351="debated",AC351="operational"),"yes","no")</x:f>
        <x:v>yes</x:v>
      </x:c>
      <x:c r="AJ351" s="12" t="str">
        <x:f>IF(OR(AH351="yes",AC351="operational",AD351="debated"),"high",IF(AND(AG351="yes",L351="P0"),"medium","low"))</x:f>
        <x:v>high</x:v>
      </x:c>
      <x:c r="AK351" s="12" t="str">
        <x:f>IF(ISNUMBER(SEARCH("healthy",AB351)),"yes","no")</x:f>
        <x:v>no</x:v>
      </x:c>
      <x:c r="AL351" s="12" t="str">
        <x:f>IF(AG351="yes","yes","candidate_only")</x:f>
        <x:v>candidate_only</x:v>
      </x:c>
      <x:c r="AM351" s="12" t="str">
        <x:f>IF(OR(AC351="canonical",AG351="yes"),"yes","recommended")</x:f>
        <x:v>recommended</x:v>
      </x:c>
      <x:c r="AN351" s="12" t="str">
        <x:f>IF(AC351="deprecated","exclude",IF(AND(AG351="yes",AJ351="high"),"import_but_human_review_required",IF(AG351="yes","import_as_active","import_as_backlog")))</x:f>
        <x:v>import_as_backlog</x:v>
      </x:c>
      <x:c r="AO351" s="12" t="str">
        <x:f>IF(AND(AG351="yes",OR(P351="",Q351="",R351="",S351="")),"missing_required_mvp_fields",IF(AND(AC351="canonical",Y351=""),"missing_source_ref","ok"))</x:f>
        <x:v>ok</x:v>
      </x:c>
      <x:c r="AP351" s="12" t="str">
        <x:f>IF(AO351="ok","ready_for_codex_import","needs_review")</x:f>
        <x:v>ready_for_codex_import</x:v>
      </x:c>
      <x:c r="AQ351" s="12"/>
      <x:c r="AR351" s="12" t="str">
        <x:v>Added v2 operational fields. Review before classification activation.</x:v>
      </x:c>
    </x:row>
    <x:row r="352">
      <x:c r="A352" s="13" t="str">
        <x:v>normalcy_bias_probability_small_sample_variant</x:v>
      </x:c>
      <x:c r="B352" s="13" t="str">
        <x:v>normalcy_bias_probability</x:v>
      </x:c>
      <x:c r="C352" s="13" t="str">
        <x:v>Normalcy bias in risk</x:v>
      </x:c>
      <x:c r="D352" s="13" t="str">
        <x:v>سوگیری عادی‌انگاری ریسک</x:v>
      </x:c>
      <x:c r="E352" s="13" t="str">
        <x:v>Small-sample variant</x:v>
      </x:c>
      <x:c r="F352" s="13" t="str">
        <x:v>probabilistic_failures</x:v>
      </x:c>
      <x:c r="G352" s="13" t="str">
        <x:v>operational_variant</x:v>
      </x:c>
      <x:c r="H352" s="13" t="str">
        <x:v>contextual</x:v>
      </x:c>
      <x:c r="I352" s="13" t="str">
        <x:v>claim+context</x:v>
      </x:c>
      <x:c r="J352" s="13" t="str">
        <x:v>derived_operational_subtype</x:v>
      </x:c>
      <x:c r="K352" s="13" t="str">
        <x:v>derived_from_established_parent_review_required</x:v>
      </x:c>
      <x:c r="L352" s="13" t="str">
        <x:v>P3</x:v>
      </x:c>
      <x:c r="M352" s="13" t="str">
        <x:v>no</x:v>
      </x:c>
      <x:c r="N352" s="13" t="str">
        <x:v>Operational subtype under Normalcy bias in risk: small or noisy samples are overinterpreted. Parent definition: Assuming adverse outcomes are unlikely because they have not recently occurred.</x:v>
      </x:c>
      <x:c r="O352" s="13" t="str">
        <x:v>Look for: explicit claim-level evidence; parent-family cues for Normalcy bias in risk; variant cue: small or noisy samples are overinterpreted; avoid author-level inference.</x:v>
      </x:c>
      <x:c r="P352" s="13" t="str">
        <x:v>Exact evidence span in text plus claim-level reasoning link; for contextual/discourse entries, require surrounding context.</x:v>
      </x:c>
      <x:c r="Q352" s="13" t="str">
        <x:v>Do not label merely because topic is controversial, emotional, or wrong. Do not judge intent or personality. Require textual evidence and consider healthy-reasoning cues.</x:v>
      </x:c>
      <x:c r="R352" s="13" t="str">
        <x:v>Stub: A claim relies on small or noisy samples are overinterpreted to support a conclusion without adequate qualification.</x:v>
      </x:c>
      <x:c r="S352" s="13" t="str">
        <x:v>Stub: A claim discusses normalcy bias in risk with caveats, balanced evidence, or no argumentative use of the pattern.</x:v>
      </x:c>
      <x:c r="T352" s="13" t="str">
        <x:v>Mild or ambiguous cue; do not classify without clear evidence span.</x:v>
      </x:c>
      <x:c r="U352" s="13" t="str">
        <x:v>Clear claim-level pattern with some argumentative impact.</x:v>
      </x:c>
      <x:c r="V352" s="13" t="str">
        <x:v>Strong pattern central to the conclusion and likely to materially distort reasoning.</x:v>
      </x:c>
      <x:c r="W352" s="13" t="str"/>
      <x:c r="X352" s="13" t="str">
        <x:v>stanovich_dual_process</x:v>
      </x:c>
      <x:c r="Y352" s="13" t="str">
        <x:v>https://global.oup.com/academic/product/rationality-and-the-reflective-mind-9780195341140</x:v>
      </x:c>
      <x:c r="Z352" s="13" t="str">
        <x:v>Review before enabling. This workbook is a living taxonomy scaffold, not a validated scientific benchmark.</x:v>
      </x:c>
      <x:c r="AA352" s="13" t="str">
        <x:v>0.1.0-draft</x:v>
      </x:c>
      <x:c r="AB352" s="12" t="str">
        <x:f>IF(ISNUMBER(SEARCH("healthy",F352)),"healthy_reasoning_patterns",IF(ISNUMBER(SEARCH("statistical",F352)),"statistical_reasoning",IF(ISNUMBER(SEARCH("causal",F352)),"causal_reasoning",IF(ISNUMBER(SEARCH("social",F352)),"social_influence",IF(ISNUMBER(SEARCH("rhetoric",F352)),"rhetoric_discourse",IF(ISNUMBER(SEARCH("behavior",F352)),"behavioural_economics",IF(ISNUMBER(SEARCH("cognitive",F352)),"cognitive_biases",IF(J352="protective_pattern","healthy_reasoning_patterns",IF(L352="P0","core_mvp","extended_fallacies")))))))))</x:f>
        <x:v>extended_fallacies</x:v>
      </x:c>
      <x:c r="AC352" s="12" t="str">
        <x:f>IF(ISNUMBER(SEARCH("operational",J352)),"operational",IF(ISNUMBER(SEARCH("deprecated",J352)),"deprecated",IF(L352="P0","canonical","recognized_subtype")))</x:f>
        <x:v>operational</x:v>
      </x:c>
      <x:c r="AD352" s="12" t="str">
        <x:f>IF(AC352="canonical","high",IF(AC352="recognized_subtype","medium",IF(AC352="operational","operational_only","debated")))</x:f>
        <x:v>operational_only</x:v>
      </x:c>
      <x:c r="AE352" s="12" t="str">
        <x:f>IF(AC352="deprecated","deprecated",IF(M352="yes","active",IF(M352="review","review_required","backlog")))</x:f>
        <x:v>backlog</x:v>
      </x:c>
      <x:c r="AF352" s="12" t="str">
        <x:f>IF(OR(AE352="active",AE352="review_required"),"yes","no")</x:f>
        <x:v>no</x:v>
      </x:c>
      <x:c r="AG352" s="12" t="str">
        <x:f>IF(AND(AE352="active",M352="yes",NOT(ISNUMBER(SEARCH("healthy",AB352)))),"yes","no")</x:f>
        <x:v>no</x:v>
      </x:c>
      <x:c r="AH352" s="12" t="str">
        <x:f>IF(OR(H352="contextual",H352="dialogue",H352="discourse",I352="claim+context",I352="discourse_segment"),"yes","no")</x:f>
        <x:v>yes</x:v>
      </x:c>
      <x:c r="AI352" s="12" t="str">
        <x:f>IF(OR(AH352="yes",AD352="debated",AC352="operational"),"yes","no")</x:f>
        <x:v>yes</x:v>
      </x:c>
      <x:c r="AJ352" s="12" t="str">
        <x:f>IF(OR(AH352="yes",AC352="operational",AD352="debated"),"high",IF(AND(AG352="yes",L352="P0"),"medium","low"))</x:f>
        <x:v>high</x:v>
      </x:c>
      <x:c r="AK352" s="12" t="str">
        <x:f>IF(ISNUMBER(SEARCH("healthy",AB352)),"yes","no")</x:f>
        <x:v>no</x:v>
      </x:c>
      <x:c r="AL352" s="12" t="str">
        <x:f>IF(AG352="yes","yes","candidate_only")</x:f>
        <x:v>candidate_only</x:v>
      </x:c>
      <x:c r="AM352" s="12" t="str">
        <x:f>IF(OR(AC352="canonical",AG352="yes"),"yes","recommended")</x:f>
        <x:v>recommended</x:v>
      </x:c>
      <x:c r="AN352" s="12" t="str">
        <x:f>IF(AC352="deprecated","exclude",IF(AND(AG352="yes",AJ352="high"),"import_but_human_review_required",IF(AG352="yes","import_as_active","import_as_backlog")))</x:f>
        <x:v>import_as_backlog</x:v>
      </x:c>
      <x:c r="AO352" s="12" t="str">
        <x:f>IF(AND(AG352="yes",OR(P352="",Q352="",R352="",S352="")),"missing_required_mvp_fields",IF(AND(AC352="canonical",Y352=""),"missing_source_ref","ok"))</x:f>
        <x:v>ok</x:v>
      </x:c>
      <x:c r="AP352" s="12" t="str">
        <x:f>IF(AO352="ok","ready_for_codex_import","needs_review")</x:f>
        <x:v>ready_for_codex_import</x:v>
      </x:c>
      <x:c r="AQ352" s="12"/>
      <x:c r="AR352" s="12" t="str">
        <x:v>Added v2 operational fields. Review before classification activation.</x:v>
      </x:c>
    </x:row>
    <x:row r="353">
      <x:c r="A353" s="13" t="str">
        <x:v>certainty_effect_small_sample_variant</x:v>
      </x:c>
      <x:c r="B353" s="13" t="str">
        <x:v>certainty_effect</x:v>
      </x:c>
      <x:c r="C353" s="13" t="str">
        <x:v>Certainty effect</x:v>
      </x:c>
      <x:c r="D353" s="13" t="str">
        <x:v>اثر قطعیت</x:v>
      </x:c>
      <x:c r="E353" s="13" t="str">
        <x:v>Small-sample variant</x:v>
      </x:c>
      <x:c r="F353" s="13" t="str">
        <x:v>probabilistic_failures</x:v>
      </x:c>
      <x:c r="G353" s="13" t="str">
        <x:v>operational_variant</x:v>
      </x:c>
      <x:c r="H353" s="13" t="str">
        <x:v>contextual</x:v>
      </x:c>
      <x:c r="I353" s="13" t="str">
        <x:v>claim+context</x:v>
      </x:c>
      <x:c r="J353" s="13" t="str">
        <x:v>derived_operational_subtype</x:v>
      </x:c>
      <x:c r="K353" s="13" t="str">
        <x:v>derived_from_established_parent_review_required</x:v>
      </x:c>
      <x:c r="L353" s="13" t="str">
        <x:v>P3</x:v>
      </x:c>
      <x:c r="M353" s="13" t="str">
        <x:v>no</x:v>
      </x:c>
      <x:c r="N353" s="13" t="str">
        <x:v>Operational subtype under Certainty effect: small or noisy samples are overinterpreted. Parent definition: Overvaluing certain outcomes relative to merely probable outcomes.</x:v>
      </x:c>
      <x:c r="O353" s="13" t="str">
        <x:v>Look for: explicit claim-level evidence; parent-family cues for Certainty effect; variant cue: small or noisy samples are overinterpreted; avoid author-level inference.</x:v>
      </x:c>
      <x:c r="P353" s="13" t="str">
        <x:v>Exact evidence span in text plus claim-level reasoning link; for contextual/discourse entries, require surrounding context.</x:v>
      </x:c>
      <x:c r="Q353" s="13" t="str">
        <x:v>Do not label merely because topic is controversial, emotional, or wrong. Do not judge intent or personality. Require textual evidence and consider healthy-reasoning cues.</x:v>
      </x:c>
      <x:c r="R353" s="13" t="str">
        <x:v>Stub: A claim relies on small or noisy samples are overinterpreted to support a conclusion without adequate qualification.</x:v>
      </x:c>
      <x:c r="S353" s="13" t="str">
        <x:v>Stub: A claim discusses certainty effect with caveats, balanced evidence, or no argumentative use of the pattern.</x:v>
      </x:c>
      <x:c r="T353" s="13" t="str">
        <x:v>Mild or ambiguous cue; do not classify without clear evidence span.</x:v>
      </x:c>
      <x:c r="U353" s="13" t="str">
        <x:v>Clear claim-level pattern with some argumentative impact.</x:v>
      </x:c>
      <x:c r="V353" s="13" t="str">
        <x:v>Strong pattern central to the conclusion and likely to materially distort reasoning.</x:v>
      </x:c>
      <x:c r="W353" s="13" t="str"/>
      <x:c r="X353" s="13" t="str">
        <x:v>kahneman_tversky_prospect_1979</x:v>
      </x:c>
      <x:c r="Y353" s="13" t="str">
        <x:v>https://doi.org/10.2307/1914185</x:v>
      </x:c>
      <x:c r="Z353" s="13" t="str">
        <x:v>Review before enabling. This workbook is a living taxonomy scaffold, not a validated scientific benchmark.</x:v>
      </x:c>
      <x:c r="AA353" s="13" t="str">
        <x:v>0.1.0-draft</x:v>
      </x:c>
      <x:c r="AB353" s="12" t="str">
        <x:f>IF(ISNUMBER(SEARCH("healthy",F353)),"healthy_reasoning_patterns",IF(ISNUMBER(SEARCH("statistical",F353)),"statistical_reasoning",IF(ISNUMBER(SEARCH("causal",F353)),"causal_reasoning",IF(ISNUMBER(SEARCH("social",F353)),"social_influence",IF(ISNUMBER(SEARCH("rhetoric",F353)),"rhetoric_discourse",IF(ISNUMBER(SEARCH("behavior",F353)),"behavioural_economics",IF(ISNUMBER(SEARCH("cognitive",F353)),"cognitive_biases",IF(J353="protective_pattern","healthy_reasoning_patterns",IF(L353="P0","core_mvp","extended_fallacies")))))))))</x:f>
        <x:v>extended_fallacies</x:v>
      </x:c>
      <x:c r="AC353" s="12" t="str">
        <x:f>IF(ISNUMBER(SEARCH("operational",J353)),"operational",IF(ISNUMBER(SEARCH("deprecated",J353)),"deprecated",IF(L353="P0","canonical","recognized_subtype")))</x:f>
        <x:v>operational</x:v>
      </x:c>
      <x:c r="AD353" s="12" t="str">
        <x:f>IF(AC353="canonical","high",IF(AC353="recognized_subtype","medium",IF(AC353="operational","operational_only","debated")))</x:f>
        <x:v>operational_only</x:v>
      </x:c>
      <x:c r="AE353" s="12" t="str">
        <x:f>IF(AC353="deprecated","deprecated",IF(M353="yes","active",IF(M353="review","review_required","backlog")))</x:f>
        <x:v>backlog</x:v>
      </x:c>
      <x:c r="AF353" s="12" t="str">
        <x:f>IF(OR(AE353="active",AE353="review_required"),"yes","no")</x:f>
        <x:v>no</x:v>
      </x:c>
      <x:c r="AG353" s="12" t="str">
        <x:f>IF(AND(AE353="active",M353="yes",NOT(ISNUMBER(SEARCH("healthy",AB353)))),"yes","no")</x:f>
        <x:v>no</x:v>
      </x:c>
      <x:c r="AH353" s="12" t="str">
        <x:f>IF(OR(H353="contextual",H353="dialogue",H353="discourse",I353="claim+context",I353="discourse_segment"),"yes","no")</x:f>
        <x:v>yes</x:v>
      </x:c>
      <x:c r="AI353" s="12" t="str">
        <x:f>IF(OR(AH353="yes",AD353="debated",AC353="operational"),"yes","no")</x:f>
        <x:v>yes</x:v>
      </x:c>
      <x:c r="AJ353" s="12" t="str">
        <x:f>IF(OR(AH353="yes",AC353="operational",AD353="debated"),"high",IF(AND(AG353="yes",L353="P0"),"medium","low"))</x:f>
        <x:v>high</x:v>
      </x:c>
      <x:c r="AK353" s="12" t="str">
        <x:f>IF(ISNUMBER(SEARCH("healthy",AB353)),"yes","no")</x:f>
        <x:v>no</x:v>
      </x:c>
      <x:c r="AL353" s="12" t="str">
        <x:f>IF(AG353="yes","yes","candidate_only")</x:f>
        <x:v>candidate_only</x:v>
      </x:c>
      <x:c r="AM353" s="12" t="str">
        <x:f>IF(OR(AC353="canonical",AG353="yes"),"yes","recommended")</x:f>
        <x:v>recommended</x:v>
      </x:c>
      <x:c r="AN353" s="12" t="str">
        <x:f>IF(AC353="deprecated","exclude",IF(AND(AG353="yes",AJ353="high"),"import_but_human_review_required",IF(AG353="yes","import_as_active","import_as_backlog")))</x:f>
        <x:v>import_as_backlog</x:v>
      </x:c>
      <x:c r="AO353" s="12" t="str">
        <x:f>IF(AND(AG353="yes",OR(P353="",Q353="",R353="",S353="")),"missing_required_mvp_fields",IF(AND(AC353="canonical",Y353=""),"missing_source_ref","ok"))</x:f>
        <x:v>ok</x:v>
      </x:c>
      <x:c r="AP353" s="12" t="str">
        <x:f>IF(AO353="ok","ready_for_codex_import","needs_review")</x:f>
        <x:v>ready_for_codex_import</x:v>
      </x:c>
      <x:c r="AQ353" s="12"/>
      <x:c r="AR353" s="12" t="str">
        <x:v>Added v2 operational fields. Review before classification activation.</x:v>
      </x:c>
    </x:row>
    <x:row r="354">
      <x:c r="A354" s="13" t="str">
        <x:v>pseudocertainty_effect_small_sample_variant</x:v>
      </x:c>
      <x:c r="B354" s="13" t="str">
        <x:v>pseudocertainty_effect</x:v>
      </x:c>
      <x:c r="C354" s="13" t="str">
        <x:v>Pseudocertainty effect</x:v>
      </x:c>
      <x:c r="D354" s="13" t="str">
        <x:v>اثر شبه‌قطعیت</x:v>
      </x:c>
      <x:c r="E354" s="13" t="str">
        <x:v>Small-sample variant</x:v>
      </x:c>
      <x:c r="F354" s="13" t="str">
        <x:v>probabilistic_failures</x:v>
      </x:c>
      <x:c r="G354" s="13" t="str">
        <x:v>operational_variant</x:v>
      </x:c>
      <x:c r="H354" s="13" t="str">
        <x:v>contextual</x:v>
      </x:c>
      <x:c r="I354" s="13" t="str">
        <x:v>claim+context</x:v>
      </x:c>
      <x:c r="J354" s="13" t="str">
        <x:v>derived_operational_subtype</x:v>
      </x:c>
      <x:c r="K354" s="13" t="str">
        <x:v>derived_from_established_parent_review_required</x:v>
      </x:c>
      <x:c r="L354" s="13" t="str">
        <x:v>P3</x:v>
      </x:c>
      <x:c r="M354" s="13" t="str">
        <x:v>no</x:v>
      </x:c>
      <x:c r="N354" s="13" t="str">
        <x:v>Operational subtype under Pseudocertainty effect: small or noisy samples are overinterpreted. Parent definition: Treating an uncertain multi-stage outcome as certain at a later stage.</x:v>
      </x:c>
      <x:c r="O354" s="13" t="str">
        <x:v>Look for: explicit claim-level evidence; parent-family cues for Pseudocertainty effect; variant cue: small or noisy samples are overinterpreted; avoid author-level inference.</x:v>
      </x:c>
      <x:c r="P354" s="13" t="str">
        <x:v>Exact evidence span in text plus claim-level reasoning link; for contextual/discourse entries, require surrounding context.</x:v>
      </x:c>
      <x:c r="Q354" s="13" t="str">
        <x:v>Do not label merely because topic is controversial, emotional, or wrong. Do not judge intent or personality. Require textual evidence and consider healthy-reasoning cues.</x:v>
      </x:c>
      <x:c r="R354" s="13" t="str">
        <x:v>Stub: A claim relies on small or noisy samples are overinterpreted to support a conclusion without adequate qualification.</x:v>
      </x:c>
      <x:c r="S354" s="13" t="str">
        <x:v>Stub: A claim discusses pseudocertainty effect with caveats, balanced evidence, or no argumentative use of the pattern.</x:v>
      </x:c>
      <x:c r="T354" s="13" t="str">
        <x:v>Mild or ambiguous cue; do not classify without clear evidence span.</x:v>
      </x:c>
      <x:c r="U354" s="13" t="str">
        <x:v>Clear claim-level pattern with some argumentative impact.</x:v>
      </x:c>
      <x:c r="V354" s="13" t="str">
        <x:v>Strong pattern central to the conclusion and likely to materially distort reasoning.</x:v>
      </x:c>
      <x:c r="W354" s="13" t="str"/>
      <x:c r="X354" s="13" t="str">
        <x:v>tversky_kahneman_framing_1981</x:v>
      </x:c>
      <x:c r="Y354" s="13" t="str">
        <x:v>https://doi.org/10.1126/science.7455683</x:v>
      </x:c>
      <x:c r="Z354" s="13" t="str">
        <x:v>Review before enabling. This workbook is a living taxonomy scaffold, not a validated scientific benchmark.</x:v>
      </x:c>
      <x:c r="AA354" s="13" t="str">
        <x:v>0.1.0-draft</x:v>
      </x:c>
      <x:c r="AB354" s="12" t="str">
        <x:f>IF(ISNUMBER(SEARCH("healthy",F354)),"healthy_reasoning_patterns",IF(ISNUMBER(SEARCH("statistical",F354)),"statistical_reasoning",IF(ISNUMBER(SEARCH("causal",F354)),"causal_reasoning",IF(ISNUMBER(SEARCH("social",F354)),"social_influence",IF(ISNUMBER(SEARCH("rhetoric",F354)),"rhetoric_discourse",IF(ISNUMBER(SEARCH("behavior",F354)),"behavioural_economics",IF(ISNUMBER(SEARCH("cognitive",F354)),"cognitive_biases",IF(J354="protective_pattern","healthy_reasoning_patterns",IF(L354="P0","core_mvp","extended_fallacies")))))))))</x:f>
        <x:v>extended_fallacies</x:v>
      </x:c>
      <x:c r="AC354" s="12" t="str">
        <x:f>IF(ISNUMBER(SEARCH("operational",J354)),"operational",IF(ISNUMBER(SEARCH("deprecated",J354)),"deprecated",IF(L354="P0","canonical","recognized_subtype")))</x:f>
        <x:v>operational</x:v>
      </x:c>
      <x:c r="AD354" s="12" t="str">
        <x:f>IF(AC354="canonical","high",IF(AC354="recognized_subtype","medium",IF(AC354="operational","operational_only","debated")))</x:f>
        <x:v>operational_only</x:v>
      </x:c>
      <x:c r="AE354" s="12" t="str">
        <x:f>IF(AC354="deprecated","deprecated",IF(M354="yes","active",IF(M354="review","review_required","backlog")))</x:f>
        <x:v>backlog</x:v>
      </x:c>
      <x:c r="AF354" s="12" t="str">
        <x:f>IF(OR(AE354="active",AE354="review_required"),"yes","no")</x:f>
        <x:v>no</x:v>
      </x:c>
      <x:c r="AG354" s="12" t="str">
        <x:f>IF(AND(AE354="active",M354="yes",NOT(ISNUMBER(SEARCH("healthy",AB354)))),"yes","no")</x:f>
        <x:v>no</x:v>
      </x:c>
      <x:c r="AH354" s="12" t="str">
        <x:f>IF(OR(H354="contextual",H354="dialogue",H354="discourse",I354="claim+context",I354="discourse_segment"),"yes","no")</x:f>
        <x:v>yes</x:v>
      </x:c>
      <x:c r="AI354" s="12" t="str">
        <x:f>IF(OR(AH354="yes",AD354="debated",AC354="operational"),"yes","no")</x:f>
        <x:v>yes</x:v>
      </x:c>
      <x:c r="AJ354" s="12" t="str">
        <x:f>IF(OR(AH354="yes",AC354="operational",AD354="debated"),"high",IF(AND(AG354="yes",L354="P0"),"medium","low"))</x:f>
        <x:v>high</x:v>
      </x:c>
      <x:c r="AK354" s="12" t="str">
        <x:f>IF(ISNUMBER(SEARCH("healthy",AB354)),"yes","no")</x:f>
        <x:v>no</x:v>
      </x:c>
      <x:c r="AL354" s="12" t="str">
        <x:f>IF(AG354="yes","yes","candidate_only")</x:f>
        <x:v>candidate_only</x:v>
      </x:c>
      <x:c r="AM354" s="12" t="str">
        <x:f>IF(OR(AC354="canonical",AG354="yes"),"yes","recommended")</x:f>
        <x:v>recommended</x:v>
      </x:c>
      <x:c r="AN354" s="12" t="str">
        <x:f>IF(AC354="deprecated","exclude",IF(AND(AG354="yes",AJ354="high"),"import_but_human_review_required",IF(AG354="yes","import_as_active","import_as_backlog")))</x:f>
        <x:v>import_as_backlog</x:v>
      </x:c>
      <x:c r="AO354" s="12" t="str">
        <x:f>IF(AND(AG354="yes",OR(P354="",Q354="",R354="",S354="")),"missing_required_mvp_fields",IF(AND(AC354="canonical",Y354=""),"missing_source_ref","ok"))</x:f>
        <x:v>ok</x:v>
      </x:c>
      <x:c r="AP354" s="12" t="str">
        <x:f>IF(AO354="ok","ready_for_codex_import","needs_review")</x:f>
        <x:v>ready_for_codex_import</x:v>
      </x:c>
      <x:c r="AQ354" s="12"/>
      <x:c r="AR354" s="12" t="str">
        <x:v>Added v2 operational fields. Review before classification activation.</x:v>
      </x:c>
    </x:row>
    <x:row r="355">
      <x:c r="A355" s="13" t="str">
        <x:v>probability_neglect_small_sample_variant</x:v>
      </x:c>
      <x:c r="B355" s="13" t="str">
        <x:v>probability_neglect</x:v>
      </x:c>
      <x:c r="C355" s="13" t="str">
        <x:v>Probability neglect</x:v>
      </x:c>
      <x:c r="D355" s="13" t="str">
        <x:v>نادیده‌گرفتن احتمال</x:v>
      </x:c>
      <x:c r="E355" s="13" t="str">
        <x:v>Small-sample variant</x:v>
      </x:c>
      <x:c r="F355" s="13" t="str">
        <x:v>probabilistic_failures</x:v>
      </x:c>
      <x:c r="G355" s="13" t="str">
        <x:v>operational_variant</x:v>
      </x:c>
      <x:c r="H355" s="13" t="str">
        <x:v>contextual</x:v>
      </x:c>
      <x:c r="I355" s="13" t="str">
        <x:v>claim+context</x:v>
      </x:c>
      <x:c r="J355" s="13" t="str">
        <x:v>derived_operational_subtype</x:v>
      </x:c>
      <x:c r="K355" s="13" t="str">
        <x:v>derived_from_established_parent_review_required</x:v>
      </x:c>
      <x:c r="L355" s="13" t="str">
        <x:v>P3</x:v>
      </x:c>
      <x:c r="M355" s="13" t="str">
        <x:v>no</x:v>
      </x:c>
      <x:c r="N355" s="13" t="str">
        <x:v>Operational subtype under Probability neglect: small or noisy samples are overinterpreted. Parent definition: Reacting to possible outcomes without proportionate attention to likelihood.</x:v>
      </x:c>
      <x:c r="O355" s="13" t="str">
        <x:v>Look for: explicit claim-level evidence; parent-family cues for Probability neglect; variant cue: small or noisy samples are overinterpreted; avoid author-level inference.</x:v>
      </x:c>
      <x:c r="P355" s="13" t="str">
        <x:v>Exact evidence span in text plus claim-level reasoning link; for contextual/discourse entries, require surrounding context.</x:v>
      </x:c>
      <x:c r="Q355" s="13" t="str">
        <x:v>Do not label merely because topic is controversial, emotional, or wrong. Do not judge intent or personality. Require textual evidence and consider healthy-reasoning cues.</x:v>
      </x:c>
      <x:c r="R355" s="13" t="str">
        <x:v>Stub: A claim relies on small or noisy samples are overinterpreted to support a conclusion without adequate qualification.</x:v>
      </x:c>
      <x:c r="S355" s="13" t="str">
        <x:v>Stub: A claim discusses probability neglect with caveats, balanced evidence, or no argumentative use of the pattern.</x:v>
      </x:c>
      <x:c r="T355" s="13" t="str">
        <x:v>Mild or ambiguous cue; do not classify without clear evidence span.</x:v>
      </x:c>
      <x:c r="U355" s="13" t="str">
        <x:v>Clear claim-level pattern with some argumentative impact.</x:v>
      </x:c>
      <x:c r="V355" s="13" t="str">
        <x:v>Strong pattern central to the conclusion and likely to materially distort reasoning.</x:v>
      </x:c>
      <x:c r="W355" s="13" t="str"/>
      <x:c r="X355" s="13" t="str">
        <x:v>kahneman_tversky_prospect_1979</x:v>
      </x:c>
      <x:c r="Y355" s="13" t="str">
        <x:v>https://doi.org/10.2307/1914185</x:v>
      </x:c>
      <x:c r="Z355" s="13" t="str">
        <x:v>Review before enabling. This workbook is a living taxonomy scaffold, not a validated scientific benchmark.</x:v>
      </x:c>
      <x:c r="AA355" s="13" t="str">
        <x:v>0.1.0-draft</x:v>
      </x:c>
      <x:c r="AB355" s="12" t="str">
        <x:f>IF(ISNUMBER(SEARCH("healthy",F355)),"healthy_reasoning_patterns",IF(ISNUMBER(SEARCH("statistical",F355)),"statistical_reasoning",IF(ISNUMBER(SEARCH("causal",F355)),"causal_reasoning",IF(ISNUMBER(SEARCH("social",F355)),"social_influence",IF(ISNUMBER(SEARCH("rhetoric",F355)),"rhetoric_discourse",IF(ISNUMBER(SEARCH("behavior",F355)),"behavioural_economics",IF(ISNUMBER(SEARCH("cognitive",F355)),"cognitive_biases",IF(J355="protective_pattern","healthy_reasoning_patterns",IF(L355="P0","core_mvp","extended_fallacies")))))))))</x:f>
        <x:v>extended_fallacies</x:v>
      </x:c>
      <x:c r="AC355" s="12" t="str">
        <x:f>IF(ISNUMBER(SEARCH("operational",J355)),"operational",IF(ISNUMBER(SEARCH("deprecated",J355)),"deprecated",IF(L355="P0","canonical","recognized_subtype")))</x:f>
        <x:v>operational</x:v>
      </x:c>
      <x:c r="AD355" s="12" t="str">
        <x:f>IF(AC355="canonical","high",IF(AC355="recognized_subtype","medium",IF(AC355="operational","operational_only","debated")))</x:f>
        <x:v>operational_only</x:v>
      </x:c>
      <x:c r="AE355" s="12" t="str">
        <x:f>IF(AC355="deprecated","deprecated",IF(M355="yes","active",IF(M355="review","review_required","backlog")))</x:f>
        <x:v>backlog</x:v>
      </x:c>
      <x:c r="AF355" s="12" t="str">
        <x:f>IF(OR(AE355="active",AE355="review_required"),"yes","no")</x:f>
        <x:v>no</x:v>
      </x:c>
      <x:c r="AG355" s="12" t="str">
        <x:f>IF(AND(AE355="active",M355="yes",NOT(ISNUMBER(SEARCH("healthy",AB355)))),"yes","no")</x:f>
        <x:v>no</x:v>
      </x:c>
      <x:c r="AH355" s="12" t="str">
        <x:f>IF(OR(H355="contextual",H355="dialogue",H355="discourse",I355="claim+context",I355="discourse_segment"),"yes","no")</x:f>
        <x:v>yes</x:v>
      </x:c>
      <x:c r="AI355" s="12" t="str">
        <x:f>IF(OR(AH355="yes",AD355="debated",AC355="operational"),"yes","no")</x:f>
        <x:v>yes</x:v>
      </x:c>
      <x:c r="AJ355" s="12" t="str">
        <x:f>IF(OR(AH355="yes",AC355="operational",AD355="debated"),"high",IF(AND(AG355="yes",L355="P0"),"medium","low"))</x:f>
        <x:v>high</x:v>
      </x:c>
      <x:c r="AK355" s="12" t="str">
        <x:f>IF(ISNUMBER(SEARCH("healthy",AB355)),"yes","no")</x:f>
        <x:v>no</x:v>
      </x:c>
      <x:c r="AL355" s="12" t="str">
        <x:f>IF(AG355="yes","yes","candidate_only")</x:f>
        <x:v>candidate_only</x:v>
      </x:c>
      <x:c r="AM355" s="12" t="str">
        <x:f>IF(OR(AC355="canonical",AG355="yes"),"yes","recommended")</x:f>
        <x:v>recommended</x:v>
      </x:c>
      <x:c r="AN355" s="12" t="str">
        <x:f>IF(AC355="deprecated","exclude",IF(AND(AG355="yes",AJ355="high"),"import_but_human_review_required",IF(AG355="yes","import_as_active","import_as_backlog")))</x:f>
        <x:v>import_as_backlog</x:v>
      </x:c>
      <x:c r="AO355" s="12" t="str">
        <x:f>IF(AND(AG355="yes",OR(P355="",Q355="",R355="",S355="")),"missing_required_mvp_fields",IF(AND(AC355="canonical",Y355=""),"missing_source_ref","ok"))</x:f>
        <x:v>ok</x:v>
      </x:c>
      <x:c r="AP355" s="12" t="str">
        <x:f>IF(AO355="ok","ready_for_codex_import","needs_review")</x:f>
        <x:v>ready_for_codex_import</x:v>
      </x:c>
      <x:c r="AQ355" s="12"/>
      <x:c r="AR355" s="12" t="str">
        <x:v>Added v2 operational fields. Review before classification activation.</x:v>
      </x:c>
    </x:row>
    <x:row r="356">
      <x:c r="A356" s="13" t="str">
        <x:v>odds_ratio_misinterpretation_small_sample_variant</x:v>
      </x:c>
      <x:c r="B356" s="13" t="str">
        <x:v>odds_ratio_misinterpretation</x:v>
      </x:c>
      <x:c r="C356" s="13" t="str">
        <x:v>Odds-ratio misinterpretation</x:v>
      </x:c>
      <x:c r="D356" s="13" t="str">
        <x:v>تفسیر نادرست نسبت شانس</x:v>
      </x:c>
      <x:c r="E356" s="13" t="str">
        <x:v>Small-sample variant</x:v>
      </x:c>
      <x:c r="F356" s="13" t="str">
        <x:v>probabilistic_failures</x:v>
      </x:c>
      <x:c r="G356" s="13" t="str">
        <x:v>operational_variant</x:v>
      </x:c>
      <x:c r="H356" s="13" t="str">
        <x:v>contextual</x:v>
      </x:c>
      <x:c r="I356" s="13" t="str">
        <x:v>claim+context</x:v>
      </x:c>
      <x:c r="J356" s="13" t="str">
        <x:v>derived_operational_subtype</x:v>
      </x:c>
      <x:c r="K356" s="13" t="str">
        <x:v>derived_from_established_parent_review_required</x:v>
      </x:c>
      <x:c r="L356" s="13" t="str">
        <x:v>P3</x:v>
      </x:c>
      <x:c r="M356" s="13" t="str">
        <x:v>no</x:v>
      </x:c>
      <x:c r="N356" s="13" t="str">
        <x:v>Operational subtype under Odds-ratio misinterpretation: small or noisy samples are overinterpreted. Parent definition: Treating odds ratios as direct probability differences.</x:v>
      </x:c>
      <x:c r="O356" s="13" t="str">
        <x:v>Look for: explicit claim-level evidence; parent-family cues for Odds-ratio misinterpretation; variant cue: small or noisy samples are overinterpreted; avoid author-level inference.</x:v>
      </x:c>
      <x:c r="P356" s="13" t="str">
        <x:v>Exact evidence span in text plus claim-level reasoning link; for contextual/discourse entries, require surrounding context.</x:v>
      </x:c>
      <x:c r="Q356" s="13" t="str">
        <x:v>Do not label merely because topic is controversial, emotional, or wrong. Do not judge intent or personality. Require textual evidence and consider healthy-reasoning cues.</x:v>
      </x:c>
      <x:c r="R356" s="13" t="str">
        <x:v>Stub: A claim relies on small or noisy samples are overinterpreted to support a conclusion without adequate qualification.</x:v>
      </x:c>
      <x:c r="S356" s="13" t="str">
        <x:v>Stub: A claim discusses odds-ratio misinterpretation with caveats, balanced evidence, or no argumentative use of the pattern.</x:v>
      </x:c>
      <x:c r="T356" s="13" t="str">
        <x:v>Mild or ambiguous cue; do not classify without clear evidence span.</x:v>
      </x:c>
      <x:c r="U356" s="13" t="str">
        <x:v>Clear claim-level pattern with some argumentative impact.</x:v>
      </x:c>
      <x:c r="V356" s="13" t="str">
        <x:v>Strong pattern central to the conclusion and likely to materially distort reasoning.</x:v>
      </x:c>
      <x:c r="W356" s="13" t="str"/>
      <x:c r="X356" s="13" t="str">
        <x:v>stanovich_dual_process</x:v>
      </x:c>
      <x:c r="Y356" s="13" t="str">
        <x:v>https://global.oup.com/academic/product/rationality-and-the-reflective-mind-9780195341140</x:v>
      </x:c>
      <x:c r="Z356" s="13" t="str">
        <x:v>Review before enabling. This workbook is a living taxonomy scaffold, not a validated scientific benchmark.</x:v>
      </x:c>
      <x:c r="AA356" s="13" t="str">
        <x:v>0.1.0-draft</x:v>
      </x:c>
      <x:c r="AB356" s="12" t="str">
        <x:f>IF(ISNUMBER(SEARCH("healthy",F356)),"healthy_reasoning_patterns",IF(ISNUMBER(SEARCH("statistical",F356)),"statistical_reasoning",IF(ISNUMBER(SEARCH("causal",F356)),"causal_reasoning",IF(ISNUMBER(SEARCH("social",F356)),"social_influence",IF(ISNUMBER(SEARCH("rhetoric",F356)),"rhetoric_discourse",IF(ISNUMBER(SEARCH("behavior",F356)),"behavioural_economics",IF(ISNUMBER(SEARCH("cognitive",F356)),"cognitive_biases",IF(J356="protective_pattern","healthy_reasoning_patterns",IF(L356="P0","core_mvp","extended_fallacies")))))))))</x:f>
        <x:v>extended_fallacies</x:v>
      </x:c>
      <x:c r="AC356" s="12" t="str">
        <x:f>IF(ISNUMBER(SEARCH("operational",J356)),"operational",IF(ISNUMBER(SEARCH("deprecated",J356)),"deprecated",IF(L356="P0","canonical","recognized_subtype")))</x:f>
        <x:v>operational</x:v>
      </x:c>
      <x:c r="AD356" s="12" t="str">
        <x:f>IF(AC356="canonical","high",IF(AC356="recognized_subtype","medium",IF(AC356="operational","operational_only","debated")))</x:f>
        <x:v>operational_only</x:v>
      </x:c>
      <x:c r="AE356" s="12" t="str">
        <x:f>IF(AC356="deprecated","deprecated",IF(M356="yes","active",IF(M356="review","review_required","backlog")))</x:f>
        <x:v>backlog</x:v>
      </x:c>
      <x:c r="AF356" s="12" t="str">
        <x:f>IF(OR(AE356="active",AE356="review_required"),"yes","no")</x:f>
        <x:v>no</x:v>
      </x:c>
      <x:c r="AG356" s="12" t="str">
        <x:f>IF(AND(AE356="active",M356="yes",NOT(ISNUMBER(SEARCH("healthy",AB356)))),"yes","no")</x:f>
        <x:v>no</x:v>
      </x:c>
      <x:c r="AH356" s="12" t="str">
        <x:f>IF(OR(H356="contextual",H356="dialogue",H356="discourse",I356="claim+context",I356="discourse_segment"),"yes","no")</x:f>
        <x:v>yes</x:v>
      </x:c>
      <x:c r="AI356" s="12" t="str">
        <x:f>IF(OR(AH356="yes",AD356="debated",AC356="operational"),"yes","no")</x:f>
        <x:v>yes</x:v>
      </x:c>
      <x:c r="AJ356" s="12" t="str">
        <x:f>IF(OR(AH356="yes",AC356="operational",AD356="debated"),"high",IF(AND(AG356="yes",L356="P0"),"medium","low"))</x:f>
        <x:v>high</x:v>
      </x:c>
      <x:c r="AK356" s="12" t="str">
        <x:f>IF(ISNUMBER(SEARCH("healthy",AB356)),"yes","no")</x:f>
        <x:v>no</x:v>
      </x:c>
      <x:c r="AL356" s="12" t="str">
        <x:f>IF(AG356="yes","yes","candidate_only")</x:f>
        <x:v>candidate_only</x:v>
      </x:c>
      <x:c r="AM356" s="12" t="str">
        <x:f>IF(OR(AC356="canonical",AG356="yes"),"yes","recommended")</x:f>
        <x:v>recommended</x:v>
      </x:c>
      <x:c r="AN356" s="12" t="str">
        <x:f>IF(AC356="deprecated","exclude",IF(AND(AG356="yes",AJ356="high"),"import_but_human_review_required",IF(AG356="yes","import_as_active","import_as_backlog")))</x:f>
        <x:v>import_as_backlog</x:v>
      </x:c>
      <x:c r="AO356" s="12" t="str">
        <x:f>IF(AND(AG356="yes",OR(P356="",Q356="",R356="",S356="")),"missing_required_mvp_fields",IF(AND(AC356="canonical",Y356=""),"missing_source_ref","ok"))</x:f>
        <x:v>ok</x:v>
      </x:c>
      <x:c r="AP356" s="12" t="str">
        <x:f>IF(AO356="ok","ready_for_codex_import","needs_review")</x:f>
        <x:v>ready_for_codex_import</x:v>
      </x:c>
      <x:c r="AQ356" s="12"/>
      <x:c r="AR356" s="12" t="str">
        <x:v>Added v2 operational fields. Review before classification activation.</x:v>
      </x:c>
    </x:row>
    <x:row r="357">
      <x:c r="A357" s="13" t="str">
        <x:v>confidence_interval_neglect_small_sample_variant</x:v>
      </x:c>
      <x:c r="B357" s="13" t="str">
        <x:v>confidence_interval_neglect</x:v>
      </x:c>
      <x:c r="C357" s="13" t="str">
        <x:v>Confidence interval neglect</x:v>
      </x:c>
      <x:c r="D357" s="13" t="str">
        <x:v>نادیده گرفتن بازه اطمینان</x:v>
      </x:c>
      <x:c r="E357" s="13" t="str">
        <x:v>Small-sample variant</x:v>
      </x:c>
      <x:c r="F357" s="13" t="str">
        <x:v>probabilistic_failures</x:v>
      </x:c>
      <x:c r="G357" s="13" t="str">
        <x:v>operational_variant</x:v>
      </x:c>
      <x:c r="H357" s="13" t="str">
        <x:v>lexical</x:v>
      </x:c>
      <x:c r="I357" s="13" t="str">
        <x:v>claim</x:v>
      </x:c>
      <x:c r="J357" s="13" t="str">
        <x:v>derived_operational_subtype</x:v>
      </x:c>
      <x:c r="K357" s="13" t="str">
        <x:v>derived_from_established_parent_review_required</x:v>
      </x:c>
      <x:c r="L357" s="13" t="str">
        <x:v>P3</x:v>
      </x:c>
      <x:c r="M357" s="13" t="str">
        <x:v>no</x:v>
      </x:c>
      <x:c r="N357" s="13" t="str">
        <x:v>Operational subtype under Confidence interval neglect: small or noisy samples are overinterpreted. Parent definition: Using point estimates as if uncertainty intervals did not exist.</x:v>
      </x:c>
      <x:c r="O357" s="13" t="str">
        <x:v>Look for: explicit claim-level evidence; parent-family cues for Confidence interval neglect; variant cue: small or noisy samples are overinterpreted; avoid author-level inference.</x:v>
      </x:c>
      <x:c r="P357" s="13" t="str">
        <x:v>Exact evidence span in text plus claim-level reasoning link; for contextual/discourse entries, require surrounding context.</x:v>
      </x:c>
      <x:c r="Q357" s="13" t="str">
        <x:v>Do not label merely because topic is controversial, emotional, or wrong. Do not judge intent or personality. Require textual evidence and consider healthy-reasoning cues.</x:v>
      </x:c>
      <x:c r="R357" s="13" t="str">
        <x:v>Stub: A claim relies on small or noisy samples are overinterpreted to support a conclusion without adequate qualification.</x:v>
      </x:c>
      <x:c r="S357" s="13" t="str">
        <x:v>Stub: A claim discusses confidence interval neglect with caveats, balanced evidence, or no argumentative use of the pattern.</x:v>
      </x:c>
      <x:c r="T357" s="13" t="str">
        <x:v>Mild or ambiguous cue; do not classify without clear evidence span.</x:v>
      </x:c>
      <x:c r="U357" s="13" t="str">
        <x:v>Clear claim-level pattern with some argumentative impact.</x:v>
      </x:c>
      <x:c r="V357" s="13" t="str">
        <x:v>Strong pattern central to the conclusion and likely to materially distort reasoning.</x:v>
      </x:c>
      <x:c r="W357" s="13" t="str"/>
      <x:c r="X357" s="13" t="str">
        <x:v>stanovich_dual_process</x:v>
      </x:c>
      <x:c r="Y357" s="13" t="str">
        <x:v>https://global.oup.com/academic/product/rationality-and-the-reflective-mind-9780195341140</x:v>
      </x:c>
      <x:c r="Z357" s="13" t="str">
        <x:v>Review before enabling. This workbook is a living taxonomy scaffold, not a validated scientific benchmark.</x:v>
      </x:c>
      <x:c r="AA357" s="13" t="str">
        <x:v>0.1.0-draft</x:v>
      </x:c>
      <x:c r="AB357" s="12" t="str">
        <x:f>IF(ISNUMBER(SEARCH("healthy",F357)),"healthy_reasoning_patterns",IF(ISNUMBER(SEARCH("statistical",F357)),"statistical_reasoning",IF(ISNUMBER(SEARCH("causal",F357)),"causal_reasoning",IF(ISNUMBER(SEARCH("social",F357)),"social_influence",IF(ISNUMBER(SEARCH("rhetoric",F357)),"rhetoric_discourse",IF(ISNUMBER(SEARCH("behavior",F357)),"behavioural_economics",IF(ISNUMBER(SEARCH("cognitive",F357)),"cognitive_biases",IF(J357="protective_pattern","healthy_reasoning_patterns",IF(L357="P0","core_mvp","extended_fallacies")))))))))</x:f>
        <x:v>extended_fallacies</x:v>
      </x:c>
      <x:c r="AC357" s="12" t="str">
        <x:f>IF(ISNUMBER(SEARCH("operational",J357)),"operational",IF(ISNUMBER(SEARCH("deprecated",J357)),"deprecated",IF(L357="P0","canonical","recognized_subtype")))</x:f>
        <x:v>operational</x:v>
      </x:c>
      <x:c r="AD357" s="12" t="str">
        <x:f>IF(AC357="canonical","high",IF(AC357="recognized_subtype","medium",IF(AC357="operational","operational_only","debated")))</x:f>
        <x:v>operational_only</x:v>
      </x:c>
      <x:c r="AE357" s="12" t="str">
        <x:f>IF(AC357="deprecated","deprecated",IF(M357="yes","active",IF(M357="review","review_required","backlog")))</x:f>
        <x:v>backlog</x:v>
      </x:c>
      <x:c r="AF357" s="12" t="str">
        <x:f>IF(OR(AE357="active",AE357="review_required"),"yes","no")</x:f>
        <x:v>no</x:v>
      </x:c>
      <x:c r="AG357" s="12" t="str">
        <x:f>IF(AND(AE357="active",M357="yes",NOT(ISNUMBER(SEARCH("healthy",AB357)))),"yes","no")</x:f>
        <x:v>no</x:v>
      </x:c>
      <x:c r="AH357" s="12" t="str">
        <x:f>IF(OR(H357="contextual",H357="dialogue",H357="discourse",I357="claim+context",I357="discourse_segment"),"yes","no")</x:f>
        <x:v>no</x:v>
      </x:c>
      <x:c r="AI357" s="12" t="str">
        <x:f>IF(OR(AH357="yes",AD357="debated",AC357="operational"),"yes","no")</x:f>
        <x:v>yes</x:v>
      </x:c>
      <x:c r="AJ357" s="12" t="str">
        <x:f>IF(OR(AH357="yes",AC357="operational",AD357="debated"),"high",IF(AND(AG357="yes",L357="P0"),"medium","low"))</x:f>
        <x:v>high</x:v>
      </x:c>
      <x:c r="AK357" s="12" t="str">
        <x:f>IF(ISNUMBER(SEARCH("healthy",AB357)),"yes","no")</x:f>
        <x:v>no</x:v>
      </x:c>
      <x:c r="AL357" s="12" t="str">
        <x:f>IF(AG357="yes","yes","candidate_only")</x:f>
        <x:v>candidate_only</x:v>
      </x:c>
      <x:c r="AM357" s="12" t="str">
        <x:f>IF(OR(AC357="canonical",AG357="yes"),"yes","recommended")</x:f>
        <x:v>recommended</x:v>
      </x:c>
      <x:c r="AN357" s="12" t="str">
        <x:f>IF(AC357="deprecated","exclude",IF(AND(AG357="yes",AJ357="high"),"import_but_human_review_required",IF(AG357="yes","import_as_active","import_as_backlog")))</x:f>
        <x:v>import_as_backlog</x:v>
      </x:c>
      <x:c r="AO357" s="12" t="str">
        <x:f>IF(AND(AG357="yes",OR(P357="",Q357="",R357="",S357="")),"missing_required_mvp_fields",IF(AND(AC357="canonical",Y357=""),"missing_source_ref","ok"))</x:f>
        <x:v>ok</x:v>
      </x:c>
      <x:c r="AP357" s="12" t="str">
        <x:f>IF(AO357="ok","ready_for_codex_import","needs_review")</x:f>
        <x:v>ready_for_codex_import</x:v>
      </x:c>
      <x:c r="AQ357" s="12"/>
      <x:c r="AR357" s="12" t="str">
        <x:v>Added v2 operational fields. Review before classification activation.</x:v>
      </x:c>
    </x:row>
    <x:row r="358">
      <x:c r="A358" s="13" t="str">
        <x:v>forecast_base_rate_neglect_small_sample_variant</x:v>
      </x:c>
      <x:c r="B358" s="13" t="str">
        <x:v>forecast_base_rate_neglect</x:v>
      </x:c>
      <x:c r="C358" s="13" t="str">
        <x:v>Forecast base-rate neglect</x:v>
      </x:c>
      <x:c r="D358" s="13" t="str">
        <x:v>نرخ پایه در پیش‌بینی</x:v>
      </x:c>
      <x:c r="E358" s="13" t="str">
        <x:v>Small-sample variant</x:v>
      </x:c>
      <x:c r="F358" s="13" t="str">
        <x:v>probabilistic_failures</x:v>
      </x:c>
      <x:c r="G358" s="13" t="str">
        <x:v>operational_variant</x:v>
      </x:c>
      <x:c r="H358" s="13" t="str">
        <x:v>contextual</x:v>
      </x:c>
      <x:c r="I358" s="13" t="str">
        <x:v>claim+context</x:v>
      </x:c>
      <x:c r="J358" s="13" t="str">
        <x:v>derived_operational_subtype</x:v>
      </x:c>
      <x:c r="K358" s="13" t="str">
        <x:v>derived_from_established_parent_review_required</x:v>
      </x:c>
      <x:c r="L358" s="13" t="str">
        <x:v>P3</x:v>
      </x:c>
      <x:c r="M358" s="13" t="str">
        <x:v>no</x:v>
      </x:c>
      <x:c r="N358" s="13" t="str">
        <x:v>Operational subtype under Forecast base-rate neglect: small or noisy samples are overinterpreted. Parent definition: Making forecasts without considering historical frequencies.</x:v>
      </x:c>
      <x:c r="O358" s="13" t="str">
        <x:v>Look for: explicit claim-level evidence; parent-family cues for Forecast base-rate neglect; variant cue: small or noisy samples are overinterpreted; avoid author-level inference.</x:v>
      </x:c>
      <x:c r="P358" s="13" t="str">
        <x:v>Exact evidence span in text plus claim-level reasoning link; for contextual/discourse entries, require surrounding context.</x:v>
      </x:c>
      <x:c r="Q358" s="13" t="str">
        <x:v>Do not label merely because topic is controversial, emotional, or wrong. Do not judge intent or personality. Require textual evidence and consider healthy-reasoning cues.</x:v>
      </x:c>
      <x:c r="R358" s="13" t="str">
        <x:v>Stub: A claim relies on small or noisy samples are overinterpreted to support a conclusion without adequate qualification.</x:v>
      </x:c>
      <x:c r="S358" s="13" t="str">
        <x:v>Stub: A claim discusses forecast base-rate neglect with caveats, balanced evidence, or no argumentative use of the pattern.</x:v>
      </x:c>
      <x:c r="T358" s="13" t="str">
        <x:v>Mild or ambiguous cue; do not classify without clear evidence span.</x:v>
      </x:c>
      <x:c r="U358" s="13" t="str">
        <x:v>Clear claim-level pattern with some argumentative impact.</x:v>
      </x:c>
      <x:c r="V358" s="13" t="str">
        <x:v>Strong pattern central to the conclusion and likely to materially distort reasoning.</x:v>
      </x:c>
      <x:c r="W358" s="13" t="str"/>
      <x:c r="X358" s="13" t="str">
        <x:v>stanovich_dual_process</x:v>
      </x:c>
      <x:c r="Y358" s="13" t="str">
        <x:v>https://global.oup.com/academic/product/rationality-and-the-reflective-mind-9780195341140</x:v>
      </x:c>
      <x:c r="Z358" s="13" t="str">
        <x:v>Review before enabling. This workbook is a living taxonomy scaffold, not a validated scientific benchmark.</x:v>
      </x:c>
      <x:c r="AA358" s="13" t="str">
        <x:v>0.1.0-draft</x:v>
      </x:c>
      <x:c r="AB358" s="12" t="str">
        <x:f>IF(ISNUMBER(SEARCH("healthy",F358)),"healthy_reasoning_patterns",IF(ISNUMBER(SEARCH("statistical",F358)),"statistical_reasoning",IF(ISNUMBER(SEARCH("causal",F358)),"causal_reasoning",IF(ISNUMBER(SEARCH("social",F358)),"social_influence",IF(ISNUMBER(SEARCH("rhetoric",F358)),"rhetoric_discourse",IF(ISNUMBER(SEARCH("behavior",F358)),"behavioural_economics",IF(ISNUMBER(SEARCH("cognitive",F358)),"cognitive_biases",IF(J358="protective_pattern","healthy_reasoning_patterns",IF(L358="P0","core_mvp","extended_fallacies")))))))))</x:f>
        <x:v>extended_fallacies</x:v>
      </x:c>
      <x:c r="AC358" s="12" t="str">
        <x:f>IF(ISNUMBER(SEARCH("operational",J358)),"operational",IF(ISNUMBER(SEARCH("deprecated",J358)),"deprecated",IF(L358="P0","canonical","recognized_subtype")))</x:f>
        <x:v>operational</x:v>
      </x:c>
      <x:c r="AD358" s="12" t="str">
        <x:f>IF(AC358="canonical","high",IF(AC358="recognized_subtype","medium",IF(AC358="operational","operational_only","debated")))</x:f>
        <x:v>operational_only</x:v>
      </x:c>
      <x:c r="AE358" s="12" t="str">
        <x:f>IF(AC358="deprecated","deprecated",IF(M358="yes","active",IF(M358="review","review_required","backlog")))</x:f>
        <x:v>backlog</x:v>
      </x:c>
      <x:c r="AF358" s="12" t="str">
        <x:f>IF(OR(AE358="active",AE358="review_required"),"yes","no")</x:f>
        <x:v>no</x:v>
      </x:c>
      <x:c r="AG358" s="12" t="str">
        <x:f>IF(AND(AE358="active",M358="yes",NOT(ISNUMBER(SEARCH("healthy",AB358)))),"yes","no")</x:f>
        <x:v>no</x:v>
      </x:c>
      <x:c r="AH358" s="12" t="str">
        <x:f>IF(OR(H358="contextual",H358="dialogue",H358="discourse",I358="claim+context",I358="discourse_segment"),"yes","no")</x:f>
        <x:v>yes</x:v>
      </x:c>
      <x:c r="AI358" s="12" t="str">
        <x:f>IF(OR(AH358="yes",AD358="debated",AC358="operational"),"yes","no")</x:f>
        <x:v>yes</x:v>
      </x:c>
      <x:c r="AJ358" s="12" t="str">
        <x:f>IF(OR(AH358="yes",AC358="operational",AD358="debated"),"high",IF(AND(AG358="yes",L358="P0"),"medium","low"))</x:f>
        <x:v>high</x:v>
      </x:c>
      <x:c r="AK358" s="12" t="str">
        <x:f>IF(ISNUMBER(SEARCH("healthy",AB358)),"yes","no")</x:f>
        <x:v>no</x:v>
      </x:c>
      <x:c r="AL358" s="12" t="str">
        <x:f>IF(AG358="yes","yes","candidate_only")</x:f>
        <x:v>candidate_only</x:v>
      </x:c>
      <x:c r="AM358" s="12" t="str">
        <x:f>IF(OR(AC358="canonical",AG358="yes"),"yes","recommended")</x:f>
        <x:v>recommended</x:v>
      </x:c>
      <x:c r="AN358" s="12" t="str">
        <x:f>IF(AC358="deprecated","exclude",IF(AND(AG358="yes",AJ358="high"),"import_but_human_review_required",IF(AG358="yes","import_as_active","import_as_backlog")))</x:f>
        <x:v>import_as_backlog</x:v>
      </x:c>
      <x:c r="AO358" s="12" t="str">
        <x:f>IF(AND(AG358="yes",OR(P358="",Q358="",R358="",S358="")),"missing_required_mvp_fields",IF(AND(AC358="canonical",Y358=""),"missing_source_ref","ok"))</x:f>
        <x:v>ok</x:v>
      </x:c>
      <x:c r="AP358" s="12" t="str">
        <x:f>IF(AO358="ok","ready_for_codex_import","needs_review")</x:f>
        <x:v>ready_for_codex_import</x:v>
      </x:c>
      <x:c r="AQ358" s="12"/>
      <x:c r="AR358" s="12" t="str">
        <x:v>Added v2 operational fields. Review before classification activation.</x:v>
      </x:c>
    </x:row>
    <x:row r="359">
      <x:c r="A359" s="13" t="str">
        <x:v>calibration_error_small_sample_variant</x:v>
      </x:c>
      <x:c r="B359" s="13" t="str">
        <x:v>calibration_error</x:v>
      </x:c>
      <x:c r="C359" s="13" t="str">
        <x:v>Calibration error</x:v>
      </x:c>
      <x:c r="D359" s="13" t="str">
        <x:v>خطای کالیبراسیون</x:v>
      </x:c>
      <x:c r="E359" s="13" t="str">
        <x:v>Small-sample variant</x:v>
      </x:c>
      <x:c r="F359" s="13" t="str">
        <x:v>probabilistic_failures</x:v>
      </x:c>
      <x:c r="G359" s="13" t="str">
        <x:v>operational_variant</x:v>
      </x:c>
      <x:c r="H359" s="13" t="str">
        <x:v>contextual</x:v>
      </x:c>
      <x:c r="I359" s="13" t="str">
        <x:v>claim+context</x:v>
      </x:c>
      <x:c r="J359" s="13" t="str">
        <x:v>derived_operational_subtype</x:v>
      </x:c>
      <x:c r="K359" s="13" t="str">
        <x:v>derived_from_established_parent_review_required</x:v>
      </x:c>
      <x:c r="L359" s="13" t="str">
        <x:v>P3</x:v>
      </x:c>
      <x:c r="M359" s="13" t="str">
        <x:v>no</x:v>
      </x:c>
      <x:c r="N359" s="13" t="str">
        <x:v>Operational subtype under Calibration error: small or noisy samples are overinterpreted. Parent definition: Mismatch between expressed confidence and actual evidential support.</x:v>
      </x:c>
      <x:c r="O359" s="13" t="str">
        <x:v>Look for: explicit claim-level evidence; parent-family cues for Calibration error; variant cue: small or noisy samples are overinterpreted; avoid author-level inference.</x:v>
      </x:c>
      <x:c r="P359" s="13" t="str">
        <x:v>Exact evidence span in text plus claim-level reasoning link; for contextual/discourse entries, require surrounding context.</x:v>
      </x:c>
      <x:c r="Q359" s="13" t="str">
        <x:v>Do not label merely because topic is controversial, emotional, or wrong. Do not judge intent or personality. Require textual evidence and consider healthy-reasoning cues.</x:v>
      </x:c>
      <x:c r="R359" s="13" t="str">
        <x:v>Stub: A claim relies on small or noisy samples are overinterpreted to support a conclusion without adequate qualification.</x:v>
      </x:c>
      <x:c r="S359" s="13" t="str">
        <x:v>Stub: A claim discusses calibration error with caveats, balanced evidence, or no argumentative use of the pattern.</x:v>
      </x:c>
      <x:c r="T359" s="13" t="str">
        <x:v>Mild or ambiguous cue; do not classify without clear evidence span.</x:v>
      </x:c>
      <x:c r="U359" s="13" t="str">
        <x:v>Clear claim-level pattern with some argumentative impact.</x:v>
      </x:c>
      <x:c r="V359" s="13" t="str">
        <x:v>Strong pattern central to the conclusion and likely to materially distort reasoning.</x:v>
      </x:c>
      <x:c r="W359" s="13" t="str"/>
      <x:c r="X359" s="13" t="str">
        <x:v>stanovich_dual_process</x:v>
      </x:c>
      <x:c r="Y359" s="13" t="str">
        <x:v>https://global.oup.com/academic/product/rationality-and-the-reflective-mind-9780195341140</x:v>
      </x:c>
      <x:c r="Z359" s="13" t="str">
        <x:v>Review before enabling. This workbook is a living taxonomy scaffold, not a validated scientific benchmark.</x:v>
      </x:c>
      <x:c r="AA359" s="13" t="str">
        <x:v>0.1.0-draft</x:v>
      </x:c>
      <x:c r="AB359" s="12" t="str">
        <x:f>IF(ISNUMBER(SEARCH("healthy",F359)),"healthy_reasoning_patterns",IF(ISNUMBER(SEARCH("statistical",F359)),"statistical_reasoning",IF(ISNUMBER(SEARCH("causal",F359)),"causal_reasoning",IF(ISNUMBER(SEARCH("social",F359)),"social_influence",IF(ISNUMBER(SEARCH("rhetoric",F359)),"rhetoric_discourse",IF(ISNUMBER(SEARCH("behavior",F359)),"behavioural_economics",IF(ISNUMBER(SEARCH("cognitive",F359)),"cognitive_biases",IF(J359="protective_pattern","healthy_reasoning_patterns",IF(L359="P0","core_mvp","extended_fallacies")))))))))</x:f>
        <x:v>extended_fallacies</x:v>
      </x:c>
      <x:c r="AC359" s="12" t="str">
        <x:f>IF(ISNUMBER(SEARCH("operational",J359)),"operational",IF(ISNUMBER(SEARCH("deprecated",J359)),"deprecated",IF(L359="P0","canonical","recognized_subtype")))</x:f>
        <x:v>operational</x:v>
      </x:c>
      <x:c r="AD359" s="12" t="str">
        <x:f>IF(AC359="canonical","high",IF(AC359="recognized_subtype","medium",IF(AC359="operational","operational_only","debated")))</x:f>
        <x:v>operational_only</x:v>
      </x:c>
      <x:c r="AE359" s="12" t="str">
        <x:f>IF(AC359="deprecated","deprecated",IF(M359="yes","active",IF(M359="review","review_required","backlog")))</x:f>
        <x:v>backlog</x:v>
      </x:c>
      <x:c r="AF359" s="12" t="str">
        <x:f>IF(OR(AE359="active",AE359="review_required"),"yes","no")</x:f>
        <x:v>no</x:v>
      </x:c>
      <x:c r="AG359" s="12" t="str">
        <x:f>IF(AND(AE359="active",M359="yes",NOT(ISNUMBER(SEARCH("healthy",AB359)))),"yes","no")</x:f>
        <x:v>no</x:v>
      </x:c>
      <x:c r="AH359" s="12" t="str">
        <x:f>IF(OR(H359="contextual",H359="dialogue",H359="discourse",I359="claim+context",I359="discourse_segment"),"yes","no")</x:f>
        <x:v>yes</x:v>
      </x:c>
      <x:c r="AI359" s="12" t="str">
        <x:f>IF(OR(AH359="yes",AD359="debated",AC359="operational"),"yes","no")</x:f>
        <x:v>yes</x:v>
      </x:c>
      <x:c r="AJ359" s="12" t="str">
        <x:f>IF(OR(AH359="yes",AC359="operational",AD359="debated"),"high",IF(AND(AG359="yes",L359="P0"),"medium","low"))</x:f>
        <x:v>high</x:v>
      </x:c>
      <x:c r="AK359" s="12" t="str">
        <x:f>IF(ISNUMBER(SEARCH("healthy",AB359)),"yes","no")</x:f>
        <x:v>no</x:v>
      </x:c>
      <x:c r="AL359" s="12" t="str">
        <x:f>IF(AG359="yes","yes","candidate_only")</x:f>
        <x:v>candidate_only</x:v>
      </x:c>
      <x:c r="AM359" s="12" t="str">
        <x:f>IF(OR(AC359="canonical",AG359="yes"),"yes","recommended")</x:f>
        <x:v>recommended</x:v>
      </x:c>
      <x:c r="AN359" s="12" t="str">
        <x:f>IF(AC359="deprecated","exclude",IF(AND(AG359="yes",AJ359="high"),"import_but_human_review_required",IF(AG359="yes","import_as_active","import_as_backlog")))</x:f>
        <x:v>import_as_backlog</x:v>
      </x:c>
      <x:c r="AO359" s="12" t="str">
        <x:f>IF(AND(AG359="yes",OR(P359="",Q359="",R359="",S359="")),"missing_required_mvp_fields",IF(AND(AC359="canonical",Y359=""),"missing_source_ref","ok"))</x:f>
        <x:v>ok</x:v>
      </x:c>
      <x:c r="AP359" s="12" t="str">
        <x:f>IF(AO359="ok","ready_for_codex_import","needs_review")</x:f>
        <x:v>ready_for_codex_import</x:v>
      </x:c>
      <x:c r="AQ359" s="12"/>
      <x:c r="AR359" s="12" t="str">
        <x:v>Added v2 operational fields. Review before classification activation.</x:v>
      </x:c>
    </x:row>
    <x:row r="360">
      <x:c r="A360" s="13" t="str">
        <x:v>base_rate_neglect_risk_communication_variant</x:v>
      </x:c>
      <x:c r="B360" s="13" t="str">
        <x:v>base_rate_neglect</x:v>
      </x:c>
      <x:c r="C360" s="13" t="str">
        <x:v>Base-rate neglect</x:v>
      </x:c>
      <x:c r="D360" s="13" t="str">
        <x:v>نادیده گرفتن نرخ پایه</x:v>
      </x:c>
      <x:c r="E360" s="13" t="str">
        <x:v>Risk-communication variant</x:v>
      </x:c>
      <x:c r="F360" s="13" t="str">
        <x:v>probabilistic_failures</x:v>
      </x:c>
      <x:c r="G360" s="13" t="str">
        <x:v>operational_variant</x:v>
      </x:c>
      <x:c r="H360" s="13" t="str">
        <x:v>contextual</x:v>
      </x:c>
      <x:c r="I360" s="13" t="str">
        <x:v>claim+context</x:v>
      </x:c>
      <x:c r="J360" s="13" t="str">
        <x:v>derived_operational_subtype</x:v>
      </x:c>
      <x:c r="K360" s="13" t="str">
        <x:v>derived_from_established_parent_review_required</x:v>
      </x:c>
      <x:c r="L360" s="13" t="str">
        <x:v>P3</x:v>
      </x:c>
      <x:c r="M360" s="13" t="str">
        <x:v>no</x:v>
      </x:c>
      <x:c r="N360" s="13" t="str">
        <x:v>Operational subtype under Base-rate neglect: risk is framed in a misleading statistical format. Parent definition: Ignoring general statistical prevalence when judging a specific case.</x:v>
      </x:c>
      <x:c r="O360" s="13" t="str">
        <x:v>Look for: explicit claim-level evidence; parent-family cues for Base-rate neglect; variant cue: risk is framed in a misleading statistical format; avoid author-level inference.</x:v>
      </x:c>
      <x:c r="P360" s="13" t="str">
        <x:v>Exact evidence span in text plus claim-level reasoning link; for contextual/discourse entries, require surrounding context.</x:v>
      </x:c>
      <x:c r="Q360" s="13" t="str">
        <x:v>Do not label merely because topic is controversial, emotional, or wrong. Do not judge intent or personality. Require textual evidence and consider healthy-reasoning cues.</x:v>
      </x:c>
      <x:c r="R360" s="13" t="str">
        <x:v>Stub: A claim relies on risk is framed in a misleading statistical format to support a conclusion without adequate qualification.</x:v>
      </x:c>
      <x:c r="S360" s="13" t="str">
        <x:v>Stub: A claim discusses base-rate neglect with caveats, balanced evidence, or no argumentative use of the pattern.</x:v>
      </x:c>
      <x:c r="T360" s="13" t="str">
        <x:v>Mild or ambiguous cue; do not classify without clear evidence span.</x:v>
      </x:c>
      <x:c r="U360" s="13" t="str">
        <x:v>Clear claim-level pattern with some argumentative impact.</x:v>
      </x:c>
      <x:c r="V360" s="13" t="str">
        <x:v>Strong pattern central to the conclusion and likely to materially distort reasoning.</x:v>
      </x:c>
      <x:c r="W360" s="13" t="str"/>
      <x:c r="X360" s="13" t="str">
        <x:v>kahneman_tversky_heuristics_1974</x:v>
      </x:c>
      <x:c r="Y360" s="13" t="str">
        <x:v>https://doi.org/10.1126/science.185.4157.1124</x:v>
      </x:c>
      <x:c r="Z360" s="13" t="str">
        <x:v>Review before enabling. This workbook is a living taxonomy scaffold, not a validated scientific benchmark.</x:v>
      </x:c>
      <x:c r="AA360" s="13" t="str">
        <x:v>0.1.0-draft</x:v>
      </x:c>
      <x:c r="AB360" s="12" t="str">
        <x:f>IF(ISNUMBER(SEARCH("healthy",F360)),"healthy_reasoning_patterns",IF(ISNUMBER(SEARCH("statistical",F360)),"statistical_reasoning",IF(ISNUMBER(SEARCH("causal",F360)),"causal_reasoning",IF(ISNUMBER(SEARCH("social",F360)),"social_influence",IF(ISNUMBER(SEARCH("rhetoric",F360)),"rhetoric_discourse",IF(ISNUMBER(SEARCH("behavior",F360)),"behavioural_economics",IF(ISNUMBER(SEARCH("cognitive",F360)),"cognitive_biases",IF(J360="protective_pattern","healthy_reasoning_patterns",IF(L360="P0","core_mvp","extended_fallacies")))))))))</x:f>
        <x:v>extended_fallacies</x:v>
      </x:c>
      <x:c r="AC360" s="12" t="str">
        <x:f>IF(ISNUMBER(SEARCH("operational",J360)),"operational",IF(ISNUMBER(SEARCH("deprecated",J360)),"deprecated",IF(L360="P0","canonical","recognized_subtype")))</x:f>
        <x:v>operational</x:v>
      </x:c>
      <x:c r="AD360" s="12" t="str">
        <x:f>IF(AC360="canonical","high",IF(AC360="recognized_subtype","medium",IF(AC360="operational","operational_only","debated")))</x:f>
        <x:v>operational_only</x:v>
      </x:c>
      <x:c r="AE360" s="12" t="str">
        <x:f>IF(AC360="deprecated","deprecated",IF(M360="yes","active",IF(M360="review","review_required","backlog")))</x:f>
        <x:v>backlog</x:v>
      </x:c>
      <x:c r="AF360" s="12" t="str">
        <x:f>IF(OR(AE360="active",AE360="review_required"),"yes","no")</x:f>
        <x:v>no</x:v>
      </x:c>
      <x:c r="AG360" s="12" t="str">
        <x:f>IF(AND(AE360="active",M360="yes",NOT(ISNUMBER(SEARCH("healthy",AB360)))),"yes","no")</x:f>
        <x:v>no</x:v>
      </x:c>
      <x:c r="AH360" s="12" t="str">
        <x:f>IF(OR(H360="contextual",H360="dialogue",H360="discourse",I360="claim+context",I360="discourse_segment"),"yes","no")</x:f>
        <x:v>yes</x:v>
      </x:c>
      <x:c r="AI360" s="12" t="str">
        <x:f>IF(OR(AH360="yes",AD360="debated",AC360="operational"),"yes","no")</x:f>
        <x:v>yes</x:v>
      </x:c>
      <x:c r="AJ360" s="12" t="str">
        <x:f>IF(OR(AH360="yes",AC360="operational",AD360="debated"),"high",IF(AND(AG360="yes",L360="P0"),"medium","low"))</x:f>
        <x:v>high</x:v>
      </x:c>
      <x:c r="AK360" s="12" t="str">
        <x:f>IF(ISNUMBER(SEARCH("healthy",AB360)),"yes","no")</x:f>
        <x:v>no</x:v>
      </x:c>
      <x:c r="AL360" s="12" t="str">
        <x:f>IF(AG360="yes","yes","candidate_only")</x:f>
        <x:v>candidate_only</x:v>
      </x:c>
      <x:c r="AM360" s="12" t="str">
        <x:f>IF(OR(AC360="canonical",AG360="yes"),"yes","recommended")</x:f>
        <x:v>recommended</x:v>
      </x:c>
      <x:c r="AN360" s="12" t="str">
        <x:f>IF(AC360="deprecated","exclude",IF(AND(AG360="yes",AJ360="high"),"import_but_human_review_required",IF(AG360="yes","import_as_active","import_as_backlog")))</x:f>
        <x:v>import_as_backlog</x:v>
      </x:c>
      <x:c r="AO360" s="12" t="str">
        <x:f>IF(AND(AG360="yes",OR(P360="",Q360="",R360="",S360="")),"missing_required_mvp_fields",IF(AND(AC360="canonical",Y360=""),"missing_source_ref","ok"))</x:f>
        <x:v>ok</x:v>
      </x:c>
      <x:c r="AP360" s="12" t="str">
        <x:f>IF(AO360="ok","ready_for_codex_import","needs_review")</x:f>
        <x:v>ready_for_codex_import</x:v>
      </x:c>
      <x:c r="AQ360" s="12"/>
      <x:c r="AR360" s="12" t="str">
        <x:v>Added v2 operational fields. Review before classification activation.</x:v>
      </x:c>
    </x:row>
    <x:row r="361">
      <x:c r="A361" s="13" t="str">
        <x:v>conjunction_fallacy_risk_communication_variant</x:v>
      </x:c>
      <x:c r="B361" s="13" t="str">
        <x:v>conjunction_fallacy</x:v>
      </x:c>
      <x:c r="C361" s="13" t="str">
        <x:v>Conjunction fallacy</x:v>
      </x:c>
      <x:c r="D361" s="13" t="str">
        <x:v>مغالطه عطف</x:v>
      </x:c>
      <x:c r="E361" s="13" t="str">
        <x:v>Risk-communication variant</x:v>
      </x:c>
      <x:c r="F361" s="13" t="str">
        <x:v>probabilistic_failures</x:v>
      </x:c>
      <x:c r="G361" s="13" t="str">
        <x:v>operational_variant</x:v>
      </x:c>
      <x:c r="H361" s="13" t="str">
        <x:v>structural</x:v>
      </x:c>
      <x:c r="I361" s="13" t="str">
        <x:v>claim</x:v>
      </x:c>
      <x:c r="J361" s="13" t="str">
        <x:v>derived_operational_subtype</x:v>
      </x:c>
      <x:c r="K361" s="13" t="str">
        <x:v>derived_from_established_parent_review_required</x:v>
      </x:c>
      <x:c r="L361" s="13" t="str">
        <x:v>P3</x:v>
      </x:c>
      <x:c r="M361" s="13" t="str">
        <x:v>no</x:v>
      </x:c>
      <x:c r="N361" s="13" t="str">
        <x:v>Operational subtype under Conjunction fallacy: risk is framed in a misleading statistical format. Parent definition: Judging a conjunction as more probable than one of its components.</x:v>
      </x:c>
      <x:c r="O361" s="13" t="str">
        <x:v>Look for: explicit claim-level evidence; parent-family cues for Conjunction fallacy; variant cue: risk is framed in a misleading statistical format; avoid author-level inference.</x:v>
      </x:c>
      <x:c r="P361" s="13" t="str">
        <x:v>Exact evidence span in text plus claim-level reasoning link; for contextual/discourse entries, require surrounding context.</x:v>
      </x:c>
      <x:c r="Q361" s="13" t="str">
        <x:v>Do not label merely because topic is controversial, emotional, or wrong. Do not judge intent or personality. Require textual evidence and consider healthy-reasoning cues.</x:v>
      </x:c>
      <x:c r="R361" s="13" t="str">
        <x:v>Stub: A claim relies on risk is framed in a misleading statistical format to support a conclusion without adequate qualification.</x:v>
      </x:c>
      <x:c r="S361" s="13" t="str">
        <x:v>Stub: A claim discusses conjunction fallacy with caveats, balanced evidence, or no argumentative use of the pattern.</x:v>
      </x:c>
      <x:c r="T361" s="13" t="str">
        <x:v>Mild or ambiguous cue; do not classify without clear evidence span.</x:v>
      </x:c>
      <x:c r="U361" s="13" t="str">
        <x:v>Clear claim-level pattern with some argumentative impact.</x:v>
      </x:c>
      <x:c r="V361" s="13" t="str">
        <x:v>Strong pattern central to the conclusion and likely to materially distort reasoning.</x:v>
      </x:c>
      <x:c r="W361" s="13" t="str"/>
      <x:c r="X361" s="13" t="str">
        <x:v>kahneman_tversky_heuristics_1974</x:v>
      </x:c>
      <x:c r="Y361" s="13" t="str">
        <x:v>https://doi.org/10.1126/science.185.4157.1124</x:v>
      </x:c>
      <x:c r="Z361" s="13" t="str">
        <x:v>Review before enabling. This workbook is a living taxonomy scaffold, not a validated scientific benchmark.</x:v>
      </x:c>
      <x:c r="AA361" s="13" t="str">
        <x:v>0.1.0-draft</x:v>
      </x:c>
      <x:c r="AB361" s="12" t="str">
        <x:f>IF(ISNUMBER(SEARCH("healthy",F361)),"healthy_reasoning_patterns",IF(ISNUMBER(SEARCH("statistical",F361)),"statistical_reasoning",IF(ISNUMBER(SEARCH("causal",F361)),"causal_reasoning",IF(ISNUMBER(SEARCH("social",F361)),"social_influence",IF(ISNUMBER(SEARCH("rhetoric",F361)),"rhetoric_discourse",IF(ISNUMBER(SEARCH("behavior",F361)),"behavioural_economics",IF(ISNUMBER(SEARCH("cognitive",F361)),"cognitive_biases",IF(J361="protective_pattern","healthy_reasoning_patterns",IF(L361="P0","core_mvp","extended_fallacies")))))))))</x:f>
        <x:v>extended_fallacies</x:v>
      </x:c>
      <x:c r="AC361" s="12" t="str">
        <x:f>IF(ISNUMBER(SEARCH("operational",J361)),"operational",IF(ISNUMBER(SEARCH("deprecated",J361)),"deprecated",IF(L361="P0","canonical","recognized_subtype")))</x:f>
        <x:v>operational</x:v>
      </x:c>
      <x:c r="AD361" s="12" t="str">
        <x:f>IF(AC361="canonical","high",IF(AC361="recognized_subtype","medium",IF(AC361="operational","operational_only","debated")))</x:f>
        <x:v>operational_only</x:v>
      </x:c>
      <x:c r="AE361" s="12" t="str">
        <x:f>IF(AC361="deprecated","deprecated",IF(M361="yes","active",IF(M361="review","review_required","backlog")))</x:f>
        <x:v>backlog</x:v>
      </x:c>
      <x:c r="AF361" s="12" t="str">
        <x:f>IF(OR(AE361="active",AE361="review_required"),"yes","no")</x:f>
        <x:v>no</x:v>
      </x:c>
      <x:c r="AG361" s="12" t="str">
        <x:f>IF(AND(AE361="active",M361="yes",NOT(ISNUMBER(SEARCH("healthy",AB361)))),"yes","no")</x:f>
        <x:v>no</x:v>
      </x:c>
      <x:c r="AH361" s="12" t="str">
        <x:f>IF(OR(H361="contextual",H361="dialogue",H361="discourse",I361="claim+context",I361="discourse_segment"),"yes","no")</x:f>
        <x:v>no</x:v>
      </x:c>
      <x:c r="AI361" s="12" t="str">
        <x:f>IF(OR(AH361="yes",AD361="debated",AC361="operational"),"yes","no")</x:f>
        <x:v>yes</x:v>
      </x:c>
      <x:c r="AJ361" s="12" t="str">
        <x:f>IF(OR(AH361="yes",AC361="operational",AD361="debated"),"high",IF(AND(AG361="yes",L361="P0"),"medium","low"))</x:f>
        <x:v>high</x:v>
      </x:c>
      <x:c r="AK361" s="12" t="str">
        <x:f>IF(ISNUMBER(SEARCH("healthy",AB361)),"yes","no")</x:f>
        <x:v>no</x:v>
      </x:c>
      <x:c r="AL361" s="12" t="str">
        <x:f>IF(AG361="yes","yes","candidate_only")</x:f>
        <x:v>candidate_only</x:v>
      </x:c>
      <x:c r="AM361" s="12" t="str">
        <x:f>IF(OR(AC361="canonical",AG361="yes"),"yes","recommended")</x:f>
        <x:v>recommended</x:v>
      </x:c>
      <x:c r="AN361" s="12" t="str">
        <x:f>IF(AC361="deprecated","exclude",IF(AND(AG361="yes",AJ361="high"),"import_but_human_review_required",IF(AG361="yes","import_as_active","import_as_backlog")))</x:f>
        <x:v>import_as_backlog</x:v>
      </x:c>
      <x:c r="AO361" s="12" t="str">
        <x:f>IF(AND(AG361="yes",OR(P361="",Q361="",R361="",S361="")),"missing_required_mvp_fields",IF(AND(AC361="canonical",Y361=""),"missing_source_ref","ok"))</x:f>
        <x:v>ok</x:v>
      </x:c>
      <x:c r="AP361" s="12" t="str">
        <x:f>IF(AO361="ok","ready_for_codex_import","needs_review")</x:f>
        <x:v>ready_for_codex_import</x:v>
      </x:c>
      <x:c r="AQ361" s="12"/>
      <x:c r="AR361" s="12" t="str">
        <x:v>Added v2 operational fields. Review before classification activation.</x:v>
      </x:c>
    </x:row>
    <x:row r="362">
      <x:c r="A362" s="13" t="str">
        <x:v>gambler_fallacy_risk_communication_variant</x:v>
      </x:c>
      <x:c r="B362" s="13" t="str">
        <x:v>gambler_fallacy</x:v>
      </x:c>
      <x:c r="C362" s="13" t="str">
        <x:v>Gambler's fallacy</x:v>
      </x:c>
      <x:c r="D362" s="13" t="str">
        <x:v>مغالطه قمارباز</x:v>
      </x:c>
      <x:c r="E362" s="13" t="str">
        <x:v>Risk-communication variant</x:v>
      </x:c>
      <x:c r="F362" s="13" t="str">
        <x:v>probabilistic_failures</x:v>
      </x:c>
      <x:c r="G362" s="13" t="str">
        <x:v>operational_variant</x:v>
      </x:c>
      <x:c r="H362" s="13" t="str">
        <x:v>contextual</x:v>
      </x:c>
      <x:c r="I362" s="13" t="str">
        <x:v>claim+context</x:v>
      </x:c>
      <x:c r="J362" s="13" t="str">
        <x:v>derived_operational_subtype</x:v>
      </x:c>
      <x:c r="K362" s="13" t="str">
        <x:v>derived_from_established_parent_review_required</x:v>
      </x:c>
      <x:c r="L362" s="13" t="str">
        <x:v>P3</x:v>
      </x:c>
      <x:c r="M362" s="13" t="str">
        <x:v>no</x:v>
      </x:c>
      <x:c r="N362" s="13" t="str">
        <x:v>Operational subtype under Gambler's fallacy: risk is framed in a misleading statistical format. Parent definition: Expecting random outcomes to self-correct over short sequences.</x:v>
      </x:c>
      <x:c r="O362" s="13" t="str">
        <x:v>Look for: explicit claim-level evidence; parent-family cues for Gambler's fallacy; variant cue: risk is framed in a misleading statistical format; avoid author-level inference.</x:v>
      </x:c>
      <x:c r="P362" s="13" t="str">
        <x:v>Exact evidence span in text plus claim-level reasoning link; for contextual/discourse entries, require surrounding context.</x:v>
      </x:c>
      <x:c r="Q362" s="13" t="str">
        <x:v>Do not label merely because topic is controversial, emotional, or wrong. Do not judge intent or personality. Require textual evidence and consider healthy-reasoning cues.</x:v>
      </x:c>
      <x:c r="R362" s="13" t="str">
        <x:v>Stub: A claim relies on risk is framed in a misleading statistical format to support a conclusion without adequate qualification.</x:v>
      </x:c>
      <x:c r="S362" s="13" t="str">
        <x:v>Stub: A claim discusses gambler's fallacy with caveats, balanced evidence, or no argumentative use of the pattern.</x:v>
      </x:c>
      <x:c r="T362" s="13" t="str">
        <x:v>Mild or ambiguous cue; do not classify without clear evidence span.</x:v>
      </x:c>
      <x:c r="U362" s="13" t="str">
        <x:v>Clear claim-level pattern with some argumentative impact.</x:v>
      </x:c>
      <x:c r="V362" s="13" t="str">
        <x:v>Strong pattern central to the conclusion and likely to materially distort reasoning.</x:v>
      </x:c>
      <x:c r="W362" s="13" t="str"/>
      <x:c r="X362" s="13" t="str">
        <x:v>kahneman_tversky_heuristics_1974</x:v>
      </x:c>
      <x:c r="Y362" s="13" t="str">
        <x:v>https://doi.org/10.1126/science.185.4157.1124</x:v>
      </x:c>
      <x:c r="Z362" s="13" t="str">
        <x:v>Review before enabling. This workbook is a living taxonomy scaffold, not a validated scientific benchmark.</x:v>
      </x:c>
      <x:c r="AA362" s="13" t="str">
        <x:v>0.1.0-draft</x:v>
      </x:c>
      <x:c r="AB362" s="12" t="str">
        <x:f>IF(ISNUMBER(SEARCH("healthy",F362)),"healthy_reasoning_patterns",IF(ISNUMBER(SEARCH("statistical",F362)),"statistical_reasoning",IF(ISNUMBER(SEARCH("causal",F362)),"causal_reasoning",IF(ISNUMBER(SEARCH("social",F362)),"social_influence",IF(ISNUMBER(SEARCH("rhetoric",F362)),"rhetoric_discourse",IF(ISNUMBER(SEARCH("behavior",F362)),"behavioural_economics",IF(ISNUMBER(SEARCH("cognitive",F362)),"cognitive_biases",IF(J362="protective_pattern","healthy_reasoning_patterns",IF(L362="P0","core_mvp","extended_fallacies")))))))))</x:f>
        <x:v>extended_fallacies</x:v>
      </x:c>
      <x:c r="AC362" s="12" t="str">
        <x:f>IF(ISNUMBER(SEARCH("operational",J362)),"operational",IF(ISNUMBER(SEARCH("deprecated",J362)),"deprecated",IF(L362="P0","canonical","recognized_subtype")))</x:f>
        <x:v>operational</x:v>
      </x:c>
      <x:c r="AD362" s="12" t="str">
        <x:f>IF(AC362="canonical","high",IF(AC362="recognized_subtype","medium",IF(AC362="operational","operational_only","debated")))</x:f>
        <x:v>operational_only</x:v>
      </x:c>
      <x:c r="AE362" s="12" t="str">
        <x:f>IF(AC362="deprecated","deprecated",IF(M362="yes","active",IF(M362="review","review_required","backlog")))</x:f>
        <x:v>backlog</x:v>
      </x:c>
      <x:c r="AF362" s="12" t="str">
        <x:f>IF(OR(AE362="active",AE362="review_required"),"yes","no")</x:f>
        <x:v>no</x:v>
      </x:c>
      <x:c r="AG362" s="12" t="str">
        <x:f>IF(AND(AE362="active",M362="yes",NOT(ISNUMBER(SEARCH("healthy",AB362)))),"yes","no")</x:f>
        <x:v>no</x:v>
      </x:c>
      <x:c r="AH362" s="12" t="str">
        <x:f>IF(OR(H362="contextual",H362="dialogue",H362="discourse",I362="claim+context",I362="discourse_segment"),"yes","no")</x:f>
        <x:v>yes</x:v>
      </x:c>
      <x:c r="AI362" s="12" t="str">
        <x:f>IF(OR(AH362="yes",AD362="debated",AC362="operational"),"yes","no")</x:f>
        <x:v>yes</x:v>
      </x:c>
      <x:c r="AJ362" s="12" t="str">
        <x:f>IF(OR(AH362="yes",AC362="operational",AD362="debated"),"high",IF(AND(AG362="yes",L362="P0"),"medium","low"))</x:f>
        <x:v>high</x:v>
      </x:c>
      <x:c r="AK362" s="12" t="str">
        <x:f>IF(ISNUMBER(SEARCH("healthy",AB362)),"yes","no")</x:f>
        <x:v>no</x:v>
      </x:c>
      <x:c r="AL362" s="12" t="str">
        <x:f>IF(AG362="yes","yes","candidate_only")</x:f>
        <x:v>candidate_only</x:v>
      </x:c>
      <x:c r="AM362" s="12" t="str">
        <x:f>IF(OR(AC362="canonical",AG362="yes"),"yes","recommended")</x:f>
        <x:v>recommended</x:v>
      </x:c>
      <x:c r="AN362" s="12" t="str">
        <x:f>IF(AC362="deprecated","exclude",IF(AND(AG362="yes",AJ362="high"),"import_but_human_review_required",IF(AG362="yes","import_as_active","import_as_backlog")))</x:f>
        <x:v>import_as_backlog</x:v>
      </x:c>
      <x:c r="AO362" s="12" t="str">
        <x:f>IF(AND(AG362="yes",OR(P362="",Q362="",R362="",S362="")),"missing_required_mvp_fields",IF(AND(AC362="canonical",Y362=""),"missing_source_ref","ok"))</x:f>
        <x:v>ok</x:v>
      </x:c>
      <x:c r="AP362" s="12" t="str">
        <x:f>IF(AO362="ok","ready_for_codex_import","needs_review")</x:f>
        <x:v>ready_for_codex_import</x:v>
      </x:c>
      <x:c r="AQ362" s="12"/>
      <x:c r="AR362" s="12" t="str">
        <x:v>Added v2 operational fields. Review before classification activation.</x:v>
      </x:c>
    </x:row>
    <x:row r="363">
      <x:c r="A363" s="13" t="str">
        <x:v>hot_hand_fallacy_risk_communication_variant</x:v>
      </x:c>
      <x:c r="B363" s="13" t="str">
        <x:v>hot_hand_fallacy</x:v>
      </x:c>
      <x:c r="C363" s="13" t="str">
        <x:v>Hot-hand fallacy</x:v>
      </x:c>
      <x:c r="D363" s="13" t="str">
        <x:v>خطای دست داغ</x:v>
      </x:c>
      <x:c r="E363" s="13" t="str">
        <x:v>Risk-communication variant</x:v>
      </x:c>
      <x:c r="F363" s="13" t="str">
        <x:v>probabilistic_failures</x:v>
      </x:c>
      <x:c r="G363" s="13" t="str">
        <x:v>operational_variant</x:v>
      </x:c>
      <x:c r="H363" s="13" t="str">
        <x:v>contextual</x:v>
      </x:c>
      <x:c r="I363" s="13" t="str">
        <x:v>claim+context</x:v>
      </x:c>
      <x:c r="J363" s="13" t="str">
        <x:v>derived_operational_subtype</x:v>
      </x:c>
      <x:c r="K363" s="13" t="str">
        <x:v>derived_from_established_parent_review_required</x:v>
      </x:c>
      <x:c r="L363" s="13" t="str">
        <x:v>P3</x:v>
      </x:c>
      <x:c r="M363" s="13" t="str">
        <x:v>no</x:v>
      </x:c>
      <x:c r="N363" s="13" t="str">
        <x:v>Operational subtype under Hot-hand fallacy: risk is framed in a misleading statistical format. Parent definition: Inferring persistent streak-based ability from random or noisy sequences.</x:v>
      </x:c>
      <x:c r="O363" s="13" t="str">
        <x:v>Look for: explicit claim-level evidence; parent-family cues for Hot-hand fallacy; variant cue: risk is framed in a misleading statistical format; avoid author-level inference.</x:v>
      </x:c>
      <x:c r="P363" s="13" t="str">
        <x:v>Exact evidence span in text plus claim-level reasoning link; for contextual/discourse entries, require surrounding context.</x:v>
      </x:c>
      <x:c r="Q363" s="13" t="str">
        <x:v>Do not label merely because topic is controversial, emotional, or wrong. Do not judge intent or personality. Require textual evidence and consider healthy-reasoning cues.</x:v>
      </x:c>
      <x:c r="R363" s="13" t="str">
        <x:v>Stub: A claim relies on risk is framed in a misleading statistical format to support a conclusion without adequate qualification.</x:v>
      </x:c>
      <x:c r="S363" s="13" t="str">
        <x:v>Stub: A claim discusses hot-hand fallacy with caveats, balanced evidence, or no argumentative use of the pattern.</x:v>
      </x:c>
      <x:c r="T363" s="13" t="str">
        <x:v>Mild or ambiguous cue; do not classify without clear evidence span.</x:v>
      </x:c>
      <x:c r="U363" s="13" t="str">
        <x:v>Clear claim-level pattern with some argumentative impact.</x:v>
      </x:c>
      <x:c r="V363" s="13" t="str">
        <x:v>Strong pattern central to the conclusion and likely to materially distort reasoning.</x:v>
      </x:c>
      <x:c r="W363" s="13" t="str"/>
      <x:c r="X363" s="13" t="str">
        <x:v>gilovich_heuristics_biases</x:v>
      </x:c>
      <x:c r="Y363" s="13" t="str">
        <x:v>https://www.cambridge.org/core/books/heuristics-and-biases/3C30D3B05D2F190C3B8BE5E2531EFD24</x:v>
      </x:c>
      <x:c r="Z363" s="13" t="str">
        <x:v>Review before enabling. This workbook is a living taxonomy scaffold, not a validated scientific benchmark.</x:v>
      </x:c>
      <x:c r="AA363" s="13" t="str">
        <x:v>0.1.0-draft</x:v>
      </x:c>
      <x:c r="AB363" s="12" t="str">
        <x:f>IF(ISNUMBER(SEARCH("healthy",F363)),"healthy_reasoning_patterns",IF(ISNUMBER(SEARCH("statistical",F363)),"statistical_reasoning",IF(ISNUMBER(SEARCH("causal",F363)),"causal_reasoning",IF(ISNUMBER(SEARCH("social",F363)),"social_influence",IF(ISNUMBER(SEARCH("rhetoric",F363)),"rhetoric_discourse",IF(ISNUMBER(SEARCH("behavior",F363)),"behavioural_economics",IF(ISNUMBER(SEARCH("cognitive",F363)),"cognitive_biases",IF(J363="protective_pattern","healthy_reasoning_patterns",IF(L363="P0","core_mvp","extended_fallacies")))))))))</x:f>
        <x:v>extended_fallacies</x:v>
      </x:c>
      <x:c r="AC363" s="12" t="str">
        <x:f>IF(ISNUMBER(SEARCH("operational",J363)),"operational",IF(ISNUMBER(SEARCH("deprecated",J363)),"deprecated",IF(L363="P0","canonical","recognized_subtype")))</x:f>
        <x:v>operational</x:v>
      </x:c>
      <x:c r="AD363" s="12" t="str">
        <x:f>IF(AC363="canonical","high",IF(AC363="recognized_subtype","medium",IF(AC363="operational","operational_only","debated")))</x:f>
        <x:v>operational_only</x:v>
      </x:c>
      <x:c r="AE363" s="12" t="str">
        <x:f>IF(AC363="deprecated","deprecated",IF(M363="yes","active",IF(M363="review","review_required","backlog")))</x:f>
        <x:v>backlog</x:v>
      </x:c>
      <x:c r="AF363" s="12" t="str">
        <x:f>IF(OR(AE363="active",AE363="review_required"),"yes","no")</x:f>
        <x:v>no</x:v>
      </x:c>
      <x:c r="AG363" s="12" t="str">
        <x:f>IF(AND(AE363="active",M363="yes",NOT(ISNUMBER(SEARCH("healthy",AB363)))),"yes","no")</x:f>
        <x:v>no</x:v>
      </x:c>
      <x:c r="AH363" s="12" t="str">
        <x:f>IF(OR(H363="contextual",H363="dialogue",H363="discourse",I363="claim+context",I363="discourse_segment"),"yes","no")</x:f>
        <x:v>yes</x:v>
      </x:c>
      <x:c r="AI363" s="12" t="str">
        <x:f>IF(OR(AH363="yes",AD363="debated",AC363="operational"),"yes","no")</x:f>
        <x:v>yes</x:v>
      </x:c>
      <x:c r="AJ363" s="12" t="str">
        <x:f>IF(OR(AH363="yes",AC363="operational",AD363="debated"),"high",IF(AND(AG363="yes",L363="P0"),"medium","low"))</x:f>
        <x:v>high</x:v>
      </x:c>
      <x:c r="AK363" s="12" t="str">
        <x:f>IF(ISNUMBER(SEARCH("healthy",AB363)),"yes","no")</x:f>
        <x:v>no</x:v>
      </x:c>
      <x:c r="AL363" s="12" t="str">
        <x:f>IF(AG363="yes","yes","candidate_only")</x:f>
        <x:v>candidate_only</x:v>
      </x:c>
      <x:c r="AM363" s="12" t="str">
        <x:f>IF(OR(AC363="canonical",AG363="yes"),"yes","recommended")</x:f>
        <x:v>recommended</x:v>
      </x:c>
      <x:c r="AN363" s="12" t="str">
        <x:f>IF(AC363="deprecated","exclude",IF(AND(AG363="yes",AJ363="high"),"import_but_human_review_required",IF(AG363="yes","import_as_active","import_as_backlog")))</x:f>
        <x:v>import_as_backlog</x:v>
      </x:c>
      <x:c r="AO363" s="12" t="str">
        <x:f>IF(AND(AG363="yes",OR(P363="",Q363="",R363="",S363="")),"missing_required_mvp_fields",IF(AND(AC363="canonical",Y363=""),"missing_source_ref","ok"))</x:f>
        <x:v>ok</x:v>
      </x:c>
      <x:c r="AP363" s="12" t="str">
        <x:f>IF(AO363="ok","ready_for_codex_import","needs_review")</x:f>
        <x:v>ready_for_codex_import</x:v>
      </x:c>
      <x:c r="AQ363" s="12"/>
      <x:c r="AR363" s="12" t="str">
        <x:v>Added v2 operational fields. Review before classification activation.</x:v>
      </x:c>
    </x:row>
    <x:row r="364">
      <x:c r="A364" s="13" t="str">
        <x:v>regression_to_mean_neglect_risk_communication_variant</x:v>
      </x:c>
      <x:c r="B364" s="13" t="str">
        <x:v>regression_to_mean_neglect</x:v>
      </x:c>
      <x:c r="C364" s="13" t="str">
        <x:v>Regression-to-mean neglect</x:v>
      </x:c>
      <x:c r="D364" s="13" t="str">
        <x:v>نادیده‌گرفتن بازگشت به میانگین</x:v>
      </x:c>
      <x:c r="E364" s="13" t="str">
        <x:v>Risk-communication variant</x:v>
      </x:c>
      <x:c r="F364" s="13" t="str">
        <x:v>probabilistic_failures</x:v>
      </x:c>
      <x:c r="G364" s="13" t="str">
        <x:v>operational_variant</x:v>
      </x:c>
      <x:c r="H364" s="13" t="str">
        <x:v>contextual</x:v>
      </x:c>
      <x:c r="I364" s="13" t="str">
        <x:v>claim+context</x:v>
      </x:c>
      <x:c r="J364" s="13" t="str">
        <x:v>derived_operational_subtype</x:v>
      </x:c>
      <x:c r="K364" s="13" t="str">
        <x:v>derived_from_established_parent_review_required</x:v>
      </x:c>
      <x:c r="L364" s="13" t="str">
        <x:v>P3</x:v>
      </x:c>
      <x:c r="M364" s="13" t="str">
        <x:v>no</x:v>
      </x:c>
      <x:c r="N364" s="13" t="str">
        <x:v>Operational subtype under Regression-to-mean neglect: risk is framed in a misleading statistical format. Parent definition: Explaining natural reversion as if it were caused by an intervention.</x:v>
      </x:c>
      <x:c r="O364" s="13" t="str">
        <x:v>Look for: explicit claim-level evidence; parent-family cues for Regression-to-mean neglect; variant cue: risk is framed in a misleading statistical format; avoid author-level inference.</x:v>
      </x:c>
      <x:c r="P364" s="13" t="str">
        <x:v>Exact evidence span in text plus claim-level reasoning link; for contextual/discourse entries, require surrounding context.</x:v>
      </x:c>
      <x:c r="Q364" s="13" t="str">
        <x:v>Do not label merely because topic is controversial, emotional, or wrong. Do not judge intent or personality. Require textual evidence and consider healthy-reasoning cues.</x:v>
      </x:c>
      <x:c r="R364" s="13" t="str">
        <x:v>Stub: A claim relies on risk is framed in a misleading statistical format to support a conclusion without adequate qualification.</x:v>
      </x:c>
      <x:c r="S364" s="13" t="str">
        <x:v>Stub: A claim discusses regression-to-mean neglect with caveats, balanced evidence, or no argumentative use of the pattern.</x:v>
      </x:c>
      <x:c r="T364" s="13" t="str">
        <x:v>Mild or ambiguous cue; do not classify without clear evidence span.</x:v>
      </x:c>
      <x:c r="U364" s="13" t="str">
        <x:v>Clear claim-level pattern with some argumentative impact.</x:v>
      </x:c>
      <x:c r="V364" s="13" t="str">
        <x:v>Strong pattern central to the conclusion and likely to materially distort reasoning.</x:v>
      </x:c>
      <x:c r="W364" s="13" t="str"/>
      <x:c r="X364" s="13" t="str">
        <x:v>kahneman_tversky_heuristics_1974</x:v>
      </x:c>
      <x:c r="Y364" s="13" t="str">
        <x:v>https://doi.org/10.1126/science.185.4157.1124</x:v>
      </x:c>
      <x:c r="Z364" s="13" t="str">
        <x:v>Review before enabling. This workbook is a living taxonomy scaffold, not a validated scientific benchmark.</x:v>
      </x:c>
      <x:c r="AA364" s="13" t="str">
        <x:v>0.1.0-draft</x:v>
      </x:c>
      <x:c r="AB364" s="12" t="str">
        <x:f>IF(ISNUMBER(SEARCH("healthy",F364)),"healthy_reasoning_patterns",IF(ISNUMBER(SEARCH("statistical",F364)),"statistical_reasoning",IF(ISNUMBER(SEARCH("causal",F364)),"causal_reasoning",IF(ISNUMBER(SEARCH("social",F364)),"social_influence",IF(ISNUMBER(SEARCH("rhetoric",F364)),"rhetoric_discourse",IF(ISNUMBER(SEARCH("behavior",F364)),"behavioural_economics",IF(ISNUMBER(SEARCH("cognitive",F364)),"cognitive_biases",IF(J364="protective_pattern","healthy_reasoning_patterns",IF(L364="P0","core_mvp","extended_fallacies")))))))))</x:f>
        <x:v>extended_fallacies</x:v>
      </x:c>
      <x:c r="AC364" s="12" t="str">
        <x:f>IF(ISNUMBER(SEARCH("operational",J364)),"operational",IF(ISNUMBER(SEARCH("deprecated",J364)),"deprecated",IF(L364="P0","canonical","recognized_subtype")))</x:f>
        <x:v>operational</x:v>
      </x:c>
      <x:c r="AD364" s="12" t="str">
        <x:f>IF(AC364="canonical","high",IF(AC364="recognized_subtype","medium",IF(AC364="operational","operational_only","debated")))</x:f>
        <x:v>operational_only</x:v>
      </x:c>
      <x:c r="AE364" s="12" t="str">
        <x:f>IF(AC364="deprecated","deprecated",IF(M364="yes","active",IF(M364="review","review_required","backlog")))</x:f>
        <x:v>backlog</x:v>
      </x:c>
      <x:c r="AF364" s="12" t="str">
        <x:f>IF(OR(AE364="active",AE364="review_required"),"yes","no")</x:f>
        <x:v>no</x:v>
      </x:c>
      <x:c r="AG364" s="12" t="str">
        <x:f>IF(AND(AE364="active",M364="yes",NOT(ISNUMBER(SEARCH("healthy",AB364)))),"yes","no")</x:f>
        <x:v>no</x:v>
      </x:c>
      <x:c r="AH364" s="12" t="str">
        <x:f>IF(OR(H364="contextual",H364="dialogue",H364="discourse",I364="claim+context",I364="discourse_segment"),"yes","no")</x:f>
        <x:v>yes</x:v>
      </x:c>
      <x:c r="AI364" s="12" t="str">
        <x:f>IF(OR(AH364="yes",AD364="debated",AC364="operational"),"yes","no")</x:f>
        <x:v>yes</x:v>
      </x:c>
      <x:c r="AJ364" s="12" t="str">
        <x:f>IF(OR(AH364="yes",AC364="operational",AD364="debated"),"high",IF(AND(AG364="yes",L364="P0"),"medium","low"))</x:f>
        <x:v>high</x:v>
      </x:c>
      <x:c r="AK364" s="12" t="str">
        <x:f>IF(ISNUMBER(SEARCH("healthy",AB364)),"yes","no")</x:f>
        <x:v>no</x:v>
      </x:c>
      <x:c r="AL364" s="12" t="str">
        <x:f>IF(AG364="yes","yes","candidate_only")</x:f>
        <x:v>candidate_only</x:v>
      </x:c>
      <x:c r="AM364" s="12" t="str">
        <x:f>IF(OR(AC364="canonical",AG364="yes"),"yes","recommended")</x:f>
        <x:v>recommended</x:v>
      </x:c>
      <x:c r="AN364" s="12" t="str">
        <x:f>IF(AC364="deprecated","exclude",IF(AND(AG364="yes",AJ364="high"),"import_but_human_review_required",IF(AG364="yes","import_as_active","import_as_backlog")))</x:f>
        <x:v>import_as_backlog</x:v>
      </x:c>
      <x:c r="AO364" s="12" t="str">
        <x:f>IF(AND(AG364="yes",OR(P364="",Q364="",R364="",S364="")),"missing_required_mvp_fields",IF(AND(AC364="canonical",Y364=""),"missing_source_ref","ok"))</x:f>
        <x:v>ok</x:v>
      </x:c>
      <x:c r="AP364" s="12" t="str">
        <x:f>IF(AO364="ok","ready_for_codex_import","needs_review")</x:f>
        <x:v>ready_for_codex_import</x:v>
      </x:c>
      <x:c r="AQ364" s="12"/>
      <x:c r="AR364" s="12" t="str">
        <x:v>Added v2 operational fields. Review before classification activation.</x:v>
      </x:c>
    </x:row>
    <x:row r="365">
      <x:c r="A365" s="13" t="str">
        <x:v>inverse_probability_error_risk_communication_variant</x:v>
      </x:c>
      <x:c r="B365" s="13" t="str">
        <x:v>inverse_probability_error</x:v>
      </x:c>
      <x:c r="C365" s="13" t="str">
        <x:v>Inverse probability error</x:v>
      </x:c>
      <x:c r="D365" s="13" t="str">
        <x:v>اشتباه احتمال معکوس</x:v>
      </x:c>
      <x:c r="E365" s="13" t="str">
        <x:v>Risk-communication variant</x:v>
      </x:c>
      <x:c r="F365" s="13" t="str">
        <x:v>probabilistic_failures</x:v>
      </x:c>
      <x:c r="G365" s="13" t="str">
        <x:v>operational_variant</x:v>
      </x:c>
      <x:c r="H365" s="13" t="str">
        <x:v>structural</x:v>
      </x:c>
      <x:c r="I365" s="13" t="str">
        <x:v>claim</x:v>
      </x:c>
      <x:c r="J365" s="13" t="str">
        <x:v>derived_operational_subtype</x:v>
      </x:c>
      <x:c r="K365" s="13" t="str">
        <x:v>derived_from_established_parent_review_required</x:v>
      </x:c>
      <x:c r="L365" s="13" t="str">
        <x:v>P3</x:v>
      </x:c>
      <x:c r="M365" s="13" t="str">
        <x:v>no</x:v>
      </x:c>
      <x:c r="N365" s="13" t="str">
        <x:v>Operational subtype under Inverse probability error: risk is framed in a misleading statistical format. Parent definition: Confusing P(A|B) with P(B|A).</x:v>
      </x:c>
      <x:c r="O365" s="13" t="str">
        <x:v>Look for: explicit claim-level evidence; parent-family cues for Inverse probability error; variant cue: risk is framed in a misleading statistical format; avoid author-level inference.</x:v>
      </x:c>
      <x:c r="P365" s="13" t="str">
        <x:v>Exact evidence span in text plus claim-level reasoning link; for contextual/discourse entries, require surrounding context.</x:v>
      </x:c>
      <x:c r="Q365" s="13" t="str">
        <x:v>Do not label merely because topic is controversial, emotional, or wrong. Do not judge intent or personality. Require textual evidence and consider healthy-reasoning cues.</x:v>
      </x:c>
      <x:c r="R365" s="13" t="str">
        <x:v>Stub: A claim relies on risk is framed in a misleading statistical format to support a conclusion without adequate qualification.</x:v>
      </x:c>
      <x:c r="S365" s="13" t="str">
        <x:v>Stub: A claim discusses inverse probability error with caveats, balanced evidence, or no argumentative use of the pattern.</x:v>
      </x:c>
      <x:c r="T365" s="13" t="str">
        <x:v>Mild or ambiguous cue; do not classify without clear evidence span.</x:v>
      </x:c>
      <x:c r="U365" s="13" t="str">
        <x:v>Clear claim-level pattern with some argumentative impact.</x:v>
      </x:c>
      <x:c r="V365" s="13" t="str">
        <x:v>Strong pattern central to the conclusion and likely to materially distort reasoning.</x:v>
      </x:c>
      <x:c r="W365" s="13" t="str"/>
      <x:c r="X365" s="13" t="str">
        <x:v>stanovich_dual_process</x:v>
      </x:c>
      <x:c r="Y365" s="13" t="str">
        <x:v>https://global.oup.com/academic/product/rationality-and-the-reflective-mind-9780195341140</x:v>
      </x:c>
      <x:c r="Z365" s="13" t="str">
        <x:v>Review before enabling. This workbook is a living taxonomy scaffold, not a validated scientific benchmark.</x:v>
      </x:c>
      <x:c r="AA365" s="13" t="str">
        <x:v>0.1.0-draft</x:v>
      </x:c>
      <x:c r="AB365" s="12" t="str">
        <x:f>IF(ISNUMBER(SEARCH("healthy",F365)),"healthy_reasoning_patterns",IF(ISNUMBER(SEARCH("statistical",F365)),"statistical_reasoning",IF(ISNUMBER(SEARCH("causal",F365)),"causal_reasoning",IF(ISNUMBER(SEARCH("social",F365)),"social_influence",IF(ISNUMBER(SEARCH("rhetoric",F365)),"rhetoric_discourse",IF(ISNUMBER(SEARCH("behavior",F365)),"behavioural_economics",IF(ISNUMBER(SEARCH("cognitive",F365)),"cognitive_biases",IF(J365="protective_pattern","healthy_reasoning_patterns",IF(L365="P0","core_mvp","extended_fallacies")))))))))</x:f>
        <x:v>extended_fallacies</x:v>
      </x:c>
      <x:c r="AC365" s="12" t="str">
        <x:f>IF(ISNUMBER(SEARCH("operational",J365)),"operational",IF(ISNUMBER(SEARCH("deprecated",J365)),"deprecated",IF(L365="P0","canonical","recognized_subtype")))</x:f>
        <x:v>operational</x:v>
      </x:c>
      <x:c r="AD365" s="12" t="str">
        <x:f>IF(AC365="canonical","high",IF(AC365="recognized_subtype","medium",IF(AC365="operational","operational_only","debated")))</x:f>
        <x:v>operational_only</x:v>
      </x:c>
      <x:c r="AE365" s="12" t="str">
        <x:f>IF(AC365="deprecated","deprecated",IF(M365="yes","active",IF(M365="review","review_required","backlog")))</x:f>
        <x:v>backlog</x:v>
      </x:c>
      <x:c r="AF365" s="12" t="str">
        <x:f>IF(OR(AE365="active",AE365="review_required"),"yes","no")</x:f>
        <x:v>no</x:v>
      </x:c>
      <x:c r="AG365" s="12" t="str">
        <x:f>IF(AND(AE365="active",M365="yes",NOT(ISNUMBER(SEARCH("healthy",AB365)))),"yes","no")</x:f>
        <x:v>no</x:v>
      </x:c>
      <x:c r="AH365" s="12" t="str">
        <x:f>IF(OR(H365="contextual",H365="dialogue",H365="discourse",I365="claim+context",I365="discourse_segment"),"yes","no")</x:f>
        <x:v>no</x:v>
      </x:c>
      <x:c r="AI365" s="12" t="str">
        <x:f>IF(OR(AH365="yes",AD365="debated",AC365="operational"),"yes","no")</x:f>
        <x:v>yes</x:v>
      </x:c>
      <x:c r="AJ365" s="12" t="str">
        <x:f>IF(OR(AH365="yes",AC365="operational",AD365="debated"),"high",IF(AND(AG365="yes",L365="P0"),"medium","low"))</x:f>
        <x:v>high</x:v>
      </x:c>
      <x:c r="AK365" s="12" t="str">
        <x:f>IF(ISNUMBER(SEARCH("healthy",AB365)),"yes","no")</x:f>
        <x:v>no</x:v>
      </x:c>
      <x:c r="AL365" s="12" t="str">
        <x:f>IF(AG365="yes","yes","candidate_only")</x:f>
        <x:v>candidate_only</x:v>
      </x:c>
      <x:c r="AM365" s="12" t="str">
        <x:f>IF(OR(AC365="canonical",AG365="yes"),"yes","recommended")</x:f>
        <x:v>recommended</x:v>
      </x:c>
      <x:c r="AN365" s="12" t="str">
        <x:f>IF(AC365="deprecated","exclude",IF(AND(AG365="yes",AJ365="high"),"import_but_human_review_required",IF(AG365="yes","import_as_active","import_as_backlog")))</x:f>
        <x:v>import_as_backlog</x:v>
      </x:c>
      <x:c r="AO365" s="12" t="str">
        <x:f>IF(AND(AG365="yes",OR(P365="",Q365="",R365="",S365="")),"missing_required_mvp_fields",IF(AND(AC365="canonical",Y365=""),"missing_source_ref","ok"))</x:f>
        <x:v>ok</x:v>
      </x:c>
      <x:c r="AP365" s="12" t="str">
        <x:f>IF(AO365="ok","ready_for_codex_import","needs_review")</x:f>
        <x:v>ready_for_codex_import</x:v>
      </x:c>
      <x:c r="AQ365" s="12"/>
      <x:c r="AR365" s="12" t="str">
        <x:v>Added v2 operational fields. Review before classification activation.</x:v>
      </x:c>
    </x:row>
    <x:row r="366">
      <x:c r="A366" s="13" t="str">
        <x:v>prosecutor_fallacy_risk_communication_variant</x:v>
      </x:c>
      <x:c r="B366" s="13" t="str">
        <x:v>prosecutor_fallacy</x:v>
      </x:c>
      <x:c r="C366" s="13" t="str">
        <x:v>Prosecutor's fallacy</x:v>
      </x:c>
      <x:c r="D366" s="13" t="str">
        <x:v>مغالطه دادستان</x:v>
      </x:c>
      <x:c r="E366" s="13" t="str">
        <x:v>Risk-communication variant</x:v>
      </x:c>
      <x:c r="F366" s="13" t="str">
        <x:v>probabilistic_failures</x:v>
      </x:c>
      <x:c r="G366" s="13" t="str">
        <x:v>operational_variant</x:v>
      </x:c>
      <x:c r="H366" s="13" t="str">
        <x:v>structural</x:v>
      </x:c>
      <x:c r="I366" s="13" t="str">
        <x:v>claim</x:v>
      </x:c>
      <x:c r="J366" s="13" t="str">
        <x:v>derived_operational_subtype</x:v>
      </x:c>
      <x:c r="K366" s="13" t="str">
        <x:v>derived_from_established_parent_review_required</x:v>
      </x:c>
      <x:c r="L366" s="13" t="str">
        <x:v>P3</x:v>
      </x:c>
      <x:c r="M366" s="13" t="str">
        <x:v>no</x:v>
      </x:c>
      <x:c r="N366" s="13" t="str">
        <x:v>Operational subtype under Prosecutor's fallacy: risk is framed in a misleading statistical format. Parent definition: Overstating evidential strength by confusing match probability with guilt probability.</x:v>
      </x:c>
      <x:c r="O366" s="13" t="str">
        <x:v>Look for: explicit claim-level evidence; parent-family cues for Prosecutor's fallacy; variant cue: risk is framed in a misleading statistical format; avoid author-level inference.</x:v>
      </x:c>
      <x:c r="P366" s="13" t="str">
        <x:v>Exact evidence span in text plus claim-level reasoning link; for contextual/discourse entries, require surrounding context.</x:v>
      </x:c>
      <x:c r="Q366" s="13" t="str">
        <x:v>Do not label merely because topic is controversial, emotional, or wrong. Do not judge intent or personality. Require textual evidence and consider healthy-reasoning cues.</x:v>
      </x:c>
      <x:c r="R366" s="13" t="str">
        <x:v>Stub: A claim relies on risk is framed in a misleading statistical format to support a conclusion without adequate qualification.</x:v>
      </x:c>
      <x:c r="S366" s="13" t="str">
        <x:v>Stub: A claim discusses prosecutor's fallacy with caveats, balanced evidence, or no argumentative use of the pattern.</x:v>
      </x:c>
      <x:c r="T366" s="13" t="str">
        <x:v>Mild or ambiguous cue; do not classify without clear evidence span.</x:v>
      </x:c>
      <x:c r="U366" s="13" t="str">
        <x:v>Clear claim-level pattern with some argumentative impact.</x:v>
      </x:c>
      <x:c r="V366" s="13" t="str">
        <x:v>Strong pattern central to the conclusion and likely to materially distort reasoning.</x:v>
      </x:c>
      <x:c r="W366" s="13" t="str"/>
      <x:c r="X366" s="13" t="str">
        <x:v>stanovich_dual_process</x:v>
      </x:c>
      <x:c r="Y366" s="13" t="str">
        <x:v>https://global.oup.com/academic/product/rationality-and-the-reflective-mind-9780195341140</x:v>
      </x:c>
      <x:c r="Z366" s="13" t="str">
        <x:v>Review before enabling. This workbook is a living taxonomy scaffold, not a validated scientific benchmark.</x:v>
      </x:c>
      <x:c r="AA366" s="13" t="str">
        <x:v>0.1.0-draft</x:v>
      </x:c>
      <x:c r="AB366" s="12" t="str">
        <x:f>IF(ISNUMBER(SEARCH("healthy",F366)),"healthy_reasoning_patterns",IF(ISNUMBER(SEARCH("statistical",F366)),"statistical_reasoning",IF(ISNUMBER(SEARCH("causal",F366)),"causal_reasoning",IF(ISNUMBER(SEARCH("social",F366)),"social_influence",IF(ISNUMBER(SEARCH("rhetoric",F366)),"rhetoric_discourse",IF(ISNUMBER(SEARCH("behavior",F366)),"behavioural_economics",IF(ISNUMBER(SEARCH("cognitive",F366)),"cognitive_biases",IF(J366="protective_pattern","healthy_reasoning_patterns",IF(L366="P0","core_mvp","extended_fallacies")))))))))</x:f>
        <x:v>extended_fallacies</x:v>
      </x:c>
      <x:c r="AC366" s="12" t="str">
        <x:f>IF(ISNUMBER(SEARCH("operational",J366)),"operational",IF(ISNUMBER(SEARCH("deprecated",J366)),"deprecated",IF(L366="P0","canonical","recognized_subtype")))</x:f>
        <x:v>operational</x:v>
      </x:c>
      <x:c r="AD366" s="12" t="str">
        <x:f>IF(AC366="canonical","high",IF(AC366="recognized_subtype","medium",IF(AC366="operational","operational_only","debated")))</x:f>
        <x:v>operational_only</x:v>
      </x:c>
      <x:c r="AE366" s="12" t="str">
        <x:f>IF(AC366="deprecated","deprecated",IF(M366="yes","active",IF(M366="review","review_required","backlog")))</x:f>
        <x:v>backlog</x:v>
      </x:c>
      <x:c r="AF366" s="12" t="str">
        <x:f>IF(OR(AE366="active",AE366="review_required"),"yes","no")</x:f>
        <x:v>no</x:v>
      </x:c>
      <x:c r="AG366" s="12" t="str">
        <x:f>IF(AND(AE366="active",M366="yes",NOT(ISNUMBER(SEARCH("healthy",AB366)))),"yes","no")</x:f>
        <x:v>no</x:v>
      </x:c>
      <x:c r="AH366" s="12" t="str">
        <x:f>IF(OR(H366="contextual",H366="dialogue",H366="discourse",I366="claim+context",I366="discourse_segment"),"yes","no")</x:f>
        <x:v>no</x:v>
      </x:c>
      <x:c r="AI366" s="12" t="str">
        <x:f>IF(OR(AH366="yes",AD366="debated",AC366="operational"),"yes","no")</x:f>
        <x:v>yes</x:v>
      </x:c>
      <x:c r="AJ366" s="12" t="str">
        <x:f>IF(OR(AH366="yes",AC366="operational",AD366="debated"),"high",IF(AND(AG366="yes",L366="P0"),"medium","low"))</x:f>
        <x:v>high</x:v>
      </x:c>
      <x:c r="AK366" s="12" t="str">
        <x:f>IF(ISNUMBER(SEARCH("healthy",AB366)),"yes","no")</x:f>
        <x:v>no</x:v>
      </x:c>
      <x:c r="AL366" s="12" t="str">
        <x:f>IF(AG366="yes","yes","candidate_only")</x:f>
        <x:v>candidate_only</x:v>
      </x:c>
      <x:c r="AM366" s="12" t="str">
        <x:f>IF(OR(AC366="canonical",AG366="yes"),"yes","recommended")</x:f>
        <x:v>recommended</x:v>
      </x:c>
      <x:c r="AN366" s="12" t="str">
        <x:f>IF(AC366="deprecated","exclude",IF(AND(AG366="yes",AJ366="high"),"import_but_human_review_required",IF(AG366="yes","import_as_active","import_as_backlog")))</x:f>
        <x:v>import_as_backlog</x:v>
      </x:c>
      <x:c r="AO366" s="12" t="str">
        <x:f>IF(AND(AG366="yes",OR(P366="",Q366="",R366="",S366="")),"missing_required_mvp_fields",IF(AND(AC366="canonical",Y366=""),"missing_source_ref","ok"))</x:f>
        <x:v>ok</x:v>
      </x:c>
      <x:c r="AP366" s="12" t="str">
        <x:f>IF(AO366="ok","ready_for_codex_import","needs_review")</x:f>
        <x:v>ready_for_codex_import</x:v>
      </x:c>
      <x:c r="AQ366" s="12"/>
      <x:c r="AR366" s="12" t="str">
        <x:v>Added v2 operational fields. Review before classification activation.</x:v>
      </x:c>
    </x:row>
    <x:row r="367">
      <x:c r="A367" s="13" t="str">
        <x:v>denominator_neglect_risk_communication_variant</x:v>
      </x:c>
      <x:c r="B367" s="13" t="str">
        <x:v>denominator_neglect</x:v>
      </x:c>
      <x:c r="C367" s="13" t="str">
        <x:v>Denominator neglect</x:v>
      </x:c>
      <x:c r="D367" s="13" t="str">
        <x:v>نادیده‌گرفتن مخرج</x:v>
      </x:c>
      <x:c r="E367" s="13" t="str">
        <x:v>Risk-communication variant</x:v>
      </x:c>
      <x:c r="F367" s="13" t="str">
        <x:v>probabilistic_failures</x:v>
      </x:c>
      <x:c r="G367" s="13" t="str">
        <x:v>operational_variant</x:v>
      </x:c>
      <x:c r="H367" s="13" t="str">
        <x:v>lexical</x:v>
      </x:c>
      <x:c r="I367" s="13" t="str">
        <x:v>claim</x:v>
      </x:c>
      <x:c r="J367" s="13" t="str">
        <x:v>derived_operational_subtype</x:v>
      </x:c>
      <x:c r="K367" s="13" t="str">
        <x:v>derived_from_established_parent_review_required</x:v>
      </x:c>
      <x:c r="L367" s="13" t="str">
        <x:v>P3</x:v>
      </x:c>
      <x:c r="M367" s="13" t="str">
        <x:v>no</x:v>
      </x:c>
      <x:c r="N367" s="13" t="str">
        <x:v>Operational subtype under Denominator neglect: risk is framed in a misleading statistical format. Parent definition: Focusing on counts while ignoring the denominator or exposure base.</x:v>
      </x:c>
      <x:c r="O367" s="13" t="str">
        <x:v>Look for: explicit claim-level evidence; parent-family cues for Denominator neglect; variant cue: risk is framed in a misleading statistical format; avoid author-level inference.</x:v>
      </x:c>
      <x:c r="P367" s="13" t="str">
        <x:v>Exact evidence span in text plus claim-level reasoning link; for contextual/discourse entries, require surrounding context.</x:v>
      </x:c>
      <x:c r="Q367" s="13" t="str">
        <x:v>Do not label merely because topic is controversial, emotional, or wrong. Do not judge intent or personality. Require textual evidence and consider healthy-reasoning cues.</x:v>
      </x:c>
      <x:c r="R367" s="13" t="str">
        <x:v>Stub: A claim relies on risk is framed in a misleading statistical format to support a conclusion without adequate qualification.</x:v>
      </x:c>
      <x:c r="S367" s="13" t="str">
        <x:v>Stub: A claim discusses denominator neglect with caveats, balanced evidence, or no argumentative use of the pattern.</x:v>
      </x:c>
      <x:c r="T367" s="13" t="str">
        <x:v>Mild or ambiguous cue; do not classify without clear evidence span.</x:v>
      </x:c>
      <x:c r="U367" s="13" t="str">
        <x:v>Clear claim-level pattern with some argumentative impact.</x:v>
      </x:c>
      <x:c r="V367" s="13" t="str">
        <x:v>Strong pattern central to the conclusion and likely to materially distort reasoning.</x:v>
      </x:c>
      <x:c r="W367" s="13" t="str"/>
      <x:c r="X367" s="13" t="str">
        <x:v>kahneman_tversky_heuristics_1974</x:v>
      </x:c>
      <x:c r="Y367" s="13" t="str">
        <x:v>https://doi.org/10.1126/science.185.4157.1124</x:v>
      </x:c>
      <x:c r="Z367" s="13" t="str">
        <x:v>Review before enabling. This workbook is a living taxonomy scaffold, not a validated scientific benchmark.</x:v>
      </x:c>
      <x:c r="AA367" s="13" t="str">
        <x:v>0.1.0-draft</x:v>
      </x:c>
      <x:c r="AB367" s="12" t="str">
        <x:f>IF(ISNUMBER(SEARCH("healthy",F367)),"healthy_reasoning_patterns",IF(ISNUMBER(SEARCH("statistical",F367)),"statistical_reasoning",IF(ISNUMBER(SEARCH("causal",F367)),"causal_reasoning",IF(ISNUMBER(SEARCH("social",F367)),"social_influence",IF(ISNUMBER(SEARCH("rhetoric",F367)),"rhetoric_discourse",IF(ISNUMBER(SEARCH("behavior",F367)),"behavioural_economics",IF(ISNUMBER(SEARCH("cognitive",F367)),"cognitive_biases",IF(J367="protective_pattern","healthy_reasoning_patterns",IF(L367="P0","core_mvp","extended_fallacies")))))))))</x:f>
        <x:v>extended_fallacies</x:v>
      </x:c>
      <x:c r="AC367" s="12" t="str">
        <x:f>IF(ISNUMBER(SEARCH("operational",J367)),"operational",IF(ISNUMBER(SEARCH("deprecated",J367)),"deprecated",IF(L367="P0","canonical","recognized_subtype")))</x:f>
        <x:v>operational</x:v>
      </x:c>
      <x:c r="AD367" s="12" t="str">
        <x:f>IF(AC367="canonical","high",IF(AC367="recognized_subtype","medium",IF(AC367="operational","operational_only","debated")))</x:f>
        <x:v>operational_only</x:v>
      </x:c>
      <x:c r="AE367" s="12" t="str">
        <x:f>IF(AC367="deprecated","deprecated",IF(M367="yes","active",IF(M367="review","review_required","backlog")))</x:f>
        <x:v>backlog</x:v>
      </x:c>
      <x:c r="AF367" s="12" t="str">
        <x:f>IF(OR(AE367="active",AE367="review_required"),"yes","no")</x:f>
        <x:v>no</x:v>
      </x:c>
      <x:c r="AG367" s="12" t="str">
        <x:f>IF(AND(AE367="active",M367="yes",NOT(ISNUMBER(SEARCH("healthy",AB367)))),"yes","no")</x:f>
        <x:v>no</x:v>
      </x:c>
      <x:c r="AH367" s="12" t="str">
        <x:f>IF(OR(H367="contextual",H367="dialogue",H367="discourse",I367="claim+context",I367="discourse_segment"),"yes","no")</x:f>
        <x:v>no</x:v>
      </x:c>
      <x:c r="AI367" s="12" t="str">
        <x:f>IF(OR(AH367="yes",AD367="debated",AC367="operational"),"yes","no")</x:f>
        <x:v>yes</x:v>
      </x:c>
      <x:c r="AJ367" s="12" t="str">
        <x:f>IF(OR(AH367="yes",AC367="operational",AD367="debated"),"high",IF(AND(AG367="yes",L367="P0"),"medium","low"))</x:f>
        <x:v>high</x:v>
      </x:c>
      <x:c r="AK367" s="12" t="str">
        <x:f>IF(ISNUMBER(SEARCH("healthy",AB367)),"yes","no")</x:f>
        <x:v>no</x:v>
      </x:c>
      <x:c r="AL367" s="12" t="str">
        <x:f>IF(AG367="yes","yes","candidate_only")</x:f>
        <x:v>candidate_only</x:v>
      </x:c>
      <x:c r="AM367" s="12" t="str">
        <x:f>IF(OR(AC367="canonical",AG367="yes"),"yes","recommended")</x:f>
        <x:v>recommended</x:v>
      </x:c>
      <x:c r="AN367" s="12" t="str">
        <x:f>IF(AC367="deprecated","exclude",IF(AND(AG367="yes",AJ367="high"),"import_but_human_review_required",IF(AG367="yes","import_as_active","import_as_backlog")))</x:f>
        <x:v>import_as_backlog</x:v>
      </x:c>
      <x:c r="AO367" s="12" t="str">
        <x:f>IF(AND(AG367="yes",OR(P367="",Q367="",R367="",S367="")),"missing_required_mvp_fields",IF(AND(AC367="canonical",Y367=""),"missing_source_ref","ok"))</x:f>
        <x:v>ok</x:v>
      </x:c>
      <x:c r="AP367" s="12" t="str">
        <x:f>IF(AO367="ok","ready_for_codex_import","needs_review")</x:f>
        <x:v>ready_for_codex_import</x:v>
      </x:c>
      <x:c r="AQ367" s="12"/>
      <x:c r="AR367" s="12" t="str">
        <x:v>Added v2 operational fields. Review before classification activation.</x:v>
      </x:c>
    </x:row>
    <x:row r="368">
      <x:c r="A368" s="13" t="str">
        <x:v>law_of_small_numbers_risk_communication_variant</x:v>
      </x:c>
      <x:c r="B368" s="13" t="str">
        <x:v>law_of_small_numbers</x:v>
      </x:c>
      <x:c r="C368" s="13" t="str">
        <x:v>Law of small numbers</x:v>
      </x:c>
      <x:c r="D368" s="13" t="str">
        <x:v>قانون اعداد کوچک</x:v>
      </x:c>
      <x:c r="E368" s="13" t="str">
        <x:v>Risk-communication variant</x:v>
      </x:c>
      <x:c r="F368" s="13" t="str">
        <x:v>probabilistic_failures</x:v>
      </x:c>
      <x:c r="G368" s="13" t="str">
        <x:v>operational_variant</x:v>
      </x:c>
      <x:c r="H368" s="13" t="str">
        <x:v>contextual</x:v>
      </x:c>
      <x:c r="I368" s="13" t="str">
        <x:v>claim+context</x:v>
      </x:c>
      <x:c r="J368" s="13" t="str">
        <x:v>derived_operational_subtype</x:v>
      </x:c>
      <x:c r="K368" s="13" t="str">
        <x:v>derived_from_established_parent_review_required</x:v>
      </x:c>
      <x:c r="L368" s="13" t="str">
        <x:v>P3</x:v>
      </x:c>
      <x:c r="M368" s="13" t="str">
        <x:v>no</x:v>
      </x:c>
      <x:c r="N368" s="13" t="str">
        <x:v>Operational subtype under Law of small numbers: risk is framed in a misleading statistical format. Parent definition: Expecting small samples to resemble the population too closely.</x:v>
      </x:c>
      <x:c r="O368" s="13" t="str">
        <x:v>Look for: explicit claim-level evidence; parent-family cues for Law of small numbers; variant cue: risk is framed in a misleading statistical format; avoid author-level inference.</x:v>
      </x:c>
      <x:c r="P368" s="13" t="str">
        <x:v>Exact evidence span in text plus claim-level reasoning link; for contextual/discourse entries, require surrounding context.</x:v>
      </x:c>
      <x:c r="Q368" s="13" t="str">
        <x:v>Do not label merely because topic is controversial, emotional, or wrong. Do not judge intent or personality. Require textual evidence and consider healthy-reasoning cues.</x:v>
      </x:c>
      <x:c r="R368" s="13" t="str">
        <x:v>Stub: A claim relies on risk is framed in a misleading statistical format to support a conclusion without adequate qualification.</x:v>
      </x:c>
      <x:c r="S368" s="13" t="str">
        <x:v>Stub: A claim discusses law of small numbers with caveats, balanced evidence, or no argumentative use of the pattern.</x:v>
      </x:c>
      <x:c r="T368" s="13" t="str">
        <x:v>Mild or ambiguous cue; do not classify without clear evidence span.</x:v>
      </x:c>
      <x:c r="U368" s="13" t="str">
        <x:v>Clear claim-level pattern with some argumentative impact.</x:v>
      </x:c>
      <x:c r="V368" s="13" t="str">
        <x:v>Strong pattern central to the conclusion and likely to materially distort reasoning.</x:v>
      </x:c>
      <x:c r="W368" s="13" t="str"/>
      <x:c r="X368" s="13" t="str">
        <x:v>kahneman_tversky_heuristics_1974</x:v>
      </x:c>
      <x:c r="Y368" s="13" t="str">
        <x:v>https://doi.org/10.1126/science.185.4157.1124</x:v>
      </x:c>
      <x:c r="Z368" s="13" t="str">
        <x:v>Review before enabling. This workbook is a living taxonomy scaffold, not a validated scientific benchmark.</x:v>
      </x:c>
      <x:c r="AA368" s="13" t="str">
        <x:v>0.1.0-draft</x:v>
      </x:c>
      <x:c r="AB368" s="12" t="str">
        <x:f>IF(ISNUMBER(SEARCH("healthy",F368)),"healthy_reasoning_patterns",IF(ISNUMBER(SEARCH("statistical",F368)),"statistical_reasoning",IF(ISNUMBER(SEARCH("causal",F368)),"causal_reasoning",IF(ISNUMBER(SEARCH("social",F368)),"social_influence",IF(ISNUMBER(SEARCH("rhetoric",F368)),"rhetoric_discourse",IF(ISNUMBER(SEARCH("behavior",F368)),"behavioural_economics",IF(ISNUMBER(SEARCH("cognitive",F368)),"cognitive_biases",IF(J368="protective_pattern","healthy_reasoning_patterns",IF(L368="P0","core_mvp","extended_fallacies")))))))))</x:f>
        <x:v>extended_fallacies</x:v>
      </x:c>
      <x:c r="AC368" s="12" t="str">
        <x:f>IF(ISNUMBER(SEARCH("operational",J368)),"operational",IF(ISNUMBER(SEARCH("deprecated",J368)),"deprecated",IF(L368="P0","canonical","recognized_subtype")))</x:f>
        <x:v>operational</x:v>
      </x:c>
      <x:c r="AD368" s="12" t="str">
        <x:f>IF(AC368="canonical","high",IF(AC368="recognized_subtype","medium",IF(AC368="operational","operational_only","debated")))</x:f>
        <x:v>operational_only</x:v>
      </x:c>
      <x:c r="AE368" s="12" t="str">
        <x:f>IF(AC368="deprecated","deprecated",IF(M368="yes","active",IF(M368="review","review_required","backlog")))</x:f>
        <x:v>backlog</x:v>
      </x:c>
      <x:c r="AF368" s="12" t="str">
        <x:f>IF(OR(AE368="active",AE368="review_required"),"yes","no")</x:f>
        <x:v>no</x:v>
      </x:c>
      <x:c r="AG368" s="12" t="str">
        <x:f>IF(AND(AE368="active",M368="yes",NOT(ISNUMBER(SEARCH("healthy",AB368)))),"yes","no")</x:f>
        <x:v>no</x:v>
      </x:c>
      <x:c r="AH368" s="12" t="str">
        <x:f>IF(OR(H368="contextual",H368="dialogue",H368="discourse",I368="claim+context",I368="discourse_segment"),"yes","no")</x:f>
        <x:v>yes</x:v>
      </x:c>
      <x:c r="AI368" s="12" t="str">
        <x:f>IF(OR(AH368="yes",AD368="debated",AC368="operational"),"yes","no")</x:f>
        <x:v>yes</x:v>
      </x:c>
      <x:c r="AJ368" s="12" t="str">
        <x:f>IF(OR(AH368="yes",AC368="operational",AD368="debated"),"high",IF(AND(AG368="yes",L368="P0"),"medium","low"))</x:f>
        <x:v>high</x:v>
      </x:c>
      <x:c r="AK368" s="12" t="str">
        <x:f>IF(ISNUMBER(SEARCH("healthy",AB368)),"yes","no")</x:f>
        <x:v>no</x:v>
      </x:c>
      <x:c r="AL368" s="12" t="str">
        <x:f>IF(AG368="yes","yes","candidate_only")</x:f>
        <x:v>candidate_only</x:v>
      </x:c>
      <x:c r="AM368" s="12" t="str">
        <x:f>IF(OR(AC368="canonical",AG368="yes"),"yes","recommended")</x:f>
        <x:v>recommended</x:v>
      </x:c>
      <x:c r="AN368" s="12" t="str">
        <x:f>IF(AC368="deprecated","exclude",IF(AND(AG368="yes",AJ368="high"),"import_but_human_review_required",IF(AG368="yes","import_as_active","import_as_backlog")))</x:f>
        <x:v>import_as_backlog</x:v>
      </x:c>
      <x:c r="AO368" s="12" t="str">
        <x:f>IF(AND(AG368="yes",OR(P368="",Q368="",R368="",S368="")),"missing_required_mvp_fields",IF(AND(AC368="canonical",Y368=""),"missing_source_ref","ok"))</x:f>
        <x:v>ok</x:v>
      </x:c>
      <x:c r="AP368" s="12" t="str">
        <x:f>IF(AO368="ok","ready_for_codex_import","needs_review")</x:f>
        <x:v>ready_for_codex_import</x:v>
      </x:c>
      <x:c r="AQ368" s="12"/>
      <x:c r="AR368" s="12" t="str">
        <x:v>Added v2 operational fields. Review before classification activation.</x:v>
      </x:c>
    </x:row>
    <x:row r="369">
      <x:c r="A369" s="13" t="str">
        <x:v>sample_space_confusion_risk_communication_variant</x:v>
      </x:c>
      <x:c r="B369" s="13" t="str">
        <x:v>sample_space_confusion</x:v>
      </x:c>
      <x:c r="C369" s="13" t="str">
        <x:v>Sample-space confusion</x:v>
      </x:c>
      <x:c r="D369" s="13" t="str">
        <x:v>ابهام فضای نمونه</x:v>
      </x:c>
      <x:c r="E369" s="13" t="str">
        <x:v>Risk-communication variant</x:v>
      </x:c>
      <x:c r="F369" s="13" t="str">
        <x:v>probabilistic_failures</x:v>
      </x:c>
      <x:c r="G369" s="13" t="str">
        <x:v>operational_variant</x:v>
      </x:c>
      <x:c r="H369" s="13" t="str">
        <x:v>structural</x:v>
      </x:c>
      <x:c r="I369" s="13" t="str">
        <x:v>claim</x:v>
      </x:c>
      <x:c r="J369" s="13" t="str">
        <x:v>derived_operational_subtype</x:v>
      </x:c>
      <x:c r="K369" s="13" t="str">
        <x:v>derived_from_established_parent_review_required</x:v>
      </x:c>
      <x:c r="L369" s="13" t="str">
        <x:v>P3</x:v>
      </x:c>
      <x:c r="M369" s="13" t="str">
        <x:v>no</x:v>
      </x:c>
      <x:c r="N369" s="13" t="str">
        <x:v>Operational subtype under Sample-space confusion: risk is framed in a misleading statistical format. Parent definition: Reasoning about probabilities without specifying the relevant outcome space.</x:v>
      </x:c>
      <x:c r="O369" s="13" t="str">
        <x:v>Look for: explicit claim-level evidence; parent-family cues for Sample-space confusion; variant cue: risk is framed in a misleading statistical format; avoid author-level inference.</x:v>
      </x:c>
      <x:c r="P369" s="13" t="str">
        <x:v>Exact evidence span in text plus claim-level reasoning link; for contextual/discourse entries, require surrounding context.</x:v>
      </x:c>
      <x:c r="Q369" s="13" t="str">
        <x:v>Do not label merely because topic is controversial, emotional, or wrong. Do not judge intent or personality. Require textual evidence and consider healthy-reasoning cues.</x:v>
      </x:c>
      <x:c r="R369" s="13" t="str">
        <x:v>Stub: A claim relies on risk is framed in a misleading statistical format to support a conclusion without adequate qualification.</x:v>
      </x:c>
      <x:c r="S369" s="13" t="str">
        <x:v>Stub: A claim discusses sample-space confusion with caveats, balanced evidence, or no argumentative use of the pattern.</x:v>
      </x:c>
      <x:c r="T369" s="13" t="str">
        <x:v>Mild or ambiguous cue; do not classify without clear evidence span.</x:v>
      </x:c>
      <x:c r="U369" s="13" t="str">
        <x:v>Clear claim-level pattern with some argumentative impact.</x:v>
      </x:c>
      <x:c r="V369" s="13" t="str">
        <x:v>Strong pattern central to the conclusion and likely to materially distort reasoning.</x:v>
      </x:c>
      <x:c r="W369" s="13" t="str"/>
      <x:c r="X369" s="13" t="str">
        <x:v>stanovich_dual_process</x:v>
      </x:c>
      <x:c r="Y369" s="13" t="str">
        <x:v>https://global.oup.com/academic/product/rationality-and-the-reflective-mind-9780195341140</x:v>
      </x:c>
      <x:c r="Z369" s="13" t="str">
        <x:v>Review before enabling. This workbook is a living taxonomy scaffold, not a validated scientific benchmark.</x:v>
      </x:c>
      <x:c r="AA369" s="13" t="str">
        <x:v>0.1.0-draft</x:v>
      </x:c>
      <x:c r="AB369" s="12" t="str">
        <x:f>IF(ISNUMBER(SEARCH("healthy",F369)),"healthy_reasoning_patterns",IF(ISNUMBER(SEARCH("statistical",F369)),"statistical_reasoning",IF(ISNUMBER(SEARCH("causal",F369)),"causal_reasoning",IF(ISNUMBER(SEARCH("social",F369)),"social_influence",IF(ISNUMBER(SEARCH("rhetoric",F369)),"rhetoric_discourse",IF(ISNUMBER(SEARCH("behavior",F369)),"behavioural_economics",IF(ISNUMBER(SEARCH("cognitive",F369)),"cognitive_biases",IF(J369="protective_pattern","healthy_reasoning_patterns",IF(L369="P0","core_mvp","extended_fallacies")))))))))</x:f>
        <x:v>extended_fallacies</x:v>
      </x:c>
      <x:c r="AC369" s="12" t="str">
        <x:f>IF(ISNUMBER(SEARCH("operational",J369)),"operational",IF(ISNUMBER(SEARCH("deprecated",J369)),"deprecated",IF(L369="P0","canonical","recognized_subtype")))</x:f>
        <x:v>operational</x:v>
      </x:c>
      <x:c r="AD369" s="12" t="str">
        <x:f>IF(AC369="canonical","high",IF(AC369="recognized_subtype","medium",IF(AC369="operational","operational_only","debated")))</x:f>
        <x:v>operational_only</x:v>
      </x:c>
      <x:c r="AE369" s="12" t="str">
        <x:f>IF(AC369="deprecated","deprecated",IF(M369="yes","active",IF(M369="review","review_required","backlog")))</x:f>
        <x:v>backlog</x:v>
      </x:c>
      <x:c r="AF369" s="12" t="str">
        <x:f>IF(OR(AE369="active",AE369="review_required"),"yes","no")</x:f>
        <x:v>no</x:v>
      </x:c>
      <x:c r="AG369" s="12" t="str">
        <x:f>IF(AND(AE369="active",M369="yes",NOT(ISNUMBER(SEARCH("healthy",AB369)))),"yes","no")</x:f>
        <x:v>no</x:v>
      </x:c>
      <x:c r="AH369" s="12" t="str">
        <x:f>IF(OR(H369="contextual",H369="dialogue",H369="discourse",I369="claim+context",I369="discourse_segment"),"yes","no")</x:f>
        <x:v>no</x:v>
      </x:c>
      <x:c r="AI369" s="12" t="str">
        <x:f>IF(OR(AH369="yes",AD369="debated",AC369="operational"),"yes","no")</x:f>
        <x:v>yes</x:v>
      </x:c>
      <x:c r="AJ369" s="12" t="str">
        <x:f>IF(OR(AH369="yes",AC369="operational",AD369="debated"),"high",IF(AND(AG369="yes",L369="P0"),"medium","low"))</x:f>
        <x:v>high</x:v>
      </x:c>
      <x:c r="AK369" s="12" t="str">
        <x:f>IF(ISNUMBER(SEARCH("healthy",AB369)),"yes","no")</x:f>
        <x:v>no</x:v>
      </x:c>
      <x:c r="AL369" s="12" t="str">
        <x:f>IF(AG369="yes","yes","candidate_only")</x:f>
        <x:v>candidate_only</x:v>
      </x:c>
      <x:c r="AM369" s="12" t="str">
        <x:f>IF(OR(AC369="canonical",AG369="yes"),"yes","recommended")</x:f>
        <x:v>recommended</x:v>
      </x:c>
      <x:c r="AN369" s="12" t="str">
        <x:f>IF(AC369="deprecated","exclude",IF(AND(AG369="yes",AJ369="high"),"import_but_human_review_required",IF(AG369="yes","import_as_active","import_as_backlog")))</x:f>
        <x:v>import_as_backlog</x:v>
      </x:c>
      <x:c r="AO369" s="12" t="str">
        <x:f>IF(AND(AG369="yes",OR(P369="",Q369="",R369="",S369="")),"missing_required_mvp_fields",IF(AND(AC369="canonical",Y369=""),"missing_source_ref","ok"))</x:f>
        <x:v>ok</x:v>
      </x:c>
      <x:c r="AP369" s="12" t="str">
        <x:f>IF(AO369="ok","ready_for_codex_import","needs_review")</x:f>
        <x:v>ready_for_codex_import</x:v>
      </x:c>
      <x:c r="AQ369" s="12"/>
      <x:c r="AR369" s="12" t="str">
        <x:v>Added v2 operational fields. Review before classification activation.</x:v>
      </x:c>
    </x:row>
    <x:row r="370">
      <x:c r="A370" s="13" t="str">
        <x:v>risk_ratio_absolute_risk_confusion_risk_communication_variant</x:v>
      </x:c>
      <x:c r="B370" s="13" t="str">
        <x:v>risk_ratio_absolute_risk_confusion</x:v>
      </x:c>
      <x:c r="C370" s="13" t="str">
        <x:v>Relative vs absolute risk confusion</x:v>
      </x:c>
      <x:c r="D370" s="13" t="str">
        <x:v>ابهام ریسک نسبی و مطلق</x:v>
      </x:c>
      <x:c r="E370" s="13" t="str">
        <x:v>Risk-communication variant</x:v>
      </x:c>
      <x:c r="F370" s="13" t="str">
        <x:v>probabilistic_failures</x:v>
      </x:c>
      <x:c r="G370" s="13" t="str">
        <x:v>operational_variant</x:v>
      </x:c>
      <x:c r="H370" s="13" t="str">
        <x:v>lexical</x:v>
      </x:c>
      <x:c r="I370" s="13" t="str">
        <x:v>claim</x:v>
      </x:c>
      <x:c r="J370" s="13" t="str">
        <x:v>derived_operational_subtype</x:v>
      </x:c>
      <x:c r="K370" s="13" t="str">
        <x:v>derived_from_established_parent_review_required</x:v>
      </x:c>
      <x:c r="L370" s="13" t="str">
        <x:v>P3</x:v>
      </x:c>
      <x:c r="M370" s="13" t="str">
        <x:v>no</x:v>
      </x:c>
      <x:c r="N370" s="13" t="str">
        <x:v>Operational subtype under Relative vs absolute risk confusion: risk is framed in a misleading statistical format. Parent definition: Using relative change while hiding absolute magnitude.</x:v>
      </x:c>
      <x:c r="O370" s="13" t="str">
        <x:v>Look for: explicit claim-level evidence; parent-family cues for Relative vs absolute risk confusion; variant cue: risk is framed in a misleading statistical format; avoid author-level inference.</x:v>
      </x:c>
      <x:c r="P370" s="13" t="str">
        <x:v>Exact evidence span in text plus claim-level reasoning link; for contextual/discourse entries, require surrounding context.</x:v>
      </x:c>
      <x:c r="Q370" s="13" t="str">
        <x:v>Do not label merely because topic is controversial, emotional, or wrong. Do not judge intent or personality. Require textual evidence and consider healthy-reasoning cues.</x:v>
      </x:c>
      <x:c r="R370" s="13" t="str">
        <x:v>Stub: A claim relies on risk is framed in a misleading statistical format to support a conclusion without adequate qualification.</x:v>
      </x:c>
      <x:c r="S370" s="13" t="str">
        <x:v>Stub: A claim discusses relative vs absolute risk confusion with caveats, balanced evidence, or no argumentative use of the pattern.</x:v>
      </x:c>
      <x:c r="T370" s="13" t="str">
        <x:v>Mild or ambiguous cue; do not classify without clear evidence span.</x:v>
      </x:c>
      <x:c r="U370" s="13" t="str">
        <x:v>Clear claim-level pattern with some argumentative impact.</x:v>
      </x:c>
      <x:c r="V370" s="13" t="str">
        <x:v>Strong pattern central to the conclusion and likely to materially distort reasoning.</x:v>
      </x:c>
      <x:c r="W370" s="13" t="str"/>
      <x:c r="X370" s="13" t="str">
        <x:v>stanovich_dual_process</x:v>
      </x:c>
      <x:c r="Y370" s="13" t="str">
        <x:v>https://global.oup.com/academic/product/rationality-and-the-reflective-mind-9780195341140</x:v>
      </x:c>
      <x:c r="Z370" s="13" t="str">
        <x:v>Review before enabling. This workbook is a living taxonomy scaffold, not a validated scientific benchmark.</x:v>
      </x:c>
      <x:c r="AA370" s="13" t="str">
        <x:v>0.1.0-draft</x:v>
      </x:c>
      <x:c r="AB370" s="12" t="str">
        <x:f>IF(ISNUMBER(SEARCH("healthy",F370)),"healthy_reasoning_patterns",IF(ISNUMBER(SEARCH("statistical",F370)),"statistical_reasoning",IF(ISNUMBER(SEARCH("causal",F370)),"causal_reasoning",IF(ISNUMBER(SEARCH("social",F370)),"social_influence",IF(ISNUMBER(SEARCH("rhetoric",F370)),"rhetoric_discourse",IF(ISNUMBER(SEARCH("behavior",F370)),"behavioural_economics",IF(ISNUMBER(SEARCH("cognitive",F370)),"cognitive_biases",IF(J370="protective_pattern","healthy_reasoning_patterns",IF(L370="P0","core_mvp","extended_fallacies")))))))))</x:f>
        <x:v>extended_fallacies</x:v>
      </x:c>
      <x:c r="AC370" s="12" t="str">
        <x:f>IF(ISNUMBER(SEARCH("operational",J370)),"operational",IF(ISNUMBER(SEARCH("deprecated",J370)),"deprecated",IF(L370="P0","canonical","recognized_subtype")))</x:f>
        <x:v>operational</x:v>
      </x:c>
      <x:c r="AD370" s="12" t="str">
        <x:f>IF(AC370="canonical","high",IF(AC370="recognized_subtype","medium",IF(AC370="operational","operational_only","debated")))</x:f>
        <x:v>operational_only</x:v>
      </x:c>
      <x:c r="AE370" s="12" t="str">
        <x:f>IF(AC370="deprecated","deprecated",IF(M370="yes","active",IF(M370="review","review_required","backlog")))</x:f>
        <x:v>backlog</x:v>
      </x:c>
      <x:c r="AF370" s="12" t="str">
        <x:f>IF(OR(AE370="active",AE370="review_required"),"yes","no")</x:f>
        <x:v>no</x:v>
      </x:c>
      <x:c r="AG370" s="12" t="str">
        <x:f>IF(AND(AE370="active",M370="yes",NOT(ISNUMBER(SEARCH("healthy",AB370)))),"yes","no")</x:f>
        <x:v>no</x:v>
      </x:c>
      <x:c r="AH370" s="12" t="str">
        <x:f>IF(OR(H370="contextual",H370="dialogue",H370="discourse",I370="claim+context",I370="discourse_segment"),"yes","no")</x:f>
        <x:v>no</x:v>
      </x:c>
      <x:c r="AI370" s="12" t="str">
        <x:f>IF(OR(AH370="yes",AD370="debated",AC370="operational"),"yes","no")</x:f>
        <x:v>yes</x:v>
      </x:c>
      <x:c r="AJ370" s="12" t="str">
        <x:f>IF(OR(AH370="yes",AC370="operational",AD370="debated"),"high",IF(AND(AG370="yes",L370="P0"),"medium","low"))</x:f>
        <x:v>high</x:v>
      </x:c>
      <x:c r="AK370" s="12" t="str">
        <x:f>IF(ISNUMBER(SEARCH("healthy",AB370)),"yes","no")</x:f>
        <x:v>no</x:v>
      </x:c>
      <x:c r="AL370" s="12" t="str">
        <x:f>IF(AG370="yes","yes","candidate_only")</x:f>
        <x:v>candidate_only</x:v>
      </x:c>
      <x:c r="AM370" s="12" t="str">
        <x:f>IF(OR(AC370="canonical",AG370="yes"),"yes","recommended")</x:f>
        <x:v>recommended</x:v>
      </x:c>
      <x:c r="AN370" s="12" t="str">
        <x:f>IF(AC370="deprecated","exclude",IF(AND(AG370="yes",AJ370="high"),"import_but_human_review_required",IF(AG370="yes","import_as_active","import_as_backlog")))</x:f>
        <x:v>import_as_backlog</x:v>
      </x:c>
      <x:c r="AO370" s="12" t="str">
        <x:f>IF(AND(AG370="yes",OR(P370="",Q370="",R370="",S370="")),"missing_required_mvp_fields",IF(AND(AC370="canonical",Y370=""),"missing_source_ref","ok"))</x:f>
        <x:v>ok</x:v>
      </x:c>
      <x:c r="AP370" s="12" t="str">
        <x:f>IF(AO370="ok","ready_for_codex_import","needs_review")</x:f>
        <x:v>ready_for_codex_import</x:v>
      </x:c>
      <x:c r="AQ370" s="12"/>
      <x:c r="AR370" s="12" t="str">
        <x:v>Added v2 operational fields. Review before classification activation.</x:v>
      </x:c>
    </x:row>
    <x:row r="371">
      <x:c r="A371" s="13" t="str">
        <x:v>expected_value_neglect_risk_communication_variant</x:v>
      </x:c>
      <x:c r="B371" s="13" t="str">
        <x:v>expected_value_neglect</x:v>
      </x:c>
      <x:c r="C371" s="13" t="str">
        <x:v>Expected-value neglect</x:v>
      </x:c>
      <x:c r="D371" s="13" t="str">
        <x:v>نادیده‌گرفتن امید ریاضی</x:v>
      </x:c>
      <x:c r="E371" s="13" t="str">
        <x:v>Risk-communication variant</x:v>
      </x:c>
      <x:c r="F371" s="13" t="str">
        <x:v>probabilistic_failures</x:v>
      </x:c>
      <x:c r="G371" s="13" t="str">
        <x:v>operational_variant</x:v>
      </x:c>
      <x:c r="H371" s="13" t="str">
        <x:v>contextual</x:v>
      </x:c>
      <x:c r="I371" s="13" t="str">
        <x:v>claim+context</x:v>
      </x:c>
      <x:c r="J371" s="13" t="str">
        <x:v>derived_operational_subtype</x:v>
      </x:c>
      <x:c r="K371" s="13" t="str">
        <x:v>derived_from_established_parent_review_required</x:v>
      </x:c>
      <x:c r="L371" s="13" t="str">
        <x:v>P3</x:v>
      </x:c>
      <x:c r="M371" s="13" t="str">
        <x:v>no</x:v>
      </x:c>
      <x:c r="N371" s="13" t="str">
        <x:v>Operational subtype under Expected-value neglect: risk is framed in a misleading statistical format. Parent definition: Focusing on salient outcomes while ignoring probability-weighted value.</x:v>
      </x:c>
      <x:c r="O371" s="13" t="str">
        <x:v>Look for: explicit claim-level evidence; parent-family cues for Expected-value neglect; variant cue: risk is framed in a misleading statistical format; avoid author-level inference.</x:v>
      </x:c>
      <x:c r="P371" s="13" t="str">
        <x:v>Exact evidence span in text plus claim-level reasoning link; for contextual/discourse entries, require surrounding context.</x:v>
      </x:c>
      <x:c r="Q371" s="13" t="str">
        <x:v>Do not label merely because topic is controversial, emotional, or wrong. Do not judge intent or personality. Require textual evidence and consider healthy-reasoning cues.</x:v>
      </x:c>
      <x:c r="R371" s="13" t="str">
        <x:v>Stub: A claim relies on risk is framed in a misleading statistical format to support a conclusion without adequate qualification.</x:v>
      </x:c>
      <x:c r="S371" s="13" t="str">
        <x:v>Stub: A claim discusses expected-value neglect with caveats, balanced evidence, or no argumentative use of the pattern.</x:v>
      </x:c>
      <x:c r="T371" s="13" t="str">
        <x:v>Mild or ambiguous cue; do not classify without clear evidence span.</x:v>
      </x:c>
      <x:c r="U371" s="13" t="str">
        <x:v>Clear claim-level pattern with some argumentative impact.</x:v>
      </x:c>
      <x:c r="V371" s="13" t="str">
        <x:v>Strong pattern central to the conclusion and likely to materially distort reasoning.</x:v>
      </x:c>
      <x:c r="W371" s="13" t="str"/>
      <x:c r="X371" s="13" t="str">
        <x:v>kahneman_tversky_prospect_1979</x:v>
      </x:c>
      <x:c r="Y371" s="13" t="str">
        <x:v>https://doi.org/10.2307/1914185</x:v>
      </x:c>
      <x:c r="Z371" s="13" t="str">
        <x:v>Review before enabling. This workbook is a living taxonomy scaffold, not a validated scientific benchmark.</x:v>
      </x:c>
      <x:c r="AA371" s="13" t="str">
        <x:v>0.1.0-draft</x:v>
      </x:c>
      <x:c r="AB371" s="12" t="str">
        <x:f>IF(ISNUMBER(SEARCH("healthy",F371)),"healthy_reasoning_patterns",IF(ISNUMBER(SEARCH("statistical",F371)),"statistical_reasoning",IF(ISNUMBER(SEARCH("causal",F371)),"causal_reasoning",IF(ISNUMBER(SEARCH("social",F371)),"social_influence",IF(ISNUMBER(SEARCH("rhetoric",F371)),"rhetoric_discourse",IF(ISNUMBER(SEARCH("behavior",F371)),"behavioural_economics",IF(ISNUMBER(SEARCH("cognitive",F371)),"cognitive_biases",IF(J371="protective_pattern","healthy_reasoning_patterns",IF(L371="P0","core_mvp","extended_fallacies")))))))))</x:f>
        <x:v>extended_fallacies</x:v>
      </x:c>
      <x:c r="AC371" s="12" t="str">
        <x:f>IF(ISNUMBER(SEARCH("operational",J371)),"operational",IF(ISNUMBER(SEARCH("deprecated",J371)),"deprecated",IF(L371="P0","canonical","recognized_subtype")))</x:f>
        <x:v>operational</x:v>
      </x:c>
      <x:c r="AD371" s="12" t="str">
        <x:f>IF(AC371="canonical","high",IF(AC371="recognized_subtype","medium",IF(AC371="operational","operational_only","debated")))</x:f>
        <x:v>operational_only</x:v>
      </x:c>
      <x:c r="AE371" s="12" t="str">
        <x:f>IF(AC371="deprecated","deprecated",IF(M371="yes","active",IF(M371="review","review_required","backlog")))</x:f>
        <x:v>backlog</x:v>
      </x:c>
      <x:c r="AF371" s="12" t="str">
        <x:f>IF(OR(AE371="active",AE371="review_required"),"yes","no")</x:f>
        <x:v>no</x:v>
      </x:c>
      <x:c r="AG371" s="12" t="str">
        <x:f>IF(AND(AE371="active",M371="yes",NOT(ISNUMBER(SEARCH("healthy",AB371)))),"yes","no")</x:f>
        <x:v>no</x:v>
      </x:c>
      <x:c r="AH371" s="12" t="str">
        <x:f>IF(OR(H371="contextual",H371="dialogue",H371="discourse",I371="claim+context",I371="discourse_segment"),"yes","no")</x:f>
        <x:v>yes</x:v>
      </x:c>
      <x:c r="AI371" s="12" t="str">
        <x:f>IF(OR(AH371="yes",AD371="debated",AC371="operational"),"yes","no")</x:f>
        <x:v>yes</x:v>
      </x:c>
      <x:c r="AJ371" s="12" t="str">
        <x:f>IF(OR(AH371="yes",AC371="operational",AD371="debated"),"high",IF(AND(AG371="yes",L371="P0"),"medium","low"))</x:f>
        <x:v>high</x:v>
      </x:c>
      <x:c r="AK371" s="12" t="str">
        <x:f>IF(ISNUMBER(SEARCH("healthy",AB371)),"yes","no")</x:f>
        <x:v>no</x:v>
      </x:c>
      <x:c r="AL371" s="12" t="str">
        <x:f>IF(AG371="yes","yes","candidate_only")</x:f>
        <x:v>candidate_only</x:v>
      </x:c>
      <x:c r="AM371" s="12" t="str">
        <x:f>IF(OR(AC371="canonical",AG371="yes"),"yes","recommended")</x:f>
        <x:v>recommended</x:v>
      </x:c>
      <x:c r="AN371" s="12" t="str">
        <x:f>IF(AC371="deprecated","exclude",IF(AND(AG371="yes",AJ371="high"),"import_but_human_review_required",IF(AG371="yes","import_as_active","import_as_backlog")))</x:f>
        <x:v>import_as_backlog</x:v>
      </x:c>
      <x:c r="AO371" s="12" t="str">
        <x:f>IF(AND(AG371="yes",OR(P371="",Q371="",R371="",S371="")),"missing_required_mvp_fields",IF(AND(AC371="canonical",Y371=""),"missing_source_ref","ok"))</x:f>
        <x:v>ok</x:v>
      </x:c>
      <x:c r="AP371" s="12" t="str">
        <x:f>IF(AO371="ok","ready_for_codex_import","needs_review")</x:f>
        <x:v>ready_for_codex_import</x:v>
      </x:c>
      <x:c r="AQ371" s="12"/>
      <x:c r="AR371" s="12" t="str">
        <x:v>Added v2 operational fields. Review before classification activation.</x:v>
      </x:c>
    </x:row>
    <x:row r="372">
      <x:c r="A372" s="13" t="str">
        <x:v>tail_risk_neglect_risk_communication_variant</x:v>
      </x:c>
      <x:c r="B372" s="13" t="str">
        <x:v>tail_risk_neglect</x:v>
      </x:c>
      <x:c r="C372" s="13" t="str">
        <x:v>Tail-risk neglect</x:v>
      </x:c>
      <x:c r="D372" s="13" t="str">
        <x:v>نادیده‌گرفتن ریسک دنباله</x:v>
      </x:c>
      <x:c r="E372" s="13" t="str">
        <x:v>Risk-communication variant</x:v>
      </x:c>
      <x:c r="F372" s="13" t="str">
        <x:v>probabilistic_failures</x:v>
      </x:c>
      <x:c r="G372" s="13" t="str">
        <x:v>operational_variant</x:v>
      </x:c>
      <x:c r="H372" s="13" t="str">
        <x:v>contextual</x:v>
      </x:c>
      <x:c r="I372" s="13" t="str">
        <x:v>claim+context</x:v>
      </x:c>
      <x:c r="J372" s="13" t="str">
        <x:v>derived_operational_subtype</x:v>
      </x:c>
      <x:c r="K372" s="13" t="str">
        <x:v>derived_from_established_parent_review_required</x:v>
      </x:c>
      <x:c r="L372" s="13" t="str">
        <x:v>P3</x:v>
      </x:c>
      <x:c r="M372" s="13" t="str">
        <x:v>no</x:v>
      </x:c>
      <x:c r="N372" s="13" t="str">
        <x:v>Operational subtype under Tail-risk neglect: risk is framed in a misleading statistical format. Parent definition: Ignoring low-probability but high-impact outcomes when relevant.</x:v>
      </x:c>
      <x:c r="O372" s="13" t="str">
        <x:v>Look for: explicit claim-level evidence; parent-family cues for Tail-risk neglect; variant cue: risk is framed in a misleading statistical format; avoid author-level inference.</x:v>
      </x:c>
      <x:c r="P372" s="13" t="str">
        <x:v>Exact evidence span in text plus claim-level reasoning link; for contextual/discourse entries, require surrounding context.</x:v>
      </x:c>
      <x:c r="Q372" s="13" t="str">
        <x:v>Do not label merely because topic is controversial, emotional, or wrong. Do not judge intent or personality. Require textual evidence and consider healthy-reasoning cues.</x:v>
      </x:c>
      <x:c r="R372" s="13" t="str">
        <x:v>Stub: A claim relies on risk is framed in a misleading statistical format to support a conclusion without adequate qualification.</x:v>
      </x:c>
      <x:c r="S372" s="13" t="str">
        <x:v>Stub: A claim discusses tail-risk neglect with caveats, balanced evidence, or no argumentative use of the pattern.</x:v>
      </x:c>
      <x:c r="T372" s="13" t="str">
        <x:v>Mild or ambiguous cue; do not classify without clear evidence span.</x:v>
      </x:c>
      <x:c r="U372" s="13" t="str">
        <x:v>Clear claim-level pattern with some argumentative impact.</x:v>
      </x:c>
      <x:c r="V372" s="13" t="str">
        <x:v>Strong pattern central to the conclusion and likely to materially distort reasoning.</x:v>
      </x:c>
      <x:c r="W372" s="13" t="str"/>
      <x:c r="X372" s="13" t="str">
        <x:v>kahneman_tversky_prospect_1979</x:v>
      </x:c>
      <x:c r="Y372" s="13" t="str">
        <x:v>https://doi.org/10.2307/1914185</x:v>
      </x:c>
      <x:c r="Z372" s="13" t="str">
        <x:v>Review before enabling. This workbook is a living taxonomy scaffold, not a validated scientific benchmark.</x:v>
      </x:c>
      <x:c r="AA372" s="13" t="str">
        <x:v>0.1.0-draft</x:v>
      </x:c>
      <x:c r="AB372" s="12" t="str">
        <x:f>IF(ISNUMBER(SEARCH("healthy",F372)),"healthy_reasoning_patterns",IF(ISNUMBER(SEARCH("statistical",F372)),"statistical_reasoning",IF(ISNUMBER(SEARCH("causal",F372)),"causal_reasoning",IF(ISNUMBER(SEARCH("social",F372)),"social_influence",IF(ISNUMBER(SEARCH("rhetoric",F372)),"rhetoric_discourse",IF(ISNUMBER(SEARCH("behavior",F372)),"behavioural_economics",IF(ISNUMBER(SEARCH("cognitive",F372)),"cognitive_biases",IF(J372="protective_pattern","healthy_reasoning_patterns",IF(L372="P0","core_mvp","extended_fallacies")))))))))</x:f>
        <x:v>extended_fallacies</x:v>
      </x:c>
      <x:c r="AC372" s="12" t="str">
        <x:f>IF(ISNUMBER(SEARCH("operational",J372)),"operational",IF(ISNUMBER(SEARCH("deprecated",J372)),"deprecated",IF(L372="P0","canonical","recognized_subtype")))</x:f>
        <x:v>operational</x:v>
      </x:c>
      <x:c r="AD372" s="12" t="str">
        <x:f>IF(AC372="canonical","high",IF(AC372="recognized_subtype","medium",IF(AC372="operational","operational_only","debated")))</x:f>
        <x:v>operational_only</x:v>
      </x:c>
      <x:c r="AE372" s="12" t="str">
        <x:f>IF(AC372="deprecated","deprecated",IF(M372="yes","active",IF(M372="review","review_required","backlog")))</x:f>
        <x:v>backlog</x:v>
      </x:c>
      <x:c r="AF372" s="12" t="str">
        <x:f>IF(OR(AE372="active",AE372="review_required"),"yes","no")</x:f>
        <x:v>no</x:v>
      </x:c>
      <x:c r="AG372" s="12" t="str">
        <x:f>IF(AND(AE372="active",M372="yes",NOT(ISNUMBER(SEARCH("healthy",AB372)))),"yes","no")</x:f>
        <x:v>no</x:v>
      </x:c>
      <x:c r="AH372" s="12" t="str">
        <x:f>IF(OR(H372="contextual",H372="dialogue",H372="discourse",I372="claim+context",I372="discourse_segment"),"yes","no")</x:f>
        <x:v>yes</x:v>
      </x:c>
      <x:c r="AI372" s="12" t="str">
        <x:f>IF(OR(AH372="yes",AD372="debated",AC372="operational"),"yes","no")</x:f>
        <x:v>yes</x:v>
      </x:c>
      <x:c r="AJ372" s="12" t="str">
        <x:f>IF(OR(AH372="yes",AC372="operational",AD372="debated"),"high",IF(AND(AG372="yes",L372="P0"),"medium","low"))</x:f>
        <x:v>high</x:v>
      </x:c>
      <x:c r="AK372" s="12" t="str">
        <x:f>IF(ISNUMBER(SEARCH("healthy",AB372)),"yes","no")</x:f>
        <x:v>no</x:v>
      </x:c>
      <x:c r="AL372" s="12" t="str">
        <x:f>IF(AG372="yes","yes","candidate_only")</x:f>
        <x:v>candidate_only</x:v>
      </x:c>
      <x:c r="AM372" s="12" t="str">
        <x:f>IF(OR(AC372="canonical",AG372="yes"),"yes","recommended")</x:f>
        <x:v>recommended</x:v>
      </x:c>
      <x:c r="AN372" s="12" t="str">
        <x:f>IF(AC372="deprecated","exclude",IF(AND(AG372="yes",AJ372="high"),"import_but_human_review_required",IF(AG372="yes","import_as_active","import_as_backlog")))</x:f>
        <x:v>import_as_backlog</x:v>
      </x:c>
      <x:c r="AO372" s="12" t="str">
        <x:f>IF(AND(AG372="yes",OR(P372="",Q372="",R372="",S372="")),"missing_required_mvp_fields",IF(AND(AC372="canonical",Y372=""),"missing_source_ref","ok"))</x:f>
        <x:v>ok</x:v>
      </x:c>
      <x:c r="AP372" s="12" t="str">
        <x:f>IF(AO372="ok","ready_for_codex_import","needs_review")</x:f>
        <x:v>ready_for_codex_import</x:v>
      </x:c>
      <x:c r="AQ372" s="12"/>
      <x:c r="AR372" s="12" t="str">
        <x:v>Added v2 operational fields. Review before classification activation.</x:v>
      </x:c>
    </x:row>
    <x:row r="373">
      <x:c r="A373" s="13" t="str">
        <x:v>rare_event_overweighting_risk_communication_variant</x:v>
      </x:c>
      <x:c r="B373" s="13" t="str">
        <x:v>rare_event_overweighting</x:v>
      </x:c>
      <x:c r="C373" s="13" t="str">
        <x:v>Rare-event overweighting</x:v>
      </x:c>
      <x:c r="D373" s="13" t="str">
        <x:v>بزرگ‌نمایی رخداد نادر</x:v>
      </x:c>
      <x:c r="E373" s="13" t="str">
        <x:v>Risk-communication variant</x:v>
      </x:c>
      <x:c r="F373" s="13" t="str">
        <x:v>probabilistic_failures</x:v>
      </x:c>
      <x:c r="G373" s="13" t="str">
        <x:v>operational_variant</x:v>
      </x:c>
      <x:c r="H373" s="13" t="str">
        <x:v>contextual</x:v>
      </x:c>
      <x:c r="I373" s="13" t="str">
        <x:v>claim+context</x:v>
      </x:c>
      <x:c r="J373" s="13" t="str">
        <x:v>derived_operational_subtype</x:v>
      </x:c>
      <x:c r="K373" s="13" t="str">
        <x:v>derived_from_established_parent_review_required</x:v>
      </x:c>
      <x:c r="L373" s="13" t="str">
        <x:v>P3</x:v>
      </x:c>
      <x:c r="M373" s="13" t="str">
        <x:v>no</x:v>
      </x:c>
      <x:c r="N373" s="13" t="str">
        <x:v>Operational subtype under Rare-event overweighting: risk is framed in a misleading statistical format. Parent definition: Overweighting rare events due to salience or vividness.</x:v>
      </x:c>
      <x:c r="O373" s="13" t="str">
        <x:v>Look for: explicit claim-level evidence; parent-family cues for Rare-event overweighting; variant cue: risk is framed in a misleading statistical format; avoid author-level inference.</x:v>
      </x:c>
      <x:c r="P373" s="13" t="str">
        <x:v>Exact evidence span in text plus claim-level reasoning link; for contextual/discourse entries, require surrounding context.</x:v>
      </x:c>
      <x:c r="Q373" s="13" t="str">
        <x:v>Do not label merely because topic is controversial, emotional, or wrong. Do not judge intent or personality. Require textual evidence and consider healthy-reasoning cues.</x:v>
      </x:c>
      <x:c r="R373" s="13" t="str">
        <x:v>Stub: A claim relies on risk is framed in a misleading statistical format to support a conclusion without adequate qualification.</x:v>
      </x:c>
      <x:c r="S373" s="13" t="str">
        <x:v>Stub: A claim discusses rare-event overweighting with caveats, balanced evidence, or no argumentative use of the pattern.</x:v>
      </x:c>
      <x:c r="T373" s="13" t="str">
        <x:v>Mild or ambiguous cue; do not classify without clear evidence span.</x:v>
      </x:c>
      <x:c r="U373" s="13" t="str">
        <x:v>Clear claim-level pattern with some argumentative impact.</x:v>
      </x:c>
      <x:c r="V373" s="13" t="str">
        <x:v>Strong pattern central to the conclusion and likely to materially distort reasoning.</x:v>
      </x:c>
      <x:c r="W373" s="13" t="str"/>
      <x:c r="X373" s="13" t="str">
        <x:v>kahneman_tversky_prospect_1979</x:v>
      </x:c>
      <x:c r="Y373" s="13" t="str">
        <x:v>https://doi.org/10.2307/1914185</x:v>
      </x:c>
      <x:c r="Z373" s="13" t="str">
        <x:v>Review before enabling. This workbook is a living taxonomy scaffold, not a validated scientific benchmark.</x:v>
      </x:c>
      <x:c r="AA373" s="13" t="str">
        <x:v>0.1.0-draft</x:v>
      </x:c>
      <x:c r="AB373" s="12" t="str">
        <x:f>IF(ISNUMBER(SEARCH("healthy",F373)),"healthy_reasoning_patterns",IF(ISNUMBER(SEARCH("statistical",F373)),"statistical_reasoning",IF(ISNUMBER(SEARCH("causal",F373)),"causal_reasoning",IF(ISNUMBER(SEARCH("social",F373)),"social_influence",IF(ISNUMBER(SEARCH("rhetoric",F373)),"rhetoric_discourse",IF(ISNUMBER(SEARCH("behavior",F373)),"behavioural_economics",IF(ISNUMBER(SEARCH("cognitive",F373)),"cognitive_biases",IF(J373="protective_pattern","healthy_reasoning_patterns",IF(L373="P0","core_mvp","extended_fallacies")))))))))</x:f>
        <x:v>extended_fallacies</x:v>
      </x:c>
      <x:c r="AC373" s="12" t="str">
        <x:f>IF(ISNUMBER(SEARCH("operational",J373)),"operational",IF(ISNUMBER(SEARCH("deprecated",J373)),"deprecated",IF(L373="P0","canonical","recognized_subtype")))</x:f>
        <x:v>operational</x:v>
      </x:c>
      <x:c r="AD373" s="12" t="str">
        <x:f>IF(AC373="canonical","high",IF(AC373="recognized_subtype","medium",IF(AC373="operational","operational_only","debated")))</x:f>
        <x:v>operational_only</x:v>
      </x:c>
      <x:c r="AE373" s="12" t="str">
        <x:f>IF(AC373="deprecated","deprecated",IF(M373="yes","active",IF(M373="review","review_required","backlog")))</x:f>
        <x:v>backlog</x:v>
      </x:c>
      <x:c r="AF373" s="12" t="str">
        <x:f>IF(OR(AE373="active",AE373="review_required"),"yes","no")</x:f>
        <x:v>no</x:v>
      </x:c>
      <x:c r="AG373" s="12" t="str">
        <x:f>IF(AND(AE373="active",M373="yes",NOT(ISNUMBER(SEARCH("healthy",AB373)))),"yes","no")</x:f>
        <x:v>no</x:v>
      </x:c>
      <x:c r="AH373" s="12" t="str">
        <x:f>IF(OR(H373="contextual",H373="dialogue",H373="discourse",I373="claim+context",I373="discourse_segment"),"yes","no")</x:f>
        <x:v>yes</x:v>
      </x:c>
      <x:c r="AI373" s="12" t="str">
        <x:f>IF(OR(AH373="yes",AD373="debated",AC373="operational"),"yes","no")</x:f>
        <x:v>yes</x:v>
      </x:c>
      <x:c r="AJ373" s="12" t="str">
        <x:f>IF(OR(AH373="yes",AC373="operational",AD373="debated"),"high",IF(AND(AG373="yes",L373="P0"),"medium","low"))</x:f>
        <x:v>high</x:v>
      </x:c>
      <x:c r="AK373" s="12" t="str">
        <x:f>IF(ISNUMBER(SEARCH("healthy",AB373)),"yes","no")</x:f>
        <x:v>no</x:v>
      </x:c>
      <x:c r="AL373" s="12" t="str">
        <x:f>IF(AG373="yes","yes","candidate_only")</x:f>
        <x:v>candidate_only</x:v>
      </x:c>
      <x:c r="AM373" s="12" t="str">
        <x:f>IF(OR(AC373="canonical",AG373="yes"),"yes","recommended")</x:f>
        <x:v>recommended</x:v>
      </x:c>
      <x:c r="AN373" s="12" t="str">
        <x:f>IF(AC373="deprecated","exclude",IF(AND(AG373="yes",AJ373="high"),"import_but_human_review_required",IF(AG373="yes","import_as_active","import_as_backlog")))</x:f>
        <x:v>import_as_backlog</x:v>
      </x:c>
      <x:c r="AO373" s="12" t="str">
        <x:f>IF(AND(AG373="yes",OR(P373="",Q373="",R373="",S373="")),"missing_required_mvp_fields",IF(AND(AC373="canonical",Y373=""),"missing_source_ref","ok"))</x:f>
        <x:v>ok</x:v>
      </x:c>
      <x:c r="AP373" s="12" t="str">
        <x:f>IF(AO373="ok","ready_for_codex_import","needs_review")</x:f>
        <x:v>ready_for_codex_import</x:v>
      </x:c>
      <x:c r="AQ373" s="12"/>
      <x:c r="AR373" s="12" t="str">
        <x:v>Added v2 operational fields. Review before classification activation.</x:v>
      </x:c>
    </x:row>
    <x:row r="374">
      <x:c r="A374" s="13" t="str">
        <x:v>normalcy_bias_probability_risk_communication_variant</x:v>
      </x:c>
      <x:c r="B374" s="13" t="str">
        <x:v>normalcy_bias_probability</x:v>
      </x:c>
      <x:c r="C374" s="13" t="str">
        <x:v>Normalcy bias in risk</x:v>
      </x:c>
      <x:c r="D374" s="13" t="str">
        <x:v>سوگیری عادی‌انگاری ریسک</x:v>
      </x:c>
      <x:c r="E374" s="13" t="str">
        <x:v>Risk-communication variant</x:v>
      </x:c>
      <x:c r="F374" s="13" t="str">
        <x:v>probabilistic_failures</x:v>
      </x:c>
      <x:c r="G374" s="13" t="str">
        <x:v>operational_variant</x:v>
      </x:c>
      <x:c r="H374" s="13" t="str">
        <x:v>contextual</x:v>
      </x:c>
      <x:c r="I374" s="13" t="str">
        <x:v>claim+context</x:v>
      </x:c>
      <x:c r="J374" s="13" t="str">
        <x:v>derived_operational_subtype</x:v>
      </x:c>
      <x:c r="K374" s="13" t="str">
        <x:v>derived_from_established_parent_review_required</x:v>
      </x:c>
      <x:c r="L374" s="13" t="str">
        <x:v>P3</x:v>
      </x:c>
      <x:c r="M374" s="13" t="str">
        <x:v>no</x:v>
      </x:c>
      <x:c r="N374" s="13" t="str">
        <x:v>Operational subtype under Normalcy bias in risk: risk is framed in a misleading statistical format. Parent definition: Assuming adverse outcomes are unlikely because they have not recently occurred.</x:v>
      </x:c>
      <x:c r="O374" s="13" t="str">
        <x:v>Look for: explicit claim-level evidence; parent-family cues for Normalcy bias in risk; variant cue: risk is framed in a misleading statistical format; avoid author-level inference.</x:v>
      </x:c>
      <x:c r="P374" s="13" t="str">
        <x:v>Exact evidence span in text plus claim-level reasoning link; for contextual/discourse entries, require surrounding context.</x:v>
      </x:c>
      <x:c r="Q374" s="13" t="str">
        <x:v>Do not label merely because topic is controversial, emotional, or wrong. Do not judge intent or personality. Require textual evidence and consider healthy-reasoning cues.</x:v>
      </x:c>
      <x:c r="R374" s="13" t="str">
        <x:v>Stub: A claim relies on risk is framed in a misleading statistical format to support a conclusion without adequate qualification.</x:v>
      </x:c>
      <x:c r="S374" s="13" t="str">
        <x:v>Stub: A claim discusses normalcy bias in risk with caveats, balanced evidence, or no argumentative use of the pattern.</x:v>
      </x:c>
      <x:c r="T374" s="13" t="str">
        <x:v>Mild or ambiguous cue; do not classify without clear evidence span.</x:v>
      </x:c>
      <x:c r="U374" s="13" t="str">
        <x:v>Clear claim-level pattern with some argumentative impact.</x:v>
      </x:c>
      <x:c r="V374" s="13" t="str">
        <x:v>Strong pattern central to the conclusion and likely to materially distort reasoning.</x:v>
      </x:c>
      <x:c r="W374" s="13" t="str"/>
      <x:c r="X374" s="13" t="str">
        <x:v>stanovich_dual_process</x:v>
      </x:c>
      <x:c r="Y374" s="13" t="str">
        <x:v>https://global.oup.com/academic/product/rationality-and-the-reflective-mind-9780195341140</x:v>
      </x:c>
      <x:c r="Z374" s="13" t="str">
        <x:v>Review before enabling. This workbook is a living taxonomy scaffold, not a validated scientific benchmark.</x:v>
      </x:c>
      <x:c r="AA374" s="13" t="str">
        <x:v>0.1.0-draft</x:v>
      </x:c>
      <x:c r="AB374" s="12" t="str">
        <x:f>IF(ISNUMBER(SEARCH("healthy",F374)),"healthy_reasoning_patterns",IF(ISNUMBER(SEARCH("statistical",F374)),"statistical_reasoning",IF(ISNUMBER(SEARCH("causal",F374)),"causal_reasoning",IF(ISNUMBER(SEARCH("social",F374)),"social_influence",IF(ISNUMBER(SEARCH("rhetoric",F374)),"rhetoric_discourse",IF(ISNUMBER(SEARCH("behavior",F374)),"behavioural_economics",IF(ISNUMBER(SEARCH("cognitive",F374)),"cognitive_biases",IF(J374="protective_pattern","healthy_reasoning_patterns",IF(L374="P0","core_mvp","extended_fallacies")))))))))</x:f>
        <x:v>extended_fallacies</x:v>
      </x:c>
      <x:c r="AC374" s="12" t="str">
        <x:f>IF(ISNUMBER(SEARCH("operational",J374)),"operational",IF(ISNUMBER(SEARCH("deprecated",J374)),"deprecated",IF(L374="P0","canonical","recognized_subtype")))</x:f>
        <x:v>operational</x:v>
      </x:c>
      <x:c r="AD374" s="12" t="str">
        <x:f>IF(AC374="canonical","high",IF(AC374="recognized_subtype","medium",IF(AC374="operational","operational_only","debated")))</x:f>
        <x:v>operational_only</x:v>
      </x:c>
      <x:c r="AE374" s="12" t="str">
        <x:f>IF(AC374="deprecated","deprecated",IF(M374="yes","active",IF(M374="review","review_required","backlog")))</x:f>
        <x:v>backlog</x:v>
      </x:c>
      <x:c r="AF374" s="12" t="str">
        <x:f>IF(OR(AE374="active",AE374="review_required"),"yes","no")</x:f>
        <x:v>no</x:v>
      </x:c>
      <x:c r="AG374" s="12" t="str">
        <x:f>IF(AND(AE374="active",M374="yes",NOT(ISNUMBER(SEARCH("healthy",AB374)))),"yes","no")</x:f>
        <x:v>no</x:v>
      </x:c>
      <x:c r="AH374" s="12" t="str">
        <x:f>IF(OR(H374="contextual",H374="dialogue",H374="discourse",I374="claim+context",I374="discourse_segment"),"yes","no")</x:f>
        <x:v>yes</x:v>
      </x:c>
      <x:c r="AI374" s="12" t="str">
        <x:f>IF(OR(AH374="yes",AD374="debated",AC374="operational"),"yes","no")</x:f>
        <x:v>yes</x:v>
      </x:c>
      <x:c r="AJ374" s="12" t="str">
        <x:f>IF(OR(AH374="yes",AC374="operational",AD374="debated"),"high",IF(AND(AG374="yes",L374="P0"),"medium","low"))</x:f>
        <x:v>high</x:v>
      </x:c>
      <x:c r="AK374" s="12" t="str">
        <x:f>IF(ISNUMBER(SEARCH("healthy",AB374)),"yes","no")</x:f>
        <x:v>no</x:v>
      </x:c>
      <x:c r="AL374" s="12" t="str">
        <x:f>IF(AG374="yes","yes","candidate_only")</x:f>
        <x:v>candidate_only</x:v>
      </x:c>
      <x:c r="AM374" s="12" t="str">
        <x:f>IF(OR(AC374="canonical",AG374="yes"),"yes","recommended")</x:f>
        <x:v>recommended</x:v>
      </x:c>
      <x:c r="AN374" s="12" t="str">
        <x:f>IF(AC374="deprecated","exclude",IF(AND(AG374="yes",AJ374="high"),"import_but_human_review_required",IF(AG374="yes","import_as_active","import_as_backlog")))</x:f>
        <x:v>import_as_backlog</x:v>
      </x:c>
      <x:c r="AO374" s="12" t="str">
        <x:f>IF(AND(AG374="yes",OR(P374="",Q374="",R374="",S374="")),"missing_required_mvp_fields",IF(AND(AC374="canonical",Y374=""),"missing_source_ref","ok"))</x:f>
        <x:v>ok</x:v>
      </x:c>
      <x:c r="AP374" s="12" t="str">
        <x:f>IF(AO374="ok","ready_for_codex_import","needs_review")</x:f>
        <x:v>ready_for_codex_import</x:v>
      </x:c>
      <x:c r="AQ374" s="12"/>
      <x:c r="AR374" s="12" t="str">
        <x:v>Added v2 operational fields. Review before classification activation.</x:v>
      </x:c>
    </x:row>
    <x:row r="375">
      <x:c r="A375" s="13" t="str">
        <x:v>certainty_effect_risk_communication_variant</x:v>
      </x:c>
      <x:c r="B375" s="13" t="str">
        <x:v>certainty_effect</x:v>
      </x:c>
      <x:c r="C375" s="13" t="str">
        <x:v>Certainty effect</x:v>
      </x:c>
      <x:c r="D375" s="13" t="str">
        <x:v>اثر قطعیت</x:v>
      </x:c>
      <x:c r="E375" s="13" t="str">
        <x:v>Risk-communication variant</x:v>
      </x:c>
      <x:c r="F375" s="13" t="str">
        <x:v>probabilistic_failures</x:v>
      </x:c>
      <x:c r="G375" s="13" t="str">
        <x:v>operational_variant</x:v>
      </x:c>
      <x:c r="H375" s="13" t="str">
        <x:v>contextual</x:v>
      </x:c>
      <x:c r="I375" s="13" t="str">
        <x:v>claim+context</x:v>
      </x:c>
      <x:c r="J375" s="13" t="str">
        <x:v>derived_operational_subtype</x:v>
      </x:c>
      <x:c r="K375" s="13" t="str">
        <x:v>derived_from_established_parent_review_required</x:v>
      </x:c>
      <x:c r="L375" s="13" t="str">
        <x:v>P3</x:v>
      </x:c>
      <x:c r="M375" s="13" t="str">
        <x:v>no</x:v>
      </x:c>
      <x:c r="N375" s="13" t="str">
        <x:v>Operational subtype under Certainty effect: risk is framed in a misleading statistical format. Parent definition: Overvaluing certain outcomes relative to merely probable outcomes.</x:v>
      </x:c>
      <x:c r="O375" s="13" t="str">
        <x:v>Look for: explicit claim-level evidence; parent-family cues for Certainty effect; variant cue: risk is framed in a misleading statistical format; avoid author-level inference.</x:v>
      </x:c>
      <x:c r="P375" s="13" t="str">
        <x:v>Exact evidence span in text plus claim-level reasoning link; for contextual/discourse entries, require surrounding context.</x:v>
      </x:c>
      <x:c r="Q375" s="13" t="str">
        <x:v>Do not label merely because topic is controversial, emotional, or wrong. Do not judge intent or personality. Require textual evidence and consider healthy-reasoning cues.</x:v>
      </x:c>
      <x:c r="R375" s="13" t="str">
        <x:v>Stub: A claim relies on risk is framed in a misleading statistical format to support a conclusion without adequate qualification.</x:v>
      </x:c>
      <x:c r="S375" s="13" t="str">
        <x:v>Stub: A claim discusses certainty effect with caveats, balanced evidence, or no argumentative use of the pattern.</x:v>
      </x:c>
      <x:c r="T375" s="13" t="str">
        <x:v>Mild or ambiguous cue; do not classify without clear evidence span.</x:v>
      </x:c>
      <x:c r="U375" s="13" t="str">
        <x:v>Clear claim-level pattern with some argumentative impact.</x:v>
      </x:c>
      <x:c r="V375" s="13" t="str">
        <x:v>Strong pattern central to the conclusion and likely to materially distort reasoning.</x:v>
      </x:c>
      <x:c r="W375" s="13" t="str"/>
      <x:c r="X375" s="13" t="str">
        <x:v>kahneman_tversky_prospect_1979</x:v>
      </x:c>
      <x:c r="Y375" s="13" t="str">
        <x:v>https://doi.org/10.2307/1914185</x:v>
      </x:c>
      <x:c r="Z375" s="13" t="str">
        <x:v>Review before enabling. This workbook is a living taxonomy scaffold, not a validated scientific benchmark.</x:v>
      </x:c>
      <x:c r="AA375" s="13" t="str">
        <x:v>0.1.0-draft</x:v>
      </x:c>
      <x:c r="AB375" s="12" t="str">
        <x:f>IF(ISNUMBER(SEARCH("healthy",F375)),"healthy_reasoning_patterns",IF(ISNUMBER(SEARCH("statistical",F375)),"statistical_reasoning",IF(ISNUMBER(SEARCH("causal",F375)),"causal_reasoning",IF(ISNUMBER(SEARCH("social",F375)),"social_influence",IF(ISNUMBER(SEARCH("rhetoric",F375)),"rhetoric_discourse",IF(ISNUMBER(SEARCH("behavior",F375)),"behavioural_economics",IF(ISNUMBER(SEARCH("cognitive",F375)),"cognitive_biases",IF(J375="protective_pattern","healthy_reasoning_patterns",IF(L375="P0","core_mvp","extended_fallacies")))))))))</x:f>
        <x:v>extended_fallacies</x:v>
      </x:c>
      <x:c r="AC375" s="12" t="str">
        <x:f>IF(ISNUMBER(SEARCH("operational",J375)),"operational",IF(ISNUMBER(SEARCH("deprecated",J375)),"deprecated",IF(L375="P0","canonical","recognized_subtype")))</x:f>
        <x:v>operational</x:v>
      </x:c>
      <x:c r="AD375" s="12" t="str">
        <x:f>IF(AC375="canonical","high",IF(AC375="recognized_subtype","medium",IF(AC375="operational","operational_only","debated")))</x:f>
        <x:v>operational_only</x:v>
      </x:c>
      <x:c r="AE375" s="12" t="str">
        <x:f>IF(AC375="deprecated","deprecated",IF(M375="yes","active",IF(M375="review","review_required","backlog")))</x:f>
        <x:v>backlog</x:v>
      </x:c>
      <x:c r="AF375" s="12" t="str">
        <x:f>IF(OR(AE375="active",AE375="review_required"),"yes","no")</x:f>
        <x:v>no</x:v>
      </x:c>
      <x:c r="AG375" s="12" t="str">
        <x:f>IF(AND(AE375="active",M375="yes",NOT(ISNUMBER(SEARCH("healthy",AB375)))),"yes","no")</x:f>
        <x:v>no</x:v>
      </x:c>
      <x:c r="AH375" s="12" t="str">
        <x:f>IF(OR(H375="contextual",H375="dialogue",H375="discourse",I375="claim+context",I375="discourse_segment"),"yes","no")</x:f>
        <x:v>yes</x:v>
      </x:c>
      <x:c r="AI375" s="12" t="str">
        <x:f>IF(OR(AH375="yes",AD375="debated",AC375="operational"),"yes","no")</x:f>
        <x:v>yes</x:v>
      </x:c>
      <x:c r="AJ375" s="12" t="str">
        <x:f>IF(OR(AH375="yes",AC375="operational",AD375="debated"),"high",IF(AND(AG375="yes",L375="P0"),"medium","low"))</x:f>
        <x:v>high</x:v>
      </x:c>
      <x:c r="AK375" s="12" t="str">
        <x:f>IF(ISNUMBER(SEARCH("healthy",AB375)),"yes","no")</x:f>
        <x:v>no</x:v>
      </x:c>
      <x:c r="AL375" s="12" t="str">
        <x:f>IF(AG375="yes","yes","candidate_only")</x:f>
        <x:v>candidate_only</x:v>
      </x:c>
      <x:c r="AM375" s="12" t="str">
        <x:f>IF(OR(AC375="canonical",AG375="yes"),"yes","recommended")</x:f>
        <x:v>recommended</x:v>
      </x:c>
      <x:c r="AN375" s="12" t="str">
        <x:f>IF(AC375="deprecated","exclude",IF(AND(AG375="yes",AJ375="high"),"import_but_human_review_required",IF(AG375="yes","import_as_active","import_as_backlog")))</x:f>
        <x:v>import_as_backlog</x:v>
      </x:c>
      <x:c r="AO375" s="12" t="str">
        <x:f>IF(AND(AG375="yes",OR(P375="",Q375="",R375="",S375="")),"missing_required_mvp_fields",IF(AND(AC375="canonical",Y375=""),"missing_source_ref","ok"))</x:f>
        <x:v>ok</x:v>
      </x:c>
      <x:c r="AP375" s="12" t="str">
        <x:f>IF(AO375="ok","ready_for_codex_import","needs_review")</x:f>
        <x:v>ready_for_codex_import</x:v>
      </x:c>
      <x:c r="AQ375" s="12"/>
      <x:c r="AR375" s="12" t="str">
        <x:v>Added v2 operational fields. Review before classification activation.</x:v>
      </x:c>
    </x:row>
    <x:row r="376">
      <x:c r="A376" s="13" t="str">
        <x:v>pseudocertainty_effect_risk_communication_variant</x:v>
      </x:c>
      <x:c r="B376" s="13" t="str">
        <x:v>pseudocertainty_effect</x:v>
      </x:c>
      <x:c r="C376" s="13" t="str">
        <x:v>Pseudocertainty effect</x:v>
      </x:c>
      <x:c r="D376" s="13" t="str">
        <x:v>اثر شبه‌قطعیت</x:v>
      </x:c>
      <x:c r="E376" s="13" t="str">
        <x:v>Risk-communication variant</x:v>
      </x:c>
      <x:c r="F376" s="13" t="str">
        <x:v>probabilistic_failures</x:v>
      </x:c>
      <x:c r="G376" s="13" t="str">
        <x:v>operational_variant</x:v>
      </x:c>
      <x:c r="H376" s="13" t="str">
        <x:v>contextual</x:v>
      </x:c>
      <x:c r="I376" s="13" t="str">
        <x:v>claim+context</x:v>
      </x:c>
      <x:c r="J376" s="13" t="str">
        <x:v>derived_operational_subtype</x:v>
      </x:c>
      <x:c r="K376" s="13" t="str">
        <x:v>derived_from_established_parent_review_required</x:v>
      </x:c>
      <x:c r="L376" s="13" t="str">
        <x:v>P3</x:v>
      </x:c>
      <x:c r="M376" s="13" t="str">
        <x:v>no</x:v>
      </x:c>
      <x:c r="N376" s="13" t="str">
        <x:v>Operational subtype under Pseudocertainty effect: risk is framed in a misleading statistical format. Parent definition: Treating an uncertain multi-stage outcome as certain at a later stage.</x:v>
      </x:c>
      <x:c r="O376" s="13" t="str">
        <x:v>Look for: explicit claim-level evidence; parent-family cues for Pseudocertainty effect; variant cue: risk is framed in a misleading statistical format; avoid author-level inference.</x:v>
      </x:c>
      <x:c r="P376" s="13" t="str">
        <x:v>Exact evidence span in text plus claim-level reasoning link; for contextual/discourse entries, require surrounding context.</x:v>
      </x:c>
      <x:c r="Q376" s="13" t="str">
        <x:v>Do not label merely because topic is controversial, emotional, or wrong. Do not judge intent or personality. Require textual evidence and consider healthy-reasoning cues.</x:v>
      </x:c>
      <x:c r="R376" s="13" t="str">
        <x:v>Stub: A claim relies on risk is framed in a misleading statistical format to support a conclusion without adequate qualification.</x:v>
      </x:c>
      <x:c r="S376" s="13" t="str">
        <x:v>Stub: A claim discusses pseudocertainty effect with caveats, balanced evidence, or no argumentative use of the pattern.</x:v>
      </x:c>
      <x:c r="T376" s="13" t="str">
        <x:v>Mild or ambiguous cue; do not classify without clear evidence span.</x:v>
      </x:c>
      <x:c r="U376" s="13" t="str">
        <x:v>Clear claim-level pattern with some argumentative impact.</x:v>
      </x:c>
      <x:c r="V376" s="13" t="str">
        <x:v>Strong pattern central to the conclusion and likely to materially distort reasoning.</x:v>
      </x:c>
      <x:c r="W376" s="13" t="str"/>
      <x:c r="X376" s="13" t="str">
        <x:v>tversky_kahneman_framing_1981</x:v>
      </x:c>
      <x:c r="Y376" s="13" t="str">
        <x:v>https://doi.org/10.1126/science.7455683</x:v>
      </x:c>
      <x:c r="Z376" s="13" t="str">
        <x:v>Review before enabling. This workbook is a living taxonomy scaffold, not a validated scientific benchmark.</x:v>
      </x:c>
      <x:c r="AA376" s="13" t="str">
        <x:v>0.1.0-draft</x:v>
      </x:c>
      <x:c r="AB376" s="12" t="str">
        <x:f>IF(ISNUMBER(SEARCH("healthy",F376)),"healthy_reasoning_patterns",IF(ISNUMBER(SEARCH("statistical",F376)),"statistical_reasoning",IF(ISNUMBER(SEARCH("causal",F376)),"causal_reasoning",IF(ISNUMBER(SEARCH("social",F376)),"social_influence",IF(ISNUMBER(SEARCH("rhetoric",F376)),"rhetoric_discourse",IF(ISNUMBER(SEARCH("behavior",F376)),"behavioural_economics",IF(ISNUMBER(SEARCH("cognitive",F376)),"cognitive_biases",IF(J376="protective_pattern","healthy_reasoning_patterns",IF(L376="P0","core_mvp","extended_fallacies")))))))))</x:f>
        <x:v>extended_fallacies</x:v>
      </x:c>
      <x:c r="AC376" s="12" t="str">
        <x:f>IF(ISNUMBER(SEARCH("operational",J376)),"operational",IF(ISNUMBER(SEARCH("deprecated",J376)),"deprecated",IF(L376="P0","canonical","recognized_subtype")))</x:f>
        <x:v>operational</x:v>
      </x:c>
      <x:c r="AD376" s="12" t="str">
        <x:f>IF(AC376="canonical","high",IF(AC376="recognized_subtype","medium",IF(AC376="operational","operational_only","debated")))</x:f>
        <x:v>operational_only</x:v>
      </x:c>
      <x:c r="AE376" s="12" t="str">
        <x:f>IF(AC376="deprecated","deprecated",IF(M376="yes","active",IF(M376="review","review_required","backlog")))</x:f>
        <x:v>backlog</x:v>
      </x:c>
      <x:c r="AF376" s="12" t="str">
        <x:f>IF(OR(AE376="active",AE376="review_required"),"yes","no")</x:f>
        <x:v>no</x:v>
      </x:c>
      <x:c r="AG376" s="12" t="str">
        <x:f>IF(AND(AE376="active",M376="yes",NOT(ISNUMBER(SEARCH("healthy",AB376)))),"yes","no")</x:f>
        <x:v>no</x:v>
      </x:c>
      <x:c r="AH376" s="12" t="str">
        <x:f>IF(OR(H376="contextual",H376="dialogue",H376="discourse",I376="claim+context",I376="discourse_segment"),"yes","no")</x:f>
        <x:v>yes</x:v>
      </x:c>
      <x:c r="AI376" s="12" t="str">
        <x:f>IF(OR(AH376="yes",AD376="debated",AC376="operational"),"yes","no")</x:f>
        <x:v>yes</x:v>
      </x:c>
      <x:c r="AJ376" s="12" t="str">
        <x:f>IF(OR(AH376="yes",AC376="operational",AD376="debated"),"high",IF(AND(AG376="yes",L376="P0"),"medium","low"))</x:f>
        <x:v>high</x:v>
      </x:c>
      <x:c r="AK376" s="12" t="str">
        <x:f>IF(ISNUMBER(SEARCH("healthy",AB376)),"yes","no")</x:f>
        <x:v>no</x:v>
      </x:c>
      <x:c r="AL376" s="12" t="str">
        <x:f>IF(AG376="yes","yes","candidate_only")</x:f>
        <x:v>candidate_only</x:v>
      </x:c>
      <x:c r="AM376" s="12" t="str">
        <x:f>IF(OR(AC376="canonical",AG376="yes"),"yes","recommended")</x:f>
        <x:v>recommended</x:v>
      </x:c>
      <x:c r="AN376" s="12" t="str">
        <x:f>IF(AC376="deprecated","exclude",IF(AND(AG376="yes",AJ376="high"),"import_but_human_review_required",IF(AG376="yes","import_as_active","import_as_backlog")))</x:f>
        <x:v>import_as_backlog</x:v>
      </x:c>
      <x:c r="AO376" s="12" t="str">
        <x:f>IF(AND(AG376="yes",OR(P376="",Q376="",R376="",S376="")),"missing_required_mvp_fields",IF(AND(AC376="canonical",Y376=""),"missing_source_ref","ok"))</x:f>
        <x:v>ok</x:v>
      </x:c>
      <x:c r="AP376" s="12" t="str">
        <x:f>IF(AO376="ok","ready_for_codex_import","needs_review")</x:f>
        <x:v>ready_for_codex_import</x:v>
      </x:c>
      <x:c r="AQ376" s="12"/>
      <x:c r="AR376" s="12" t="str">
        <x:v>Added v2 operational fields. Review before classification activation.</x:v>
      </x:c>
    </x:row>
    <x:row r="377">
      <x:c r="A377" s="13" t="str">
        <x:v>probability_neglect_risk_communication_variant</x:v>
      </x:c>
      <x:c r="B377" s="13" t="str">
        <x:v>probability_neglect</x:v>
      </x:c>
      <x:c r="C377" s="13" t="str">
        <x:v>Probability neglect</x:v>
      </x:c>
      <x:c r="D377" s="13" t="str">
        <x:v>نادیده‌گرفتن احتمال</x:v>
      </x:c>
      <x:c r="E377" s="13" t="str">
        <x:v>Risk-communication variant</x:v>
      </x:c>
      <x:c r="F377" s="13" t="str">
        <x:v>probabilistic_failures</x:v>
      </x:c>
      <x:c r="G377" s="13" t="str">
        <x:v>operational_variant</x:v>
      </x:c>
      <x:c r="H377" s="13" t="str">
        <x:v>contextual</x:v>
      </x:c>
      <x:c r="I377" s="13" t="str">
        <x:v>claim+context</x:v>
      </x:c>
      <x:c r="J377" s="13" t="str">
        <x:v>derived_operational_subtype</x:v>
      </x:c>
      <x:c r="K377" s="13" t="str">
        <x:v>derived_from_established_parent_review_required</x:v>
      </x:c>
      <x:c r="L377" s="13" t="str">
        <x:v>P3</x:v>
      </x:c>
      <x:c r="M377" s="13" t="str">
        <x:v>no</x:v>
      </x:c>
      <x:c r="N377" s="13" t="str">
        <x:v>Operational subtype under Probability neglect: risk is framed in a misleading statistical format. Parent definition: Reacting to possible outcomes without proportionate attention to likelihood.</x:v>
      </x:c>
      <x:c r="O377" s="13" t="str">
        <x:v>Look for: explicit claim-level evidence; parent-family cues for Probability neglect; variant cue: risk is framed in a misleading statistical format; avoid author-level inference.</x:v>
      </x:c>
      <x:c r="P377" s="13" t="str">
        <x:v>Exact evidence span in text plus claim-level reasoning link; for contextual/discourse entries, require surrounding context.</x:v>
      </x:c>
      <x:c r="Q377" s="13" t="str">
        <x:v>Do not label merely because topic is controversial, emotional, or wrong. Do not judge intent or personality. Require textual evidence and consider healthy-reasoning cues.</x:v>
      </x:c>
      <x:c r="R377" s="13" t="str">
        <x:v>Stub: A claim relies on risk is framed in a misleading statistical format to support a conclusion without adequate qualification.</x:v>
      </x:c>
      <x:c r="S377" s="13" t="str">
        <x:v>Stub: A claim discusses probability neglect with caveats, balanced evidence, or no argumentative use of the pattern.</x:v>
      </x:c>
      <x:c r="T377" s="13" t="str">
        <x:v>Mild or ambiguous cue; do not classify without clear evidence span.</x:v>
      </x:c>
      <x:c r="U377" s="13" t="str">
        <x:v>Clear claim-level pattern with some argumentative impact.</x:v>
      </x:c>
      <x:c r="V377" s="13" t="str">
        <x:v>Strong pattern central to the conclusion and likely to materially distort reasoning.</x:v>
      </x:c>
      <x:c r="W377" s="13" t="str"/>
      <x:c r="X377" s="13" t="str">
        <x:v>kahneman_tversky_prospect_1979</x:v>
      </x:c>
      <x:c r="Y377" s="13" t="str">
        <x:v>https://doi.org/10.2307/1914185</x:v>
      </x:c>
      <x:c r="Z377" s="13" t="str">
        <x:v>Review before enabling. This workbook is a living taxonomy scaffold, not a validated scientific benchmark.</x:v>
      </x:c>
      <x:c r="AA377" s="13" t="str">
        <x:v>0.1.0-draft</x:v>
      </x:c>
      <x:c r="AB377" s="12" t="str">
        <x:f>IF(ISNUMBER(SEARCH("healthy",F377)),"healthy_reasoning_patterns",IF(ISNUMBER(SEARCH("statistical",F377)),"statistical_reasoning",IF(ISNUMBER(SEARCH("causal",F377)),"causal_reasoning",IF(ISNUMBER(SEARCH("social",F377)),"social_influence",IF(ISNUMBER(SEARCH("rhetoric",F377)),"rhetoric_discourse",IF(ISNUMBER(SEARCH("behavior",F377)),"behavioural_economics",IF(ISNUMBER(SEARCH("cognitive",F377)),"cognitive_biases",IF(J377="protective_pattern","healthy_reasoning_patterns",IF(L377="P0","core_mvp","extended_fallacies")))))))))</x:f>
        <x:v>extended_fallacies</x:v>
      </x:c>
      <x:c r="AC377" s="12" t="str">
        <x:f>IF(ISNUMBER(SEARCH("operational",J377)),"operational",IF(ISNUMBER(SEARCH("deprecated",J377)),"deprecated",IF(L377="P0","canonical","recognized_subtype")))</x:f>
        <x:v>operational</x:v>
      </x:c>
      <x:c r="AD377" s="12" t="str">
        <x:f>IF(AC377="canonical","high",IF(AC377="recognized_subtype","medium",IF(AC377="operational","operational_only","debated")))</x:f>
        <x:v>operational_only</x:v>
      </x:c>
      <x:c r="AE377" s="12" t="str">
        <x:f>IF(AC377="deprecated","deprecated",IF(M377="yes","active",IF(M377="review","review_required","backlog")))</x:f>
        <x:v>backlog</x:v>
      </x:c>
      <x:c r="AF377" s="12" t="str">
        <x:f>IF(OR(AE377="active",AE377="review_required"),"yes","no")</x:f>
        <x:v>no</x:v>
      </x:c>
      <x:c r="AG377" s="12" t="str">
        <x:f>IF(AND(AE377="active",M377="yes",NOT(ISNUMBER(SEARCH("healthy",AB377)))),"yes","no")</x:f>
        <x:v>no</x:v>
      </x:c>
      <x:c r="AH377" s="12" t="str">
        <x:f>IF(OR(H377="contextual",H377="dialogue",H377="discourse",I377="claim+context",I377="discourse_segment"),"yes","no")</x:f>
        <x:v>yes</x:v>
      </x:c>
      <x:c r="AI377" s="12" t="str">
        <x:f>IF(OR(AH377="yes",AD377="debated",AC377="operational"),"yes","no")</x:f>
        <x:v>yes</x:v>
      </x:c>
      <x:c r="AJ377" s="12" t="str">
        <x:f>IF(OR(AH377="yes",AC377="operational",AD377="debated"),"high",IF(AND(AG377="yes",L377="P0"),"medium","low"))</x:f>
        <x:v>high</x:v>
      </x:c>
      <x:c r="AK377" s="12" t="str">
        <x:f>IF(ISNUMBER(SEARCH("healthy",AB377)),"yes","no")</x:f>
        <x:v>no</x:v>
      </x:c>
      <x:c r="AL377" s="12" t="str">
        <x:f>IF(AG377="yes","yes","candidate_only")</x:f>
        <x:v>candidate_only</x:v>
      </x:c>
      <x:c r="AM377" s="12" t="str">
        <x:f>IF(OR(AC377="canonical",AG377="yes"),"yes","recommended")</x:f>
        <x:v>recommended</x:v>
      </x:c>
      <x:c r="AN377" s="12" t="str">
        <x:f>IF(AC377="deprecated","exclude",IF(AND(AG377="yes",AJ377="high"),"import_but_human_review_required",IF(AG377="yes","import_as_active","import_as_backlog")))</x:f>
        <x:v>import_as_backlog</x:v>
      </x:c>
      <x:c r="AO377" s="12" t="str">
        <x:f>IF(AND(AG377="yes",OR(P377="",Q377="",R377="",S377="")),"missing_required_mvp_fields",IF(AND(AC377="canonical",Y377=""),"missing_source_ref","ok"))</x:f>
        <x:v>ok</x:v>
      </x:c>
      <x:c r="AP377" s="12" t="str">
        <x:f>IF(AO377="ok","ready_for_codex_import","needs_review")</x:f>
        <x:v>ready_for_codex_import</x:v>
      </x:c>
      <x:c r="AQ377" s="12"/>
      <x:c r="AR377" s="12" t="str">
        <x:v>Added v2 operational fields. Review before classification activation.</x:v>
      </x:c>
    </x:row>
    <x:row r="378">
      <x:c r="A378" s="13" t="str">
        <x:v>odds_ratio_misinterpretation_risk_communication_variant</x:v>
      </x:c>
      <x:c r="B378" s="13" t="str">
        <x:v>odds_ratio_misinterpretation</x:v>
      </x:c>
      <x:c r="C378" s="13" t="str">
        <x:v>Odds-ratio misinterpretation</x:v>
      </x:c>
      <x:c r="D378" s="13" t="str">
        <x:v>تفسیر نادرست نسبت شانس</x:v>
      </x:c>
      <x:c r="E378" s="13" t="str">
        <x:v>Risk-communication variant</x:v>
      </x:c>
      <x:c r="F378" s="13" t="str">
        <x:v>probabilistic_failures</x:v>
      </x:c>
      <x:c r="G378" s="13" t="str">
        <x:v>operational_variant</x:v>
      </x:c>
      <x:c r="H378" s="13" t="str">
        <x:v>contextual</x:v>
      </x:c>
      <x:c r="I378" s="13" t="str">
        <x:v>claim+context</x:v>
      </x:c>
      <x:c r="J378" s="13" t="str">
        <x:v>derived_operational_subtype</x:v>
      </x:c>
      <x:c r="K378" s="13" t="str">
        <x:v>derived_from_established_parent_review_required</x:v>
      </x:c>
      <x:c r="L378" s="13" t="str">
        <x:v>P3</x:v>
      </x:c>
      <x:c r="M378" s="13" t="str">
        <x:v>no</x:v>
      </x:c>
      <x:c r="N378" s="13" t="str">
        <x:v>Operational subtype under Odds-ratio misinterpretation: risk is framed in a misleading statistical format. Parent definition: Treating odds ratios as direct probability differences.</x:v>
      </x:c>
      <x:c r="O378" s="13" t="str">
        <x:v>Look for: explicit claim-level evidence; parent-family cues for Odds-ratio misinterpretation; variant cue: risk is framed in a misleading statistical format; avoid author-level inference.</x:v>
      </x:c>
      <x:c r="P378" s="13" t="str">
        <x:v>Exact evidence span in text plus claim-level reasoning link; for contextual/discourse entries, require surrounding context.</x:v>
      </x:c>
      <x:c r="Q378" s="13" t="str">
        <x:v>Do not label merely because topic is controversial, emotional, or wrong. Do not judge intent or personality. Require textual evidence and consider healthy-reasoning cues.</x:v>
      </x:c>
      <x:c r="R378" s="13" t="str">
        <x:v>Stub: A claim relies on risk is framed in a misleading statistical format to support a conclusion without adequate qualification.</x:v>
      </x:c>
      <x:c r="S378" s="13" t="str">
        <x:v>Stub: A claim discusses odds-ratio misinterpretation with caveats, balanced evidence, or no argumentative use of the pattern.</x:v>
      </x:c>
      <x:c r="T378" s="13" t="str">
        <x:v>Mild or ambiguous cue; do not classify without clear evidence span.</x:v>
      </x:c>
      <x:c r="U378" s="13" t="str">
        <x:v>Clear claim-level pattern with some argumentative impact.</x:v>
      </x:c>
      <x:c r="V378" s="13" t="str">
        <x:v>Strong pattern central to the conclusion and likely to materially distort reasoning.</x:v>
      </x:c>
      <x:c r="W378" s="13" t="str"/>
      <x:c r="X378" s="13" t="str">
        <x:v>stanovich_dual_process</x:v>
      </x:c>
      <x:c r="Y378" s="13" t="str">
        <x:v>https://global.oup.com/academic/product/rationality-and-the-reflective-mind-9780195341140</x:v>
      </x:c>
      <x:c r="Z378" s="13" t="str">
        <x:v>Review before enabling. This workbook is a living taxonomy scaffold, not a validated scientific benchmark.</x:v>
      </x:c>
      <x:c r="AA378" s="13" t="str">
        <x:v>0.1.0-draft</x:v>
      </x:c>
      <x:c r="AB378" s="12" t="str">
        <x:f>IF(ISNUMBER(SEARCH("healthy",F378)),"healthy_reasoning_patterns",IF(ISNUMBER(SEARCH("statistical",F378)),"statistical_reasoning",IF(ISNUMBER(SEARCH("causal",F378)),"causal_reasoning",IF(ISNUMBER(SEARCH("social",F378)),"social_influence",IF(ISNUMBER(SEARCH("rhetoric",F378)),"rhetoric_discourse",IF(ISNUMBER(SEARCH("behavior",F378)),"behavioural_economics",IF(ISNUMBER(SEARCH("cognitive",F378)),"cognitive_biases",IF(J378="protective_pattern","healthy_reasoning_patterns",IF(L378="P0","core_mvp","extended_fallacies")))))))))</x:f>
        <x:v>extended_fallacies</x:v>
      </x:c>
      <x:c r="AC378" s="12" t="str">
        <x:f>IF(ISNUMBER(SEARCH("operational",J378)),"operational",IF(ISNUMBER(SEARCH("deprecated",J378)),"deprecated",IF(L378="P0","canonical","recognized_subtype")))</x:f>
        <x:v>operational</x:v>
      </x:c>
      <x:c r="AD378" s="12" t="str">
        <x:f>IF(AC378="canonical","high",IF(AC378="recognized_subtype","medium",IF(AC378="operational","operational_only","debated")))</x:f>
        <x:v>operational_only</x:v>
      </x:c>
      <x:c r="AE378" s="12" t="str">
        <x:f>IF(AC378="deprecated","deprecated",IF(M378="yes","active",IF(M378="review","review_required","backlog")))</x:f>
        <x:v>backlog</x:v>
      </x:c>
      <x:c r="AF378" s="12" t="str">
        <x:f>IF(OR(AE378="active",AE378="review_required"),"yes","no")</x:f>
        <x:v>no</x:v>
      </x:c>
      <x:c r="AG378" s="12" t="str">
        <x:f>IF(AND(AE378="active",M378="yes",NOT(ISNUMBER(SEARCH("healthy",AB378)))),"yes","no")</x:f>
        <x:v>no</x:v>
      </x:c>
      <x:c r="AH378" s="12" t="str">
        <x:f>IF(OR(H378="contextual",H378="dialogue",H378="discourse",I378="claim+context",I378="discourse_segment"),"yes","no")</x:f>
        <x:v>yes</x:v>
      </x:c>
      <x:c r="AI378" s="12" t="str">
        <x:f>IF(OR(AH378="yes",AD378="debated",AC378="operational"),"yes","no")</x:f>
        <x:v>yes</x:v>
      </x:c>
      <x:c r="AJ378" s="12" t="str">
        <x:f>IF(OR(AH378="yes",AC378="operational",AD378="debated"),"high",IF(AND(AG378="yes",L378="P0"),"medium","low"))</x:f>
        <x:v>high</x:v>
      </x:c>
      <x:c r="AK378" s="12" t="str">
        <x:f>IF(ISNUMBER(SEARCH("healthy",AB378)),"yes","no")</x:f>
        <x:v>no</x:v>
      </x:c>
      <x:c r="AL378" s="12" t="str">
        <x:f>IF(AG378="yes","yes","candidate_only")</x:f>
        <x:v>candidate_only</x:v>
      </x:c>
      <x:c r="AM378" s="12" t="str">
        <x:f>IF(OR(AC378="canonical",AG378="yes"),"yes","recommended")</x:f>
        <x:v>recommended</x:v>
      </x:c>
      <x:c r="AN378" s="12" t="str">
        <x:f>IF(AC378="deprecated","exclude",IF(AND(AG378="yes",AJ378="high"),"import_but_human_review_required",IF(AG378="yes","import_as_active","import_as_backlog")))</x:f>
        <x:v>import_as_backlog</x:v>
      </x:c>
      <x:c r="AO378" s="12" t="str">
        <x:f>IF(AND(AG378="yes",OR(P378="",Q378="",R378="",S378="")),"missing_required_mvp_fields",IF(AND(AC378="canonical",Y378=""),"missing_source_ref","ok"))</x:f>
        <x:v>ok</x:v>
      </x:c>
      <x:c r="AP378" s="12" t="str">
        <x:f>IF(AO378="ok","ready_for_codex_import","needs_review")</x:f>
        <x:v>ready_for_codex_import</x:v>
      </x:c>
      <x:c r="AQ378" s="12"/>
      <x:c r="AR378" s="12" t="str">
        <x:v>Added v2 operational fields. Review before classification activation.</x:v>
      </x:c>
    </x:row>
    <x:row r="379">
      <x:c r="A379" s="13" t="str">
        <x:v>confidence_interval_neglect_risk_communication_variant</x:v>
      </x:c>
      <x:c r="B379" s="13" t="str">
        <x:v>confidence_interval_neglect</x:v>
      </x:c>
      <x:c r="C379" s="13" t="str">
        <x:v>Confidence interval neglect</x:v>
      </x:c>
      <x:c r="D379" s="13" t="str">
        <x:v>نادیده گرفتن بازه اطمینان</x:v>
      </x:c>
      <x:c r="E379" s="13" t="str">
        <x:v>Risk-communication variant</x:v>
      </x:c>
      <x:c r="F379" s="13" t="str">
        <x:v>probabilistic_failures</x:v>
      </x:c>
      <x:c r="G379" s="13" t="str">
        <x:v>operational_variant</x:v>
      </x:c>
      <x:c r="H379" s="13" t="str">
        <x:v>lexical</x:v>
      </x:c>
      <x:c r="I379" s="13" t="str">
        <x:v>claim</x:v>
      </x:c>
      <x:c r="J379" s="13" t="str">
        <x:v>derived_operational_subtype</x:v>
      </x:c>
      <x:c r="K379" s="13" t="str">
        <x:v>derived_from_established_parent_review_required</x:v>
      </x:c>
      <x:c r="L379" s="13" t="str">
        <x:v>P3</x:v>
      </x:c>
      <x:c r="M379" s="13" t="str">
        <x:v>no</x:v>
      </x:c>
      <x:c r="N379" s="13" t="str">
        <x:v>Operational subtype under Confidence interval neglect: risk is framed in a misleading statistical format. Parent definition: Using point estimates as if uncertainty intervals did not exist.</x:v>
      </x:c>
      <x:c r="O379" s="13" t="str">
        <x:v>Look for: explicit claim-level evidence; parent-family cues for Confidence interval neglect; variant cue: risk is framed in a misleading statistical format; avoid author-level inference.</x:v>
      </x:c>
      <x:c r="P379" s="13" t="str">
        <x:v>Exact evidence span in text plus claim-level reasoning link; for contextual/discourse entries, require surrounding context.</x:v>
      </x:c>
      <x:c r="Q379" s="13" t="str">
        <x:v>Do not label merely because topic is controversial, emotional, or wrong. Do not judge intent or personality. Require textual evidence and consider healthy-reasoning cues.</x:v>
      </x:c>
      <x:c r="R379" s="13" t="str">
        <x:v>Stub: A claim relies on risk is framed in a misleading statistical format to support a conclusion without adequate qualification.</x:v>
      </x:c>
      <x:c r="S379" s="13" t="str">
        <x:v>Stub: A claim discusses confidence interval neglect with caveats, balanced evidence, or no argumentative use of the pattern.</x:v>
      </x:c>
      <x:c r="T379" s="13" t="str">
        <x:v>Mild or ambiguous cue; do not classify without clear evidence span.</x:v>
      </x:c>
      <x:c r="U379" s="13" t="str">
        <x:v>Clear claim-level pattern with some argumentative impact.</x:v>
      </x:c>
      <x:c r="V379" s="13" t="str">
        <x:v>Strong pattern central to the conclusion and likely to materially distort reasoning.</x:v>
      </x:c>
      <x:c r="W379" s="13" t="str"/>
      <x:c r="X379" s="13" t="str">
        <x:v>stanovich_dual_process</x:v>
      </x:c>
      <x:c r="Y379" s="13" t="str">
        <x:v>https://global.oup.com/academic/product/rationality-and-the-reflective-mind-9780195341140</x:v>
      </x:c>
      <x:c r="Z379" s="13" t="str">
        <x:v>Review before enabling. This workbook is a living taxonomy scaffold, not a validated scientific benchmark.</x:v>
      </x:c>
      <x:c r="AA379" s="13" t="str">
        <x:v>0.1.0-draft</x:v>
      </x:c>
      <x:c r="AB379" s="12" t="str">
        <x:f>IF(ISNUMBER(SEARCH("healthy",F379)),"healthy_reasoning_patterns",IF(ISNUMBER(SEARCH("statistical",F379)),"statistical_reasoning",IF(ISNUMBER(SEARCH("causal",F379)),"causal_reasoning",IF(ISNUMBER(SEARCH("social",F379)),"social_influence",IF(ISNUMBER(SEARCH("rhetoric",F379)),"rhetoric_discourse",IF(ISNUMBER(SEARCH("behavior",F379)),"behavioural_economics",IF(ISNUMBER(SEARCH("cognitive",F379)),"cognitive_biases",IF(J379="protective_pattern","healthy_reasoning_patterns",IF(L379="P0","core_mvp","extended_fallacies")))))))))</x:f>
        <x:v>extended_fallacies</x:v>
      </x:c>
      <x:c r="AC379" s="12" t="str">
        <x:f>IF(ISNUMBER(SEARCH("operational",J379)),"operational",IF(ISNUMBER(SEARCH("deprecated",J379)),"deprecated",IF(L379="P0","canonical","recognized_subtype")))</x:f>
        <x:v>operational</x:v>
      </x:c>
      <x:c r="AD379" s="12" t="str">
        <x:f>IF(AC379="canonical","high",IF(AC379="recognized_subtype","medium",IF(AC379="operational","operational_only","debated")))</x:f>
        <x:v>operational_only</x:v>
      </x:c>
      <x:c r="AE379" s="12" t="str">
        <x:f>IF(AC379="deprecated","deprecated",IF(M379="yes","active",IF(M379="review","review_required","backlog")))</x:f>
        <x:v>backlog</x:v>
      </x:c>
      <x:c r="AF379" s="12" t="str">
        <x:f>IF(OR(AE379="active",AE379="review_required"),"yes","no")</x:f>
        <x:v>no</x:v>
      </x:c>
      <x:c r="AG379" s="12" t="str">
        <x:f>IF(AND(AE379="active",M379="yes",NOT(ISNUMBER(SEARCH("healthy",AB379)))),"yes","no")</x:f>
        <x:v>no</x:v>
      </x:c>
      <x:c r="AH379" s="12" t="str">
        <x:f>IF(OR(H379="contextual",H379="dialogue",H379="discourse",I379="claim+context",I379="discourse_segment"),"yes","no")</x:f>
        <x:v>no</x:v>
      </x:c>
      <x:c r="AI379" s="12" t="str">
        <x:f>IF(OR(AH379="yes",AD379="debated",AC379="operational"),"yes","no")</x:f>
        <x:v>yes</x:v>
      </x:c>
      <x:c r="AJ379" s="12" t="str">
        <x:f>IF(OR(AH379="yes",AC379="operational",AD379="debated"),"high",IF(AND(AG379="yes",L379="P0"),"medium","low"))</x:f>
        <x:v>high</x:v>
      </x:c>
      <x:c r="AK379" s="12" t="str">
        <x:f>IF(ISNUMBER(SEARCH("healthy",AB379)),"yes","no")</x:f>
        <x:v>no</x:v>
      </x:c>
      <x:c r="AL379" s="12" t="str">
        <x:f>IF(AG379="yes","yes","candidate_only")</x:f>
        <x:v>candidate_only</x:v>
      </x:c>
      <x:c r="AM379" s="12" t="str">
        <x:f>IF(OR(AC379="canonical",AG379="yes"),"yes","recommended")</x:f>
        <x:v>recommended</x:v>
      </x:c>
      <x:c r="AN379" s="12" t="str">
        <x:f>IF(AC379="deprecated","exclude",IF(AND(AG379="yes",AJ379="high"),"import_but_human_review_required",IF(AG379="yes","import_as_active","import_as_backlog")))</x:f>
        <x:v>import_as_backlog</x:v>
      </x:c>
      <x:c r="AO379" s="12" t="str">
        <x:f>IF(AND(AG379="yes",OR(P379="",Q379="",R379="",S379="")),"missing_required_mvp_fields",IF(AND(AC379="canonical",Y379=""),"missing_source_ref","ok"))</x:f>
        <x:v>ok</x:v>
      </x:c>
      <x:c r="AP379" s="12" t="str">
        <x:f>IF(AO379="ok","ready_for_codex_import","needs_review")</x:f>
        <x:v>ready_for_codex_import</x:v>
      </x:c>
      <x:c r="AQ379" s="12"/>
      <x:c r="AR379" s="12" t="str">
        <x:v>Added v2 operational fields. Review before classification activation.</x:v>
      </x:c>
    </x:row>
    <x:row r="380">
      <x:c r="A380" s="13" t="str">
        <x:v>forecast_base_rate_neglect_risk_communication_variant</x:v>
      </x:c>
      <x:c r="B380" s="13" t="str">
        <x:v>forecast_base_rate_neglect</x:v>
      </x:c>
      <x:c r="C380" s="13" t="str">
        <x:v>Forecast base-rate neglect</x:v>
      </x:c>
      <x:c r="D380" s="13" t="str">
        <x:v>نرخ پایه در پیش‌بینی</x:v>
      </x:c>
      <x:c r="E380" s="13" t="str">
        <x:v>Risk-communication variant</x:v>
      </x:c>
      <x:c r="F380" s="13" t="str">
        <x:v>probabilistic_failures</x:v>
      </x:c>
      <x:c r="G380" s="13" t="str">
        <x:v>operational_variant</x:v>
      </x:c>
      <x:c r="H380" s="13" t="str">
        <x:v>contextual</x:v>
      </x:c>
      <x:c r="I380" s="13" t="str">
        <x:v>claim+context</x:v>
      </x:c>
      <x:c r="J380" s="13" t="str">
        <x:v>derived_operational_subtype</x:v>
      </x:c>
      <x:c r="K380" s="13" t="str">
        <x:v>derived_from_established_parent_review_required</x:v>
      </x:c>
      <x:c r="L380" s="13" t="str">
        <x:v>P3</x:v>
      </x:c>
      <x:c r="M380" s="13" t="str">
        <x:v>no</x:v>
      </x:c>
      <x:c r="N380" s="13" t="str">
        <x:v>Operational subtype under Forecast base-rate neglect: risk is framed in a misleading statistical format. Parent definition: Making forecasts without considering historical frequencies.</x:v>
      </x:c>
      <x:c r="O380" s="13" t="str">
        <x:v>Look for: explicit claim-level evidence; parent-family cues for Forecast base-rate neglect; variant cue: risk is framed in a misleading statistical format; avoid author-level inference.</x:v>
      </x:c>
      <x:c r="P380" s="13" t="str">
        <x:v>Exact evidence span in text plus claim-level reasoning link; for contextual/discourse entries, require surrounding context.</x:v>
      </x:c>
      <x:c r="Q380" s="13" t="str">
        <x:v>Do not label merely because topic is controversial, emotional, or wrong. Do not judge intent or personality. Require textual evidence and consider healthy-reasoning cues.</x:v>
      </x:c>
      <x:c r="R380" s="13" t="str">
        <x:v>Stub: A claim relies on risk is framed in a misleading statistical format to support a conclusion without adequate qualification.</x:v>
      </x:c>
      <x:c r="S380" s="13" t="str">
        <x:v>Stub: A claim discusses forecast base-rate neglect with caveats, balanced evidence, or no argumentative use of the pattern.</x:v>
      </x:c>
      <x:c r="T380" s="13" t="str">
        <x:v>Mild or ambiguous cue; do not classify without clear evidence span.</x:v>
      </x:c>
      <x:c r="U380" s="13" t="str">
        <x:v>Clear claim-level pattern with some argumentative impact.</x:v>
      </x:c>
      <x:c r="V380" s="13" t="str">
        <x:v>Strong pattern central to the conclusion and likely to materially distort reasoning.</x:v>
      </x:c>
      <x:c r="W380" s="13" t="str"/>
      <x:c r="X380" s="13" t="str">
        <x:v>stanovich_dual_process</x:v>
      </x:c>
      <x:c r="Y380" s="13" t="str">
        <x:v>https://global.oup.com/academic/product/rationality-and-the-reflective-mind-9780195341140</x:v>
      </x:c>
      <x:c r="Z380" s="13" t="str">
        <x:v>Review before enabling. This workbook is a living taxonomy scaffold, not a validated scientific benchmark.</x:v>
      </x:c>
      <x:c r="AA380" s="13" t="str">
        <x:v>0.1.0-draft</x:v>
      </x:c>
      <x:c r="AB380" s="12" t="str">
        <x:f>IF(ISNUMBER(SEARCH("healthy",F380)),"healthy_reasoning_patterns",IF(ISNUMBER(SEARCH("statistical",F380)),"statistical_reasoning",IF(ISNUMBER(SEARCH("causal",F380)),"causal_reasoning",IF(ISNUMBER(SEARCH("social",F380)),"social_influence",IF(ISNUMBER(SEARCH("rhetoric",F380)),"rhetoric_discourse",IF(ISNUMBER(SEARCH("behavior",F380)),"behavioural_economics",IF(ISNUMBER(SEARCH("cognitive",F380)),"cognitive_biases",IF(J380="protective_pattern","healthy_reasoning_patterns",IF(L380="P0","core_mvp","extended_fallacies")))))))))</x:f>
        <x:v>extended_fallacies</x:v>
      </x:c>
      <x:c r="AC380" s="12" t="str">
        <x:f>IF(ISNUMBER(SEARCH("operational",J380)),"operational",IF(ISNUMBER(SEARCH("deprecated",J380)),"deprecated",IF(L380="P0","canonical","recognized_subtype")))</x:f>
        <x:v>operational</x:v>
      </x:c>
      <x:c r="AD380" s="12" t="str">
        <x:f>IF(AC380="canonical","high",IF(AC380="recognized_subtype","medium",IF(AC380="operational","operational_only","debated")))</x:f>
        <x:v>operational_only</x:v>
      </x:c>
      <x:c r="AE380" s="12" t="str">
        <x:f>IF(AC380="deprecated","deprecated",IF(M380="yes","active",IF(M380="review","review_required","backlog")))</x:f>
        <x:v>backlog</x:v>
      </x:c>
      <x:c r="AF380" s="12" t="str">
        <x:f>IF(OR(AE380="active",AE380="review_required"),"yes","no")</x:f>
        <x:v>no</x:v>
      </x:c>
      <x:c r="AG380" s="12" t="str">
        <x:f>IF(AND(AE380="active",M380="yes",NOT(ISNUMBER(SEARCH("healthy",AB380)))),"yes","no")</x:f>
        <x:v>no</x:v>
      </x:c>
      <x:c r="AH380" s="12" t="str">
        <x:f>IF(OR(H380="contextual",H380="dialogue",H380="discourse",I380="claim+context",I380="discourse_segment"),"yes","no")</x:f>
        <x:v>yes</x:v>
      </x:c>
      <x:c r="AI380" s="12" t="str">
        <x:f>IF(OR(AH380="yes",AD380="debated",AC380="operational"),"yes","no")</x:f>
        <x:v>yes</x:v>
      </x:c>
      <x:c r="AJ380" s="12" t="str">
        <x:f>IF(OR(AH380="yes",AC380="operational",AD380="debated"),"high",IF(AND(AG380="yes",L380="P0"),"medium","low"))</x:f>
        <x:v>high</x:v>
      </x:c>
      <x:c r="AK380" s="12" t="str">
        <x:f>IF(ISNUMBER(SEARCH("healthy",AB380)),"yes","no")</x:f>
        <x:v>no</x:v>
      </x:c>
      <x:c r="AL380" s="12" t="str">
        <x:f>IF(AG380="yes","yes","candidate_only")</x:f>
        <x:v>candidate_only</x:v>
      </x:c>
      <x:c r="AM380" s="12" t="str">
        <x:f>IF(OR(AC380="canonical",AG380="yes"),"yes","recommended")</x:f>
        <x:v>recommended</x:v>
      </x:c>
      <x:c r="AN380" s="12" t="str">
        <x:f>IF(AC380="deprecated","exclude",IF(AND(AG380="yes",AJ380="high"),"import_but_human_review_required",IF(AG380="yes","import_as_active","import_as_backlog")))</x:f>
        <x:v>import_as_backlog</x:v>
      </x:c>
      <x:c r="AO380" s="12" t="str">
        <x:f>IF(AND(AG380="yes",OR(P380="",Q380="",R380="",S380="")),"missing_required_mvp_fields",IF(AND(AC380="canonical",Y380=""),"missing_source_ref","ok"))</x:f>
        <x:v>ok</x:v>
      </x:c>
      <x:c r="AP380" s="12" t="str">
        <x:f>IF(AO380="ok","ready_for_codex_import","needs_review")</x:f>
        <x:v>ready_for_codex_import</x:v>
      </x:c>
      <x:c r="AQ380" s="12"/>
      <x:c r="AR380" s="12" t="str">
        <x:v>Added v2 operational fields. Review before classification activation.</x:v>
      </x:c>
    </x:row>
    <x:row r="381">
      <x:c r="A381" s="13" t="str">
        <x:v>calibration_error_risk_communication_variant</x:v>
      </x:c>
      <x:c r="B381" s="13" t="str">
        <x:v>calibration_error</x:v>
      </x:c>
      <x:c r="C381" s="13" t="str">
        <x:v>Calibration error</x:v>
      </x:c>
      <x:c r="D381" s="13" t="str">
        <x:v>خطای کالیبراسیون</x:v>
      </x:c>
      <x:c r="E381" s="13" t="str">
        <x:v>Risk-communication variant</x:v>
      </x:c>
      <x:c r="F381" s="13" t="str">
        <x:v>probabilistic_failures</x:v>
      </x:c>
      <x:c r="G381" s="13" t="str">
        <x:v>operational_variant</x:v>
      </x:c>
      <x:c r="H381" s="13" t="str">
        <x:v>contextual</x:v>
      </x:c>
      <x:c r="I381" s="13" t="str">
        <x:v>claim+context</x:v>
      </x:c>
      <x:c r="J381" s="13" t="str">
        <x:v>derived_operational_subtype</x:v>
      </x:c>
      <x:c r="K381" s="13" t="str">
        <x:v>derived_from_established_parent_review_required</x:v>
      </x:c>
      <x:c r="L381" s="13" t="str">
        <x:v>P3</x:v>
      </x:c>
      <x:c r="M381" s="13" t="str">
        <x:v>no</x:v>
      </x:c>
      <x:c r="N381" s="13" t="str">
        <x:v>Operational subtype under Calibration error: risk is framed in a misleading statistical format. Parent definition: Mismatch between expressed confidence and actual evidential support.</x:v>
      </x:c>
      <x:c r="O381" s="13" t="str">
        <x:v>Look for: explicit claim-level evidence; parent-family cues for Calibration error; variant cue: risk is framed in a misleading statistical format; avoid author-level inference.</x:v>
      </x:c>
      <x:c r="P381" s="13" t="str">
        <x:v>Exact evidence span in text plus claim-level reasoning link; for contextual/discourse entries, require surrounding context.</x:v>
      </x:c>
      <x:c r="Q381" s="13" t="str">
        <x:v>Do not label merely because topic is controversial, emotional, or wrong. Do not judge intent or personality. Require textual evidence and consider healthy-reasoning cues.</x:v>
      </x:c>
      <x:c r="R381" s="13" t="str">
        <x:v>Stub: A claim relies on risk is framed in a misleading statistical format to support a conclusion without adequate qualification.</x:v>
      </x:c>
      <x:c r="S381" s="13" t="str">
        <x:v>Stub: A claim discusses calibration error with caveats, balanced evidence, or no argumentative use of the pattern.</x:v>
      </x:c>
      <x:c r="T381" s="13" t="str">
        <x:v>Mild or ambiguous cue; do not classify without clear evidence span.</x:v>
      </x:c>
      <x:c r="U381" s="13" t="str">
        <x:v>Clear claim-level pattern with some argumentative impact.</x:v>
      </x:c>
      <x:c r="V381" s="13" t="str">
        <x:v>Strong pattern central to the conclusion and likely to materially distort reasoning.</x:v>
      </x:c>
      <x:c r="W381" s="13" t="str"/>
      <x:c r="X381" s="13" t="str">
        <x:v>stanovich_dual_process</x:v>
      </x:c>
      <x:c r="Y381" s="13" t="str">
        <x:v>https://global.oup.com/academic/product/rationality-and-the-reflective-mind-9780195341140</x:v>
      </x:c>
      <x:c r="Z381" s="13" t="str">
        <x:v>Review before enabling. This workbook is a living taxonomy scaffold, not a validated scientific benchmark.</x:v>
      </x:c>
      <x:c r="AA381" s="13" t="str">
        <x:v>0.1.0-draft</x:v>
      </x:c>
      <x:c r="AB381" s="12" t="str">
        <x:f>IF(ISNUMBER(SEARCH("healthy",F381)),"healthy_reasoning_patterns",IF(ISNUMBER(SEARCH("statistical",F381)),"statistical_reasoning",IF(ISNUMBER(SEARCH("causal",F381)),"causal_reasoning",IF(ISNUMBER(SEARCH("social",F381)),"social_influence",IF(ISNUMBER(SEARCH("rhetoric",F381)),"rhetoric_discourse",IF(ISNUMBER(SEARCH("behavior",F381)),"behavioural_economics",IF(ISNUMBER(SEARCH("cognitive",F381)),"cognitive_biases",IF(J381="protective_pattern","healthy_reasoning_patterns",IF(L381="P0","core_mvp","extended_fallacies")))))))))</x:f>
        <x:v>extended_fallacies</x:v>
      </x:c>
      <x:c r="AC381" s="12" t="str">
        <x:f>IF(ISNUMBER(SEARCH("operational",J381)),"operational",IF(ISNUMBER(SEARCH("deprecated",J381)),"deprecated",IF(L381="P0","canonical","recognized_subtype")))</x:f>
        <x:v>operational</x:v>
      </x:c>
      <x:c r="AD381" s="12" t="str">
        <x:f>IF(AC381="canonical","high",IF(AC381="recognized_subtype","medium",IF(AC381="operational","operational_only","debated")))</x:f>
        <x:v>operational_only</x:v>
      </x:c>
      <x:c r="AE381" s="12" t="str">
        <x:f>IF(AC381="deprecated","deprecated",IF(M381="yes","active",IF(M381="review","review_required","backlog")))</x:f>
        <x:v>backlog</x:v>
      </x:c>
      <x:c r="AF381" s="12" t="str">
        <x:f>IF(OR(AE381="active",AE381="review_required"),"yes","no")</x:f>
        <x:v>no</x:v>
      </x:c>
      <x:c r="AG381" s="12" t="str">
        <x:f>IF(AND(AE381="active",M381="yes",NOT(ISNUMBER(SEARCH("healthy",AB381)))),"yes","no")</x:f>
        <x:v>no</x:v>
      </x:c>
      <x:c r="AH381" s="12" t="str">
        <x:f>IF(OR(H381="contextual",H381="dialogue",H381="discourse",I381="claim+context",I381="discourse_segment"),"yes","no")</x:f>
        <x:v>yes</x:v>
      </x:c>
      <x:c r="AI381" s="12" t="str">
        <x:f>IF(OR(AH381="yes",AD381="debated",AC381="operational"),"yes","no")</x:f>
        <x:v>yes</x:v>
      </x:c>
      <x:c r="AJ381" s="12" t="str">
        <x:f>IF(OR(AH381="yes",AC381="operational",AD381="debated"),"high",IF(AND(AG381="yes",L381="P0"),"medium","low"))</x:f>
        <x:v>high</x:v>
      </x:c>
      <x:c r="AK381" s="12" t="str">
        <x:f>IF(ISNUMBER(SEARCH("healthy",AB381)),"yes","no")</x:f>
        <x:v>no</x:v>
      </x:c>
      <x:c r="AL381" s="12" t="str">
        <x:f>IF(AG381="yes","yes","candidate_only")</x:f>
        <x:v>candidate_only</x:v>
      </x:c>
      <x:c r="AM381" s="12" t="str">
        <x:f>IF(OR(AC381="canonical",AG381="yes"),"yes","recommended")</x:f>
        <x:v>recommended</x:v>
      </x:c>
      <x:c r="AN381" s="12" t="str">
        <x:f>IF(AC381="deprecated","exclude",IF(AND(AG381="yes",AJ381="high"),"import_but_human_review_required",IF(AG381="yes","import_as_active","import_as_backlog")))</x:f>
        <x:v>import_as_backlog</x:v>
      </x:c>
      <x:c r="AO381" s="12" t="str">
        <x:f>IF(AND(AG381="yes",OR(P381="",Q381="",R381="",S381="")),"missing_required_mvp_fields",IF(AND(AC381="canonical",Y381=""),"missing_source_ref","ok"))</x:f>
        <x:v>ok</x:v>
      </x:c>
      <x:c r="AP381" s="12" t="str">
        <x:f>IF(AO381="ok","ready_for_codex_import","needs_review")</x:f>
        <x:v>ready_for_codex_import</x:v>
      </x:c>
      <x:c r="AQ381" s="12"/>
      <x:c r="AR381" s="12" t="str">
        <x:v>Added v2 operational fields. Review before classification activation.</x:v>
      </x:c>
    </x:row>
    <x:row r="382">
      <x:c r="A382" s="13" t="str">
        <x:v>confirmation_bias_canonical</x:v>
      </x:c>
      <x:c r="B382" s="13" t="str">
        <x:v>confirmation_bias</x:v>
      </x:c>
      <x:c r="C382" s="13" t="str">
        <x:v>Confirmation bias</x:v>
      </x:c>
      <x:c r="D382" s="13" t="str">
        <x:v>سوگیری تأییدی</x:v>
      </x:c>
      <x:c r="E382" s="13" t="str">
        <x:v>Canonical form</x:v>
      </x:c>
      <x:c r="F382" s="13" t="str">
        <x:v>cognitive_biases_information_processing</x:v>
      </x:c>
      <x:c r="G382" s="13" t="str">
        <x:v>canonical</x:v>
      </x:c>
      <x:c r="H382" s="13" t="str">
        <x:v>contextual</x:v>
      </x:c>
      <x:c r="I382" s="13" t="str">
        <x:v>claim+context</x:v>
      </x:c>
      <x:c r="J382" s="13" t="str">
        <x:v>derived_operational_subtype</x:v>
      </x:c>
      <x:c r="K382" s="13" t="str">
        <x:v>derived_from_established_parent_review_required</x:v>
      </x:c>
      <x:c r="L382" s="13" t="str">
        <x:v>P2</x:v>
      </x:c>
      <x:c r="M382" s="13" t="str">
        <x:v>no</x:v>
      </x:c>
      <x:c r="N382" s="13" t="str">
        <x:v>Operational subtype under Confirmation bias: the parent cognitive tendency appears as an observable claim-level pattern. Parent definition: Searching for or interpreting information in ways that support prior beliefs.</x:v>
      </x:c>
      <x:c r="O382" s="13" t="str">
        <x:v>Look for: explicit claim-level evidence; parent-family cues for Confirmation bias; variant cue: the parent cognitive tendency appears as an observable claim-level pattern; avoid author-level inference.</x:v>
      </x:c>
      <x:c r="P382" s="13" t="str">
        <x:v>Exact evidence span in text plus claim-level reasoning link; for contextual/discourse entries, require surrounding context.</x:v>
      </x:c>
      <x:c r="Q382" s="13" t="str">
        <x:v>Do not label merely because topic is controversial, emotional, or wrong. Do not judge intent or personality. Require textual evidence and consider healthy-reasoning cues.</x:v>
      </x:c>
      <x:c r="R382" s="13" t="str">
        <x:v>Stub: A claim relies on the parent cognitive tendency appears as an observable claim-level pattern to support a conclusion without adequate qualification.</x:v>
      </x:c>
      <x:c r="S382" s="13" t="str">
        <x:v>Stub: A claim discusses confirmation bias with caveats, balanced evidence, or no argumentative use of the pattern.</x:v>
      </x:c>
      <x:c r="T382" s="13" t="str">
        <x:v>Mild or ambiguous cue; do not classify without clear evidence span.</x:v>
      </x:c>
      <x:c r="U382" s="13" t="str">
        <x:v>Clear claim-level pattern with some argumentative impact.</x:v>
      </x:c>
      <x:c r="V382" s="13" t="str">
        <x:v>Strong pattern central to the conclusion and likely to materially distort reasoning.</x:v>
      </x:c>
      <x:c r="W382" s="13" t="str"/>
      <x:c r="X382" s="13" t="str">
        <x:v>nickerson_confirmation_1998</x:v>
      </x:c>
      <x:c r="Y382" s="13" t="str">
        <x:v>https://doi.org/10.1037/1089-2680.2.2.175</x:v>
      </x:c>
      <x:c r="Z382" s="13" t="str">
        <x:v>Review before enabling. This workbook is a living taxonomy scaffold, not a validated scientific benchmark.</x:v>
      </x:c>
      <x:c r="AA382" s="13" t="str">
        <x:v>0.1.0-draft</x:v>
      </x:c>
      <x:c r="AB382" s="12" t="str">
        <x:f>IF(ISNUMBER(SEARCH("healthy",F382)),"healthy_reasoning_patterns",IF(ISNUMBER(SEARCH("statistical",F382)),"statistical_reasoning",IF(ISNUMBER(SEARCH("causal",F382)),"causal_reasoning",IF(ISNUMBER(SEARCH("social",F382)),"social_influence",IF(ISNUMBER(SEARCH("rhetoric",F382)),"rhetoric_discourse",IF(ISNUMBER(SEARCH("behavior",F382)),"behavioural_economics",IF(ISNUMBER(SEARCH("cognitive",F382)),"cognitive_biases",IF(J382="protective_pattern","healthy_reasoning_patterns",IF(L382="P0","core_mvp","extended_fallacies")))))))))</x:f>
        <x:v>cognitive_biases</x:v>
      </x:c>
      <x:c r="AC382" s="12" t="str">
        <x:f>IF(ISNUMBER(SEARCH("operational",J382)),"operational",IF(ISNUMBER(SEARCH("deprecated",J382)),"deprecated",IF(L382="P0","canonical","recognized_subtype")))</x:f>
        <x:v>operational</x:v>
      </x:c>
      <x:c r="AD382" s="12" t="str">
        <x:f>IF(AC382="canonical","high",IF(AC382="recognized_subtype","medium",IF(AC382="operational","operational_only","debated")))</x:f>
        <x:v>operational_only</x:v>
      </x:c>
      <x:c r="AE382" s="12" t="str">
        <x:f>IF(AC382="deprecated","deprecated",IF(M382="yes","active",IF(M382="review","review_required","backlog")))</x:f>
        <x:v>backlog</x:v>
      </x:c>
      <x:c r="AF382" s="12" t="str">
        <x:f>IF(OR(AE382="active",AE382="review_required"),"yes","no")</x:f>
        <x:v>no</x:v>
      </x:c>
      <x:c r="AG382" s="12" t="str">
        <x:f>IF(AND(AE382="active",M382="yes",NOT(ISNUMBER(SEARCH("healthy",AB382)))),"yes","no")</x:f>
        <x:v>no</x:v>
      </x:c>
      <x:c r="AH382" s="12" t="str">
        <x:f>IF(OR(H382="contextual",H382="dialogue",H382="discourse",I382="claim+context",I382="discourse_segment"),"yes","no")</x:f>
        <x:v>yes</x:v>
      </x:c>
      <x:c r="AI382" s="12" t="str">
        <x:f>IF(OR(AH382="yes",AD382="debated",AC382="operational"),"yes","no")</x:f>
        <x:v>yes</x:v>
      </x:c>
      <x:c r="AJ382" s="12" t="str">
        <x:f>IF(OR(AH382="yes",AC382="operational",AD382="debated"),"high",IF(AND(AG382="yes",L382="P0"),"medium","low"))</x:f>
        <x:v>high</x:v>
      </x:c>
      <x:c r="AK382" s="12" t="str">
        <x:f>IF(ISNUMBER(SEARCH("healthy",AB382)),"yes","no")</x:f>
        <x:v>no</x:v>
      </x:c>
      <x:c r="AL382" s="12" t="str">
        <x:f>IF(AG382="yes","yes","candidate_only")</x:f>
        <x:v>candidate_only</x:v>
      </x:c>
      <x:c r="AM382" s="12" t="str">
        <x:f>IF(OR(AC382="canonical",AG382="yes"),"yes","recommended")</x:f>
        <x:v>recommended</x:v>
      </x:c>
      <x:c r="AN382" s="12" t="str">
        <x:f>IF(AC382="deprecated","exclude",IF(AND(AG382="yes",AJ382="high"),"import_but_human_review_required",IF(AG382="yes","import_as_active","import_as_backlog")))</x:f>
        <x:v>import_as_backlog</x:v>
      </x:c>
      <x:c r="AO382" s="12" t="str">
        <x:f>IF(AND(AG382="yes",OR(P382="",Q382="",R382="",S382="")),"missing_required_mvp_fields",IF(AND(AC382="canonical",Y382=""),"missing_source_ref","ok"))</x:f>
        <x:v>ok</x:v>
      </x:c>
      <x:c r="AP382" s="12" t="str">
        <x:f>IF(AO382="ok","ready_for_codex_import","needs_review")</x:f>
        <x:v>ready_for_codex_import</x:v>
      </x:c>
      <x:c r="AQ382" s="12"/>
      <x:c r="AR382" s="12" t="str">
        <x:v>Added v2 operational fields. Review before classification activation.</x:v>
      </x:c>
    </x:row>
    <x:row r="383">
      <x:c r="A383" s="13" t="str">
        <x:v>myside_bias_canonical</x:v>
      </x:c>
      <x:c r="B383" s="13" t="str">
        <x:v>myside_bias</x:v>
      </x:c>
      <x:c r="C383" s="13" t="str">
        <x:v>Myside bias</x:v>
      </x:c>
      <x:c r="D383" s="13" t="str">
        <x:v>سوگیری سمت خود</x:v>
      </x:c>
      <x:c r="E383" s="13" t="str">
        <x:v>Canonical form</x:v>
      </x:c>
      <x:c r="F383" s="13" t="str">
        <x:v>cognitive_biases_information_processing</x:v>
      </x:c>
      <x:c r="G383" s="13" t="str">
        <x:v>canonical</x:v>
      </x:c>
      <x:c r="H383" s="13" t="str">
        <x:v>contextual</x:v>
      </x:c>
      <x:c r="I383" s="13" t="str">
        <x:v>claim+context</x:v>
      </x:c>
      <x:c r="J383" s="13" t="str">
        <x:v>derived_operational_subtype</x:v>
      </x:c>
      <x:c r="K383" s="13" t="str">
        <x:v>derived_from_established_parent_review_required</x:v>
      </x:c>
      <x:c r="L383" s="13" t="str">
        <x:v>P2</x:v>
      </x:c>
      <x:c r="M383" s="13" t="str">
        <x:v>no</x:v>
      </x:c>
      <x:c r="N383" s="13" t="str">
        <x:v>Operational subtype under Myside bias: the parent cognitive tendency appears as an observable claim-level pattern. Parent definition: Evaluating evidence differently depending on whether it supports one's side.</x:v>
      </x:c>
      <x:c r="O383" s="13" t="str">
        <x:v>Look for: explicit claim-level evidence; parent-family cues for Myside bias; variant cue: the parent cognitive tendency appears as an observable claim-level pattern; avoid author-level inference.</x:v>
      </x:c>
      <x:c r="P383" s="13" t="str">
        <x:v>Exact evidence span in text plus claim-level reasoning link; for contextual/discourse entries, require surrounding context.</x:v>
      </x:c>
      <x:c r="Q383" s="13" t="str">
        <x:v>Do not label merely because topic is controversial, emotional, or wrong. Do not judge intent or personality. Require textual evidence and consider healthy-reasoning cues.</x:v>
      </x:c>
      <x:c r="R383" s="13" t="str">
        <x:v>Stub: A claim relies on the parent cognitive tendency appears as an observable claim-level pattern to support a conclusion without adequate qualification.</x:v>
      </x:c>
      <x:c r="S383" s="13" t="str">
        <x:v>Stub: A claim discusses myside bias with caveats, balanced evidence, or no argumentative use of the pattern.</x:v>
      </x:c>
      <x:c r="T383" s="13" t="str">
        <x:v>Mild or ambiguous cue; do not classify without clear evidence span.</x:v>
      </x:c>
      <x:c r="U383" s="13" t="str">
        <x:v>Clear claim-level pattern with some argumentative impact.</x:v>
      </x:c>
      <x:c r="V383" s="13" t="str">
        <x:v>Strong pattern central to the conclusion and likely to materially distort reasoning.</x:v>
      </x:c>
      <x:c r="W383" s="13" t="str">
        <x:v>cherry_picking; missing_counterevidence; evidence_grading</x:v>
      </x:c>
      <x:c r="X383" s="13" t="str">
        <x:v>nickerson_confirmation_1998</x:v>
      </x:c>
      <x:c r="Y383" s="13" t="str">
        <x:v>https://doi.org/10.1037/1089-2680.2.2.175</x:v>
      </x:c>
      <x:c r="Z383" s="13" t="str">
        <x:v>Review before enabling. This workbook is a living taxonomy scaffold, not a validated scientific benchmark.</x:v>
      </x:c>
      <x:c r="AA383" s="13" t="str">
        <x:v>0.1.0-draft</x:v>
      </x:c>
      <x:c r="AB383" s="12" t="str">
        <x:f>IF(ISNUMBER(SEARCH("healthy",F383)),"healthy_reasoning_patterns",IF(ISNUMBER(SEARCH("statistical",F383)),"statistical_reasoning",IF(ISNUMBER(SEARCH("causal",F383)),"causal_reasoning",IF(ISNUMBER(SEARCH("social",F383)),"social_influence",IF(ISNUMBER(SEARCH("rhetoric",F383)),"rhetoric_discourse",IF(ISNUMBER(SEARCH("behavior",F383)),"behavioural_economics",IF(ISNUMBER(SEARCH("cognitive",F383)),"cognitive_biases",IF(J383="protective_pattern","healthy_reasoning_patterns",IF(L383="P0","core_mvp","extended_fallacies")))))))))</x:f>
        <x:v>cognitive_biases</x:v>
      </x:c>
      <x:c r="AC383" s="12" t="str">
        <x:f>IF(ISNUMBER(SEARCH("operational",J383)),"operational",IF(ISNUMBER(SEARCH("deprecated",J383)),"deprecated",IF(L383="P0","canonical","recognized_subtype")))</x:f>
        <x:v>operational</x:v>
      </x:c>
      <x:c r="AD383" s="12" t="str">
        <x:f>IF(AC383="canonical","high",IF(AC383="recognized_subtype","medium",IF(AC383="operational","operational_only","debated")))</x:f>
        <x:v>operational_only</x:v>
      </x:c>
      <x:c r="AE383" s="12" t="str">
        <x:f>IF(AC383="deprecated","deprecated",IF(M383="yes","active",IF(M383="review","review_required","backlog")))</x:f>
        <x:v>backlog</x:v>
      </x:c>
      <x:c r="AF383" s="12" t="str">
        <x:f>IF(OR(AE383="active",AE383="review_required"),"yes","no")</x:f>
        <x:v>no</x:v>
      </x:c>
      <x:c r="AG383" s="12" t="str">
        <x:f>IF(AND(AE383="active",M383="yes",NOT(ISNUMBER(SEARCH("healthy",AB383)))),"yes","no")</x:f>
        <x:v>no</x:v>
      </x:c>
      <x:c r="AH383" s="12" t="str">
        <x:f>IF(OR(H383="contextual",H383="dialogue",H383="discourse",I383="claim+context",I383="discourse_segment"),"yes","no")</x:f>
        <x:v>yes</x:v>
      </x:c>
      <x:c r="AI383" s="12" t="str">
        <x:f>IF(OR(AH383="yes",AD383="debated",AC383="operational"),"yes","no")</x:f>
        <x:v>yes</x:v>
      </x:c>
      <x:c r="AJ383" s="12" t="str">
        <x:f>IF(OR(AH383="yes",AC383="operational",AD383="debated"),"high",IF(AND(AG383="yes",L383="P0"),"medium","low"))</x:f>
        <x:v>high</x:v>
      </x:c>
      <x:c r="AK383" s="12" t="str">
        <x:f>IF(ISNUMBER(SEARCH("healthy",AB383)),"yes","no")</x:f>
        <x:v>no</x:v>
      </x:c>
      <x:c r="AL383" s="12" t="str">
        <x:f>IF(AG383="yes","yes","candidate_only")</x:f>
        <x:v>candidate_only</x:v>
      </x:c>
      <x:c r="AM383" s="12" t="str">
        <x:f>IF(OR(AC383="canonical",AG383="yes"),"yes","recommended")</x:f>
        <x:v>recommended</x:v>
      </x:c>
      <x:c r="AN383" s="12" t="str">
        <x:f>IF(AC383="deprecated","exclude",IF(AND(AG383="yes",AJ383="high"),"import_but_human_review_required",IF(AG383="yes","import_as_active","import_as_backlog")))</x:f>
        <x:v>import_as_backlog</x:v>
      </x:c>
      <x:c r="AO383" s="12" t="str">
        <x:f>IF(AND(AG383="yes",OR(P383="",Q383="",R383="",S383="")),"missing_required_mvp_fields",IF(AND(AC383="canonical",Y383=""),"missing_source_ref","ok"))</x:f>
        <x:v>ok</x:v>
      </x:c>
      <x:c r="AP383" s="12" t="str">
        <x:f>IF(AO383="ok","ready_for_codex_import","needs_review")</x:f>
        <x:v>ready_for_codex_import</x:v>
      </x:c>
      <x:c r="AQ383" s="12"/>
      <x:c r="AR383" s="12" t="str">
        <x:v>Added v2 operational fields. Review before classification activation.</x:v>
      </x:c>
    </x:row>
    <x:row r="384">
      <x:c r="A384" s="13" t="str">
        <x:v>belief_bias_canonical</x:v>
      </x:c>
      <x:c r="B384" s="13" t="str">
        <x:v>belief_bias</x:v>
      </x:c>
      <x:c r="C384" s="13" t="str">
        <x:v>Belief bias</x:v>
      </x:c>
      <x:c r="D384" s="13" t="str">
        <x:v>سوگیری باور</x:v>
      </x:c>
      <x:c r="E384" s="13" t="str">
        <x:v>Canonical form</x:v>
      </x:c>
      <x:c r="F384" s="13" t="str">
        <x:v>cognitive_biases_information_processing</x:v>
      </x:c>
      <x:c r="G384" s="13" t="str">
        <x:v>canonical</x:v>
      </x:c>
      <x:c r="H384" s="13" t="str">
        <x:v>structural</x:v>
      </x:c>
      <x:c r="I384" s="13" t="str">
        <x:v>claim</x:v>
      </x:c>
      <x:c r="J384" s="13" t="str">
        <x:v>derived_operational_subtype</x:v>
      </x:c>
      <x:c r="K384" s="13" t="str">
        <x:v>derived_from_established_parent_review_required</x:v>
      </x:c>
      <x:c r="L384" s="13" t="str">
        <x:v>P2</x:v>
      </x:c>
      <x:c r="M384" s="13" t="str">
        <x:v>no</x:v>
      </x:c>
      <x:c r="N384" s="13" t="str">
        <x:v>Operational subtype under Belief bias: the parent cognitive tendency appears as an observable claim-level pattern. Parent definition: Judging logical strength by conclusion believability rather than validity.</x:v>
      </x:c>
      <x:c r="O384" s="13" t="str">
        <x:v>Look for: explicit claim-level evidence; parent-family cues for Belief bias; variant cue: the parent cognitive tendency appears as an observable claim-level pattern; avoid author-level inference.</x:v>
      </x:c>
      <x:c r="P384" s="13" t="str">
        <x:v>Exact evidence span in text plus claim-level reasoning link; for contextual/discourse entries, require surrounding context.</x:v>
      </x:c>
      <x:c r="Q384" s="13" t="str">
        <x:v>Do not label merely because topic is controversial, emotional, or wrong. Do not judge intent or personality. Require textual evidence and consider healthy-reasoning cues.</x:v>
      </x:c>
      <x:c r="R384" s="13" t="str">
        <x:v>Stub: A claim relies on the parent cognitive tendency appears as an observable claim-level pattern to support a conclusion without adequate qualification.</x:v>
      </x:c>
      <x:c r="S384" s="13" t="str">
        <x:v>Stub: A claim discusses belief bias with caveats, balanced evidence, or no argumentative use of the pattern.</x:v>
      </x:c>
      <x:c r="T384" s="13" t="str">
        <x:v>Mild or ambiguous cue; do not classify without clear evidence span.</x:v>
      </x:c>
      <x:c r="U384" s="13" t="str">
        <x:v>Clear claim-level pattern with some argumentative impact.</x:v>
      </x:c>
      <x:c r="V384" s="13" t="str">
        <x:v>Strong pattern central to the conclusion and likely to materially distort reasoning.</x:v>
      </x:c>
      <x:c r="W384" s="13" t="str"/>
      <x:c r="X384" s="13" t="str">
        <x:v>stanovich_dual_process</x:v>
      </x:c>
      <x:c r="Y384" s="13" t="str">
        <x:v>https://global.oup.com/academic/product/rationality-and-the-reflective-mind-9780195341140</x:v>
      </x:c>
      <x:c r="Z384" s="13" t="str">
        <x:v>Review before enabling. This workbook is a living taxonomy scaffold, not a validated scientific benchmark.</x:v>
      </x:c>
      <x:c r="AA384" s="13" t="str">
        <x:v>0.1.0-draft</x:v>
      </x:c>
      <x:c r="AB384" s="12" t="str">
        <x:f>IF(ISNUMBER(SEARCH("healthy",F384)),"healthy_reasoning_patterns",IF(ISNUMBER(SEARCH("statistical",F384)),"statistical_reasoning",IF(ISNUMBER(SEARCH("causal",F384)),"causal_reasoning",IF(ISNUMBER(SEARCH("social",F384)),"social_influence",IF(ISNUMBER(SEARCH("rhetoric",F384)),"rhetoric_discourse",IF(ISNUMBER(SEARCH("behavior",F384)),"behavioural_economics",IF(ISNUMBER(SEARCH("cognitive",F384)),"cognitive_biases",IF(J384="protective_pattern","healthy_reasoning_patterns",IF(L384="P0","core_mvp","extended_fallacies")))))))))</x:f>
        <x:v>cognitive_biases</x:v>
      </x:c>
      <x:c r="AC384" s="12" t="str">
        <x:f>IF(ISNUMBER(SEARCH("operational",J384)),"operational",IF(ISNUMBER(SEARCH("deprecated",J384)),"deprecated",IF(L384="P0","canonical","recognized_subtype")))</x:f>
        <x:v>operational</x:v>
      </x:c>
      <x:c r="AD384" s="12" t="str">
        <x:f>IF(AC384="canonical","high",IF(AC384="recognized_subtype","medium",IF(AC384="operational","operational_only","debated")))</x:f>
        <x:v>operational_only</x:v>
      </x:c>
      <x:c r="AE384" s="12" t="str">
        <x:f>IF(AC384="deprecated","deprecated",IF(M384="yes","active",IF(M384="review","review_required","backlog")))</x:f>
        <x:v>backlog</x:v>
      </x:c>
      <x:c r="AF384" s="12" t="str">
        <x:f>IF(OR(AE384="active",AE384="review_required"),"yes","no")</x:f>
        <x:v>no</x:v>
      </x:c>
      <x:c r="AG384" s="12" t="str">
        <x:f>IF(AND(AE384="active",M384="yes",NOT(ISNUMBER(SEARCH("healthy",AB384)))),"yes","no")</x:f>
        <x:v>no</x:v>
      </x:c>
      <x:c r="AH384" s="12" t="str">
        <x:f>IF(OR(H384="contextual",H384="dialogue",H384="discourse",I384="claim+context",I384="discourse_segment"),"yes","no")</x:f>
        <x:v>no</x:v>
      </x:c>
      <x:c r="AI384" s="12" t="str">
        <x:f>IF(OR(AH384="yes",AD384="debated",AC384="operational"),"yes","no")</x:f>
        <x:v>yes</x:v>
      </x:c>
      <x:c r="AJ384" s="12" t="str">
        <x:f>IF(OR(AH384="yes",AC384="operational",AD384="debated"),"high",IF(AND(AG384="yes",L384="P0"),"medium","low"))</x:f>
        <x:v>high</x:v>
      </x:c>
      <x:c r="AK384" s="12" t="str">
        <x:f>IF(ISNUMBER(SEARCH("healthy",AB384)),"yes","no")</x:f>
        <x:v>no</x:v>
      </x:c>
      <x:c r="AL384" s="12" t="str">
        <x:f>IF(AG384="yes","yes","candidate_only")</x:f>
        <x:v>candidate_only</x:v>
      </x:c>
      <x:c r="AM384" s="12" t="str">
        <x:f>IF(OR(AC384="canonical",AG384="yes"),"yes","recommended")</x:f>
        <x:v>recommended</x:v>
      </x:c>
      <x:c r="AN384" s="12" t="str">
        <x:f>IF(AC384="deprecated","exclude",IF(AND(AG384="yes",AJ384="high"),"import_but_human_review_required",IF(AG384="yes","import_as_active","import_as_backlog")))</x:f>
        <x:v>import_as_backlog</x:v>
      </x:c>
      <x:c r="AO384" s="12" t="str">
        <x:f>IF(AND(AG384="yes",OR(P384="",Q384="",R384="",S384="")),"missing_required_mvp_fields",IF(AND(AC384="canonical",Y384=""),"missing_source_ref","ok"))</x:f>
        <x:v>ok</x:v>
      </x:c>
      <x:c r="AP384" s="12" t="str">
        <x:f>IF(AO384="ok","ready_for_codex_import","needs_review")</x:f>
        <x:v>ready_for_codex_import</x:v>
      </x:c>
      <x:c r="AQ384" s="12"/>
      <x:c r="AR384" s="12" t="str">
        <x:v>Added v2 operational fields. Review before classification activation.</x:v>
      </x:c>
    </x:row>
    <x:row r="385">
      <x:c r="A385" s="13" t="str">
        <x:v>anchoring_bias_canonical</x:v>
      </x:c>
      <x:c r="B385" s="13" t="str">
        <x:v>anchoring_bias</x:v>
      </x:c>
      <x:c r="C385" s="13" t="str">
        <x:v>Anchoring bias</x:v>
      </x:c>
      <x:c r="D385" s="13" t="str">
        <x:v>سوگیری لنگری</x:v>
      </x:c>
      <x:c r="E385" s="13" t="str">
        <x:v>Canonical form</x:v>
      </x:c>
      <x:c r="F385" s="13" t="str">
        <x:v>cognitive_biases_information_processing</x:v>
      </x:c>
      <x:c r="G385" s="13" t="str">
        <x:v>canonical</x:v>
      </x:c>
      <x:c r="H385" s="13" t="str">
        <x:v>contextual</x:v>
      </x:c>
      <x:c r="I385" s="13" t="str">
        <x:v>claim+context</x:v>
      </x:c>
      <x:c r="J385" s="13" t="str">
        <x:v>derived_operational_subtype</x:v>
      </x:c>
      <x:c r="K385" s="13" t="str">
        <x:v>derived_from_established_parent_review_required</x:v>
      </x:c>
      <x:c r="L385" s="13" t="str">
        <x:v>P2</x:v>
      </x:c>
      <x:c r="M385" s="13" t="str">
        <x:v>no</x:v>
      </x:c>
      <x:c r="N385" s="13" t="str">
        <x:v>Operational subtype under Anchoring bias: the parent cognitive tendency appears as an observable claim-level pattern. Parent definition: Relying too heavily on an initial value or frame when judging.</x:v>
      </x:c>
      <x:c r="O385" s="13" t="str">
        <x:v>Look for: explicit claim-level evidence; parent-family cues for Anchoring bias; variant cue: the parent cognitive tendency appears as an observable claim-level pattern; avoid author-level inference.</x:v>
      </x:c>
      <x:c r="P385" s="13" t="str">
        <x:v>Exact evidence span in text plus claim-level reasoning link; for contextual/discourse entries, require surrounding context.</x:v>
      </x:c>
      <x:c r="Q385" s="13" t="str">
        <x:v>Do not label merely because topic is controversial, emotional, or wrong. Do not judge intent or personality. Require textual evidence and consider healthy-reasoning cues.</x:v>
      </x:c>
      <x:c r="R385" s="13" t="str">
        <x:v>Stub: A claim relies on the parent cognitive tendency appears as an observable claim-level pattern to support a conclusion without adequate qualification.</x:v>
      </x:c>
      <x:c r="S385" s="13" t="str">
        <x:v>Stub: A claim discusses anchoring bias with caveats, balanced evidence, or no argumentative use of the pattern.</x:v>
      </x:c>
      <x:c r="T385" s="13" t="str">
        <x:v>Mild or ambiguous cue; do not classify without clear evidence span.</x:v>
      </x:c>
      <x:c r="U385" s="13" t="str">
        <x:v>Clear claim-level pattern with some argumentative impact.</x:v>
      </x:c>
      <x:c r="V385" s="13" t="str">
        <x:v>Strong pattern central to the conclusion and likely to materially distort reasoning.</x:v>
      </x:c>
      <x:c r="W385" s="13" t="str"/>
      <x:c r="X385" s="13" t="str">
        <x:v>kahneman_tversky_heuristics_1974</x:v>
      </x:c>
      <x:c r="Y385" s="13" t="str">
        <x:v>https://doi.org/10.1126/science.185.4157.1124</x:v>
      </x:c>
      <x:c r="Z385" s="13" t="str">
        <x:v>Review before enabling. This workbook is a living taxonomy scaffold, not a validated scientific benchmark.</x:v>
      </x:c>
      <x:c r="AA385" s="13" t="str">
        <x:v>0.1.0-draft</x:v>
      </x:c>
      <x:c r="AB385" s="12" t="str">
        <x:f>IF(ISNUMBER(SEARCH("healthy",F385)),"healthy_reasoning_patterns",IF(ISNUMBER(SEARCH("statistical",F385)),"statistical_reasoning",IF(ISNUMBER(SEARCH("causal",F385)),"causal_reasoning",IF(ISNUMBER(SEARCH("social",F385)),"social_influence",IF(ISNUMBER(SEARCH("rhetoric",F385)),"rhetoric_discourse",IF(ISNUMBER(SEARCH("behavior",F385)),"behavioural_economics",IF(ISNUMBER(SEARCH("cognitive",F385)),"cognitive_biases",IF(J385="protective_pattern","healthy_reasoning_patterns",IF(L385="P0","core_mvp","extended_fallacies")))))))))</x:f>
        <x:v>cognitive_biases</x:v>
      </x:c>
      <x:c r="AC385" s="12" t="str">
        <x:f>IF(ISNUMBER(SEARCH("operational",J385)),"operational",IF(ISNUMBER(SEARCH("deprecated",J385)),"deprecated",IF(L385="P0","canonical","recognized_subtype")))</x:f>
        <x:v>operational</x:v>
      </x:c>
      <x:c r="AD385" s="12" t="str">
        <x:f>IF(AC385="canonical","high",IF(AC385="recognized_subtype","medium",IF(AC385="operational","operational_only","debated")))</x:f>
        <x:v>operational_only</x:v>
      </x:c>
      <x:c r="AE385" s="12" t="str">
        <x:f>IF(AC385="deprecated","deprecated",IF(M385="yes","active",IF(M385="review","review_required","backlog")))</x:f>
        <x:v>backlog</x:v>
      </x:c>
      <x:c r="AF385" s="12" t="str">
        <x:f>IF(OR(AE385="active",AE385="review_required"),"yes","no")</x:f>
        <x:v>no</x:v>
      </x:c>
      <x:c r="AG385" s="12" t="str">
        <x:f>IF(AND(AE385="active",M385="yes",NOT(ISNUMBER(SEARCH("healthy",AB385)))),"yes","no")</x:f>
        <x:v>no</x:v>
      </x:c>
      <x:c r="AH385" s="12" t="str">
        <x:f>IF(OR(H385="contextual",H385="dialogue",H385="discourse",I385="claim+context",I385="discourse_segment"),"yes","no")</x:f>
        <x:v>yes</x:v>
      </x:c>
      <x:c r="AI385" s="12" t="str">
        <x:f>IF(OR(AH385="yes",AD385="debated",AC385="operational"),"yes","no")</x:f>
        <x:v>yes</x:v>
      </x:c>
      <x:c r="AJ385" s="12" t="str">
        <x:f>IF(OR(AH385="yes",AC385="operational",AD385="debated"),"high",IF(AND(AG385="yes",L385="P0"),"medium","low"))</x:f>
        <x:v>high</x:v>
      </x:c>
      <x:c r="AK385" s="12" t="str">
        <x:f>IF(ISNUMBER(SEARCH("healthy",AB385)),"yes","no")</x:f>
        <x:v>no</x:v>
      </x:c>
      <x:c r="AL385" s="12" t="str">
        <x:f>IF(AG385="yes","yes","candidate_only")</x:f>
        <x:v>candidate_only</x:v>
      </x:c>
      <x:c r="AM385" s="12" t="str">
        <x:f>IF(OR(AC385="canonical",AG385="yes"),"yes","recommended")</x:f>
        <x:v>recommended</x:v>
      </x:c>
      <x:c r="AN385" s="12" t="str">
        <x:f>IF(AC385="deprecated","exclude",IF(AND(AG385="yes",AJ385="high"),"import_but_human_review_required",IF(AG385="yes","import_as_active","import_as_backlog")))</x:f>
        <x:v>import_as_backlog</x:v>
      </x:c>
      <x:c r="AO385" s="12" t="str">
        <x:f>IF(AND(AG385="yes",OR(P385="",Q385="",R385="",S385="")),"missing_required_mvp_fields",IF(AND(AC385="canonical",Y385=""),"missing_source_ref","ok"))</x:f>
        <x:v>ok</x:v>
      </x:c>
      <x:c r="AP385" s="12" t="str">
        <x:f>IF(AO385="ok","ready_for_codex_import","needs_review")</x:f>
        <x:v>ready_for_codex_import</x:v>
      </x:c>
      <x:c r="AQ385" s="12"/>
      <x:c r="AR385" s="12" t="str">
        <x:v>Added v2 operational fields. Review before classification activation.</x:v>
      </x:c>
    </x:row>
    <x:row r="386">
      <x:c r="A386" s="13" t="str">
        <x:v>availability_heuristic_canonical</x:v>
      </x:c>
      <x:c r="B386" s="13" t="str">
        <x:v>availability_heuristic</x:v>
      </x:c>
      <x:c r="C386" s="13" t="str">
        <x:v>Availability heuristic</x:v>
      </x:c>
      <x:c r="D386" s="13" t="str">
        <x:v>قضاوت بر اساس در دسترس بودن</x:v>
      </x:c>
      <x:c r="E386" s="13" t="str">
        <x:v>Canonical form</x:v>
      </x:c>
      <x:c r="F386" s="13" t="str">
        <x:v>cognitive_biases_information_processing</x:v>
      </x:c>
      <x:c r="G386" s="13" t="str">
        <x:v>canonical</x:v>
      </x:c>
      <x:c r="H386" s="13" t="str">
        <x:v>contextual</x:v>
      </x:c>
      <x:c r="I386" s="13" t="str">
        <x:v>claim+context</x:v>
      </x:c>
      <x:c r="J386" s="13" t="str">
        <x:v>derived_operational_subtype</x:v>
      </x:c>
      <x:c r="K386" s="13" t="str">
        <x:v>derived_from_established_parent_review_required</x:v>
      </x:c>
      <x:c r="L386" s="13" t="str">
        <x:v>P2</x:v>
      </x:c>
      <x:c r="M386" s="13" t="str">
        <x:v>no</x:v>
      </x:c>
      <x:c r="N386" s="13" t="str">
        <x:v>Operational subtype under Availability heuristic: the parent cognitive tendency appears as an observable claim-level pattern. Parent definition: Judging frequency or likelihood by how easily examples come to mind.</x:v>
      </x:c>
      <x:c r="O386" s="13" t="str">
        <x:v>Look for: explicit claim-level evidence; parent-family cues for Availability heuristic; variant cue: the parent cognitive tendency appears as an observable claim-level pattern; avoid author-level inference.</x:v>
      </x:c>
      <x:c r="P386" s="13" t="str">
        <x:v>Exact evidence span in text plus claim-level reasoning link; for contextual/discourse entries, require surrounding context.</x:v>
      </x:c>
      <x:c r="Q386" s="13" t="str">
        <x:v>Do not label merely because topic is controversial, emotional, or wrong. Do not judge intent or personality. Require textual evidence and consider healthy-reasoning cues.</x:v>
      </x:c>
      <x:c r="R386" s="13" t="str">
        <x:v>Stub: A claim relies on the parent cognitive tendency appears as an observable claim-level pattern to support a conclusion without adequate qualification.</x:v>
      </x:c>
      <x:c r="S386" s="13" t="str">
        <x:v>Stub: A claim discusses availability heuristic with caveats, balanced evidence, or no argumentative use of the pattern.</x:v>
      </x:c>
      <x:c r="T386" s="13" t="str">
        <x:v>Mild or ambiguous cue; do not classify without clear evidence span.</x:v>
      </x:c>
      <x:c r="U386" s="13" t="str">
        <x:v>Clear claim-level pattern with some argumentative impact.</x:v>
      </x:c>
      <x:c r="V386" s="13" t="str">
        <x:v>Strong pattern central to the conclusion and likely to materially distort reasoning.</x:v>
      </x:c>
      <x:c r="W386" s="13" t="str"/>
      <x:c r="X386" s="13" t="str">
        <x:v>kahneman_tversky_heuristics_1974</x:v>
      </x:c>
      <x:c r="Y386" s="13" t="str">
        <x:v>https://doi.org/10.1126/science.185.4157.1124</x:v>
      </x:c>
      <x:c r="Z386" s="13" t="str">
        <x:v>Review before enabling. This workbook is a living taxonomy scaffold, not a validated scientific benchmark.</x:v>
      </x:c>
      <x:c r="AA386" s="13" t="str">
        <x:v>0.1.0-draft</x:v>
      </x:c>
      <x:c r="AB386" s="12" t="str">
        <x:f>IF(ISNUMBER(SEARCH("healthy",F386)),"healthy_reasoning_patterns",IF(ISNUMBER(SEARCH("statistical",F386)),"statistical_reasoning",IF(ISNUMBER(SEARCH("causal",F386)),"causal_reasoning",IF(ISNUMBER(SEARCH("social",F386)),"social_influence",IF(ISNUMBER(SEARCH("rhetoric",F386)),"rhetoric_discourse",IF(ISNUMBER(SEARCH("behavior",F386)),"behavioural_economics",IF(ISNUMBER(SEARCH("cognitive",F386)),"cognitive_biases",IF(J386="protective_pattern","healthy_reasoning_patterns",IF(L386="P0","core_mvp","extended_fallacies")))))))))</x:f>
        <x:v>cognitive_biases</x:v>
      </x:c>
      <x:c r="AC386" s="12" t="str">
        <x:f>IF(ISNUMBER(SEARCH("operational",J386)),"operational",IF(ISNUMBER(SEARCH("deprecated",J386)),"deprecated",IF(L386="P0","canonical","recognized_subtype")))</x:f>
        <x:v>operational</x:v>
      </x:c>
      <x:c r="AD386" s="12" t="str">
        <x:f>IF(AC386="canonical","high",IF(AC386="recognized_subtype","medium",IF(AC386="operational","operational_only","debated")))</x:f>
        <x:v>operational_only</x:v>
      </x:c>
      <x:c r="AE386" s="12" t="str">
        <x:f>IF(AC386="deprecated","deprecated",IF(M386="yes","active",IF(M386="review","review_required","backlog")))</x:f>
        <x:v>backlog</x:v>
      </x:c>
      <x:c r="AF386" s="12" t="str">
        <x:f>IF(OR(AE386="active",AE386="review_required"),"yes","no")</x:f>
        <x:v>no</x:v>
      </x:c>
      <x:c r="AG386" s="12" t="str">
        <x:f>IF(AND(AE386="active",M386="yes",NOT(ISNUMBER(SEARCH("healthy",AB386)))),"yes","no")</x:f>
        <x:v>no</x:v>
      </x:c>
      <x:c r="AH386" s="12" t="str">
        <x:f>IF(OR(H386="contextual",H386="dialogue",H386="discourse",I386="claim+context",I386="discourse_segment"),"yes","no")</x:f>
        <x:v>yes</x:v>
      </x:c>
      <x:c r="AI386" s="12" t="str">
        <x:f>IF(OR(AH386="yes",AD386="debated",AC386="operational"),"yes","no")</x:f>
        <x:v>yes</x:v>
      </x:c>
      <x:c r="AJ386" s="12" t="str">
        <x:f>IF(OR(AH386="yes",AC386="operational",AD386="debated"),"high",IF(AND(AG386="yes",L386="P0"),"medium","low"))</x:f>
        <x:v>high</x:v>
      </x:c>
      <x:c r="AK386" s="12" t="str">
        <x:f>IF(ISNUMBER(SEARCH("healthy",AB386)),"yes","no")</x:f>
        <x:v>no</x:v>
      </x:c>
      <x:c r="AL386" s="12" t="str">
        <x:f>IF(AG386="yes","yes","candidate_only")</x:f>
        <x:v>candidate_only</x:v>
      </x:c>
      <x:c r="AM386" s="12" t="str">
        <x:f>IF(OR(AC386="canonical",AG386="yes"),"yes","recommended")</x:f>
        <x:v>recommended</x:v>
      </x:c>
      <x:c r="AN386" s="12" t="str">
        <x:f>IF(AC386="deprecated","exclude",IF(AND(AG386="yes",AJ386="high"),"import_but_human_review_required",IF(AG386="yes","import_as_active","import_as_backlog")))</x:f>
        <x:v>import_as_backlog</x:v>
      </x:c>
      <x:c r="AO386" s="12" t="str">
        <x:f>IF(AND(AG386="yes",OR(P386="",Q386="",R386="",S386="")),"missing_required_mvp_fields",IF(AND(AC386="canonical",Y386=""),"missing_source_ref","ok"))</x:f>
        <x:v>ok</x:v>
      </x:c>
      <x:c r="AP386" s="12" t="str">
        <x:f>IF(AO386="ok","ready_for_codex_import","needs_review")</x:f>
        <x:v>ready_for_codex_import</x:v>
      </x:c>
      <x:c r="AQ386" s="12"/>
      <x:c r="AR386" s="12" t="str">
        <x:v>Added v2 operational fields. Review before classification activation.</x:v>
      </x:c>
    </x:row>
    <x:row r="387">
      <x:c r="A387" s="13" t="str">
        <x:v>representativeness_heuristic_canonical</x:v>
      </x:c>
      <x:c r="B387" s="13" t="str">
        <x:v>representativeness_heuristic</x:v>
      </x:c>
      <x:c r="C387" s="13" t="str">
        <x:v>Representativeness heuristic</x:v>
      </x:c>
      <x:c r="D387" s="13" t="str">
        <x:v>نمایندگی‌گرایی</x:v>
      </x:c>
      <x:c r="E387" s="13" t="str">
        <x:v>Canonical form</x:v>
      </x:c>
      <x:c r="F387" s="13" t="str">
        <x:v>cognitive_biases_information_processing</x:v>
      </x:c>
      <x:c r="G387" s="13" t="str">
        <x:v>canonical</x:v>
      </x:c>
      <x:c r="H387" s="13" t="str">
        <x:v>contextual</x:v>
      </x:c>
      <x:c r="I387" s="13" t="str">
        <x:v>claim+context</x:v>
      </x:c>
      <x:c r="J387" s="13" t="str">
        <x:v>derived_operational_subtype</x:v>
      </x:c>
      <x:c r="K387" s="13" t="str">
        <x:v>derived_from_established_parent_review_required</x:v>
      </x:c>
      <x:c r="L387" s="13" t="str">
        <x:v>P2</x:v>
      </x:c>
      <x:c r="M387" s="13" t="str">
        <x:v>no</x:v>
      </x:c>
      <x:c r="N387" s="13" t="str">
        <x:v>Operational subtype under Representativeness heuristic: the parent cognitive tendency appears as an observable claim-level pattern. Parent definition: Judging likelihood by similarity to a stereotype or prototype.</x:v>
      </x:c>
      <x:c r="O387" s="13" t="str">
        <x:v>Look for: explicit claim-level evidence; parent-family cues for Representativeness heuristic; variant cue: the parent cognitive tendency appears as an observable claim-level pattern; avoid author-level inference.</x:v>
      </x:c>
      <x:c r="P387" s="13" t="str">
        <x:v>Exact evidence span in text plus claim-level reasoning link; for contextual/discourse entries, require surrounding context.</x:v>
      </x:c>
      <x:c r="Q387" s="13" t="str">
        <x:v>Do not label merely because topic is controversial, emotional, or wrong. Do not judge intent or personality. Require textual evidence and consider healthy-reasoning cues.</x:v>
      </x:c>
      <x:c r="R387" s="13" t="str">
        <x:v>Stub: A claim relies on the parent cognitive tendency appears as an observable claim-level pattern to support a conclusion without adequate qualification.</x:v>
      </x:c>
      <x:c r="S387" s="13" t="str">
        <x:v>Stub: A claim discusses representativeness heuristic with caveats, balanced evidence, or no argumentative use of the pattern.</x:v>
      </x:c>
      <x:c r="T387" s="13" t="str">
        <x:v>Mild or ambiguous cue; do not classify without clear evidence span.</x:v>
      </x:c>
      <x:c r="U387" s="13" t="str">
        <x:v>Clear claim-level pattern with some argumentative impact.</x:v>
      </x:c>
      <x:c r="V387" s="13" t="str">
        <x:v>Strong pattern central to the conclusion and likely to materially distort reasoning.</x:v>
      </x:c>
      <x:c r="W387" s="13" t="str"/>
      <x:c r="X387" s="13" t="str">
        <x:v>kahneman_tversky_heuristics_1974</x:v>
      </x:c>
      <x:c r="Y387" s="13" t="str">
        <x:v>https://doi.org/10.1126/science.185.4157.1124</x:v>
      </x:c>
      <x:c r="Z387" s="13" t="str">
        <x:v>Review before enabling. This workbook is a living taxonomy scaffold, not a validated scientific benchmark.</x:v>
      </x:c>
      <x:c r="AA387" s="13" t="str">
        <x:v>0.1.0-draft</x:v>
      </x:c>
      <x:c r="AB387" s="12" t="str">
        <x:f>IF(ISNUMBER(SEARCH("healthy",F387)),"healthy_reasoning_patterns",IF(ISNUMBER(SEARCH("statistical",F387)),"statistical_reasoning",IF(ISNUMBER(SEARCH("causal",F387)),"causal_reasoning",IF(ISNUMBER(SEARCH("social",F387)),"social_influence",IF(ISNUMBER(SEARCH("rhetoric",F387)),"rhetoric_discourse",IF(ISNUMBER(SEARCH("behavior",F387)),"behavioural_economics",IF(ISNUMBER(SEARCH("cognitive",F387)),"cognitive_biases",IF(J387="protective_pattern","healthy_reasoning_patterns",IF(L387="P0","core_mvp","extended_fallacies")))))))))</x:f>
        <x:v>cognitive_biases</x:v>
      </x:c>
      <x:c r="AC387" s="12" t="str">
        <x:f>IF(ISNUMBER(SEARCH("operational",J387)),"operational",IF(ISNUMBER(SEARCH("deprecated",J387)),"deprecated",IF(L387="P0","canonical","recognized_subtype")))</x:f>
        <x:v>operational</x:v>
      </x:c>
      <x:c r="AD387" s="12" t="str">
        <x:f>IF(AC387="canonical","high",IF(AC387="recognized_subtype","medium",IF(AC387="operational","operational_only","debated")))</x:f>
        <x:v>operational_only</x:v>
      </x:c>
      <x:c r="AE387" s="12" t="str">
        <x:f>IF(AC387="deprecated","deprecated",IF(M387="yes","active",IF(M387="review","review_required","backlog")))</x:f>
        <x:v>backlog</x:v>
      </x:c>
      <x:c r="AF387" s="12" t="str">
        <x:f>IF(OR(AE387="active",AE387="review_required"),"yes","no")</x:f>
        <x:v>no</x:v>
      </x:c>
      <x:c r="AG387" s="12" t="str">
        <x:f>IF(AND(AE387="active",M387="yes",NOT(ISNUMBER(SEARCH("healthy",AB387)))),"yes","no")</x:f>
        <x:v>no</x:v>
      </x:c>
      <x:c r="AH387" s="12" t="str">
        <x:f>IF(OR(H387="contextual",H387="dialogue",H387="discourse",I387="claim+context",I387="discourse_segment"),"yes","no")</x:f>
        <x:v>yes</x:v>
      </x:c>
      <x:c r="AI387" s="12" t="str">
        <x:f>IF(OR(AH387="yes",AD387="debated",AC387="operational"),"yes","no")</x:f>
        <x:v>yes</x:v>
      </x:c>
      <x:c r="AJ387" s="12" t="str">
        <x:f>IF(OR(AH387="yes",AC387="operational",AD387="debated"),"high",IF(AND(AG387="yes",L387="P0"),"medium","low"))</x:f>
        <x:v>high</x:v>
      </x:c>
      <x:c r="AK387" s="12" t="str">
        <x:f>IF(ISNUMBER(SEARCH("healthy",AB387)),"yes","no")</x:f>
        <x:v>no</x:v>
      </x:c>
      <x:c r="AL387" s="12" t="str">
        <x:f>IF(AG387="yes","yes","candidate_only")</x:f>
        <x:v>candidate_only</x:v>
      </x:c>
      <x:c r="AM387" s="12" t="str">
        <x:f>IF(OR(AC387="canonical",AG387="yes"),"yes","recommended")</x:f>
        <x:v>recommended</x:v>
      </x:c>
      <x:c r="AN387" s="12" t="str">
        <x:f>IF(AC387="deprecated","exclude",IF(AND(AG387="yes",AJ387="high"),"import_but_human_review_required",IF(AG387="yes","import_as_active","import_as_backlog")))</x:f>
        <x:v>import_as_backlog</x:v>
      </x:c>
      <x:c r="AO387" s="12" t="str">
        <x:f>IF(AND(AG387="yes",OR(P387="",Q387="",R387="",S387="")),"missing_required_mvp_fields",IF(AND(AC387="canonical",Y387=""),"missing_source_ref","ok"))</x:f>
        <x:v>ok</x:v>
      </x:c>
      <x:c r="AP387" s="12" t="str">
        <x:f>IF(AO387="ok","ready_for_codex_import","needs_review")</x:f>
        <x:v>ready_for_codex_import</x:v>
      </x:c>
      <x:c r="AQ387" s="12"/>
      <x:c r="AR387" s="12" t="str">
        <x:v>Added v2 operational fields. Review before classification activation.</x:v>
      </x:c>
    </x:row>
    <x:row r="388">
      <x:c r="A388" s="13" t="str">
        <x:v>framing_effect_canonical</x:v>
      </x:c>
      <x:c r="B388" s="13" t="str">
        <x:v>framing_effect</x:v>
      </x:c>
      <x:c r="C388" s="13" t="str">
        <x:v>Framing effect</x:v>
      </x:c>
      <x:c r="D388" s="13" t="str">
        <x:v>اثر چارچوب‌بندی</x:v>
      </x:c>
      <x:c r="E388" s="13" t="str">
        <x:v>Canonical form</x:v>
      </x:c>
      <x:c r="F388" s="13" t="str">
        <x:v>cognitive_biases_information_processing</x:v>
      </x:c>
      <x:c r="G388" s="13" t="str">
        <x:v>canonical</x:v>
      </x:c>
      <x:c r="H388" s="13" t="str">
        <x:v>discourse</x:v>
      </x:c>
      <x:c r="I388" s="13" t="str">
        <x:v>discourse_segment</x:v>
      </x:c>
      <x:c r="J388" s="13" t="str">
        <x:v>derived_operational_subtype</x:v>
      </x:c>
      <x:c r="K388" s="13" t="str">
        <x:v>derived_from_established_parent_review_required</x:v>
      </x:c>
      <x:c r="L388" s="13" t="str">
        <x:v>P2</x:v>
      </x:c>
      <x:c r="M388" s="13" t="str">
        <x:v>no</x:v>
      </x:c>
      <x:c r="N388" s="13" t="str">
        <x:v>Operational subtype under Framing effect: the parent cognitive tendency appears as an observable claim-level pattern. Parent definition: Different presentations of equivalent information lead to different judgments.</x:v>
      </x:c>
      <x:c r="O388" s="13" t="str">
        <x:v>Look for: explicit claim-level evidence; parent-family cues for Framing effect; variant cue: the parent cognitive tendency appears as an observable claim-level pattern; avoid author-level inference.</x:v>
      </x:c>
      <x:c r="P388" s="13" t="str">
        <x:v>Exact evidence span in text plus claim-level reasoning link; for contextual/discourse entries, require surrounding context.</x:v>
      </x:c>
      <x:c r="Q388" s="13" t="str">
        <x:v>Do not label merely because topic is controversial, emotional, or wrong. Do not judge intent or personality. Require textual evidence and consider healthy-reasoning cues.</x:v>
      </x:c>
      <x:c r="R388" s="13" t="str">
        <x:v>Stub: A claim relies on the parent cognitive tendency appears as an observable claim-level pattern to support a conclusion without adequate qualification.</x:v>
      </x:c>
      <x:c r="S388" s="13" t="str">
        <x:v>Stub: A claim discusses framing effect with caveats, balanced evidence, or no argumentative use of the pattern.</x:v>
      </x:c>
      <x:c r="T388" s="13" t="str">
        <x:v>Mild or ambiguous cue; do not classify without clear evidence span.</x:v>
      </x:c>
      <x:c r="U388" s="13" t="str">
        <x:v>Clear claim-level pattern with some argumentative impact.</x:v>
      </x:c>
      <x:c r="V388" s="13" t="str">
        <x:v>Strong pattern central to the conclusion and likely to materially distort reasoning.</x:v>
      </x:c>
      <x:c r="W388" s="13" t="str"/>
      <x:c r="X388" s="13" t="str">
        <x:v>tversky_kahneman_framing_1981</x:v>
      </x:c>
      <x:c r="Y388" s="13" t="str">
        <x:v>https://doi.org/10.1126/science.7455683</x:v>
      </x:c>
      <x:c r="Z388" s="13" t="str">
        <x:v>Review before enabling. This workbook is a living taxonomy scaffold, not a validated scientific benchmark.</x:v>
      </x:c>
      <x:c r="AA388" s="13" t="str">
        <x:v>0.1.0-draft</x:v>
      </x:c>
      <x:c r="AB388" s="12" t="str">
        <x:f>IF(ISNUMBER(SEARCH("healthy",F388)),"healthy_reasoning_patterns",IF(ISNUMBER(SEARCH("statistical",F388)),"statistical_reasoning",IF(ISNUMBER(SEARCH("causal",F388)),"causal_reasoning",IF(ISNUMBER(SEARCH("social",F388)),"social_influence",IF(ISNUMBER(SEARCH("rhetoric",F388)),"rhetoric_discourse",IF(ISNUMBER(SEARCH("behavior",F388)),"behavioural_economics",IF(ISNUMBER(SEARCH("cognitive",F388)),"cognitive_biases",IF(J388="protective_pattern","healthy_reasoning_patterns",IF(L388="P0","core_mvp","extended_fallacies")))))))))</x:f>
        <x:v>cognitive_biases</x:v>
      </x:c>
      <x:c r="AC388" s="12" t="str">
        <x:f>IF(ISNUMBER(SEARCH("operational",J388)),"operational",IF(ISNUMBER(SEARCH("deprecated",J388)),"deprecated",IF(L388="P0","canonical","recognized_subtype")))</x:f>
        <x:v>operational</x:v>
      </x:c>
      <x:c r="AD388" s="12" t="str">
        <x:f>IF(AC388="canonical","high",IF(AC388="recognized_subtype","medium",IF(AC388="operational","operational_only","debated")))</x:f>
        <x:v>operational_only</x:v>
      </x:c>
      <x:c r="AE388" s="12" t="str">
        <x:f>IF(AC388="deprecated","deprecated",IF(M388="yes","active",IF(M388="review","review_required","backlog")))</x:f>
        <x:v>backlog</x:v>
      </x:c>
      <x:c r="AF388" s="12" t="str">
        <x:f>IF(OR(AE388="active",AE388="review_required"),"yes","no")</x:f>
        <x:v>no</x:v>
      </x:c>
      <x:c r="AG388" s="12" t="str">
        <x:f>IF(AND(AE388="active",M388="yes",NOT(ISNUMBER(SEARCH("healthy",AB388)))),"yes","no")</x:f>
        <x:v>no</x:v>
      </x:c>
      <x:c r="AH388" s="12" t="str">
        <x:f>IF(OR(H388="contextual",H388="dialogue",H388="discourse",I388="claim+context",I388="discourse_segment"),"yes","no")</x:f>
        <x:v>yes</x:v>
      </x:c>
      <x:c r="AI388" s="12" t="str">
        <x:f>IF(OR(AH388="yes",AD388="debated",AC388="operational"),"yes","no")</x:f>
        <x:v>yes</x:v>
      </x:c>
      <x:c r="AJ388" s="12" t="str">
        <x:f>IF(OR(AH388="yes",AC388="operational",AD388="debated"),"high",IF(AND(AG388="yes",L388="P0"),"medium","low"))</x:f>
        <x:v>high</x:v>
      </x:c>
      <x:c r="AK388" s="12" t="str">
        <x:f>IF(ISNUMBER(SEARCH("healthy",AB388)),"yes","no")</x:f>
        <x:v>no</x:v>
      </x:c>
      <x:c r="AL388" s="12" t="str">
        <x:f>IF(AG388="yes","yes","candidate_only")</x:f>
        <x:v>candidate_only</x:v>
      </x:c>
      <x:c r="AM388" s="12" t="str">
        <x:f>IF(OR(AC388="canonical",AG388="yes"),"yes","recommended")</x:f>
        <x:v>recommended</x:v>
      </x:c>
      <x:c r="AN388" s="12" t="str">
        <x:f>IF(AC388="deprecated","exclude",IF(AND(AG388="yes",AJ388="high"),"import_but_human_review_required",IF(AG388="yes","import_as_active","import_as_backlog")))</x:f>
        <x:v>import_as_backlog</x:v>
      </x:c>
      <x:c r="AO388" s="12" t="str">
        <x:f>IF(AND(AG388="yes",OR(P388="",Q388="",R388="",S388="")),"missing_required_mvp_fields",IF(AND(AC388="canonical",Y388=""),"missing_source_ref","ok"))</x:f>
        <x:v>ok</x:v>
      </x:c>
      <x:c r="AP388" s="12" t="str">
        <x:f>IF(AO388="ok","ready_for_codex_import","needs_review")</x:f>
        <x:v>ready_for_codex_import</x:v>
      </x:c>
      <x:c r="AQ388" s="12"/>
      <x:c r="AR388" s="12" t="str">
        <x:v>Added v2 operational fields. Review before classification activation.</x:v>
      </x:c>
    </x:row>
    <x:row r="389">
      <x:c r="A389" s="13" t="str">
        <x:v>hindsight_bias_canonical</x:v>
      </x:c>
      <x:c r="B389" s="13" t="str">
        <x:v>hindsight_bias</x:v>
      </x:c>
      <x:c r="C389" s="13" t="str">
        <x:v>Hindsight bias</x:v>
      </x:c>
      <x:c r="D389" s="13" t="str">
        <x:v>سوگیری پس‌نگری</x:v>
      </x:c>
      <x:c r="E389" s="13" t="str">
        <x:v>Canonical form</x:v>
      </x:c>
      <x:c r="F389" s="13" t="str">
        <x:v>cognitive_biases_information_processing</x:v>
      </x:c>
      <x:c r="G389" s="13" t="str">
        <x:v>canonical</x:v>
      </x:c>
      <x:c r="H389" s="13" t="str">
        <x:v>contextual</x:v>
      </x:c>
      <x:c r="I389" s="13" t="str">
        <x:v>claim+context</x:v>
      </x:c>
      <x:c r="J389" s="13" t="str">
        <x:v>derived_operational_subtype</x:v>
      </x:c>
      <x:c r="K389" s="13" t="str">
        <x:v>derived_from_established_parent_review_required</x:v>
      </x:c>
      <x:c r="L389" s="13" t="str">
        <x:v>P2</x:v>
      </x:c>
      <x:c r="M389" s="13" t="str">
        <x:v>no</x:v>
      </x:c>
      <x:c r="N389" s="13" t="str">
        <x:v>Operational subtype under Hindsight bias: the parent cognitive tendency appears as an observable claim-level pattern. Parent definition: Seeing past events as more predictable after knowing the outcome.</x:v>
      </x:c>
      <x:c r="O389" s="13" t="str">
        <x:v>Look for: explicit claim-level evidence; parent-family cues for Hindsight bias; variant cue: the parent cognitive tendency appears as an observable claim-level pattern; avoid author-level inference.</x:v>
      </x:c>
      <x:c r="P389" s="13" t="str">
        <x:v>Exact evidence span in text plus claim-level reasoning link; for contextual/discourse entries, require surrounding context.</x:v>
      </x:c>
      <x:c r="Q389" s="13" t="str">
        <x:v>Do not label merely because topic is controversial, emotional, or wrong. Do not judge intent or personality. Require textual evidence and consider healthy-reasoning cues.</x:v>
      </x:c>
      <x:c r="R389" s="13" t="str">
        <x:v>Stub: A claim relies on the parent cognitive tendency appears as an observable claim-level pattern to support a conclusion without adequate qualification.</x:v>
      </x:c>
      <x:c r="S389" s="13" t="str">
        <x:v>Stub: A claim discusses hindsight bias with caveats, balanced evidence, or no argumentative use of the pattern.</x:v>
      </x:c>
      <x:c r="T389" s="13" t="str">
        <x:v>Mild or ambiguous cue; do not classify without clear evidence span.</x:v>
      </x:c>
      <x:c r="U389" s="13" t="str">
        <x:v>Clear claim-level pattern with some argumentative impact.</x:v>
      </x:c>
      <x:c r="V389" s="13" t="str">
        <x:v>Strong pattern central to the conclusion and likely to materially distort reasoning.</x:v>
      </x:c>
      <x:c r="W389" s="13" t="str"/>
      <x:c r="X389" s="13" t="str">
        <x:v>gilovich_heuristics_biases</x:v>
      </x:c>
      <x:c r="Y389" s="13" t="str">
        <x:v>https://www.cambridge.org/core/books/heuristics-and-biases/3C30D3B05D2F190C3B8BE5E2531EFD24</x:v>
      </x:c>
      <x:c r="Z389" s="13" t="str">
        <x:v>Review before enabling. This workbook is a living taxonomy scaffold, not a validated scientific benchmark.</x:v>
      </x:c>
      <x:c r="AA389" s="13" t="str">
        <x:v>0.1.0-draft</x:v>
      </x:c>
      <x:c r="AB389" s="12" t="str">
        <x:f>IF(ISNUMBER(SEARCH("healthy",F389)),"healthy_reasoning_patterns",IF(ISNUMBER(SEARCH("statistical",F389)),"statistical_reasoning",IF(ISNUMBER(SEARCH("causal",F389)),"causal_reasoning",IF(ISNUMBER(SEARCH("social",F389)),"social_influence",IF(ISNUMBER(SEARCH("rhetoric",F389)),"rhetoric_discourse",IF(ISNUMBER(SEARCH("behavior",F389)),"behavioural_economics",IF(ISNUMBER(SEARCH("cognitive",F389)),"cognitive_biases",IF(J389="protective_pattern","healthy_reasoning_patterns",IF(L389="P0","core_mvp","extended_fallacies")))))))))</x:f>
        <x:v>cognitive_biases</x:v>
      </x:c>
      <x:c r="AC389" s="12" t="str">
        <x:f>IF(ISNUMBER(SEARCH("operational",J389)),"operational",IF(ISNUMBER(SEARCH("deprecated",J389)),"deprecated",IF(L389="P0","canonical","recognized_subtype")))</x:f>
        <x:v>operational</x:v>
      </x:c>
      <x:c r="AD389" s="12" t="str">
        <x:f>IF(AC389="canonical","high",IF(AC389="recognized_subtype","medium",IF(AC389="operational","operational_only","debated")))</x:f>
        <x:v>operational_only</x:v>
      </x:c>
      <x:c r="AE389" s="12" t="str">
        <x:f>IF(AC389="deprecated","deprecated",IF(M389="yes","active",IF(M389="review","review_required","backlog")))</x:f>
        <x:v>backlog</x:v>
      </x:c>
      <x:c r="AF389" s="12" t="str">
        <x:f>IF(OR(AE389="active",AE389="review_required"),"yes","no")</x:f>
        <x:v>no</x:v>
      </x:c>
      <x:c r="AG389" s="12" t="str">
        <x:f>IF(AND(AE389="active",M389="yes",NOT(ISNUMBER(SEARCH("healthy",AB389)))),"yes","no")</x:f>
        <x:v>no</x:v>
      </x:c>
      <x:c r="AH389" s="12" t="str">
        <x:f>IF(OR(H389="contextual",H389="dialogue",H389="discourse",I389="claim+context",I389="discourse_segment"),"yes","no")</x:f>
        <x:v>yes</x:v>
      </x:c>
      <x:c r="AI389" s="12" t="str">
        <x:f>IF(OR(AH389="yes",AD389="debated",AC389="operational"),"yes","no")</x:f>
        <x:v>yes</x:v>
      </x:c>
      <x:c r="AJ389" s="12" t="str">
        <x:f>IF(OR(AH389="yes",AC389="operational",AD389="debated"),"high",IF(AND(AG389="yes",L389="P0"),"medium","low"))</x:f>
        <x:v>high</x:v>
      </x:c>
      <x:c r="AK389" s="12" t="str">
        <x:f>IF(ISNUMBER(SEARCH("healthy",AB389)),"yes","no")</x:f>
        <x:v>no</x:v>
      </x:c>
      <x:c r="AL389" s="12" t="str">
        <x:f>IF(AG389="yes","yes","candidate_only")</x:f>
        <x:v>candidate_only</x:v>
      </x:c>
      <x:c r="AM389" s="12" t="str">
        <x:f>IF(OR(AC389="canonical",AG389="yes"),"yes","recommended")</x:f>
        <x:v>recommended</x:v>
      </x:c>
      <x:c r="AN389" s="12" t="str">
        <x:f>IF(AC389="deprecated","exclude",IF(AND(AG389="yes",AJ389="high"),"import_but_human_review_required",IF(AG389="yes","import_as_active","import_as_backlog")))</x:f>
        <x:v>import_as_backlog</x:v>
      </x:c>
      <x:c r="AO389" s="12" t="str">
        <x:f>IF(AND(AG389="yes",OR(P389="",Q389="",R389="",S389="")),"missing_required_mvp_fields",IF(AND(AC389="canonical",Y389=""),"missing_source_ref","ok"))</x:f>
        <x:v>ok</x:v>
      </x:c>
      <x:c r="AP389" s="12" t="str">
        <x:f>IF(AO389="ok","ready_for_codex_import","needs_review")</x:f>
        <x:v>ready_for_codex_import</x:v>
      </x:c>
      <x:c r="AQ389" s="12"/>
      <x:c r="AR389" s="12" t="str">
        <x:v>Added v2 operational fields. Review before classification activation.</x:v>
      </x:c>
    </x:row>
    <x:row r="390">
      <x:c r="A390" s="13" t="str">
        <x:v>outcome_bias_canonical</x:v>
      </x:c>
      <x:c r="B390" s="13" t="str">
        <x:v>outcome_bias</x:v>
      </x:c>
      <x:c r="C390" s="13" t="str">
        <x:v>Outcome bias</x:v>
      </x:c>
      <x:c r="D390" s="13" t="str">
        <x:v>سوگیری نتیجه</x:v>
      </x:c>
      <x:c r="E390" s="13" t="str">
        <x:v>Canonical form</x:v>
      </x:c>
      <x:c r="F390" s="13" t="str">
        <x:v>cognitive_biases_information_processing</x:v>
      </x:c>
      <x:c r="G390" s="13" t="str">
        <x:v>canonical</x:v>
      </x:c>
      <x:c r="H390" s="13" t="str">
        <x:v>contextual</x:v>
      </x:c>
      <x:c r="I390" s="13" t="str">
        <x:v>claim+context</x:v>
      </x:c>
      <x:c r="J390" s="13" t="str">
        <x:v>derived_operational_subtype</x:v>
      </x:c>
      <x:c r="K390" s="13" t="str">
        <x:v>derived_from_established_parent_review_required</x:v>
      </x:c>
      <x:c r="L390" s="13" t="str">
        <x:v>P2</x:v>
      </x:c>
      <x:c r="M390" s="13" t="str">
        <x:v>no</x:v>
      </x:c>
      <x:c r="N390" s="13" t="str">
        <x:v>Operational subtype under Outcome bias: the parent cognitive tendency appears as an observable claim-level pattern. Parent definition: Judging a decision by its outcome rather than information available at the time.</x:v>
      </x:c>
      <x:c r="O390" s="13" t="str">
        <x:v>Look for: explicit claim-level evidence; parent-family cues for Outcome bias; variant cue: the parent cognitive tendency appears as an observable claim-level pattern; avoid author-level inference.</x:v>
      </x:c>
      <x:c r="P390" s="13" t="str">
        <x:v>Exact evidence span in text plus claim-level reasoning link; for contextual/discourse entries, require surrounding context.</x:v>
      </x:c>
      <x:c r="Q390" s="13" t="str">
        <x:v>Do not label merely because topic is controversial, emotional, or wrong. Do not judge intent or personality. Require textual evidence and consider healthy-reasoning cues.</x:v>
      </x:c>
      <x:c r="R390" s="13" t="str">
        <x:v>Stub: A claim relies on the parent cognitive tendency appears as an observable claim-level pattern to support a conclusion without adequate qualification.</x:v>
      </x:c>
      <x:c r="S390" s="13" t="str">
        <x:v>Stub: A claim discusses outcome bias with caveats, balanced evidence, or no argumentative use of the pattern.</x:v>
      </x:c>
      <x:c r="T390" s="13" t="str">
        <x:v>Mild or ambiguous cue; do not classify without clear evidence span.</x:v>
      </x:c>
      <x:c r="U390" s="13" t="str">
        <x:v>Clear claim-level pattern with some argumentative impact.</x:v>
      </x:c>
      <x:c r="V390" s="13" t="str">
        <x:v>Strong pattern central to the conclusion and likely to materially distort reasoning.</x:v>
      </x:c>
      <x:c r="W390" s="13" t="str"/>
      <x:c r="X390" s="13" t="str">
        <x:v>gilovich_heuristics_biases</x:v>
      </x:c>
      <x:c r="Y390" s="13" t="str">
        <x:v>https://www.cambridge.org/core/books/heuristics-and-biases/3C30D3B05D2F190C3B8BE5E2531EFD24</x:v>
      </x:c>
      <x:c r="Z390" s="13" t="str">
        <x:v>Review before enabling. This workbook is a living taxonomy scaffold, not a validated scientific benchmark.</x:v>
      </x:c>
      <x:c r="AA390" s="13" t="str">
        <x:v>0.1.0-draft</x:v>
      </x:c>
      <x:c r="AB390" s="12" t="str">
        <x:f>IF(ISNUMBER(SEARCH("healthy",F390)),"healthy_reasoning_patterns",IF(ISNUMBER(SEARCH("statistical",F390)),"statistical_reasoning",IF(ISNUMBER(SEARCH("causal",F390)),"causal_reasoning",IF(ISNUMBER(SEARCH("social",F390)),"social_influence",IF(ISNUMBER(SEARCH("rhetoric",F390)),"rhetoric_discourse",IF(ISNUMBER(SEARCH("behavior",F390)),"behavioural_economics",IF(ISNUMBER(SEARCH("cognitive",F390)),"cognitive_biases",IF(J390="protective_pattern","healthy_reasoning_patterns",IF(L390="P0","core_mvp","extended_fallacies")))))))))</x:f>
        <x:v>cognitive_biases</x:v>
      </x:c>
      <x:c r="AC390" s="12" t="str">
        <x:f>IF(ISNUMBER(SEARCH("operational",J390)),"operational",IF(ISNUMBER(SEARCH("deprecated",J390)),"deprecated",IF(L390="P0","canonical","recognized_subtype")))</x:f>
        <x:v>operational</x:v>
      </x:c>
      <x:c r="AD390" s="12" t="str">
        <x:f>IF(AC390="canonical","high",IF(AC390="recognized_subtype","medium",IF(AC390="operational","operational_only","debated")))</x:f>
        <x:v>operational_only</x:v>
      </x:c>
      <x:c r="AE390" s="12" t="str">
        <x:f>IF(AC390="deprecated","deprecated",IF(M390="yes","active",IF(M390="review","review_required","backlog")))</x:f>
        <x:v>backlog</x:v>
      </x:c>
      <x:c r="AF390" s="12" t="str">
        <x:f>IF(OR(AE390="active",AE390="review_required"),"yes","no")</x:f>
        <x:v>no</x:v>
      </x:c>
      <x:c r="AG390" s="12" t="str">
        <x:f>IF(AND(AE390="active",M390="yes",NOT(ISNUMBER(SEARCH("healthy",AB390)))),"yes","no")</x:f>
        <x:v>no</x:v>
      </x:c>
      <x:c r="AH390" s="12" t="str">
        <x:f>IF(OR(H390="contextual",H390="dialogue",H390="discourse",I390="claim+context",I390="discourse_segment"),"yes","no")</x:f>
        <x:v>yes</x:v>
      </x:c>
      <x:c r="AI390" s="12" t="str">
        <x:f>IF(OR(AH390="yes",AD390="debated",AC390="operational"),"yes","no")</x:f>
        <x:v>yes</x:v>
      </x:c>
      <x:c r="AJ390" s="12" t="str">
        <x:f>IF(OR(AH390="yes",AC390="operational",AD390="debated"),"high",IF(AND(AG390="yes",L390="P0"),"medium","low"))</x:f>
        <x:v>high</x:v>
      </x:c>
      <x:c r="AK390" s="12" t="str">
        <x:f>IF(ISNUMBER(SEARCH("healthy",AB390)),"yes","no")</x:f>
        <x:v>no</x:v>
      </x:c>
      <x:c r="AL390" s="12" t="str">
        <x:f>IF(AG390="yes","yes","candidate_only")</x:f>
        <x:v>candidate_only</x:v>
      </x:c>
      <x:c r="AM390" s="12" t="str">
        <x:f>IF(OR(AC390="canonical",AG390="yes"),"yes","recommended")</x:f>
        <x:v>recommended</x:v>
      </x:c>
      <x:c r="AN390" s="12" t="str">
        <x:f>IF(AC390="deprecated","exclude",IF(AND(AG390="yes",AJ390="high"),"import_but_human_review_required",IF(AG390="yes","import_as_active","import_as_backlog")))</x:f>
        <x:v>import_as_backlog</x:v>
      </x:c>
      <x:c r="AO390" s="12" t="str">
        <x:f>IF(AND(AG390="yes",OR(P390="",Q390="",R390="",S390="")),"missing_required_mvp_fields",IF(AND(AC390="canonical",Y390=""),"missing_source_ref","ok"))</x:f>
        <x:v>ok</x:v>
      </x:c>
      <x:c r="AP390" s="12" t="str">
        <x:f>IF(AO390="ok","ready_for_codex_import","needs_review")</x:f>
        <x:v>ready_for_codex_import</x:v>
      </x:c>
      <x:c r="AQ390" s="12"/>
      <x:c r="AR390" s="12" t="str">
        <x:v>Added v2 operational fields. Review before classification activation.</x:v>
      </x:c>
    </x:row>
    <x:row r="391">
      <x:c r="A391" s="13" t="str">
        <x:v>overconfidence_bias_canonical</x:v>
      </x:c>
      <x:c r="B391" s="13" t="str">
        <x:v>overconfidence_bias</x:v>
      </x:c>
      <x:c r="C391" s="13" t="str">
        <x:v>Overconfidence bias</x:v>
      </x:c>
      <x:c r="D391" s="13" t="str">
        <x:v>اعتماد به نفس بیش از حد</x:v>
      </x:c>
      <x:c r="E391" s="13" t="str">
        <x:v>Canonical form</x:v>
      </x:c>
      <x:c r="F391" s="13" t="str">
        <x:v>cognitive_biases_information_processing</x:v>
      </x:c>
      <x:c r="G391" s="13" t="str">
        <x:v>canonical</x:v>
      </x:c>
      <x:c r="H391" s="13" t="str">
        <x:v>contextual</x:v>
      </x:c>
      <x:c r="I391" s="13" t="str">
        <x:v>claim+context</x:v>
      </x:c>
      <x:c r="J391" s="13" t="str">
        <x:v>derived_operational_subtype</x:v>
      </x:c>
      <x:c r="K391" s="13" t="str">
        <x:v>derived_from_established_parent_review_required</x:v>
      </x:c>
      <x:c r="L391" s="13" t="str">
        <x:v>P2</x:v>
      </x:c>
      <x:c r="M391" s="13" t="str">
        <x:v>no</x:v>
      </x:c>
      <x:c r="N391" s="13" t="str">
        <x:v>Operational subtype under Overconfidence bias: the parent cognitive tendency appears as an observable claim-level pattern. Parent definition: Expressing confidence beyond the strength of evidence.</x:v>
      </x:c>
      <x:c r="O391" s="13" t="str">
        <x:v>Look for: explicit claim-level evidence; parent-family cues for Overconfidence bias; variant cue: the parent cognitive tendency appears as an observable claim-level pattern; avoid author-level inference.</x:v>
      </x:c>
      <x:c r="P391" s="13" t="str">
        <x:v>Exact evidence span in text plus claim-level reasoning link; for contextual/discourse entries, require surrounding context.</x:v>
      </x:c>
      <x:c r="Q391" s="13" t="str">
        <x:v>Do not label merely because topic is controversial, emotional, or wrong. Do not judge intent or personality. Require textual evidence and consider healthy-reasoning cues.</x:v>
      </x:c>
      <x:c r="R391" s="13" t="str">
        <x:v>Stub: A claim relies on the parent cognitive tendency appears as an observable claim-level pattern to support a conclusion without adequate qualification.</x:v>
      </x:c>
      <x:c r="S391" s="13" t="str">
        <x:v>Stub: A claim discusses overconfidence bias with caveats, balanced evidence, or no argumentative use of the pattern.</x:v>
      </x:c>
      <x:c r="T391" s="13" t="str">
        <x:v>Mild or ambiguous cue; do not classify without clear evidence span.</x:v>
      </x:c>
      <x:c r="U391" s="13" t="str">
        <x:v>Clear claim-level pattern with some argumentative impact.</x:v>
      </x:c>
      <x:c r="V391" s="13" t="str">
        <x:v>Strong pattern central to the conclusion and likely to materially distort reasoning.</x:v>
      </x:c>
      <x:c r="W391" s="13" t="str">
        <x:v>cherry_picking; missing_counterevidence; evidence_grading</x:v>
      </x:c>
      <x:c r="X391" s="13" t="str">
        <x:v>stanovich_dual_process</x:v>
      </x:c>
      <x:c r="Y391" s="13" t="str">
        <x:v>https://global.oup.com/academic/product/rationality-and-the-reflective-mind-9780195341140</x:v>
      </x:c>
      <x:c r="Z391" s="13" t="str">
        <x:v>Review before enabling. This workbook is a living taxonomy scaffold, not a validated scientific benchmark.</x:v>
      </x:c>
      <x:c r="AA391" s="13" t="str">
        <x:v>0.1.0-draft</x:v>
      </x:c>
      <x:c r="AB391" s="12" t="str">
        <x:f>IF(ISNUMBER(SEARCH("healthy",F391)),"healthy_reasoning_patterns",IF(ISNUMBER(SEARCH("statistical",F391)),"statistical_reasoning",IF(ISNUMBER(SEARCH("causal",F391)),"causal_reasoning",IF(ISNUMBER(SEARCH("social",F391)),"social_influence",IF(ISNUMBER(SEARCH("rhetoric",F391)),"rhetoric_discourse",IF(ISNUMBER(SEARCH("behavior",F391)),"behavioural_economics",IF(ISNUMBER(SEARCH("cognitive",F391)),"cognitive_biases",IF(J391="protective_pattern","healthy_reasoning_patterns",IF(L391="P0","core_mvp","extended_fallacies")))))))))</x:f>
        <x:v>cognitive_biases</x:v>
      </x:c>
      <x:c r="AC391" s="12" t="str">
        <x:f>IF(ISNUMBER(SEARCH("operational",J391)),"operational",IF(ISNUMBER(SEARCH("deprecated",J391)),"deprecated",IF(L391="P0","canonical","recognized_subtype")))</x:f>
        <x:v>operational</x:v>
      </x:c>
      <x:c r="AD391" s="12" t="str">
        <x:f>IF(AC391="canonical","high",IF(AC391="recognized_subtype","medium",IF(AC391="operational","operational_only","debated")))</x:f>
        <x:v>operational_only</x:v>
      </x:c>
      <x:c r="AE391" s="12" t="str">
        <x:f>IF(AC391="deprecated","deprecated",IF(M391="yes","active",IF(M391="review","review_required","backlog")))</x:f>
        <x:v>backlog</x:v>
      </x:c>
      <x:c r="AF391" s="12" t="str">
        <x:f>IF(OR(AE391="active",AE391="review_required"),"yes","no")</x:f>
        <x:v>no</x:v>
      </x:c>
      <x:c r="AG391" s="12" t="str">
        <x:f>IF(AND(AE391="active",M391="yes",NOT(ISNUMBER(SEARCH("healthy",AB391)))),"yes","no")</x:f>
        <x:v>no</x:v>
      </x:c>
      <x:c r="AH391" s="12" t="str">
        <x:f>IF(OR(H391="contextual",H391="dialogue",H391="discourse",I391="claim+context",I391="discourse_segment"),"yes","no")</x:f>
        <x:v>yes</x:v>
      </x:c>
      <x:c r="AI391" s="12" t="str">
        <x:f>IF(OR(AH391="yes",AD391="debated",AC391="operational"),"yes","no")</x:f>
        <x:v>yes</x:v>
      </x:c>
      <x:c r="AJ391" s="12" t="str">
        <x:f>IF(OR(AH391="yes",AC391="operational",AD391="debated"),"high",IF(AND(AG391="yes",L391="P0"),"medium","low"))</x:f>
        <x:v>high</x:v>
      </x:c>
      <x:c r="AK391" s="12" t="str">
        <x:f>IF(ISNUMBER(SEARCH("healthy",AB391)),"yes","no")</x:f>
        <x:v>no</x:v>
      </x:c>
      <x:c r="AL391" s="12" t="str">
        <x:f>IF(AG391="yes","yes","candidate_only")</x:f>
        <x:v>candidate_only</x:v>
      </x:c>
      <x:c r="AM391" s="12" t="str">
        <x:f>IF(OR(AC391="canonical",AG391="yes"),"yes","recommended")</x:f>
        <x:v>recommended</x:v>
      </x:c>
      <x:c r="AN391" s="12" t="str">
        <x:f>IF(AC391="deprecated","exclude",IF(AND(AG391="yes",AJ391="high"),"import_but_human_review_required",IF(AG391="yes","import_as_active","import_as_backlog")))</x:f>
        <x:v>import_as_backlog</x:v>
      </x:c>
      <x:c r="AO391" s="12" t="str">
        <x:f>IF(AND(AG391="yes",OR(P391="",Q391="",R391="",S391="")),"missing_required_mvp_fields",IF(AND(AC391="canonical",Y391=""),"missing_source_ref","ok"))</x:f>
        <x:v>ok</x:v>
      </x:c>
      <x:c r="AP391" s="12" t="str">
        <x:f>IF(AO391="ok","ready_for_codex_import","needs_review")</x:f>
        <x:v>ready_for_codex_import</x:v>
      </x:c>
      <x:c r="AQ391" s="12"/>
      <x:c r="AR391" s="12" t="str">
        <x:v>Added v2 operational fields. Review before classification activation.</x:v>
      </x:c>
    </x:row>
    <x:row r="392">
      <x:c r="A392" s="13" t="str">
        <x:v>optimism_bias_canonical</x:v>
      </x:c>
      <x:c r="B392" s="13" t="str">
        <x:v>optimism_bias</x:v>
      </x:c>
      <x:c r="C392" s="13" t="str">
        <x:v>Optimism bias</x:v>
      </x:c>
      <x:c r="D392" s="13" t="str">
        <x:v>خوش‌بینی افراطی</x:v>
      </x:c>
      <x:c r="E392" s="13" t="str">
        <x:v>Canonical form</x:v>
      </x:c>
      <x:c r="F392" s="13" t="str">
        <x:v>cognitive_biases_information_processing</x:v>
      </x:c>
      <x:c r="G392" s="13" t="str">
        <x:v>canonical</x:v>
      </x:c>
      <x:c r="H392" s="13" t="str">
        <x:v>contextual</x:v>
      </x:c>
      <x:c r="I392" s="13" t="str">
        <x:v>claim+context</x:v>
      </x:c>
      <x:c r="J392" s="13" t="str">
        <x:v>derived_operational_subtype</x:v>
      </x:c>
      <x:c r="K392" s="13" t="str">
        <x:v>derived_from_established_parent_review_required</x:v>
      </x:c>
      <x:c r="L392" s="13" t="str">
        <x:v>P2</x:v>
      </x:c>
      <x:c r="M392" s="13" t="str">
        <x:v>no</x:v>
      </x:c>
      <x:c r="N392" s="13" t="str">
        <x:v>Operational subtype under Optimism bias: the parent cognitive tendency appears as an observable claim-level pattern. Parent definition: Underestimating risks or overestimating favorable outcomes.</x:v>
      </x:c>
      <x:c r="O392" s="13" t="str">
        <x:v>Look for: explicit claim-level evidence; parent-family cues for Optimism bias; variant cue: the parent cognitive tendency appears as an observable claim-level pattern; avoid author-level inference.</x:v>
      </x:c>
      <x:c r="P392" s="13" t="str">
        <x:v>Exact evidence span in text plus claim-level reasoning link; for contextual/discourse entries, require surrounding context.</x:v>
      </x:c>
      <x:c r="Q392" s="13" t="str">
        <x:v>Do not label merely because topic is controversial, emotional, or wrong. Do not judge intent or personality. Require textual evidence and consider healthy-reasoning cues.</x:v>
      </x:c>
      <x:c r="R392" s="13" t="str">
        <x:v>Stub: A claim relies on the parent cognitive tendency appears as an observable claim-level pattern to support a conclusion without adequate qualification.</x:v>
      </x:c>
      <x:c r="S392" s="13" t="str">
        <x:v>Stub: A claim discusses optimism bias with caveats, balanced evidence, or no argumentative use of the pattern.</x:v>
      </x:c>
      <x:c r="T392" s="13" t="str">
        <x:v>Mild or ambiguous cue; do not classify without clear evidence span.</x:v>
      </x:c>
      <x:c r="U392" s="13" t="str">
        <x:v>Clear claim-level pattern with some argumentative impact.</x:v>
      </x:c>
      <x:c r="V392" s="13" t="str">
        <x:v>Strong pattern central to the conclusion and likely to materially distort reasoning.</x:v>
      </x:c>
      <x:c r="W392" s="13" t="str"/>
      <x:c r="X392" s="13" t="str">
        <x:v>gilovich_heuristics_biases</x:v>
      </x:c>
      <x:c r="Y392" s="13" t="str">
        <x:v>https://www.cambridge.org/core/books/heuristics-and-biases/3C30D3B05D2F190C3B8BE5E2531EFD24</x:v>
      </x:c>
      <x:c r="Z392" s="13" t="str">
        <x:v>Review before enabling. This workbook is a living taxonomy scaffold, not a validated scientific benchmark.</x:v>
      </x:c>
      <x:c r="AA392" s="13" t="str">
        <x:v>0.1.0-draft</x:v>
      </x:c>
      <x:c r="AB392" s="12" t="str">
        <x:f>IF(ISNUMBER(SEARCH("healthy",F392)),"healthy_reasoning_patterns",IF(ISNUMBER(SEARCH("statistical",F392)),"statistical_reasoning",IF(ISNUMBER(SEARCH("causal",F392)),"causal_reasoning",IF(ISNUMBER(SEARCH("social",F392)),"social_influence",IF(ISNUMBER(SEARCH("rhetoric",F392)),"rhetoric_discourse",IF(ISNUMBER(SEARCH("behavior",F392)),"behavioural_economics",IF(ISNUMBER(SEARCH("cognitive",F392)),"cognitive_biases",IF(J392="protective_pattern","healthy_reasoning_patterns",IF(L392="P0","core_mvp","extended_fallacies")))))))))</x:f>
        <x:v>cognitive_biases</x:v>
      </x:c>
      <x:c r="AC392" s="12" t="str">
        <x:f>IF(ISNUMBER(SEARCH("operational",J392)),"operational",IF(ISNUMBER(SEARCH("deprecated",J392)),"deprecated",IF(L392="P0","canonical","recognized_subtype")))</x:f>
        <x:v>operational</x:v>
      </x:c>
      <x:c r="AD392" s="12" t="str">
        <x:f>IF(AC392="canonical","high",IF(AC392="recognized_subtype","medium",IF(AC392="operational","operational_only","debated")))</x:f>
        <x:v>operational_only</x:v>
      </x:c>
      <x:c r="AE392" s="12" t="str">
        <x:f>IF(AC392="deprecated","deprecated",IF(M392="yes","active",IF(M392="review","review_required","backlog")))</x:f>
        <x:v>backlog</x:v>
      </x:c>
      <x:c r="AF392" s="12" t="str">
        <x:f>IF(OR(AE392="active",AE392="review_required"),"yes","no")</x:f>
        <x:v>no</x:v>
      </x:c>
      <x:c r="AG392" s="12" t="str">
        <x:f>IF(AND(AE392="active",M392="yes",NOT(ISNUMBER(SEARCH("healthy",AB392)))),"yes","no")</x:f>
        <x:v>no</x:v>
      </x:c>
      <x:c r="AH392" s="12" t="str">
        <x:f>IF(OR(H392="contextual",H392="dialogue",H392="discourse",I392="claim+context",I392="discourse_segment"),"yes","no")</x:f>
        <x:v>yes</x:v>
      </x:c>
      <x:c r="AI392" s="12" t="str">
        <x:f>IF(OR(AH392="yes",AD392="debated",AC392="operational"),"yes","no")</x:f>
        <x:v>yes</x:v>
      </x:c>
      <x:c r="AJ392" s="12" t="str">
        <x:f>IF(OR(AH392="yes",AC392="operational",AD392="debated"),"high",IF(AND(AG392="yes",L392="P0"),"medium","low"))</x:f>
        <x:v>high</x:v>
      </x:c>
      <x:c r="AK392" s="12" t="str">
        <x:f>IF(ISNUMBER(SEARCH("healthy",AB392)),"yes","no")</x:f>
        <x:v>no</x:v>
      </x:c>
      <x:c r="AL392" s="12" t="str">
        <x:f>IF(AG392="yes","yes","candidate_only")</x:f>
        <x:v>candidate_only</x:v>
      </x:c>
      <x:c r="AM392" s="12" t="str">
        <x:f>IF(OR(AC392="canonical",AG392="yes"),"yes","recommended")</x:f>
        <x:v>recommended</x:v>
      </x:c>
      <x:c r="AN392" s="12" t="str">
        <x:f>IF(AC392="deprecated","exclude",IF(AND(AG392="yes",AJ392="high"),"import_but_human_review_required",IF(AG392="yes","import_as_active","import_as_backlog")))</x:f>
        <x:v>import_as_backlog</x:v>
      </x:c>
      <x:c r="AO392" s="12" t="str">
        <x:f>IF(AND(AG392="yes",OR(P392="",Q392="",R392="",S392="")),"missing_required_mvp_fields",IF(AND(AC392="canonical",Y392=""),"missing_source_ref","ok"))</x:f>
        <x:v>ok</x:v>
      </x:c>
      <x:c r="AP392" s="12" t="str">
        <x:f>IF(AO392="ok","ready_for_codex_import","needs_review")</x:f>
        <x:v>ready_for_codex_import</x:v>
      </x:c>
      <x:c r="AQ392" s="12"/>
      <x:c r="AR392" s="12" t="str">
        <x:v>Added v2 operational fields. Review before classification activation.</x:v>
      </x:c>
    </x:row>
    <x:row r="393">
      <x:c r="A393" s="13" t="str">
        <x:v>pessimism_bias_canonical</x:v>
      </x:c>
      <x:c r="B393" s="13" t="str">
        <x:v>pessimism_bias</x:v>
      </x:c>
      <x:c r="C393" s="13" t="str">
        <x:v>Pessimism bias</x:v>
      </x:c>
      <x:c r="D393" s="13" t="str">
        <x:v>بدبینی افراطی</x:v>
      </x:c>
      <x:c r="E393" s="13" t="str">
        <x:v>Canonical form</x:v>
      </x:c>
      <x:c r="F393" s="13" t="str">
        <x:v>cognitive_biases_information_processing</x:v>
      </x:c>
      <x:c r="G393" s="13" t="str">
        <x:v>canonical</x:v>
      </x:c>
      <x:c r="H393" s="13" t="str">
        <x:v>contextual</x:v>
      </x:c>
      <x:c r="I393" s="13" t="str">
        <x:v>claim+context</x:v>
      </x:c>
      <x:c r="J393" s="13" t="str">
        <x:v>derived_operational_subtype</x:v>
      </x:c>
      <x:c r="K393" s="13" t="str">
        <x:v>derived_from_established_parent_review_required</x:v>
      </x:c>
      <x:c r="L393" s="13" t="str">
        <x:v>P2</x:v>
      </x:c>
      <x:c r="M393" s="13" t="str">
        <x:v>no</x:v>
      </x:c>
      <x:c r="N393" s="13" t="str">
        <x:v>Operational subtype under Pessimism bias: the parent cognitive tendency appears as an observable claim-level pattern. Parent definition: Overestimating risks or negative outcomes without sufficient support.</x:v>
      </x:c>
      <x:c r="O393" s="13" t="str">
        <x:v>Look for: explicit claim-level evidence; parent-family cues for Pessimism bias; variant cue: the parent cognitive tendency appears as an observable claim-level pattern; avoid author-level inference.</x:v>
      </x:c>
      <x:c r="P393" s="13" t="str">
        <x:v>Exact evidence span in text plus claim-level reasoning link; for contextual/discourse entries, require surrounding context.</x:v>
      </x:c>
      <x:c r="Q393" s="13" t="str">
        <x:v>Do not label merely because topic is controversial, emotional, or wrong. Do not judge intent or personality. Require textual evidence and consider healthy-reasoning cues.</x:v>
      </x:c>
      <x:c r="R393" s="13" t="str">
        <x:v>Stub: A claim relies on the parent cognitive tendency appears as an observable claim-level pattern to support a conclusion without adequate qualification.</x:v>
      </x:c>
      <x:c r="S393" s="13" t="str">
        <x:v>Stub: A claim discusses pessimism bias with caveats, balanced evidence, or no argumentative use of the pattern.</x:v>
      </x:c>
      <x:c r="T393" s="13" t="str">
        <x:v>Mild or ambiguous cue; do not classify without clear evidence span.</x:v>
      </x:c>
      <x:c r="U393" s="13" t="str">
        <x:v>Clear claim-level pattern with some argumentative impact.</x:v>
      </x:c>
      <x:c r="V393" s="13" t="str">
        <x:v>Strong pattern central to the conclusion and likely to materially distort reasoning.</x:v>
      </x:c>
      <x:c r="W393" s="13" t="str"/>
      <x:c r="X393" s="13" t="str">
        <x:v>gilovich_heuristics_biases</x:v>
      </x:c>
      <x:c r="Y393" s="13" t="str">
        <x:v>https://www.cambridge.org/core/books/heuristics-and-biases/3C30D3B05D2F190C3B8BE5E2531EFD24</x:v>
      </x:c>
      <x:c r="Z393" s="13" t="str">
        <x:v>Review before enabling. This workbook is a living taxonomy scaffold, not a validated scientific benchmark.</x:v>
      </x:c>
      <x:c r="AA393" s="13" t="str">
        <x:v>0.1.0-draft</x:v>
      </x:c>
      <x:c r="AB393" s="12" t="str">
        <x:f>IF(ISNUMBER(SEARCH("healthy",F393)),"healthy_reasoning_patterns",IF(ISNUMBER(SEARCH("statistical",F393)),"statistical_reasoning",IF(ISNUMBER(SEARCH("causal",F393)),"causal_reasoning",IF(ISNUMBER(SEARCH("social",F393)),"social_influence",IF(ISNUMBER(SEARCH("rhetoric",F393)),"rhetoric_discourse",IF(ISNUMBER(SEARCH("behavior",F393)),"behavioural_economics",IF(ISNUMBER(SEARCH("cognitive",F393)),"cognitive_biases",IF(J393="protective_pattern","healthy_reasoning_patterns",IF(L393="P0","core_mvp","extended_fallacies")))))))))</x:f>
        <x:v>cognitive_biases</x:v>
      </x:c>
      <x:c r="AC393" s="12" t="str">
        <x:f>IF(ISNUMBER(SEARCH("operational",J393)),"operational",IF(ISNUMBER(SEARCH("deprecated",J393)),"deprecated",IF(L393="P0","canonical","recognized_subtype")))</x:f>
        <x:v>operational</x:v>
      </x:c>
      <x:c r="AD393" s="12" t="str">
        <x:f>IF(AC393="canonical","high",IF(AC393="recognized_subtype","medium",IF(AC393="operational","operational_only","debated")))</x:f>
        <x:v>operational_only</x:v>
      </x:c>
      <x:c r="AE393" s="12" t="str">
        <x:f>IF(AC393="deprecated","deprecated",IF(M393="yes","active",IF(M393="review","review_required","backlog")))</x:f>
        <x:v>backlog</x:v>
      </x:c>
      <x:c r="AF393" s="12" t="str">
        <x:f>IF(OR(AE393="active",AE393="review_required"),"yes","no")</x:f>
        <x:v>no</x:v>
      </x:c>
      <x:c r="AG393" s="12" t="str">
        <x:f>IF(AND(AE393="active",M393="yes",NOT(ISNUMBER(SEARCH("healthy",AB393)))),"yes","no")</x:f>
        <x:v>no</x:v>
      </x:c>
      <x:c r="AH393" s="12" t="str">
        <x:f>IF(OR(H393="contextual",H393="dialogue",H393="discourse",I393="claim+context",I393="discourse_segment"),"yes","no")</x:f>
        <x:v>yes</x:v>
      </x:c>
      <x:c r="AI393" s="12" t="str">
        <x:f>IF(OR(AH393="yes",AD393="debated",AC393="operational"),"yes","no")</x:f>
        <x:v>yes</x:v>
      </x:c>
      <x:c r="AJ393" s="12" t="str">
        <x:f>IF(OR(AH393="yes",AC393="operational",AD393="debated"),"high",IF(AND(AG393="yes",L393="P0"),"medium","low"))</x:f>
        <x:v>high</x:v>
      </x:c>
      <x:c r="AK393" s="12" t="str">
        <x:f>IF(ISNUMBER(SEARCH("healthy",AB393)),"yes","no")</x:f>
        <x:v>no</x:v>
      </x:c>
      <x:c r="AL393" s="12" t="str">
        <x:f>IF(AG393="yes","yes","candidate_only")</x:f>
        <x:v>candidate_only</x:v>
      </x:c>
      <x:c r="AM393" s="12" t="str">
        <x:f>IF(OR(AC393="canonical",AG393="yes"),"yes","recommended")</x:f>
        <x:v>recommended</x:v>
      </x:c>
      <x:c r="AN393" s="12" t="str">
        <x:f>IF(AC393="deprecated","exclude",IF(AND(AG393="yes",AJ393="high"),"import_but_human_review_required",IF(AG393="yes","import_as_active","import_as_backlog")))</x:f>
        <x:v>import_as_backlog</x:v>
      </x:c>
      <x:c r="AO393" s="12" t="str">
        <x:f>IF(AND(AG393="yes",OR(P393="",Q393="",R393="",S393="")),"missing_required_mvp_fields",IF(AND(AC393="canonical",Y393=""),"missing_source_ref","ok"))</x:f>
        <x:v>ok</x:v>
      </x:c>
      <x:c r="AP393" s="12" t="str">
        <x:f>IF(AO393="ok","ready_for_codex_import","needs_review")</x:f>
        <x:v>ready_for_codex_import</x:v>
      </x:c>
      <x:c r="AQ393" s="12"/>
      <x:c r="AR393" s="12" t="str">
        <x:v>Added v2 operational fields. Review before classification activation.</x:v>
      </x:c>
    </x:row>
    <x:row r="394">
      <x:c r="A394" s="13" t="str">
        <x:v>negativity_bias_canonical</x:v>
      </x:c>
      <x:c r="B394" s="13" t="str">
        <x:v>negativity_bias</x:v>
      </x:c>
      <x:c r="C394" s="13" t="str">
        <x:v>Negativity bias</x:v>
      </x:c>
      <x:c r="D394" s="13" t="str">
        <x:v>سوگیری منفی‌نگری</x:v>
      </x:c>
      <x:c r="E394" s="13" t="str">
        <x:v>Canonical form</x:v>
      </x:c>
      <x:c r="F394" s="13" t="str">
        <x:v>cognitive_biases_information_processing</x:v>
      </x:c>
      <x:c r="G394" s="13" t="str">
        <x:v>canonical</x:v>
      </x:c>
      <x:c r="H394" s="13" t="str">
        <x:v>contextual</x:v>
      </x:c>
      <x:c r="I394" s="13" t="str">
        <x:v>claim+context</x:v>
      </x:c>
      <x:c r="J394" s="13" t="str">
        <x:v>derived_operational_subtype</x:v>
      </x:c>
      <x:c r="K394" s="13" t="str">
        <x:v>derived_from_established_parent_review_required</x:v>
      </x:c>
      <x:c r="L394" s="13" t="str">
        <x:v>P2</x:v>
      </x:c>
      <x:c r="M394" s="13" t="str">
        <x:v>no</x:v>
      </x:c>
      <x:c r="N394" s="13" t="str">
        <x:v>Operational subtype under Negativity bias: the parent cognitive tendency appears as an observable claim-level pattern. Parent definition: Giving negative information disproportionate weight.</x:v>
      </x:c>
      <x:c r="O394" s="13" t="str">
        <x:v>Look for: explicit claim-level evidence; parent-family cues for Negativity bias; variant cue: the parent cognitive tendency appears as an observable claim-level pattern; avoid author-level inference.</x:v>
      </x:c>
      <x:c r="P394" s="13" t="str">
        <x:v>Exact evidence span in text plus claim-level reasoning link; for contextual/discourse entries, require surrounding context.</x:v>
      </x:c>
      <x:c r="Q394" s="13" t="str">
        <x:v>Do not label merely because topic is controversial, emotional, or wrong. Do not judge intent or personality. Require textual evidence and consider healthy-reasoning cues.</x:v>
      </x:c>
      <x:c r="R394" s="13" t="str">
        <x:v>Stub: A claim relies on the parent cognitive tendency appears as an observable claim-level pattern to support a conclusion without adequate qualification.</x:v>
      </x:c>
      <x:c r="S394" s="13" t="str">
        <x:v>Stub: A claim discusses negativity bias with caveats, balanced evidence, or no argumentative use of the pattern.</x:v>
      </x:c>
      <x:c r="T394" s="13" t="str">
        <x:v>Mild or ambiguous cue; do not classify without clear evidence span.</x:v>
      </x:c>
      <x:c r="U394" s="13" t="str">
        <x:v>Clear claim-level pattern with some argumentative impact.</x:v>
      </x:c>
      <x:c r="V394" s="13" t="str">
        <x:v>Strong pattern central to the conclusion and likely to materially distort reasoning.</x:v>
      </x:c>
      <x:c r="W394" s="13" t="str"/>
      <x:c r="X394" s="13" t="str">
        <x:v>gilovich_heuristics_biases</x:v>
      </x:c>
      <x:c r="Y394" s="13" t="str">
        <x:v>https://www.cambridge.org/core/books/heuristics-and-biases/3C30D3B05D2F190C3B8BE5E2531EFD24</x:v>
      </x:c>
      <x:c r="Z394" s="13" t="str">
        <x:v>Review before enabling. This workbook is a living taxonomy scaffold, not a validated scientific benchmark.</x:v>
      </x:c>
      <x:c r="AA394" s="13" t="str">
        <x:v>0.1.0-draft</x:v>
      </x:c>
      <x:c r="AB394" s="12" t="str">
        <x:f>IF(ISNUMBER(SEARCH("healthy",F394)),"healthy_reasoning_patterns",IF(ISNUMBER(SEARCH("statistical",F394)),"statistical_reasoning",IF(ISNUMBER(SEARCH("causal",F394)),"causal_reasoning",IF(ISNUMBER(SEARCH("social",F394)),"social_influence",IF(ISNUMBER(SEARCH("rhetoric",F394)),"rhetoric_discourse",IF(ISNUMBER(SEARCH("behavior",F394)),"behavioural_economics",IF(ISNUMBER(SEARCH("cognitive",F394)),"cognitive_biases",IF(J394="protective_pattern","healthy_reasoning_patterns",IF(L394="P0","core_mvp","extended_fallacies")))))))))</x:f>
        <x:v>cognitive_biases</x:v>
      </x:c>
      <x:c r="AC394" s="12" t="str">
        <x:f>IF(ISNUMBER(SEARCH("operational",J394)),"operational",IF(ISNUMBER(SEARCH("deprecated",J394)),"deprecated",IF(L394="P0","canonical","recognized_subtype")))</x:f>
        <x:v>operational</x:v>
      </x:c>
      <x:c r="AD394" s="12" t="str">
        <x:f>IF(AC394="canonical","high",IF(AC394="recognized_subtype","medium",IF(AC394="operational","operational_only","debated")))</x:f>
        <x:v>operational_only</x:v>
      </x:c>
      <x:c r="AE394" s="12" t="str">
        <x:f>IF(AC394="deprecated","deprecated",IF(M394="yes","active",IF(M394="review","review_required","backlog")))</x:f>
        <x:v>backlog</x:v>
      </x:c>
      <x:c r="AF394" s="12" t="str">
        <x:f>IF(OR(AE394="active",AE394="review_required"),"yes","no")</x:f>
        <x:v>no</x:v>
      </x:c>
      <x:c r="AG394" s="12" t="str">
        <x:f>IF(AND(AE394="active",M394="yes",NOT(ISNUMBER(SEARCH("healthy",AB394)))),"yes","no")</x:f>
        <x:v>no</x:v>
      </x:c>
      <x:c r="AH394" s="12" t="str">
        <x:f>IF(OR(H394="contextual",H394="dialogue",H394="discourse",I394="claim+context",I394="discourse_segment"),"yes","no")</x:f>
        <x:v>yes</x:v>
      </x:c>
      <x:c r="AI394" s="12" t="str">
        <x:f>IF(OR(AH394="yes",AD394="debated",AC394="operational"),"yes","no")</x:f>
        <x:v>yes</x:v>
      </x:c>
      <x:c r="AJ394" s="12" t="str">
        <x:f>IF(OR(AH394="yes",AC394="operational",AD394="debated"),"high",IF(AND(AG394="yes",L394="P0"),"medium","low"))</x:f>
        <x:v>high</x:v>
      </x:c>
      <x:c r="AK394" s="12" t="str">
        <x:f>IF(ISNUMBER(SEARCH("healthy",AB394)),"yes","no")</x:f>
        <x:v>no</x:v>
      </x:c>
      <x:c r="AL394" s="12" t="str">
        <x:f>IF(AG394="yes","yes","candidate_only")</x:f>
        <x:v>candidate_only</x:v>
      </x:c>
      <x:c r="AM394" s="12" t="str">
        <x:f>IF(OR(AC394="canonical",AG394="yes"),"yes","recommended")</x:f>
        <x:v>recommended</x:v>
      </x:c>
      <x:c r="AN394" s="12" t="str">
        <x:f>IF(AC394="deprecated","exclude",IF(AND(AG394="yes",AJ394="high"),"import_but_human_review_required",IF(AG394="yes","import_as_active","import_as_backlog")))</x:f>
        <x:v>import_as_backlog</x:v>
      </x:c>
      <x:c r="AO394" s="12" t="str">
        <x:f>IF(AND(AG394="yes",OR(P394="",Q394="",R394="",S394="")),"missing_required_mvp_fields",IF(AND(AC394="canonical",Y394=""),"missing_source_ref","ok"))</x:f>
        <x:v>ok</x:v>
      </x:c>
      <x:c r="AP394" s="12" t="str">
        <x:f>IF(AO394="ok","ready_for_codex_import","needs_review")</x:f>
        <x:v>ready_for_codex_import</x:v>
      </x:c>
      <x:c r="AQ394" s="12"/>
      <x:c r="AR394" s="12" t="str">
        <x:v>Added v2 operational fields. Review before classification activation.</x:v>
      </x:c>
    </x:row>
    <x:row r="395">
      <x:c r="A395" s="13" t="str">
        <x:v>salience_bias_canonical</x:v>
      </x:c>
      <x:c r="B395" s="13" t="str">
        <x:v>salience_bias</x:v>
      </x:c>
      <x:c r="C395" s="13" t="str">
        <x:v>Salience bias</x:v>
      </x:c>
      <x:c r="D395" s="13" t="str">
        <x:v>سوگیری برجستگی</x:v>
      </x:c>
      <x:c r="E395" s="13" t="str">
        <x:v>Canonical form</x:v>
      </x:c>
      <x:c r="F395" s="13" t="str">
        <x:v>cognitive_biases_information_processing</x:v>
      </x:c>
      <x:c r="G395" s="13" t="str">
        <x:v>canonical</x:v>
      </x:c>
      <x:c r="H395" s="13" t="str">
        <x:v>contextual</x:v>
      </x:c>
      <x:c r="I395" s="13" t="str">
        <x:v>claim+context</x:v>
      </x:c>
      <x:c r="J395" s="13" t="str">
        <x:v>derived_operational_subtype</x:v>
      </x:c>
      <x:c r="K395" s="13" t="str">
        <x:v>derived_from_established_parent_review_required</x:v>
      </x:c>
      <x:c r="L395" s="13" t="str">
        <x:v>P2</x:v>
      </x:c>
      <x:c r="M395" s="13" t="str">
        <x:v>no</x:v>
      </x:c>
      <x:c r="N395" s="13" t="str">
        <x:v>Operational subtype under Salience bias: the parent cognitive tendency appears as an observable claim-level pattern. Parent definition: Overweighting vivid or prominent features.</x:v>
      </x:c>
      <x:c r="O395" s="13" t="str">
        <x:v>Look for: explicit claim-level evidence; parent-family cues for Salience bias; variant cue: the parent cognitive tendency appears as an observable claim-level pattern; avoid author-level inference.</x:v>
      </x:c>
      <x:c r="P395" s="13" t="str">
        <x:v>Exact evidence span in text plus claim-level reasoning link; for contextual/discourse entries, require surrounding context.</x:v>
      </x:c>
      <x:c r="Q395" s="13" t="str">
        <x:v>Do not label merely because topic is controversial, emotional, or wrong. Do not judge intent or personality. Require textual evidence and consider healthy-reasoning cues.</x:v>
      </x:c>
      <x:c r="R395" s="13" t="str">
        <x:v>Stub: A claim relies on the parent cognitive tendency appears as an observable claim-level pattern to support a conclusion without adequate qualification.</x:v>
      </x:c>
      <x:c r="S395" s="13" t="str">
        <x:v>Stub: A claim discusses salience bias with caveats, balanced evidence, or no argumentative use of the pattern.</x:v>
      </x:c>
      <x:c r="T395" s="13" t="str">
        <x:v>Mild or ambiguous cue; do not classify without clear evidence span.</x:v>
      </x:c>
      <x:c r="U395" s="13" t="str">
        <x:v>Clear claim-level pattern with some argumentative impact.</x:v>
      </x:c>
      <x:c r="V395" s="13" t="str">
        <x:v>Strong pattern central to the conclusion and likely to materially distort reasoning.</x:v>
      </x:c>
      <x:c r="W395" s="13" t="str"/>
      <x:c r="X395" s="13" t="str">
        <x:v>kahneman_tversky_heuristics_1974</x:v>
      </x:c>
      <x:c r="Y395" s="13" t="str">
        <x:v>https://doi.org/10.1126/science.185.4157.1124</x:v>
      </x:c>
      <x:c r="Z395" s="13" t="str">
        <x:v>Review before enabling. This workbook is a living taxonomy scaffold, not a validated scientific benchmark.</x:v>
      </x:c>
      <x:c r="AA395" s="13" t="str">
        <x:v>0.1.0-draft</x:v>
      </x:c>
      <x:c r="AB395" s="12" t="str">
        <x:f>IF(ISNUMBER(SEARCH("healthy",F395)),"healthy_reasoning_patterns",IF(ISNUMBER(SEARCH("statistical",F395)),"statistical_reasoning",IF(ISNUMBER(SEARCH("causal",F395)),"causal_reasoning",IF(ISNUMBER(SEARCH("social",F395)),"social_influence",IF(ISNUMBER(SEARCH("rhetoric",F395)),"rhetoric_discourse",IF(ISNUMBER(SEARCH("behavior",F395)),"behavioural_economics",IF(ISNUMBER(SEARCH("cognitive",F395)),"cognitive_biases",IF(J395="protective_pattern","healthy_reasoning_patterns",IF(L395="P0","core_mvp","extended_fallacies")))))))))</x:f>
        <x:v>cognitive_biases</x:v>
      </x:c>
      <x:c r="AC395" s="12" t="str">
        <x:f>IF(ISNUMBER(SEARCH("operational",J395)),"operational",IF(ISNUMBER(SEARCH("deprecated",J395)),"deprecated",IF(L395="P0","canonical","recognized_subtype")))</x:f>
        <x:v>operational</x:v>
      </x:c>
      <x:c r="AD395" s="12" t="str">
        <x:f>IF(AC395="canonical","high",IF(AC395="recognized_subtype","medium",IF(AC395="operational","operational_only","debated")))</x:f>
        <x:v>operational_only</x:v>
      </x:c>
      <x:c r="AE395" s="12" t="str">
        <x:f>IF(AC395="deprecated","deprecated",IF(M395="yes","active",IF(M395="review","review_required","backlog")))</x:f>
        <x:v>backlog</x:v>
      </x:c>
      <x:c r="AF395" s="12" t="str">
        <x:f>IF(OR(AE395="active",AE395="review_required"),"yes","no")</x:f>
        <x:v>no</x:v>
      </x:c>
      <x:c r="AG395" s="12" t="str">
        <x:f>IF(AND(AE395="active",M395="yes",NOT(ISNUMBER(SEARCH("healthy",AB395)))),"yes","no")</x:f>
        <x:v>no</x:v>
      </x:c>
      <x:c r="AH395" s="12" t="str">
        <x:f>IF(OR(H395="contextual",H395="dialogue",H395="discourse",I395="claim+context",I395="discourse_segment"),"yes","no")</x:f>
        <x:v>yes</x:v>
      </x:c>
      <x:c r="AI395" s="12" t="str">
        <x:f>IF(OR(AH395="yes",AD395="debated",AC395="operational"),"yes","no")</x:f>
        <x:v>yes</x:v>
      </x:c>
      <x:c r="AJ395" s="12" t="str">
        <x:f>IF(OR(AH395="yes",AC395="operational",AD395="debated"),"high",IF(AND(AG395="yes",L395="P0"),"medium","low"))</x:f>
        <x:v>high</x:v>
      </x:c>
      <x:c r="AK395" s="12" t="str">
        <x:f>IF(ISNUMBER(SEARCH("healthy",AB395)),"yes","no")</x:f>
        <x:v>no</x:v>
      </x:c>
      <x:c r="AL395" s="12" t="str">
        <x:f>IF(AG395="yes","yes","candidate_only")</x:f>
        <x:v>candidate_only</x:v>
      </x:c>
      <x:c r="AM395" s="12" t="str">
        <x:f>IF(OR(AC395="canonical",AG395="yes"),"yes","recommended")</x:f>
        <x:v>recommended</x:v>
      </x:c>
      <x:c r="AN395" s="12" t="str">
        <x:f>IF(AC395="deprecated","exclude",IF(AND(AG395="yes",AJ395="high"),"import_but_human_review_required",IF(AG395="yes","import_as_active","import_as_backlog")))</x:f>
        <x:v>import_as_backlog</x:v>
      </x:c>
      <x:c r="AO395" s="12" t="str">
        <x:f>IF(AND(AG395="yes",OR(P395="",Q395="",R395="",S395="")),"missing_required_mvp_fields",IF(AND(AC395="canonical",Y395=""),"missing_source_ref","ok"))</x:f>
        <x:v>ok</x:v>
      </x:c>
      <x:c r="AP395" s="12" t="str">
        <x:f>IF(AO395="ok","ready_for_codex_import","needs_review")</x:f>
        <x:v>ready_for_codex_import</x:v>
      </x:c>
      <x:c r="AQ395" s="12"/>
      <x:c r="AR395" s="12" t="str">
        <x:v>Added v2 operational fields. Review before classification activation.</x:v>
      </x:c>
    </x:row>
    <x:row r="396">
      <x:c r="A396" s="13" t="str">
        <x:v>attentional_bias_canonical</x:v>
      </x:c>
      <x:c r="B396" s="13" t="str">
        <x:v>attentional_bias</x:v>
      </x:c>
      <x:c r="C396" s="13" t="str">
        <x:v>Attentional bias</x:v>
      </x:c>
      <x:c r="D396" s="13" t="str">
        <x:v>سوگیری توجه</x:v>
      </x:c>
      <x:c r="E396" s="13" t="str">
        <x:v>Canonical form</x:v>
      </x:c>
      <x:c r="F396" s="13" t="str">
        <x:v>cognitive_biases_information_processing</x:v>
      </x:c>
      <x:c r="G396" s="13" t="str">
        <x:v>canonical</x:v>
      </x:c>
      <x:c r="H396" s="13" t="str">
        <x:v>contextual</x:v>
      </x:c>
      <x:c r="I396" s="13" t="str">
        <x:v>claim+context</x:v>
      </x:c>
      <x:c r="J396" s="13" t="str">
        <x:v>derived_operational_subtype</x:v>
      </x:c>
      <x:c r="K396" s="13" t="str">
        <x:v>derived_from_established_parent_review_required</x:v>
      </x:c>
      <x:c r="L396" s="13" t="str">
        <x:v>P2</x:v>
      </x:c>
      <x:c r="M396" s="13" t="str">
        <x:v>no</x:v>
      </x:c>
      <x:c r="N396" s="13" t="str">
        <x:v>Operational subtype under Attentional bias: the parent cognitive tendency appears as an observable claim-level pattern. Parent definition: Attention is disproportionately drawn to certain types of information.</x:v>
      </x:c>
      <x:c r="O396" s="13" t="str">
        <x:v>Look for: explicit claim-level evidence; parent-family cues for Attentional bias; variant cue: the parent cognitive tendency appears as an observable claim-level pattern; avoid author-level inference.</x:v>
      </x:c>
      <x:c r="P396" s="13" t="str">
        <x:v>Exact evidence span in text plus claim-level reasoning link; for contextual/discourse entries, require surrounding context.</x:v>
      </x:c>
      <x:c r="Q396" s="13" t="str">
        <x:v>Do not label merely because topic is controversial, emotional, or wrong. Do not judge intent or personality. Require textual evidence and consider healthy-reasoning cues.</x:v>
      </x:c>
      <x:c r="R396" s="13" t="str">
        <x:v>Stub: A claim relies on the parent cognitive tendency appears as an observable claim-level pattern to support a conclusion without adequate qualification.</x:v>
      </x:c>
      <x:c r="S396" s="13" t="str">
        <x:v>Stub: A claim discusses attentional bias with caveats, balanced evidence, or no argumentative use of the pattern.</x:v>
      </x:c>
      <x:c r="T396" s="13" t="str">
        <x:v>Mild or ambiguous cue; do not classify without clear evidence span.</x:v>
      </x:c>
      <x:c r="U396" s="13" t="str">
        <x:v>Clear claim-level pattern with some argumentative impact.</x:v>
      </x:c>
      <x:c r="V396" s="13" t="str">
        <x:v>Strong pattern central to the conclusion and likely to materially distort reasoning.</x:v>
      </x:c>
      <x:c r="W396" s="13" t="str"/>
      <x:c r="X396" s="13" t="str">
        <x:v>gilovich_heuristics_biases</x:v>
      </x:c>
      <x:c r="Y396" s="13" t="str">
        <x:v>https://www.cambridge.org/core/books/heuristics-and-biases/3C30D3B05D2F190C3B8BE5E2531EFD24</x:v>
      </x:c>
      <x:c r="Z396" s="13" t="str">
        <x:v>Review before enabling. This workbook is a living taxonomy scaffold, not a validated scientific benchmark.</x:v>
      </x:c>
      <x:c r="AA396" s="13" t="str">
        <x:v>0.1.0-draft</x:v>
      </x:c>
      <x:c r="AB396" s="12" t="str">
        <x:f>IF(ISNUMBER(SEARCH("healthy",F396)),"healthy_reasoning_patterns",IF(ISNUMBER(SEARCH("statistical",F396)),"statistical_reasoning",IF(ISNUMBER(SEARCH("causal",F396)),"causal_reasoning",IF(ISNUMBER(SEARCH("social",F396)),"social_influence",IF(ISNUMBER(SEARCH("rhetoric",F396)),"rhetoric_discourse",IF(ISNUMBER(SEARCH("behavior",F396)),"behavioural_economics",IF(ISNUMBER(SEARCH("cognitive",F396)),"cognitive_biases",IF(J396="protective_pattern","healthy_reasoning_patterns",IF(L396="P0","core_mvp","extended_fallacies")))))))))</x:f>
        <x:v>cognitive_biases</x:v>
      </x:c>
      <x:c r="AC396" s="12" t="str">
        <x:f>IF(ISNUMBER(SEARCH("operational",J396)),"operational",IF(ISNUMBER(SEARCH("deprecated",J396)),"deprecated",IF(L396="P0","canonical","recognized_subtype")))</x:f>
        <x:v>operational</x:v>
      </x:c>
      <x:c r="AD396" s="12" t="str">
        <x:f>IF(AC396="canonical","high",IF(AC396="recognized_subtype","medium",IF(AC396="operational","operational_only","debated")))</x:f>
        <x:v>operational_only</x:v>
      </x:c>
      <x:c r="AE396" s="12" t="str">
        <x:f>IF(AC396="deprecated","deprecated",IF(M396="yes","active",IF(M396="review","review_required","backlog")))</x:f>
        <x:v>backlog</x:v>
      </x:c>
      <x:c r="AF396" s="12" t="str">
        <x:f>IF(OR(AE396="active",AE396="review_required"),"yes","no")</x:f>
        <x:v>no</x:v>
      </x:c>
      <x:c r="AG396" s="12" t="str">
        <x:f>IF(AND(AE396="active",M396="yes",NOT(ISNUMBER(SEARCH("healthy",AB396)))),"yes","no")</x:f>
        <x:v>no</x:v>
      </x:c>
      <x:c r="AH396" s="12" t="str">
        <x:f>IF(OR(H396="contextual",H396="dialogue",H396="discourse",I396="claim+context",I396="discourse_segment"),"yes","no")</x:f>
        <x:v>yes</x:v>
      </x:c>
      <x:c r="AI396" s="12" t="str">
        <x:f>IF(OR(AH396="yes",AD396="debated",AC396="operational"),"yes","no")</x:f>
        <x:v>yes</x:v>
      </x:c>
      <x:c r="AJ396" s="12" t="str">
        <x:f>IF(OR(AH396="yes",AC396="operational",AD396="debated"),"high",IF(AND(AG396="yes",L396="P0"),"medium","low"))</x:f>
        <x:v>high</x:v>
      </x:c>
      <x:c r="AK396" s="12" t="str">
        <x:f>IF(ISNUMBER(SEARCH("healthy",AB396)),"yes","no")</x:f>
        <x:v>no</x:v>
      </x:c>
      <x:c r="AL396" s="12" t="str">
        <x:f>IF(AG396="yes","yes","candidate_only")</x:f>
        <x:v>candidate_only</x:v>
      </x:c>
      <x:c r="AM396" s="12" t="str">
        <x:f>IF(OR(AC396="canonical",AG396="yes"),"yes","recommended")</x:f>
        <x:v>recommended</x:v>
      </x:c>
      <x:c r="AN396" s="12" t="str">
        <x:f>IF(AC396="deprecated","exclude",IF(AND(AG396="yes",AJ396="high"),"import_but_human_review_required",IF(AG396="yes","import_as_active","import_as_backlog")))</x:f>
        <x:v>import_as_backlog</x:v>
      </x:c>
      <x:c r="AO396" s="12" t="str">
        <x:f>IF(AND(AG396="yes",OR(P396="",Q396="",R396="",S396="")),"missing_required_mvp_fields",IF(AND(AC396="canonical",Y396=""),"missing_source_ref","ok"))</x:f>
        <x:v>ok</x:v>
      </x:c>
      <x:c r="AP396" s="12" t="str">
        <x:f>IF(AO396="ok","ready_for_codex_import","needs_review")</x:f>
        <x:v>ready_for_codex_import</x:v>
      </x:c>
      <x:c r="AQ396" s="12"/>
      <x:c r="AR396" s="12" t="str">
        <x:v>Added v2 operational fields. Review before classification activation.</x:v>
      </x:c>
    </x:row>
    <x:row r="397">
      <x:c r="A397" s="13" t="str">
        <x:v>halo_effect_canonical</x:v>
      </x:c>
      <x:c r="B397" s="13" t="str">
        <x:v>halo_effect</x:v>
      </x:c>
      <x:c r="C397" s="13" t="str">
        <x:v>Halo effect</x:v>
      </x:c>
      <x:c r="D397" s="13" t="str">
        <x:v>اثر هاله‌ای</x:v>
      </x:c>
      <x:c r="E397" s="13" t="str">
        <x:v>Canonical form</x:v>
      </x:c>
      <x:c r="F397" s="13" t="str">
        <x:v>cognitive_biases_information_processing</x:v>
      </x:c>
      <x:c r="G397" s="13" t="str">
        <x:v>canonical</x:v>
      </x:c>
      <x:c r="H397" s="13" t="str">
        <x:v>contextual</x:v>
      </x:c>
      <x:c r="I397" s="13" t="str">
        <x:v>claim+context</x:v>
      </x:c>
      <x:c r="J397" s="13" t="str">
        <x:v>derived_operational_subtype</x:v>
      </x:c>
      <x:c r="K397" s="13" t="str">
        <x:v>derived_from_established_parent_review_required</x:v>
      </x:c>
      <x:c r="L397" s="13" t="str">
        <x:v>P2</x:v>
      </x:c>
      <x:c r="M397" s="13" t="str">
        <x:v>no</x:v>
      </x:c>
      <x:c r="N397" s="13" t="str">
        <x:v>Operational subtype under Halo effect: the parent cognitive tendency appears as an observable claim-level pattern. Parent definition: Letting one positive feature color unrelated judgments.</x:v>
      </x:c>
      <x:c r="O397" s="13" t="str">
        <x:v>Look for: explicit claim-level evidence; parent-family cues for Halo effect; variant cue: the parent cognitive tendency appears as an observable claim-level pattern; avoid author-level inference.</x:v>
      </x:c>
      <x:c r="P397" s="13" t="str">
        <x:v>Exact evidence span in text plus claim-level reasoning link; for contextual/discourse entries, require surrounding context.</x:v>
      </x:c>
      <x:c r="Q397" s="13" t="str">
        <x:v>Do not label merely because topic is controversial, emotional, or wrong. Do not judge intent or personality. Require textual evidence and consider healthy-reasoning cues.</x:v>
      </x:c>
      <x:c r="R397" s="13" t="str">
        <x:v>Stub: A claim relies on the parent cognitive tendency appears as an observable claim-level pattern to support a conclusion without adequate qualification.</x:v>
      </x:c>
      <x:c r="S397" s="13" t="str">
        <x:v>Stub: A claim discusses halo effect with caveats, balanced evidence, or no argumentative use of the pattern.</x:v>
      </x:c>
      <x:c r="T397" s="13" t="str">
        <x:v>Mild or ambiguous cue; do not classify without clear evidence span.</x:v>
      </x:c>
      <x:c r="U397" s="13" t="str">
        <x:v>Clear claim-level pattern with some argumentative impact.</x:v>
      </x:c>
      <x:c r="V397" s="13" t="str">
        <x:v>Strong pattern central to the conclusion and likely to materially distort reasoning.</x:v>
      </x:c>
      <x:c r="W397" s="13" t="str"/>
      <x:c r="X397" s="13" t="str">
        <x:v>gilovich_heuristics_biases</x:v>
      </x:c>
      <x:c r="Y397" s="13" t="str">
        <x:v>https://www.cambridge.org/core/books/heuristics-and-biases/3C30D3B05D2F190C3B8BE5E2531EFD24</x:v>
      </x:c>
      <x:c r="Z397" s="13" t="str">
        <x:v>Review before enabling. This workbook is a living taxonomy scaffold, not a validated scientific benchmark.</x:v>
      </x:c>
      <x:c r="AA397" s="13" t="str">
        <x:v>0.1.0-draft</x:v>
      </x:c>
      <x:c r="AB397" s="12" t="str">
        <x:f>IF(ISNUMBER(SEARCH("healthy",F397)),"healthy_reasoning_patterns",IF(ISNUMBER(SEARCH("statistical",F397)),"statistical_reasoning",IF(ISNUMBER(SEARCH("causal",F397)),"causal_reasoning",IF(ISNUMBER(SEARCH("social",F397)),"social_influence",IF(ISNUMBER(SEARCH("rhetoric",F397)),"rhetoric_discourse",IF(ISNUMBER(SEARCH("behavior",F397)),"behavioural_economics",IF(ISNUMBER(SEARCH("cognitive",F397)),"cognitive_biases",IF(J397="protective_pattern","healthy_reasoning_patterns",IF(L397="P0","core_mvp","extended_fallacies")))))))))</x:f>
        <x:v>cognitive_biases</x:v>
      </x:c>
      <x:c r="AC397" s="12" t="str">
        <x:f>IF(ISNUMBER(SEARCH("operational",J397)),"operational",IF(ISNUMBER(SEARCH("deprecated",J397)),"deprecated",IF(L397="P0","canonical","recognized_subtype")))</x:f>
        <x:v>operational</x:v>
      </x:c>
      <x:c r="AD397" s="12" t="str">
        <x:f>IF(AC397="canonical","high",IF(AC397="recognized_subtype","medium",IF(AC397="operational","operational_only","debated")))</x:f>
        <x:v>operational_only</x:v>
      </x:c>
      <x:c r="AE397" s="12" t="str">
        <x:f>IF(AC397="deprecated","deprecated",IF(M397="yes","active",IF(M397="review","review_required","backlog")))</x:f>
        <x:v>backlog</x:v>
      </x:c>
      <x:c r="AF397" s="12" t="str">
        <x:f>IF(OR(AE397="active",AE397="review_required"),"yes","no")</x:f>
        <x:v>no</x:v>
      </x:c>
      <x:c r="AG397" s="12" t="str">
        <x:f>IF(AND(AE397="active",M397="yes",NOT(ISNUMBER(SEARCH("healthy",AB397)))),"yes","no")</x:f>
        <x:v>no</x:v>
      </x:c>
      <x:c r="AH397" s="12" t="str">
        <x:f>IF(OR(H397="contextual",H397="dialogue",H397="discourse",I397="claim+context",I397="discourse_segment"),"yes","no")</x:f>
        <x:v>yes</x:v>
      </x:c>
      <x:c r="AI397" s="12" t="str">
        <x:f>IF(OR(AH397="yes",AD397="debated",AC397="operational"),"yes","no")</x:f>
        <x:v>yes</x:v>
      </x:c>
      <x:c r="AJ397" s="12" t="str">
        <x:f>IF(OR(AH397="yes",AC397="operational",AD397="debated"),"high",IF(AND(AG397="yes",L397="P0"),"medium","low"))</x:f>
        <x:v>high</x:v>
      </x:c>
      <x:c r="AK397" s="12" t="str">
        <x:f>IF(ISNUMBER(SEARCH("healthy",AB397)),"yes","no")</x:f>
        <x:v>no</x:v>
      </x:c>
      <x:c r="AL397" s="12" t="str">
        <x:f>IF(AG397="yes","yes","candidate_only")</x:f>
        <x:v>candidate_only</x:v>
      </x:c>
      <x:c r="AM397" s="12" t="str">
        <x:f>IF(OR(AC397="canonical",AG397="yes"),"yes","recommended")</x:f>
        <x:v>recommended</x:v>
      </x:c>
      <x:c r="AN397" s="12" t="str">
        <x:f>IF(AC397="deprecated","exclude",IF(AND(AG397="yes",AJ397="high"),"import_but_human_review_required",IF(AG397="yes","import_as_active","import_as_backlog")))</x:f>
        <x:v>import_as_backlog</x:v>
      </x:c>
      <x:c r="AO397" s="12" t="str">
        <x:f>IF(AND(AG397="yes",OR(P397="",Q397="",R397="",S397="")),"missing_required_mvp_fields",IF(AND(AC397="canonical",Y397=""),"missing_source_ref","ok"))</x:f>
        <x:v>ok</x:v>
      </x:c>
      <x:c r="AP397" s="12" t="str">
        <x:f>IF(AO397="ok","ready_for_codex_import","needs_review")</x:f>
        <x:v>ready_for_codex_import</x:v>
      </x:c>
      <x:c r="AQ397" s="12"/>
      <x:c r="AR397" s="12" t="str">
        <x:v>Added v2 operational fields. Review before classification activation.</x:v>
      </x:c>
    </x:row>
    <x:row r="398">
      <x:c r="A398" s="13" t="str">
        <x:v>horns_effect_canonical</x:v>
      </x:c>
      <x:c r="B398" s="13" t="str">
        <x:v>horns_effect</x:v>
      </x:c>
      <x:c r="C398" s="13" t="str">
        <x:v>Horns effect</x:v>
      </x:c>
      <x:c r="D398" s="13" t="str">
        <x:v>اثر شاخ</x:v>
      </x:c>
      <x:c r="E398" s="13" t="str">
        <x:v>Canonical form</x:v>
      </x:c>
      <x:c r="F398" s="13" t="str">
        <x:v>cognitive_biases_information_processing</x:v>
      </x:c>
      <x:c r="G398" s="13" t="str">
        <x:v>canonical</x:v>
      </x:c>
      <x:c r="H398" s="13" t="str">
        <x:v>contextual</x:v>
      </x:c>
      <x:c r="I398" s="13" t="str">
        <x:v>claim+context</x:v>
      </x:c>
      <x:c r="J398" s="13" t="str">
        <x:v>derived_operational_subtype</x:v>
      </x:c>
      <x:c r="K398" s="13" t="str">
        <x:v>derived_from_established_parent_review_required</x:v>
      </x:c>
      <x:c r="L398" s="13" t="str">
        <x:v>P2</x:v>
      </x:c>
      <x:c r="M398" s="13" t="str">
        <x:v>no</x:v>
      </x:c>
      <x:c r="N398" s="13" t="str">
        <x:v>Operational subtype under Horns effect: the parent cognitive tendency appears as an observable claim-level pattern. Parent definition: Letting one negative feature color unrelated judgments.</x:v>
      </x:c>
      <x:c r="O398" s="13" t="str">
        <x:v>Look for: explicit claim-level evidence; parent-family cues for Horns effect; variant cue: the parent cognitive tendency appears as an observable claim-level pattern; avoid author-level inference.</x:v>
      </x:c>
      <x:c r="P398" s="13" t="str">
        <x:v>Exact evidence span in text plus claim-level reasoning link; for contextual/discourse entries, require surrounding context.</x:v>
      </x:c>
      <x:c r="Q398" s="13" t="str">
        <x:v>Do not label merely because topic is controversial, emotional, or wrong. Do not judge intent or personality. Require textual evidence and consider healthy-reasoning cues.</x:v>
      </x:c>
      <x:c r="R398" s="13" t="str">
        <x:v>Stub: A claim relies on the parent cognitive tendency appears as an observable claim-level pattern to support a conclusion without adequate qualification.</x:v>
      </x:c>
      <x:c r="S398" s="13" t="str">
        <x:v>Stub: A claim discusses horns effect with caveats, balanced evidence, or no argumentative use of the pattern.</x:v>
      </x:c>
      <x:c r="T398" s="13" t="str">
        <x:v>Mild or ambiguous cue; do not classify without clear evidence span.</x:v>
      </x:c>
      <x:c r="U398" s="13" t="str">
        <x:v>Clear claim-level pattern with some argumentative impact.</x:v>
      </x:c>
      <x:c r="V398" s="13" t="str">
        <x:v>Strong pattern central to the conclusion and likely to materially distort reasoning.</x:v>
      </x:c>
      <x:c r="W398" s="13" t="str"/>
      <x:c r="X398" s="13" t="str">
        <x:v>gilovich_heuristics_biases</x:v>
      </x:c>
      <x:c r="Y398" s="13" t="str">
        <x:v>https://www.cambridge.org/core/books/heuristics-and-biases/3C30D3B05D2F190C3B8BE5E2531EFD24</x:v>
      </x:c>
      <x:c r="Z398" s="13" t="str">
        <x:v>Review before enabling. This workbook is a living taxonomy scaffold, not a validated scientific benchmark.</x:v>
      </x:c>
      <x:c r="AA398" s="13" t="str">
        <x:v>0.1.0-draft</x:v>
      </x:c>
      <x:c r="AB398" s="12" t="str">
        <x:f>IF(ISNUMBER(SEARCH("healthy",F398)),"healthy_reasoning_patterns",IF(ISNUMBER(SEARCH("statistical",F398)),"statistical_reasoning",IF(ISNUMBER(SEARCH("causal",F398)),"causal_reasoning",IF(ISNUMBER(SEARCH("social",F398)),"social_influence",IF(ISNUMBER(SEARCH("rhetoric",F398)),"rhetoric_discourse",IF(ISNUMBER(SEARCH("behavior",F398)),"behavioural_economics",IF(ISNUMBER(SEARCH("cognitive",F398)),"cognitive_biases",IF(J398="protective_pattern","healthy_reasoning_patterns",IF(L398="P0","core_mvp","extended_fallacies")))))))))</x:f>
        <x:v>cognitive_biases</x:v>
      </x:c>
      <x:c r="AC398" s="12" t="str">
        <x:f>IF(ISNUMBER(SEARCH("operational",J398)),"operational",IF(ISNUMBER(SEARCH("deprecated",J398)),"deprecated",IF(L398="P0","canonical","recognized_subtype")))</x:f>
        <x:v>operational</x:v>
      </x:c>
      <x:c r="AD398" s="12" t="str">
        <x:f>IF(AC398="canonical","high",IF(AC398="recognized_subtype","medium",IF(AC398="operational","operational_only","debated")))</x:f>
        <x:v>operational_only</x:v>
      </x:c>
      <x:c r="AE398" s="12" t="str">
        <x:f>IF(AC398="deprecated","deprecated",IF(M398="yes","active",IF(M398="review","review_required","backlog")))</x:f>
        <x:v>backlog</x:v>
      </x:c>
      <x:c r="AF398" s="12" t="str">
        <x:f>IF(OR(AE398="active",AE398="review_required"),"yes","no")</x:f>
        <x:v>no</x:v>
      </x:c>
      <x:c r="AG398" s="12" t="str">
        <x:f>IF(AND(AE398="active",M398="yes",NOT(ISNUMBER(SEARCH("healthy",AB398)))),"yes","no")</x:f>
        <x:v>no</x:v>
      </x:c>
      <x:c r="AH398" s="12" t="str">
        <x:f>IF(OR(H398="contextual",H398="dialogue",H398="discourse",I398="claim+context",I398="discourse_segment"),"yes","no")</x:f>
        <x:v>yes</x:v>
      </x:c>
      <x:c r="AI398" s="12" t="str">
        <x:f>IF(OR(AH398="yes",AD398="debated",AC398="operational"),"yes","no")</x:f>
        <x:v>yes</x:v>
      </x:c>
      <x:c r="AJ398" s="12" t="str">
        <x:f>IF(OR(AH398="yes",AC398="operational",AD398="debated"),"high",IF(AND(AG398="yes",L398="P0"),"medium","low"))</x:f>
        <x:v>high</x:v>
      </x:c>
      <x:c r="AK398" s="12" t="str">
        <x:f>IF(ISNUMBER(SEARCH("healthy",AB398)),"yes","no")</x:f>
        <x:v>no</x:v>
      </x:c>
      <x:c r="AL398" s="12" t="str">
        <x:f>IF(AG398="yes","yes","candidate_only")</x:f>
        <x:v>candidate_only</x:v>
      </x:c>
      <x:c r="AM398" s="12" t="str">
        <x:f>IF(OR(AC398="canonical",AG398="yes"),"yes","recommended")</x:f>
        <x:v>recommended</x:v>
      </x:c>
      <x:c r="AN398" s="12" t="str">
        <x:f>IF(AC398="deprecated","exclude",IF(AND(AG398="yes",AJ398="high"),"import_but_human_review_required",IF(AG398="yes","import_as_active","import_as_backlog")))</x:f>
        <x:v>import_as_backlog</x:v>
      </x:c>
      <x:c r="AO398" s="12" t="str">
        <x:f>IF(AND(AG398="yes",OR(P398="",Q398="",R398="",S398="")),"missing_required_mvp_fields",IF(AND(AC398="canonical",Y398=""),"missing_source_ref","ok"))</x:f>
        <x:v>ok</x:v>
      </x:c>
      <x:c r="AP398" s="12" t="str">
        <x:f>IF(AO398="ok","ready_for_codex_import","needs_review")</x:f>
        <x:v>ready_for_codex_import</x:v>
      </x:c>
      <x:c r="AQ398" s="12"/>
      <x:c r="AR398" s="12" t="str">
        <x:v>Added v2 operational fields. Review before classification activation.</x:v>
      </x:c>
    </x:row>
    <x:row r="399">
      <x:c r="A399" s="13" t="str">
        <x:v>fundamental_attribution_error_canonical</x:v>
      </x:c>
      <x:c r="B399" s="13" t="str">
        <x:v>fundamental_attribution_error</x:v>
      </x:c>
      <x:c r="C399" s="13" t="str">
        <x:v>Fundamental attribution error</x:v>
      </x:c>
      <x:c r="D399" s="13" t="str">
        <x:v>خطای اسناد بنیادی</x:v>
      </x:c>
      <x:c r="E399" s="13" t="str">
        <x:v>Canonical form</x:v>
      </x:c>
      <x:c r="F399" s="13" t="str">
        <x:v>cognitive_biases_information_processing</x:v>
      </x:c>
      <x:c r="G399" s="13" t="str">
        <x:v>canonical</x:v>
      </x:c>
      <x:c r="H399" s="13" t="str">
        <x:v>contextual</x:v>
      </x:c>
      <x:c r="I399" s="13" t="str">
        <x:v>claim+context</x:v>
      </x:c>
      <x:c r="J399" s="13" t="str">
        <x:v>derived_operational_subtype</x:v>
      </x:c>
      <x:c r="K399" s="13" t="str">
        <x:v>derived_from_established_parent_review_required</x:v>
      </x:c>
      <x:c r="L399" s="13" t="str">
        <x:v>P2</x:v>
      </x:c>
      <x:c r="M399" s="13" t="str">
        <x:v>no</x:v>
      </x:c>
      <x:c r="N399" s="13" t="str">
        <x:v>Operational subtype under Fundamental attribution error: the parent cognitive tendency appears as an observable claim-level pattern. Parent definition: Overemphasizing dispositional explanations and underweighting situational context.</x:v>
      </x:c>
      <x:c r="O399" s="13" t="str">
        <x:v>Look for: explicit claim-level evidence; parent-family cues for Fundamental attribution error; variant cue: the parent cognitive tendency appears as an observable claim-level pattern; avoid author-level inference.</x:v>
      </x:c>
      <x:c r="P399" s="13" t="str">
        <x:v>Exact evidence span in text plus claim-level reasoning link; for contextual/discourse entries, require surrounding context.</x:v>
      </x:c>
      <x:c r="Q399" s="13" t="str">
        <x:v>Do not label merely because topic is controversial, emotional, or wrong. Do not judge intent or personality. Require textual evidence and consider healthy-reasoning cues.</x:v>
      </x:c>
      <x:c r="R399" s="13" t="str">
        <x:v>Stub: A claim relies on the parent cognitive tendency appears as an observable claim-level pattern to support a conclusion without adequate qualification.</x:v>
      </x:c>
      <x:c r="S399" s="13" t="str">
        <x:v>Stub: A claim discusses fundamental attribution error with caveats, balanced evidence, or no argumentative use of the pattern.</x:v>
      </x:c>
      <x:c r="T399" s="13" t="str">
        <x:v>Mild or ambiguous cue; do not classify without clear evidence span.</x:v>
      </x:c>
      <x:c r="U399" s="13" t="str">
        <x:v>Clear claim-level pattern with some argumentative impact.</x:v>
      </x:c>
      <x:c r="V399" s="13" t="str">
        <x:v>Strong pattern central to the conclusion and likely to materially distort reasoning.</x:v>
      </x:c>
      <x:c r="W399" s="13" t="str"/>
      <x:c r="X399" s="13" t="str">
        <x:v>gilovich_heuristics_biases</x:v>
      </x:c>
      <x:c r="Y399" s="13" t="str">
        <x:v>https://www.cambridge.org/core/books/heuristics-and-biases/3C30D3B05D2F190C3B8BE5E2531EFD24</x:v>
      </x:c>
      <x:c r="Z399" s="13" t="str">
        <x:v>Review before enabling. This workbook is a living taxonomy scaffold, not a validated scientific benchmark.</x:v>
      </x:c>
      <x:c r="AA399" s="13" t="str">
        <x:v>0.1.0-draft</x:v>
      </x:c>
      <x:c r="AB399" s="12" t="str">
        <x:f>IF(ISNUMBER(SEARCH("healthy",F399)),"healthy_reasoning_patterns",IF(ISNUMBER(SEARCH("statistical",F399)),"statistical_reasoning",IF(ISNUMBER(SEARCH("causal",F399)),"causal_reasoning",IF(ISNUMBER(SEARCH("social",F399)),"social_influence",IF(ISNUMBER(SEARCH("rhetoric",F399)),"rhetoric_discourse",IF(ISNUMBER(SEARCH("behavior",F399)),"behavioural_economics",IF(ISNUMBER(SEARCH("cognitive",F399)),"cognitive_biases",IF(J399="protective_pattern","healthy_reasoning_patterns",IF(L399="P0","core_mvp","extended_fallacies")))))))))</x:f>
        <x:v>cognitive_biases</x:v>
      </x:c>
      <x:c r="AC399" s="12" t="str">
        <x:f>IF(ISNUMBER(SEARCH("operational",J399)),"operational",IF(ISNUMBER(SEARCH("deprecated",J399)),"deprecated",IF(L399="P0","canonical","recognized_subtype")))</x:f>
        <x:v>operational</x:v>
      </x:c>
      <x:c r="AD399" s="12" t="str">
        <x:f>IF(AC399="canonical","high",IF(AC399="recognized_subtype","medium",IF(AC399="operational","operational_only","debated")))</x:f>
        <x:v>operational_only</x:v>
      </x:c>
      <x:c r="AE399" s="12" t="str">
        <x:f>IF(AC399="deprecated","deprecated",IF(M399="yes","active",IF(M399="review","review_required","backlog")))</x:f>
        <x:v>backlog</x:v>
      </x:c>
      <x:c r="AF399" s="12" t="str">
        <x:f>IF(OR(AE399="active",AE399="review_required"),"yes","no")</x:f>
        <x:v>no</x:v>
      </x:c>
      <x:c r="AG399" s="12" t="str">
        <x:f>IF(AND(AE399="active",M399="yes",NOT(ISNUMBER(SEARCH("healthy",AB399)))),"yes","no")</x:f>
        <x:v>no</x:v>
      </x:c>
      <x:c r="AH399" s="12" t="str">
        <x:f>IF(OR(H399="contextual",H399="dialogue",H399="discourse",I399="claim+context",I399="discourse_segment"),"yes","no")</x:f>
        <x:v>yes</x:v>
      </x:c>
      <x:c r="AI399" s="12" t="str">
        <x:f>IF(OR(AH399="yes",AD399="debated",AC399="operational"),"yes","no")</x:f>
        <x:v>yes</x:v>
      </x:c>
      <x:c r="AJ399" s="12" t="str">
        <x:f>IF(OR(AH399="yes",AC399="operational",AD399="debated"),"high",IF(AND(AG399="yes",L399="P0"),"medium","low"))</x:f>
        <x:v>high</x:v>
      </x:c>
      <x:c r="AK399" s="12" t="str">
        <x:f>IF(ISNUMBER(SEARCH("healthy",AB399)),"yes","no")</x:f>
        <x:v>no</x:v>
      </x:c>
      <x:c r="AL399" s="12" t="str">
        <x:f>IF(AG399="yes","yes","candidate_only")</x:f>
        <x:v>candidate_only</x:v>
      </x:c>
      <x:c r="AM399" s="12" t="str">
        <x:f>IF(OR(AC399="canonical",AG399="yes"),"yes","recommended")</x:f>
        <x:v>recommended</x:v>
      </x:c>
      <x:c r="AN399" s="12" t="str">
        <x:f>IF(AC399="deprecated","exclude",IF(AND(AG399="yes",AJ399="high"),"import_but_human_review_required",IF(AG399="yes","import_as_active","import_as_backlog")))</x:f>
        <x:v>import_as_backlog</x:v>
      </x:c>
      <x:c r="AO399" s="12" t="str">
        <x:f>IF(AND(AG399="yes",OR(P399="",Q399="",R399="",S399="")),"missing_required_mvp_fields",IF(AND(AC399="canonical",Y399=""),"missing_source_ref","ok"))</x:f>
        <x:v>ok</x:v>
      </x:c>
      <x:c r="AP399" s="12" t="str">
        <x:f>IF(AO399="ok","ready_for_codex_import","needs_review")</x:f>
        <x:v>ready_for_codex_import</x:v>
      </x:c>
      <x:c r="AQ399" s="12"/>
      <x:c r="AR399" s="12" t="str">
        <x:v>Added v2 operational fields. Review before classification activation.</x:v>
      </x:c>
    </x:row>
    <x:row r="400">
      <x:c r="A400" s="13" t="str">
        <x:v>actor_observer_bias_canonical</x:v>
      </x:c>
      <x:c r="B400" s="13" t="str">
        <x:v>actor_observer_bias</x:v>
      </x:c>
      <x:c r="C400" s="13" t="str">
        <x:v>Actor-observer bias</x:v>
      </x:c>
      <x:c r="D400" s="13" t="str">
        <x:v>سوگیری کنشگر-ناظر</x:v>
      </x:c>
      <x:c r="E400" s="13" t="str">
        <x:v>Canonical form</x:v>
      </x:c>
      <x:c r="F400" s="13" t="str">
        <x:v>cognitive_biases_information_processing</x:v>
      </x:c>
      <x:c r="G400" s="13" t="str">
        <x:v>canonical</x:v>
      </x:c>
      <x:c r="H400" s="13" t="str">
        <x:v>contextual</x:v>
      </x:c>
      <x:c r="I400" s="13" t="str">
        <x:v>claim+context</x:v>
      </x:c>
      <x:c r="J400" s="13" t="str">
        <x:v>derived_operational_subtype</x:v>
      </x:c>
      <x:c r="K400" s="13" t="str">
        <x:v>derived_from_established_parent_review_required</x:v>
      </x:c>
      <x:c r="L400" s="13" t="str">
        <x:v>P2</x:v>
      </x:c>
      <x:c r="M400" s="13" t="str">
        <x:v>no</x:v>
      </x:c>
      <x:c r="N400" s="13" t="str">
        <x:v>Operational subtype under Actor-observer bias: the parent cognitive tendency appears as an observable claim-level pattern. Parent definition: Explaining one's own behavior situationally and others' behavior dispositionally.</x:v>
      </x:c>
      <x:c r="O400" s="13" t="str">
        <x:v>Look for: explicit claim-level evidence; parent-family cues for Actor-observer bias; variant cue: the parent cognitive tendency appears as an observable claim-level pattern; avoid author-level inference.</x:v>
      </x:c>
      <x:c r="P400" s="13" t="str">
        <x:v>Exact evidence span in text plus claim-level reasoning link; for contextual/discourse entries, require surrounding context.</x:v>
      </x:c>
      <x:c r="Q400" s="13" t="str">
        <x:v>Do not label merely because topic is controversial, emotional, or wrong. Do not judge intent or personality. Require textual evidence and consider healthy-reasoning cues.</x:v>
      </x:c>
      <x:c r="R400" s="13" t="str">
        <x:v>Stub: A claim relies on the parent cognitive tendency appears as an observable claim-level pattern to support a conclusion without adequate qualification.</x:v>
      </x:c>
      <x:c r="S400" s="13" t="str">
        <x:v>Stub: A claim discusses actor-observer bias with caveats, balanced evidence, or no argumentative use of the pattern.</x:v>
      </x:c>
      <x:c r="T400" s="13" t="str">
        <x:v>Mild or ambiguous cue; do not classify without clear evidence span.</x:v>
      </x:c>
      <x:c r="U400" s="13" t="str">
        <x:v>Clear claim-level pattern with some argumentative impact.</x:v>
      </x:c>
      <x:c r="V400" s="13" t="str">
        <x:v>Strong pattern central to the conclusion and likely to materially distort reasoning.</x:v>
      </x:c>
      <x:c r="W400" s="13" t="str"/>
      <x:c r="X400" s="13" t="str">
        <x:v>gilovich_heuristics_biases</x:v>
      </x:c>
      <x:c r="Y400" s="13" t="str">
        <x:v>https://www.cambridge.org/core/books/heuristics-and-biases/3C30D3B05D2F190C3B8BE5E2531EFD24</x:v>
      </x:c>
      <x:c r="Z400" s="13" t="str">
        <x:v>Review before enabling. This workbook is a living taxonomy scaffold, not a validated scientific benchmark.</x:v>
      </x:c>
      <x:c r="AA400" s="13" t="str">
        <x:v>0.1.0-draft</x:v>
      </x:c>
      <x:c r="AB400" s="12" t="str">
        <x:f>IF(ISNUMBER(SEARCH("healthy",F400)),"healthy_reasoning_patterns",IF(ISNUMBER(SEARCH("statistical",F400)),"statistical_reasoning",IF(ISNUMBER(SEARCH("causal",F400)),"causal_reasoning",IF(ISNUMBER(SEARCH("social",F400)),"social_influence",IF(ISNUMBER(SEARCH("rhetoric",F400)),"rhetoric_discourse",IF(ISNUMBER(SEARCH("behavior",F400)),"behavioural_economics",IF(ISNUMBER(SEARCH("cognitive",F400)),"cognitive_biases",IF(J400="protective_pattern","healthy_reasoning_patterns",IF(L400="P0","core_mvp","extended_fallacies")))))))))</x:f>
        <x:v>cognitive_biases</x:v>
      </x:c>
      <x:c r="AC400" s="12" t="str">
        <x:f>IF(ISNUMBER(SEARCH("operational",J400)),"operational",IF(ISNUMBER(SEARCH("deprecated",J400)),"deprecated",IF(L400="P0","canonical","recognized_subtype")))</x:f>
        <x:v>operational</x:v>
      </x:c>
      <x:c r="AD400" s="12" t="str">
        <x:f>IF(AC400="canonical","high",IF(AC400="recognized_subtype","medium",IF(AC400="operational","operational_only","debated")))</x:f>
        <x:v>operational_only</x:v>
      </x:c>
      <x:c r="AE400" s="12" t="str">
        <x:f>IF(AC400="deprecated","deprecated",IF(M400="yes","active",IF(M400="review","review_required","backlog")))</x:f>
        <x:v>backlog</x:v>
      </x:c>
      <x:c r="AF400" s="12" t="str">
        <x:f>IF(OR(AE400="active",AE400="review_required"),"yes","no")</x:f>
        <x:v>no</x:v>
      </x:c>
      <x:c r="AG400" s="12" t="str">
        <x:f>IF(AND(AE400="active",M400="yes",NOT(ISNUMBER(SEARCH("healthy",AB400)))),"yes","no")</x:f>
        <x:v>no</x:v>
      </x:c>
      <x:c r="AH400" s="12" t="str">
        <x:f>IF(OR(H400="contextual",H400="dialogue",H400="discourse",I400="claim+context",I400="discourse_segment"),"yes","no")</x:f>
        <x:v>yes</x:v>
      </x:c>
      <x:c r="AI400" s="12" t="str">
        <x:f>IF(OR(AH400="yes",AD400="debated",AC400="operational"),"yes","no")</x:f>
        <x:v>yes</x:v>
      </x:c>
      <x:c r="AJ400" s="12" t="str">
        <x:f>IF(OR(AH400="yes",AC400="operational",AD400="debated"),"high",IF(AND(AG400="yes",L400="P0"),"medium","low"))</x:f>
        <x:v>high</x:v>
      </x:c>
      <x:c r="AK400" s="12" t="str">
        <x:f>IF(ISNUMBER(SEARCH("healthy",AB400)),"yes","no")</x:f>
        <x:v>no</x:v>
      </x:c>
      <x:c r="AL400" s="12" t="str">
        <x:f>IF(AG400="yes","yes","candidate_only")</x:f>
        <x:v>candidate_only</x:v>
      </x:c>
      <x:c r="AM400" s="12" t="str">
        <x:f>IF(OR(AC400="canonical",AG400="yes"),"yes","recommended")</x:f>
        <x:v>recommended</x:v>
      </x:c>
      <x:c r="AN400" s="12" t="str">
        <x:f>IF(AC400="deprecated","exclude",IF(AND(AG400="yes",AJ400="high"),"import_but_human_review_required",IF(AG400="yes","import_as_active","import_as_backlog")))</x:f>
        <x:v>import_as_backlog</x:v>
      </x:c>
      <x:c r="AO400" s="12" t="str">
        <x:f>IF(AND(AG400="yes",OR(P400="",Q400="",R400="",S400="")),"missing_required_mvp_fields",IF(AND(AC400="canonical",Y400=""),"missing_source_ref","ok"))</x:f>
        <x:v>ok</x:v>
      </x:c>
      <x:c r="AP400" s="12" t="str">
        <x:f>IF(AO400="ok","ready_for_codex_import","needs_review")</x:f>
        <x:v>ready_for_codex_import</x:v>
      </x:c>
      <x:c r="AQ400" s="12"/>
      <x:c r="AR400" s="12" t="str">
        <x:v>Added v2 operational fields. Review before classification activation.</x:v>
      </x:c>
    </x:row>
    <x:row r="401">
      <x:c r="A401" s="13" t="str">
        <x:v>self_serving_bias_canonical</x:v>
      </x:c>
      <x:c r="B401" s="13" t="str">
        <x:v>self_serving_bias</x:v>
      </x:c>
      <x:c r="C401" s="13" t="str">
        <x:v>Self-serving bias</x:v>
      </x:c>
      <x:c r="D401" s="13" t="str">
        <x:v>سوگیری خودخدمتی</x:v>
      </x:c>
      <x:c r="E401" s="13" t="str">
        <x:v>Canonical form</x:v>
      </x:c>
      <x:c r="F401" s="13" t="str">
        <x:v>cognitive_biases_information_processing</x:v>
      </x:c>
      <x:c r="G401" s="13" t="str">
        <x:v>canonical</x:v>
      </x:c>
      <x:c r="H401" s="13" t="str">
        <x:v>contextual</x:v>
      </x:c>
      <x:c r="I401" s="13" t="str">
        <x:v>claim+context</x:v>
      </x:c>
      <x:c r="J401" s="13" t="str">
        <x:v>derived_operational_subtype</x:v>
      </x:c>
      <x:c r="K401" s="13" t="str">
        <x:v>derived_from_established_parent_review_required</x:v>
      </x:c>
      <x:c r="L401" s="13" t="str">
        <x:v>P2</x:v>
      </x:c>
      <x:c r="M401" s="13" t="str">
        <x:v>no</x:v>
      </x:c>
      <x:c r="N401" s="13" t="str">
        <x:v>Operational subtype under Self-serving bias: the parent cognitive tendency appears as an observable claim-level pattern. Parent definition: Attributing successes internally and failures externally.</x:v>
      </x:c>
      <x:c r="O401" s="13" t="str">
        <x:v>Look for: explicit claim-level evidence; parent-family cues for Self-serving bias; variant cue: the parent cognitive tendency appears as an observable claim-level pattern; avoid author-level inference.</x:v>
      </x:c>
      <x:c r="P401" s="13" t="str">
        <x:v>Exact evidence span in text plus claim-level reasoning link; for contextual/discourse entries, require surrounding context.</x:v>
      </x:c>
      <x:c r="Q401" s="13" t="str">
        <x:v>Do not label merely because topic is controversial, emotional, or wrong. Do not judge intent or personality. Require textual evidence and consider healthy-reasoning cues.</x:v>
      </x:c>
      <x:c r="R401" s="13" t="str">
        <x:v>Stub: A claim relies on the parent cognitive tendency appears as an observable claim-level pattern to support a conclusion without adequate qualification.</x:v>
      </x:c>
      <x:c r="S401" s="13" t="str">
        <x:v>Stub: A claim discusses self-serving bias with caveats, balanced evidence, or no argumentative use of the pattern.</x:v>
      </x:c>
      <x:c r="T401" s="13" t="str">
        <x:v>Mild or ambiguous cue; do not classify without clear evidence span.</x:v>
      </x:c>
      <x:c r="U401" s="13" t="str">
        <x:v>Clear claim-level pattern with some argumentative impact.</x:v>
      </x:c>
      <x:c r="V401" s="13" t="str">
        <x:v>Strong pattern central to the conclusion and likely to materially distort reasoning.</x:v>
      </x:c>
      <x:c r="W401" s="13" t="str"/>
      <x:c r="X401" s="13" t="str">
        <x:v>gilovich_heuristics_biases</x:v>
      </x:c>
      <x:c r="Y401" s="13" t="str">
        <x:v>https://www.cambridge.org/core/books/heuristics-and-biases/3C30D3B05D2F190C3B8BE5E2531EFD24</x:v>
      </x:c>
      <x:c r="Z401" s="13" t="str">
        <x:v>Review before enabling. This workbook is a living taxonomy scaffold, not a validated scientific benchmark.</x:v>
      </x:c>
      <x:c r="AA401" s="13" t="str">
        <x:v>0.1.0-draft</x:v>
      </x:c>
      <x:c r="AB401" s="12" t="str">
        <x:f>IF(ISNUMBER(SEARCH("healthy",F401)),"healthy_reasoning_patterns",IF(ISNUMBER(SEARCH("statistical",F401)),"statistical_reasoning",IF(ISNUMBER(SEARCH("causal",F401)),"causal_reasoning",IF(ISNUMBER(SEARCH("social",F401)),"social_influence",IF(ISNUMBER(SEARCH("rhetoric",F401)),"rhetoric_discourse",IF(ISNUMBER(SEARCH("behavior",F401)),"behavioural_economics",IF(ISNUMBER(SEARCH("cognitive",F401)),"cognitive_biases",IF(J401="protective_pattern","healthy_reasoning_patterns",IF(L401="P0","core_mvp","extended_fallacies")))))))))</x:f>
        <x:v>cognitive_biases</x:v>
      </x:c>
      <x:c r="AC401" s="12" t="str">
        <x:f>IF(ISNUMBER(SEARCH("operational",J401)),"operational",IF(ISNUMBER(SEARCH("deprecated",J401)),"deprecated",IF(L401="P0","canonical","recognized_subtype")))</x:f>
        <x:v>operational</x:v>
      </x:c>
      <x:c r="AD401" s="12" t="str">
        <x:f>IF(AC401="canonical","high",IF(AC401="recognized_subtype","medium",IF(AC401="operational","operational_only","debated")))</x:f>
        <x:v>operational_only</x:v>
      </x:c>
      <x:c r="AE401" s="12" t="str">
        <x:f>IF(AC401="deprecated","deprecated",IF(M401="yes","active",IF(M401="review","review_required","backlog")))</x:f>
        <x:v>backlog</x:v>
      </x:c>
      <x:c r="AF401" s="12" t="str">
        <x:f>IF(OR(AE401="active",AE401="review_required"),"yes","no")</x:f>
        <x:v>no</x:v>
      </x:c>
      <x:c r="AG401" s="12" t="str">
        <x:f>IF(AND(AE401="active",M401="yes",NOT(ISNUMBER(SEARCH("healthy",AB401)))),"yes","no")</x:f>
        <x:v>no</x:v>
      </x:c>
      <x:c r="AH401" s="12" t="str">
        <x:f>IF(OR(H401="contextual",H401="dialogue",H401="discourse",I401="claim+context",I401="discourse_segment"),"yes","no")</x:f>
        <x:v>yes</x:v>
      </x:c>
      <x:c r="AI401" s="12" t="str">
        <x:f>IF(OR(AH401="yes",AD401="debated",AC401="operational"),"yes","no")</x:f>
        <x:v>yes</x:v>
      </x:c>
      <x:c r="AJ401" s="12" t="str">
        <x:f>IF(OR(AH401="yes",AC401="operational",AD401="debated"),"high",IF(AND(AG401="yes",L401="P0"),"medium","low"))</x:f>
        <x:v>high</x:v>
      </x:c>
      <x:c r="AK401" s="12" t="str">
        <x:f>IF(ISNUMBER(SEARCH("healthy",AB401)),"yes","no")</x:f>
        <x:v>no</x:v>
      </x:c>
      <x:c r="AL401" s="12" t="str">
        <x:f>IF(AG401="yes","yes","candidate_only")</x:f>
        <x:v>candidate_only</x:v>
      </x:c>
      <x:c r="AM401" s="12" t="str">
        <x:f>IF(OR(AC401="canonical",AG401="yes"),"yes","recommended")</x:f>
        <x:v>recommended</x:v>
      </x:c>
      <x:c r="AN401" s="12" t="str">
        <x:f>IF(AC401="deprecated","exclude",IF(AND(AG401="yes",AJ401="high"),"import_but_human_review_required",IF(AG401="yes","import_as_active","import_as_backlog")))</x:f>
        <x:v>import_as_backlog</x:v>
      </x:c>
      <x:c r="AO401" s="12" t="str">
        <x:f>IF(AND(AG401="yes",OR(P401="",Q401="",R401="",S401="")),"missing_required_mvp_fields",IF(AND(AC401="canonical",Y401=""),"missing_source_ref","ok"))</x:f>
        <x:v>ok</x:v>
      </x:c>
      <x:c r="AP401" s="12" t="str">
        <x:f>IF(AO401="ok","ready_for_codex_import","needs_review")</x:f>
        <x:v>ready_for_codex_import</x:v>
      </x:c>
      <x:c r="AQ401" s="12"/>
      <x:c r="AR401" s="12" t="str">
        <x:v>Added v2 operational fields. Review before classification activation.</x:v>
      </x:c>
    </x:row>
    <x:row r="402">
      <x:c r="A402" s="13" t="str">
        <x:v>illusory_correlation_canonical</x:v>
      </x:c>
      <x:c r="B402" s="13" t="str">
        <x:v>illusory_correlation</x:v>
      </x:c>
      <x:c r="C402" s="13" t="str">
        <x:v>Illusory correlation</x:v>
      </x:c>
      <x:c r="D402" s="13" t="str">
        <x:v>همبستگی موهوم</x:v>
      </x:c>
      <x:c r="E402" s="13" t="str">
        <x:v>Canonical form</x:v>
      </x:c>
      <x:c r="F402" s="13" t="str">
        <x:v>cognitive_biases_information_processing</x:v>
      </x:c>
      <x:c r="G402" s="13" t="str">
        <x:v>canonical</x:v>
      </x:c>
      <x:c r="H402" s="13" t="str">
        <x:v>contextual</x:v>
      </x:c>
      <x:c r="I402" s="13" t="str">
        <x:v>claim+context</x:v>
      </x:c>
      <x:c r="J402" s="13" t="str">
        <x:v>derived_operational_subtype</x:v>
      </x:c>
      <x:c r="K402" s="13" t="str">
        <x:v>derived_from_established_parent_review_required</x:v>
      </x:c>
      <x:c r="L402" s="13" t="str">
        <x:v>P2</x:v>
      </x:c>
      <x:c r="M402" s="13" t="str">
        <x:v>no</x:v>
      </x:c>
      <x:c r="N402" s="13" t="str">
        <x:v>Operational subtype under Illusory correlation: the parent cognitive tendency appears as an observable claim-level pattern. Parent definition: Perceiving an association where evidence is weak or absent.</x:v>
      </x:c>
      <x:c r="O402" s="13" t="str">
        <x:v>Look for: explicit claim-level evidence; parent-family cues for Illusory correlation; variant cue: the parent cognitive tendency appears as an observable claim-level pattern; avoid author-level inference.</x:v>
      </x:c>
      <x:c r="P402" s="13" t="str">
        <x:v>Exact evidence span in text plus claim-level reasoning link; for contextual/discourse entries, require surrounding context.</x:v>
      </x:c>
      <x:c r="Q402" s="13" t="str">
        <x:v>Do not label merely because topic is controversial, emotional, or wrong. Do not judge intent or personality. Require textual evidence and consider healthy-reasoning cues.</x:v>
      </x:c>
      <x:c r="R402" s="13" t="str">
        <x:v>Stub: A claim relies on the parent cognitive tendency appears as an observable claim-level pattern to support a conclusion without adequate qualification.</x:v>
      </x:c>
      <x:c r="S402" s="13" t="str">
        <x:v>Stub: A claim discusses illusory correlation with caveats, balanced evidence, or no argumentative use of the pattern.</x:v>
      </x:c>
      <x:c r="T402" s="13" t="str">
        <x:v>Mild or ambiguous cue; do not classify without clear evidence span.</x:v>
      </x:c>
      <x:c r="U402" s="13" t="str">
        <x:v>Clear claim-level pattern with some argumentative impact.</x:v>
      </x:c>
      <x:c r="V402" s="13" t="str">
        <x:v>Strong pattern central to the conclusion and likely to materially distort reasoning.</x:v>
      </x:c>
      <x:c r="W402" s="13" t="str">
        <x:v>cherry_picking; missing_counterevidence; evidence_grading</x:v>
      </x:c>
      <x:c r="X402" s="13" t="str">
        <x:v>kahneman_tversky_heuristics_1974</x:v>
      </x:c>
      <x:c r="Y402" s="13" t="str">
        <x:v>https://doi.org/10.1126/science.185.4157.1124</x:v>
      </x:c>
      <x:c r="Z402" s="13" t="str">
        <x:v>Review before enabling. This workbook is a living taxonomy scaffold, not a validated scientific benchmark.</x:v>
      </x:c>
      <x:c r="AA402" s="13" t="str">
        <x:v>0.1.0-draft</x:v>
      </x:c>
      <x:c r="AB402" s="12" t="str">
        <x:f>IF(ISNUMBER(SEARCH("healthy",F402)),"healthy_reasoning_patterns",IF(ISNUMBER(SEARCH("statistical",F402)),"statistical_reasoning",IF(ISNUMBER(SEARCH("causal",F402)),"causal_reasoning",IF(ISNUMBER(SEARCH("social",F402)),"social_influence",IF(ISNUMBER(SEARCH("rhetoric",F402)),"rhetoric_discourse",IF(ISNUMBER(SEARCH("behavior",F402)),"behavioural_economics",IF(ISNUMBER(SEARCH("cognitive",F402)),"cognitive_biases",IF(J402="protective_pattern","healthy_reasoning_patterns",IF(L402="P0","core_mvp","extended_fallacies")))))))))</x:f>
        <x:v>cognitive_biases</x:v>
      </x:c>
      <x:c r="AC402" s="12" t="str">
        <x:f>IF(ISNUMBER(SEARCH("operational",J402)),"operational",IF(ISNUMBER(SEARCH("deprecated",J402)),"deprecated",IF(L402="P0","canonical","recognized_subtype")))</x:f>
        <x:v>operational</x:v>
      </x:c>
      <x:c r="AD402" s="12" t="str">
        <x:f>IF(AC402="canonical","high",IF(AC402="recognized_subtype","medium",IF(AC402="operational","operational_only","debated")))</x:f>
        <x:v>operational_only</x:v>
      </x:c>
      <x:c r="AE402" s="12" t="str">
        <x:f>IF(AC402="deprecated","deprecated",IF(M402="yes","active",IF(M402="review","review_required","backlog")))</x:f>
        <x:v>backlog</x:v>
      </x:c>
      <x:c r="AF402" s="12" t="str">
        <x:f>IF(OR(AE402="active",AE402="review_required"),"yes","no")</x:f>
        <x:v>no</x:v>
      </x:c>
      <x:c r="AG402" s="12" t="str">
        <x:f>IF(AND(AE402="active",M402="yes",NOT(ISNUMBER(SEARCH("healthy",AB402)))),"yes","no")</x:f>
        <x:v>no</x:v>
      </x:c>
      <x:c r="AH402" s="12" t="str">
        <x:f>IF(OR(H402="contextual",H402="dialogue",H402="discourse",I402="claim+context",I402="discourse_segment"),"yes","no")</x:f>
        <x:v>yes</x:v>
      </x:c>
      <x:c r="AI402" s="12" t="str">
        <x:f>IF(OR(AH402="yes",AD402="debated",AC402="operational"),"yes","no")</x:f>
        <x:v>yes</x:v>
      </x:c>
      <x:c r="AJ402" s="12" t="str">
        <x:f>IF(OR(AH402="yes",AC402="operational",AD402="debated"),"high",IF(AND(AG402="yes",L402="P0"),"medium","low"))</x:f>
        <x:v>high</x:v>
      </x:c>
      <x:c r="AK402" s="12" t="str">
        <x:f>IF(ISNUMBER(SEARCH("healthy",AB402)),"yes","no")</x:f>
        <x:v>no</x:v>
      </x:c>
      <x:c r="AL402" s="12" t="str">
        <x:f>IF(AG402="yes","yes","candidate_only")</x:f>
        <x:v>candidate_only</x:v>
      </x:c>
      <x:c r="AM402" s="12" t="str">
        <x:f>IF(OR(AC402="canonical",AG402="yes"),"yes","recommended")</x:f>
        <x:v>recommended</x:v>
      </x:c>
      <x:c r="AN402" s="12" t="str">
        <x:f>IF(AC402="deprecated","exclude",IF(AND(AG402="yes",AJ402="high"),"import_but_human_review_required",IF(AG402="yes","import_as_active","import_as_backlog")))</x:f>
        <x:v>import_as_backlog</x:v>
      </x:c>
      <x:c r="AO402" s="12" t="str">
        <x:f>IF(AND(AG402="yes",OR(P402="",Q402="",R402="",S402="")),"missing_required_mvp_fields",IF(AND(AC402="canonical",Y402=""),"missing_source_ref","ok"))</x:f>
        <x:v>ok</x:v>
      </x:c>
      <x:c r="AP402" s="12" t="str">
        <x:f>IF(AO402="ok","ready_for_codex_import","needs_review")</x:f>
        <x:v>ready_for_codex_import</x:v>
      </x:c>
      <x:c r="AQ402" s="12"/>
      <x:c r="AR402" s="12" t="str">
        <x:v>Added v2 operational fields. Review before classification activation.</x:v>
      </x:c>
    </x:row>
    <x:row r="403">
      <x:c r="A403" s="13" t="str">
        <x:v>clustering_illusion_canonical</x:v>
      </x:c>
      <x:c r="B403" s="13" t="str">
        <x:v>clustering_illusion</x:v>
      </x:c>
      <x:c r="C403" s="13" t="str">
        <x:v>Clustering illusion</x:v>
      </x:c>
      <x:c r="D403" s="13" t="str">
        <x:v>توهم خوشه‌بندی</x:v>
      </x:c>
      <x:c r="E403" s="13" t="str">
        <x:v>Canonical form</x:v>
      </x:c>
      <x:c r="F403" s="13" t="str">
        <x:v>cognitive_biases_information_processing</x:v>
      </x:c>
      <x:c r="G403" s="13" t="str">
        <x:v>canonical</x:v>
      </x:c>
      <x:c r="H403" s="13" t="str">
        <x:v>contextual</x:v>
      </x:c>
      <x:c r="I403" s="13" t="str">
        <x:v>claim+context</x:v>
      </x:c>
      <x:c r="J403" s="13" t="str">
        <x:v>derived_operational_subtype</x:v>
      </x:c>
      <x:c r="K403" s="13" t="str">
        <x:v>derived_from_established_parent_review_required</x:v>
      </x:c>
      <x:c r="L403" s="13" t="str">
        <x:v>P2</x:v>
      </x:c>
      <x:c r="M403" s="13" t="str">
        <x:v>no</x:v>
      </x:c>
      <x:c r="N403" s="13" t="str">
        <x:v>Operational subtype under Clustering illusion: the parent cognitive tendency appears as an observable claim-level pattern. Parent definition: Seeing meaningful clusters in random sequences.</x:v>
      </x:c>
      <x:c r="O403" s="13" t="str">
        <x:v>Look for: explicit claim-level evidence; parent-family cues for Clustering illusion; variant cue: the parent cognitive tendency appears as an observable claim-level pattern; avoid author-level inference.</x:v>
      </x:c>
      <x:c r="P403" s="13" t="str">
        <x:v>Exact evidence span in text plus claim-level reasoning link; for contextual/discourse entries, require surrounding context.</x:v>
      </x:c>
      <x:c r="Q403" s="13" t="str">
        <x:v>Do not label merely because topic is controversial, emotional, or wrong. Do not judge intent or personality. Require textual evidence and consider healthy-reasoning cues.</x:v>
      </x:c>
      <x:c r="R403" s="13" t="str">
        <x:v>Stub: A claim relies on the parent cognitive tendency appears as an observable claim-level pattern to support a conclusion without adequate qualification.</x:v>
      </x:c>
      <x:c r="S403" s="13" t="str">
        <x:v>Stub: A claim discusses clustering illusion with caveats, balanced evidence, or no argumentative use of the pattern.</x:v>
      </x:c>
      <x:c r="T403" s="13" t="str">
        <x:v>Mild or ambiguous cue; do not classify without clear evidence span.</x:v>
      </x:c>
      <x:c r="U403" s="13" t="str">
        <x:v>Clear claim-level pattern with some argumentative impact.</x:v>
      </x:c>
      <x:c r="V403" s="13" t="str">
        <x:v>Strong pattern central to the conclusion and likely to materially distort reasoning.</x:v>
      </x:c>
      <x:c r="W403" s="13" t="str"/>
      <x:c r="X403" s="13" t="str">
        <x:v>kahneman_tversky_heuristics_1974</x:v>
      </x:c>
      <x:c r="Y403" s="13" t="str">
        <x:v>https://doi.org/10.1126/science.185.4157.1124</x:v>
      </x:c>
      <x:c r="Z403" s="13" t="str">
        <x:v>Review before enabling. This workbook is a living taxonomy scaffold, not a validated scientific benchmark.</x:v>
      </x:c>
      <x:c r="AA403" s="13" t="str">
        <x:v>0.1.0-draft</x:v>
      </x:c>
      <x:c r="AB403" s="12" t="str">
        <x:f>IF(ISNUMBER(SEARCH("healthy",F403)),"healthy_reasoning_patterns",IF(ISNUMBER(SEARCH("statistical",F403)),"statistical_reasoning",IF(ISNUMBER(SEARCH("causal",F403)),"causal_reasoning",IF(ISNUMBER(SEARCH("social",F403)),"social_influence",IF(ISNUMBER(SEARCH("rhetoric",F403)),"rhetoric_discourse",IF(ISNUMBER(SEARCH("behavior",F403)),"behavioural_economics",IF(ISNUMBER(SEARCH("cognitive",F403)),"cognitive_biases",IF(J403="protective_pattern","healthy_reasoning_patterns",IF(L403="P0","core_mvp","extended_fallacies")))))))))</x:f>
        <x:v>cognitive_biases</x:v>
      </x:c>
      <x:c r="AC403" s="12" t="str">
        <x:f>IF(ISNUMBER(SEARCH("operational",J403)),"operational",IF(ISNUMBER(SEARCH("deprecated",J403)),"deprecated",IF(L403="P0","canonical","recognized_subtype")))</x:f>
        <x:v>operational</x:v>
      </x:c>
      <x:c r="AD403" s="12" t="str">
        <x:f>IF(AC403="canonical","high",IF(AC403="recognized_subtype","medium",IF(AC403="operational","operational_only","debated")))</x:f>
        <x:v>operational_only</x:v>
      </x:c>
      <x:c r="AE403" s="12" t="str">
        <x:f>IF(AC403="deprecated","deprecated",IF(M403="yes","active",IF(M403="review","review_required","backlog")))</x:f>
        <x:v>backlog</x:v>
      </x:c>
      <x:c r="AF403" s="12" t="str">
        <x:f>IF(OR(AE403="active",AE403="review_required"),"yes","no")</x:f>
        <x:v>no</x:v>
      </x:c>
      <x:c r="AG403" s="12" t="str">
        <x:f>IF(AND(AE403="active",M403="yes",NOT(ISNUMBER(SEARCH("healthy",AB403)))),"yes","no")</x:f>
        <x:v>no</x:v>
      </x:c>
      <x:c r="AH403" s="12" t="str">
        <x:f>IF(OR(H403="contextual",H403="dialogue",H403="discourse",I403="claim+context",I403="discourse_segment"),"yes","no")</x:f>
        <x:v>yes</x:v>
      </x:c>
      <x:c r="AI403" s="12" t="str">
        <x:f>IF(OR(AH403="yes",AD403="debated",AC403="operational"),"yes","no")</x:f>
        <x:v>yes</x:v>
      </x:c>
      <x:c r="AJ403" s="12" t="str">
        <x:f>IF(OR(AH403="yes",AC403="operational",AD403="debated"),"high",IF(AND(AG403="yes",L403="P0"),"medium","low"))</x:f>
        <x:v>high</x:v>
      </x:c>
      <x:c r="AK403" s="12" t="str">
        <x:f>IF(ISNUMBER(SEARCH("healthy",AB403)),"yes","no")</x:f>
        <x:v>no</x:v>
      </x:c>
      <x:c r="AL403" s="12" t="str">
        <x:f>IF(AG403="yes","yes","candidate_only")</x:f>
        <x:v>candidate_only</x:v>
      </x:c>
      <x:c r="AM403" s="12" t="str">
        <x:f>IF(OR(AC403="canonical",AG403="yes"),"yes","recommended")</x:f>
        <x:v>recommended</x:v>
      </x:c>
      <x:c r="AN403" s="12" t="str">
        <x:f>IF(AC403="deprecated","exclude",IF(AND(AG403="yes",AJ403="high"),"import_but_human_review_required",IF(AG403="yes","import_as_active","import_as_backlog")))</x:f>
        <x:v>import_as_backlog</x:v>
      </x:c>
      <x:c r="AO403" s="12" t="str">
        <x:f>IF(AND(AG403="yes",OR(P403="",Q403="",R403="",S403="")),"missing_required_mvp_fields",IF(AND(AC403="canonical",Y403=""),"missing_source_ref","ok"))</x:f>
        <x:v>ok</x:v>
      </x:c>
      <x:c r="AP403" s="12" t="str">
        <x:f>IF(AO403="ok","ready_for_codex_import","needs_review")</x:f>
        <x:v>ready_for_codex_import</x:v>
      </x:c>
      <x:c r="AQ403" s="12"/>
      <x:c r="AR403" s="12" t="str">
        <x:v>Added v2 operational fields. Review before classification activation.</x:v>
      </x:c>
    </x:row>
    <x:row r="404">
      <x:c r="A404" s="13" t="str">
        <x:v>recency_bias_canonical</x:v>
      </x:c>
      <x:c r="B404" s="13" t="str">
        <x:v>recency_bias</x:v>
      </x:c>
      <x:c r="C404" s="13" t="str">
        <x:v>Recency bias</x:v>
      </x:c>
      <x:c r="D404" s="13" t="str">
        <x:v>سوگیری تازگی</x:v>
      </x:c>
      <x:c r="E404" s="13" t="str">
        <x:v>Canonical form</x:v>
      </x:c>
      <x:c r="F404" s="13" t="str">
        <x:v>cognitive_biases_information_processing</x:v>
      </x:c>
      <x:c r="G404" s="13" t="str">
        <x:v>canonical</x:v>
      </x:c>
      <x:c r="H404" s="13" t="str">
        <x:v>contextual</x:v>
      </x:c>
      <x:c r="I404" s="13" t="str">
        <x:v>claim+context</x:v>
      </x:c>
      <x:c r="J404" s="13" t="str">
        <x:v>derived_operational_subtype</x:v>
      </x:c>
      <x:c r="K404" s="13" t="str">
        <x:v>derived_from_established_parent_review_required</x:v>
      </x:c>
      <x:c r="L404" s="13" t="str">
        <x:v>P2</x:v>
      </x:c>
      <x:c r="M404" s="13" t="str">
        <x:v>no</x:v>
      </x:c>
      <x:c r="N404" s="13" t="str">
        <x:v>Operational subtype under Recency bias: the parent cognitive tendency appears as an observable claim-level pattern. Parent definition: Overweighting the most recent information.</x:v>
      </x:c>
      <x:c r="O404" s="13" t="str">
        <x:v>Look for: explicit claim-level evidence; parent-family cues for Recency bias; variant cue: the parent cognitive tendency appears as an observable claim-level pattern; avoid author-level inference.</x:v>
      </x:c>
      <x:c r="P404" s="13" t="str">
        <x:v>Exact evidence span in text plus claim-level reasoning link; for contextual/discourse entries, require surrounding context.</x:v>
      </x:c>
      <x:c r="Q404" s="13" t="str">
        <x:v>Do not label merely because topic is controversial, emotional, or wrong. Do not judge intent or personality. Require textual evidence and consider healthy-reasoning cues.</x:v>
      </x:c>
      <x:c r="R404" s="13" t="str">
        <x:v>Stub: A claim relies on the parent cognitive tendency appears as an observable claim-level pattern to support a conclusion without adequate qualification.</x:v>
      </x:c>
      <x:c r="S404" s="13" t="str">
        <x:v>Stub: A claim discusses recency bias with caveats, balanced evidence, or no argumentative use of the pattern.</x:v>
      </x:c>
      <x:c r="T404" s="13" t="str">
        <x:v>Mild or ambiguous cue; do not classify without clear evidence span.</x:v>
      </x:c>
      <x:c r="U404" s="13" t="str">
        <x:v>Clear claim-level pattern with some argumentative impact.</x:v>
      </x:c>
      <x:c r="V404" s="13" t="str">
        <x:v>Strong pattern central to the conclusion and likely to materially distort reasoning.</x:v>
      </x:c>
      <x:c r="W404" s="13" t="str"/>
      <x:c r="X404" s="13" t="str">
        <x:v>gilovich_heuristics_biases</x:v>
      </x:c>
      <x:c r="Y404" s="13" t="str">
        <x:v>https://www.cambridge.org/core/books/heuristics-and-biases/3C30D3B05D2F190C3B8BE5E2531EFD24</x:v>
      </x:c>
      <x:c r="Z404" s="13" t="str">
        <x:v>Review before enabling. This workbook is a living taxonomy scaffold, not a validated scientific benchmark.</x:v>
      </x:c>
      <x:c r="AA404" s="13" t="str">
        <x:v>0.1.0-draft</x:v>
      </x:c>
      <x:c r="AB404" s="12" t="str">
        <x:f>IF(ISNUMBER(SEARCH("healthy",F404)),"healthy_reasoning_patterns",IF(ISNUMBER(SEARCH("statistical",F404)),"statistical_reasoning",IF(ISNUMBER(SEARCH("causal",F404)),"causal_reasoning",IF(ISNUMBER(SEARCH("social",F404)),"social_influence",IF(ISNUMBER(SEARCH("rhetoric",F404)),"rhetoric_discourse",IF(ISNUMBER(SEARCH("behavior",F404)),"behavioural_economics",IF(ISNUMBER(SEARCH("cognitive",F404)),"cognitive_biases",IF(J404="protective_pattern","healthy_reasoning_patterns",IF(L404="P0","core_mvp","extended_fallacies")))))))))</x:f>
        <x:v>cognitive_biases</x:v>
      </x:c>
      <x:c r="AC404" s="12" t="str">
        <x:f>IF(ISNUMBER(SEARCH("operational",J404)),"operational",IF(ISNUMBER(SEARCH("deprecated",J404)),"deprecated",IF(L404="P0","canonical","recognized_subtype")))</x:f>
        <x:v>operational</x:v>
      </x:c>
      <x:c r="AD404" s="12" t="str">
        <x:f>IF(AC404="canonical","high",IF(AC404="recognized_subtype","medium",IF(AC404="operational","operational_only","debated")))</x:f>
        <x:v>operational_only</x:v>
      </x:c>
      <x:c r="AE404" s="12" t="str">
        <x:f>IF(AC404="deprecated","deprecated",IF(M404="yes","active",IF(M404="review","review_required","backlog")))</x:f>
        <x:v>backlog</x:v>
      </x:c>
      <x:c r="AF404" s="12" t="str">
        <x:f>IF(OR(AE404="active",AE404="review_required"),"yes","no")</x:f>
        <x:v>no</x:v>
      </x:c>
      <x:c r="AG404" s="12" t="str">
        <x:f>IF(AND(AE404="active",M404="yes",NOT(ISNUMBER(SEARCH("healthy",AB404)))),"yes","no")</x:f>
        <x:v>no</x:v>
      </x:c>
      <x:c r="AH404" s="12" t="str">
        <x:f>IF(OR(H404="contextual",H404="dialogue",H404="discourse",I404="claim+context",I404="discourse_segment"),"yes","no")</x:f>
        <x:v>yes</x:v>
      </x:c>
      <x:c r="AI404" s="12" t="str">
        <x:f>IF(OR(AH404="yes",AD404="debated",AC404="operational"),"yes","no")</x:f>
        <x:v>yes</x:v>
      </x:c>
      <x:c r="AJ404" s="12" t="str">
        <x:f>IF(OR(AH404="yes",AC404="operational",AD404="debated"),"high",IF(AND(AG404="yes",L404="P0"),"medium","low"))</x:f>
        <x:v>high</x:v>
      </x:c>
      <x:c r="AK404" s="12" t="str">
        <x:f>IF(ISNUMBER(SEARCH("healthy",AB404)),"yes","no")</x:f>
        <x:v>no</x:v>
      </x:c>
      <x:c r="AL404" s="12" t="str">
        <x:f>IF(AG404="yes","yes","candidate_only")</x:f>
        <x:v>candidate_only</x:v>
      </x:c>
      <x:c r="AM404" s="12" t="str">
        <x:f>IF(OR(AC404="canonical",AG404="yes"),"yes","recommended")</x:f>
        <x:v>recommended</x:v>
      </x:c>
      <x:c r="AN404" s="12" t="str">
        <x:f>IF(AC404="deprecated","exclude",IF(AND(AG404="yes",AJ404="high"),"import_but_human_review_required",IF(AG404="yes","import_as_active","import_as_backlog")))</x:f>
        <x:v>import_as_backlog</x:v>
      </x:c>
      <x:c r="AO404" s="12" t="str">
        <x:f>IF(AND(AG404="yes",OR(P404="",Q404="",R404="",S404="")),"missing_required_mvp_fields",IF(AND(AC404="canonical",Y404=""),"missing_source_ref","ok"))</x:f>
        <x:v>ok</x:v>
      </x:c>
      <x:c r="AP404" s="12" t="str">
        <x:f>IF(AO404="ok","ready_for_codex_import","needs_review")</x:f>
        <x:v>ready_for_codex_import</x:v>
      </x:c>
      <x:c r="AQ404" s="12"/>
      <x:c r="AR404" s="12" t="str">
        <x:v>Added v2 operational fields. Review before classification activation.</x:v>
      </x:c>
    </x:row>
    <x:row r="405">
      <x:c r="A405" s="13" t="str">
        <x:v>primacy_effect_canonical</x:v>
      </x:c>
      <x:c r="B405" s="13" t="str">
        <x:v>primacy_effect</x:v>
      </x:c>
      <x:c r="C405" s="13" t="str">
        <x:v>Primacy effect</x:v>
      </x:c>
      <x:c r="D405" s="13" t="str">
        <x:v>اثر تقدم</x:v>
      </x:c>
      <x:c r="E405" s="13" t="str">
        <x:v>Canonical form</x:v>
      </x:c>
      <x:c r="F405" s="13" t="str">
        <x:v>cognitive_biases_information_processing</x:v>
      </x:c>
      <x:c r="G405" s="13" t="str">
        <x:v>canonical</x:v>
      </x:c>
      <x:c r="H405" s="13" t="str">
        <x:v>contextual</x:v>
      </x:c>
      <x:c r="I405" s="13" t="str">
        <x:v>claim+context</x:v>
      </x:c>
      <x:c r="J405" s="13" t="str">
        <x:v>derived_operational_subtype</x:v>
      </x:c>
      <x:c r="K405" s="13" t="str">
        <x:v>derived_from_established_parent_review_required</x:v>
      </x:c>
      <x:c r="L405" s="13" t="str">
        <x:v>P2</x:v>
      </x:c>
      <x:c r="M405" s="13" t="str">
        <x:v>no</x:v>
      </x:c>
      <x:c r="N405" s="13" t="str">
        <x:v>Operational subtype under Primacy effect: the parent cognitive tendency appears as an observable claim-level pattern. Parent definition: Overweighting information encountered first.</x:v>
      </x:c>
      <x:c r="O405" s="13" t="str">
        <x:v>Look for: explicit claim-level evidence; parent-family cues for Primacy effect; variant cue: the parent cognitive tendency appears as an observable claim-level pattern; avoid author-level inference.</x:v>
      </x:c>
      <x:c r="P405" s="13" t="str">
        <x:v>Exact evidence span in text plus claim-level reasoning link; for contextual/discourse entries, require surrounding context.</x:v>
      </x:c>
      <x:c r="Q405" s="13" t="str">
        <x:v>Do not label merely because topic is controversial, emotional, or wrong. Do not judge intent or personality. Require textual evidence and consider healthy-reasoning cues.</x:v>
      </x:c>
      <x:c r="R405" s="13" t="str">
        <x:v>Stub: A claim relies on the parent cognitive tendency appears as an observable claim-level pattern to support a conclusion without adequate qualification.</x:v>
      </x:c>
      <x:c r="S405" s="13" t="str">
        <x:v>Stub: A claim discusses primacy effect with caveats, balanced evidence, or no argumentative use of the pattern.</x:v>
      </x:c>
      <x:c r="T405" s="13" t="str">
        <x:v>Mild or ambiguous cue; do not classify without clear evidence span.</x:v>
      </x:c>
      <x:c r="U405" s="13" t="str">
        <x:v>Clear claim-level pattern with some argumentative impact.</x:v>
      </x:c>
      <x:c r="V405" s="13" t="str">
        <x:v>Strong pattern central to the conclusion and likely to materially distort reasoning.</x:v>
      </x:c>
      <x:c r="W405" s="13" t="str"/>
      <x:c r="X405" s="13" t="str">
        <x:v>gilovich_heuristics_biases</x:v>
      </x:c>
      <x:c r="Y405" s="13" t="str">
        <x:v>https://www.cambridge.org/core/books/heuristics-and-biases/3C30D3B05D2F190C3B8BE5E2531EFD24</x:v>
      </x:c>
      <x:c r="Z405" s="13" t="str">
        <x:v>Review before enabling. This workbook is a living taxonomy scaffold, not a validated scientific benchmark.</x:v>
      </x:c>
      <x:c r="AA405" s="13" t="str">
        <x:v>0.1.0-draft</x:v>
      </x:c>
      <x:c r="AB405" s="12" t="str">
        <x:f>IF(ISNUMBER(SEARCH("healthy",F405)),"healthy_reasoning_patterns",IF(ISNUMBER(SEARCH("statistical",F405)),"statistical_reasoning",IF(ISNUMBER(SEARCH("causal",F405)),"causal_reasoning",IF(ISNUMBER(SEARCH("social",F405)),"social_influence",IF(ISNUMBER(SEARCH("rhetoric",F405)),"rhetoric_discourse",IF(ISNUMBER(SEARCH("behavior",F405)),"behavioural_economics",IF(ISNUMBER(SEARCH("cognitive",F405)),"cognitive_biases",IF(J405="protective_pattern","healthy_reasoning_patterns",IF(L405="P0","core_mvp","extended_fallacies")))))))))</x:f>
        <x:v>cognitive_biases</x:v>
      </x:c>
      <x:c r="AC405" s="12" t="str">
        <x:f>IF(ISNUMBER(SEARCH("operational",J405)),"operational",IF(ISNUMBER(SEARCH("deprecated",J405)),"deprecated",IF(L405="P0","canonical","recognized_subtype")))</x:f>
        <x:v>operational</x:v>
      </x:c>
      <x:c r="AD405" s="12" t="str">
        <x:f>IF(AC405="canonical","high",IF(AC405="recognized_subtype","medium",IF(AC405="operational","operational_only","debated")))</x:f>
        <x:v>operational_only</x:v>
      </x:c>
      <x:c r="AE405" s="12" t="str">
        <x:f>IF(AC405="deprecated","deprecated",IF(M405="yes","active",IF(M405="review","review_required","backlog")))</x:f>
        <x:v>backlog</x:v>
      </x:c>
      <x:c r="AF405" s="12" t="str">
        <x:f>IF(OR(AE405="active",AE405="review_required"),"yes","no")</x:f>
        <x:v>no</x:v>
      </x:c>
      <x:c r="AG405" s="12" t="str">
        <x:f>IF(AND(AE405="active",M405="yes",NOT(ISNUMBER(SEARCH("healthy",AB405)))),"yes","no")</x:f>
        <x:v>no</x:v>
      </x:c>
      <x:c r="AH405" s="12" t="str">
        <x:f>IF(OR(H405="contextual",H405="dialogue",H405="discourse",I405="claim+context",I405="discourse_segment"),"yes","no")</x:f>
        <x:v>yes</x:v>
      </x:c>
      <x:c r="AI405" s="12" t="str">
        <x:f>IF(OR(AH405="yes",AD405="debated",AC405="operational"),"yes","no")</x:f>
        <x:v>yes</x:v>
      </x:c>
      <x:c r="AJ405" s="12" t="str">
        <x:f>IF(OR(AH405="yes",AC405="operational",AD405="debated"),"high",IF(AND(AG405="yes",L405="P0"),"medium","low"))</x:f>
        <x:v>high</x:v>
      </x:c>
      <x:c r="AK405" s="12" t="str">
        <x:f>IF(ISNUMBER(SEARCH("healthy",AB405)),"yes","no")</x:f>
        <x:v>no</x:v>
      </x:c>
      <x:c r="AL405" s="12" t="str">
        <x:f>IF(AG405="yes","yes","candidate_only")</x:f>
        <x:v>candidate_only</x:v>
      </x:c>
      <x:c r="AM405" s="12" t="str">
        <x:f>IF(OR(AC405="canonical",AG405="yes"),"yes","recommended")</x:f>
        <x:v>recommended</x:v>
      </x:c>
      <x:c r="AN405" s="12" t="str">
        <x:f>IF(AC405="deprecated","exclude",IF(AND(AG405="yes",AJ405="high"),"import_but_human_review_required",IF(AG405="yes","import_as_active","import_as_backlog")))</x:f>
        <x:v>import_as_backlog</x:v>
      </x:c>
      <x:c r="AO405" s="12" t="str">
        <x:f>IF(AND(AG405="yes",OR(P405="",Q405="",R405="",S405="")),"missing_required_mvp_fields",IF(AND(AC405="canonical",Y405=""),"missing_source_ref","ok"))</x:f>
        <x:v>ok</x:v>
      </x:c>
      <x:c r="AP405" s="12" t="str">
        <x:f>IF(AO405="ok","ready_for_codex_import","needs_review")</x:f>
        <x:v>ready_for_codex_import</x:v>
      </x:c>
      <x:c r="AQ405" s="12"/>
      <x:c r="AR405" s="12" t="str">
        <x:v>Added v2 operational fields. Review before classification activation.</x:v>
      </x:c>
    </x:row>
    <x:row r="406">
      <x:c r="A406" s="13" t="str">
        <x:v>memory_consistency_bias_canonical</x:v>
      </x:c>
      <x:c r="B406" s="13" t="str">
        <x:v>memory_consistency_bias</x:v>
      </x:c>
      <x:c r="C406" s="13" t="str">
        <x:v>Consistency bias</x:v>
      </x:c>
      <x:c r="D406" s="13" t="str">
        <x:v>سوگیری سازگاری حافظه</x:v>
      </x:c>
      <x:c r="E406" s="13" t="str">
        <x:v>Canonical form</x:v>
      </x:c>
      <x:c r="F406" s="13" t="str">
        <x:v>cognitive_biases_information_processing</x:v>
      </x:c>
      <x:c r="G406" s="13" t="str">
        <x:v>canonical</x:v>
      </x:c>
      <x:c r="H406" s="13" t="str">
        <x:v>contextual</x:v>
      </x:c>
      <x:c r="I406" s="13" t="str">
        <x:v>claim+context</x:v>
      </x:c>
      <x:c r="J406" s="13" t="str">
        <x:v>derived_operational_subtype</x:v>
      </x:c>
      <x:c r="K406" s="13" t="str">
        <x:v>derived_from_established_parent_review_required</x:v>
      </x:c>
      <x:c r="L406" s="13" t="str">
        <x:v>P2</x:v>
      </x:c>
      <x:c r="M406" s="13" t="str">
        <x:v>no</x:v>
      </x:c>
      <x:c r="N406" s="13" t="str">
        <x:v>Operational subtype under Consistency bias: the parent cognitive tendency appears as an observable claim-level pattern. Parent definition: Remembering past beliefs as more consistent with present beliefs.</x:v>
      </x:c>
      <x:c r="O406" s="13" t="str">
        <x:v>Look for: explicit claim-level evidence; parent-family cues for Consistency bias; variant cue: the parent cognitive tendency appears as an observable claim-level pattern; avoid author-level inference.</x:v>
      </x:c>
      <x:c r="P406" s="13" t="str">
        <x:v>Exact evidence span in text plus claim-level reasoning link; for contextual/discourse entries, require surrounding context.</x:v>
      </x:c>
      <x:c r="Q406" s="13" t="str">
        <x:v>Do not label merely because topic is controversial, emotional, or wrong. Do not judge intent or personality. Require textual evidence and consider healthy-reasoning cues.</x:v>
      </x:c>
      <x:c r="R406" s="13" t="str">
        <x:v>Stub: A claim relies on the parent cognitive tendency appears as an observable claim-level pattern to support a conclusion without adequate qualification.</x:v>
      </x:c>
      <x:c r="S406" s="13" t="str">
        <x:v>Stub: A claim discusses consistency bias with caveats, balanced evidence, or no argumentative use of the pattern.</x:v>
      </x:c>
      <x:c r="T406" s="13" t="str">
        <x:v>Mild or ambiguous cue; do not classify without clear evidence span.</x:v>
      </x:c>
      <x:c r="U406" s="13" t="str">
        <x:v>Clear claim-level pattern with some argumentative impact.</x:v>
      </x:c>
      <x:c r="V406" s="13" t="str">
        <x:v>Strong pattern central to the conclusion and likely to materially distort reasoning.</x:v>
      </x:c>
      <x:c r="W406" s="13" t="str"/>
      <x:c r="X406" s="13" t="str">
        <x:v>gilovich_heuristics_biases</x:v>
      </x:c>
      <x:c r="Y406" s="13" t="str">
        <x:v>https://www.cambridge.org/core/books/heuristics-and-biases/3C30D3B05D2F190C3B8BE5E2531EFD24</x:v>
      </x:c>
      <x:c r="Z406" s="13" t="str">
        <x:v>Review before enabling. This workbook is a living taxonomy scaffold, not a validated scientific benchmark.</x:v>
      </x:c>
      <x:c r="AA406" s="13" t="str">
        <x:v>0.1.0-draft</x:v>
      </x:c>
      <x:c r="AB406" s="12" t="str">
        <x:f>IF(ISNUMBER(SEARCH("healthy",F406)),"healthy_reasoning_patterns",IF(ISNUMBER(SEARCH("statistical",F406)),"statistical_reasoning",IF(ISNUMBER(SEARCH("causal",F406)),"causal_reasoning",IF(ISNUMBER(SEARCH("social",F406)),"social_influence",IF(ISNUMBER(SEARCH("rhetoric",F406)),"rhetoric_discourse",IF(ISNUMBER(SEARCH("behavior",F406)),"behavioural_economics",IF(ISNUMBER(SEARCH("cognitive",F406)),"cognitive_biases",IF(J406="protective_pattern","healthy_reasoning_patterns",IF(L406="P0","core_mvp","extended_fallacies")))))))))</x:f>
        <x:v>cognitive_biases</x:v>
      </x:c>
      <x:c r="AC406" s="12" t="str">
        <x:f>IF(ISNUMBER(SEARCH("operational",J406)),"operational",IF(ISNUMBER(SEARCH("deprecated",J406)),"deprecated",IF(L406="P0","canonical","recognized_subtype")))</x:f>
        <x:v>operational</x:v>
      </x:c>
      <x:c r="AD406" s="12" t="str">
        <x:f>IF(AC406="canonical","high",IF(AC406="recognized_subtype","medium",IF(AC406="operational","operational_only","debated")))</x:f>
        <x:v>operational_only</x:v>
      </x:c>
      <x:c r="AE406" s="12" t="str">
        <x:f>IF(AC406="deprecated","deprecated",IF(M406="yes","active",IF(M406="review","review_required","backlog")))</x:f>
        <x:v>backlog</x:v>
      </x:c>
      <x:c r="AF406" s="12" t="str">
        <x:f>IF(OR(AE406="active",AE406="review_required"),"yes","no")</x:f>
        <x:v>no</x:v>
      </x:c>
      <x:c r="AG406" s="12" t="str">
        <x:f>IF(AND(AE406="active",M406="yes",NOT(ISNUMBER(SEARCH("healthy",AB406)))),"yes","no")</x:f>
        <x:v>no</x:v>
      </x:c>
      <x:c r="AH406" s="12" t="str">
        <x:f>IF(OR(H406="contextual",H406="dialogue",H406="discourse",I406="claim+context",I406="discourse_segment"),"yes","no")</x:f>
        <x:v>yes</x:v>
      </x:c>
      <x:c r="AI406" s="12" t="str">
        <x:f>IF(OR(AH406="yes",AD406="debated",AC406="operational"),"yes","no")</x:f>
        <x:v>yes</x:v>
      </x:c>
      <x:c r="AJ406" s="12" t="str">
        <x:f>IF(OR(AH406="yes",AC406="operational",AD406="debated"),"high",IF(AND(AG406="yes",L406="P0"),"medium","low"))</x:f>
        <x:v>high</x:v>
      </x:c>
      <x:c r="AK406" s="12" t="str">
        <x:f>IF(ISNUMBER(SEARCH("healthy",AB406)),"yes","no")</x:f>
        <x:v>no</x:v>
      </x:c>
      <x:c r="AL406" s="12" t="str">
        <x:f>IF(AG406="yes","yes","candidate_only")</x:f>
        <x:v>candidate_only</x:v>
      </x:c>
      <x:c r="AM406" s="12" t="str">
        <x:f>IF(OR(AC406="canonical",AG406="yes"),"yes","recommended")</x:f>
        <x:v>recommended</x:v>
      </x:c>
      <x:c r="AN406" s="12" t="str">
        <x:f>IF(AC406="deprecated","exclude",IF(AND(AG406="yes",AJ406="high"),"import_but_human_review_required",IF(AG406="yes","import_as_active","import_as_backlog")))</x:f>
        <x:v>import_as_backlog</x:v>
      </x:c>
      <x:c r="AO406" s="12" t="str">
        <x:f>IF(AND(AG406="yes",OR(P406="",Q406="",R406="",S406="")),"missing_required_mvp_fields",IF(AND(AC406="canonical",Y406=""),"missing_source_ref","ok"))</x:f>
        <x:v>ok</x:v>
      </x:c>
      <x:c r="AP406" s="12" t="str">
        <x:f>IF(AO406="ok","ready_for_codex_import","needs_review")</x:f>
        <x:v>ready_for_codex_import</x:v>
      </x:c>
      <x:c r="AQ406" s="12"/>
      <x:c r="AR406" s="12" t="str">
        <x:v>Added v2 operational fields. Review before classification activation.</x:v>
      </x:c>
    </x:row>
    <x:row r="407">
      <x:c r="A407" s="13" t="str">
        <x:v>projection_bias_canonical</x:v>
      </x:c>
      <x:c r="B407" s="13" t="str">
        <x:v>projection_bias</x:v>
      </x:c>
      <x:c r="C407" s="13" t="str">
        <x:v>Projection bias</x:v>
      </x:c>
      <x:c r="D407" s="13" t="str">
        <x:v>سوگیری فرافکنی</x:v>
      </x:c>
      <x:c r="E407" s="13" t="str">
        <x:v>Canonical form</x:v>
      </x:c>
      <x:c r="F407" s="13" t="str">
        <x:v>cognitive_biases_information_processing</x:v>
      </x:c>
      <x:c r="G407" s="13" t="str">
        <x:v>canonical</x:v>
      </x:c>
      <x:c r="H407" s="13" t="str">
        <x:v>contextual</x:v>
      </x:c>
      <x:c r="I407" s="13" t="str">
        <x:v>claim+context</x:v>
      </x:c>
      <x:c r="J407" s="13" t="str">
        <x:v>derived_operational_subtype</x:v>
      </x:c>
      <x:c r="K407" s="13" t="str">
        <x:v>derived_from_established_parent_review_required</x:v>
      </x:c>
      <x:c r="L407" s="13" t="str">
        <x:v>P2</x:v>
      </x:c>
      <x:c r="M407" s="13" t="str">
        <x:v>no</x:v>
      </x:c>
      <x:c r="N407" s="13" t="str">
        <x:v>Operational subtype under Projection bias: the parent cognitive tendency appears as an observable claim-level pattern. Parent definition: Assuming future or others' preferences resemble current preferences.</x:v>
      </x:c>
      <x:c r="O407" s="13" t="str">
        <x:v>Look for: explicit claim-level evidence; parent-family cues for Projection bias; variant cue: the parent cognitive tendency appears as an observable claim-level pattern; avoid author-level inference.</x:v>
      </x:c>
      <x:c r="P407" s="13" t="str">
        <x:v>Exact evidence span in text plus claim-level reasoning link; for contextual/discourse entries, require surrounding context.</x:v>
      </x:c>
      <x:c r="Q407" s="13" t="str">
        <x:v>Do not label merely because topic is controversial, emotional, or wrong. Do not judge intent or personality. Require textual evidence and consider healthy-reasoning cues.</x:v>
      </x:c>
      <x:c r="R407" s="13" t="str">
        <x:v>Stub: A claim relies on the parent cognitive tendency appears as an observable claim-level pattern to support a conclusion without adequate qualification.</x:v>
      </x:c>
      <x:c r="S407" s="13" t="str">
        <x:v>Stub: A claim discusses projection bias with caveats, balanced evidence, or no argumentative use of the pattern.</x:v>
      </x:c>
      <x:c r="T407" s="13" t="str">
        <x:v>Mild or ambiguous cue; do not classify without clear evidence span.</x:v>
      </x:c>
      <x:c r="U407" s="13" t="str">
        <x:v>Clear claim-level pattern with some argumentative impact.</x:v>
      </x:c>
      <x:c r="V407" s="13" t="str">
        <x:v>Strong pattern central to the conclusion and likely to materially distort reasoning.</x:v>
      </x:c>
      <x:c r="W407" s="13" t="str"/>
      <x:c r="X407" s="13" t="str">
        <x:v>gilovich_heuristics_biases</x:v>
      </x:c>
      <x:c r="Y407" s="13" t="str">
        <x:v>https://www.cambridge.org/core/books/heuristics-and-biases/3C30D3B05D2F190C3B8BE5E2531EFD24</x:v>
      </x:c>
      <x:c r="Z407" s="13" t="str">
        <x:v>Review before enabling. This workbook is a living taxonomy scaffold, not a validated scientific benchmark.</x:v>
      </x:c>
      <x:c r="AA407" s="13" t="str">
        <x:v>0.1.0-draft</x:v>
      </x:c>
      <x:c r="AB407" s="12" t="str">
        <x:f>IF(ISNUMBER(SEARCH("healthy",F407)),"healthy_reasoning_patterns",IF(ISNUMBER(SEARCH("statistical",F407)),"statistical_reasoning",IF(ISNUMBER(SEARCH("causal",F407)),"causal_reasoning",IF(ISNUMBER(SEARCH("social",F407)),"social_influence",IF(ISNUMBER(SEARCH("rhetoric",F407)),"rhetoric_discourse",IF(ISNUMBER(SEARCH("behavior",F407)),"behavioural_economics",IF(ISNUMBER(SEARCH("cognitive",F407)),"cognitive_biases",IF(J407="protective_pattern","healthy_reasoning_patterns",IF(L407="P0","core_mvp","extended_fallacies")))))))))</x:f>
        <x:v>cognitive_biases</x:v>
      </x:c>
      <x:c r="AC407" s="12" t="str">
        <x:f>IF(ISNUMBER(SEARCH("operational",J407)),"operational",IF(ISNUMBER(SEARCH("deprecated",J407)),"deprecated",IF(L407="P0","canonical","recognized_subtype")))</x:f>
        <x:v>operational</x:v>
      </x:c>
      <x:c r="AD407" s="12" t="str">
        <x:f>IF(AC407="canonical","high",IF(AC407="recognized_subtype","medium",IF(AC407="operational","operational_only","debated")))</x:f>
        <x:v>operational_only</x:v>
      </x:c>
      <x:c r="AE407" s="12" t="str">
        <x:f>IF(AC407="deprecated","deprecated",IF(M407="yes","active",IF(M407="review","review_required","backlog")))</x:f>
        <x:v>backlog</x:v>
      </x:c>
      <x:c r="AF407" s="12" t="str">
        <x:f>IF(OR(AE407="active",AE407="review_required"),"yes","no")</x:f>
        <x:v>no</x:v>
      </x:c>
      <x:c r="AG407" s="12" t="str">
        <x:f>IF(AND(AE407="active",M407="yes",NOT(ISNUMBER(SEARCH("healthy",AB407)))),"yes","no")</x:f>
        <x:v>no</x:v>
      </x:c>
      <x:c r="AH407" s="12" t="str">
        <x:f>IF(OR(H407="contextual",H407="dialogue",H407="discourse",I407="claim+context",I407="discourse_segment"),"yes","no")</x:f>
        <x:v>yes</x:v>
      </x:c>
      <x:c r="AI407" s="12" t="str">
        <x:f>IF(OR(AH407="yes",AD407="debated",AC407="operational"),"yes","no")</x:f>
        <x:v>yes</x:v>
      </x:c>
      <x:c r="AJ407" s="12" t="str">
        <x:f>IF(OR(AH407="yes",AC407="operational",AD407="debated"),"high",IF(AND(AG407="yes",L407="P0"),"medium","low"))</x:f>
        <x:v>high</x:v>
      </x:c>
      <x:c r="AK407" s="12" t="str">
        <x:f>IF(ISNUMBER(SEARCH("healthy",AB407)),"yes","no")</x:f>
        <x:v>no</x:v>
      </x:c>
      <x:c r="AL407" s="12" t="str">
        <x:f>IF(AG407="yes","yes","candidate_only")</x:f>
        <x:v>candidate_only</x:v>
      </x:c>
      <x:c r="AM407" s="12" t="str">
        <x:f>IF(OR(AC407="canonical",AG407="yes"),"yes","recommended")</x:f>
        <x:v>recommended</x:v>
      </x:c>
      <x:c r="AN407" s="12" t="str">
        <x:f>IF(AC407="deprecated","exclude",IF(AND(AG407="yes",AJ407="high"),"import_but_human_review_required",IF(AG407="yes","import_as_active","import_as_backlog")))</x:f>
        <x:v>import_as_backlog</x:v>
      </x:c>
      <x:c r="AO407" s="12" t="str">
        <x:f>IF(AND(AG407="yes",OR(P407="",Q407="",R407="",S407="")),"missing_required_mvp_fields",IF(AND(AC407="canonical",Y407=""),"missing_source_ref","ok"))</x:f>
        <x:v>ok</x:v>
      </x:c>
      <x:c r="AP407" s="12" t="str">
        <x:f>IF(AO407="ok","ready_for_codex_import","needs_review")</x:f>
        <x:v>ready_for_codex_import</x:v>
      </x:c>
      <x:c r="AQ407" s="12"/>
      <x:c r="AR407" s="12" t="str">
        <x:v>Added v2 operational fields. Review before classification activation.</x:v>
      </x:c>
    </x:row>
    <x:row r="408">
      <x:c r="A408" s="13" t="str">
        <x:v>curse_of_knowledge_canonical</x:v>
      </x:c>
      <x:c r="B408" s="13" t="str">
        <x:v>curse_of_knowledge</x:v>
      </x:c>
      <x:c r="C408" s="13" t="str">
        <x:v>Curse of knowledge</x:v>
      </x:c>
      <x:c r="D408" s="13" t="str">
        <x:v>نفرین دانستن</x:v>
      </x:c>
      <x:c r="E408" s="13" t="str">
        <x:v>Canonical form</x:v>
      </x:c>
      <x:c r="F408" s="13" t="str">
        <x:v>cognitive_biases_information_processing</x:v>
      </x:c>
      <x:c r="G408" s="13" t="str">
        <x:v>canonical</x:v>
      </x:c>
      <x:c r="H408" s="13" t="str">
        <x:v>contextual</x:v>
      </x:c>
      <x:c r="I408" s="13" t="str">
        <x:v>claim+context</x:v>
      </x:c>
      <x:c r="J408" s="13" t="str">
        <x:v>derived_operational_subtype</x:v>
      </x:c>
      <x:c r="K408" s="13" t="str">
        <x:v>derived_from_established_parent_review_required</x:v>
      </x:c>
      <x:c r="L408" s="13" t="str">
        <x:v>P2</x:v>
      </x:c>
      <x:c r="M408" s="13" t="str">
        <x:v>no</x:v>
      </x:c>
      <x:c r="N408" s="13" t="str">
        <x:v>Operational subtype under Curse of knowledge: the parent cognitive tendency appears as an observable claim-level pattern. Parent definition: Failing to account for what others do not know.</x:v>
      </x:c>
      <x:c r="O408" s="13" t="str">
        <x:v>Look for: explicit claim-level evidence; parent-family cues for Curse of knowledge; variant cue: the parent cognitive tendency appears as an observable claim-level pattern; avoid author-level inference.</x:v>
      </x:c>
      <x:c r="P408" s="13" t="str">
        <x:v>Exact evidence span in text plus claim-level reasoning link; for contextual/discourse entries, require surrounding context.</x:v>
      </x:c>
      <x:c r="Q408" s="13" t="str">
        <x:v>Do not label merely because topic is controversial, emotional, or wrong. Do not judge intent or personality. Require textual evidence and consider healthy-reasoning cues.</x:v>
      </x:c>
      <x:c r="R408" s="13" t="str">
        <x:v>Stub: A claim relies on the parent cognitive tendency appears as an observable claim-level pattern to support a conclusion without adequate qualification.</x:v>
      </x:c>
      <x:c r="S408" s="13" t="str">
        <x:v>Stub: A claim discusses curse of knowledge with caveats, balanced evidence, or no argumentative use of the pattern.</x:v>
      </x:c>
      <x:c r="T408" s="13" t="str">
        <x:v>Mild or ambiguous cue; do not classify without clear evidence span.</x:v>
      </x:c>
      <x:c r="U408" s="13" t="str">
        <x:v>Clear claim-level pattern with some argumentative impact.</x:v>
      </x:c>
      <x:c r="V408" s="13" t="str">
        <x:v>Strong pattern central to the conclusion and likely to materially distort reasoning.</x:v>
      </x:c>
      <x:c r="W408" s="13" t="str"/>
      <x:c r="X408" s="13" t="str">
        <x:v>stanovich_dual_process</x:v>
      </x:c>
      <x:c r="Y408" s="13" t="str">
        <x:v>https://global.oup.com/academic/product/rationality-and-the-reflective-mind-9780195341140</x:v>
      </x:c>
      <x:c r="Z408" s="13" t="str">
        <x:v>Review before enabling. This workbook is a living taxonomy scaffold, not a validated scientific benchmark.</x:v>
      </x:c>
      <x:c r="AA408" s="13" t="str">
        <x:v>0.1.0-draft</x:v>
      </x:c>
      <x:c r="AB408" s="12" t="str">
        <x:f>IF(ISNUMBER(SEARCH("healthy",F408)),"healthy_reasoning_patterns",IF(ISNUMBER(SEARCH("statistical",F408)),"statistical_reasoning",IF(ISNUMBER(SEARCH("causal",F408)),"causal_reasoning",IF(ISNUMBER(SEARCH("social",F408)),"social_influence",IF(ISNUMBER(SEARCH("rhetoric",F408)),"rhetoric_discourse",IF(ISNUMBER(SEARCH("behavior",F408)),"behavioural_economics",IF(ISNUMBER(SEARCH("cognitive",F408)),"cognitive_biases",IF(J408="protective_pattern","healthy_reasoning_patterns",IF(L408="P0","core_mvp","extended_fallacies")))))))))</x:f>
        <x:v>cognitive_biases</x:v>
      </x:c>
      <x:c r="AC408" s="12" t="str">
        <x:f>IF(ISNUMBER(SEARCH("operational",J408)),"operational",IF(ISNUMBER(SEARCH("deprecated",J408)),"deprecated",IF(L408="P0","canonical","recognized_subtype")))</x:f>
        <x:v>operational</x:v>
      </x:c>
      <x:c r="AD408" s="12" t="str">
        <x:f>IF(AC408="canonical","high",IF(AC408="recognized_subtype","medium",IF(AC408="operational","operational_only","debated")))</x:f>
        <x:v>operational_only</x:v>
      </x:c>
      <x:c r="AE408" s="12" t="str">
        <x:f>IF(AC408="deprecated","deprecated",IF(M408="yes","active",IF(M408="review","review_required","backlog")))</x:f>
        <x:v>backlog</x:v>
      </x:c>
      <x:c r="AF408" s="12" t="str">
        <x:f>IF(OR(AE408="active",AE408="review_required"),"yes","no")</x:f>
        <x:v>no</x:v>
      </x:c>
      <x:c r="AG408" s="12" t="str">
        <x:f>IF(AND(AE408="active",M408="yes",NOT(ISNUMBER(SEARCH("healthy",AB408)))),"yes","no")</x:f>
        <x:v>no</x:v>
      </x:c>
      <x:c r="AH408" s="12" t="str">
        <x:f>IF(OR(H408="contextual",H408="dialogue",H408="discourse",I408="claim+context",I408="discourse_segment"),"yes","no")</x:f>
        <x:v>yes</x:v>
      </x:c>
      <x:c r="AI408" s="12" t="str">
        <x:f>IF(OR(AH408="yes",AD408="debated",AC408="operational"),"yes","no")</x:f>
        <x:v>yes</x:v>
      </x:c>
      <x:c r="AJ408" s="12" t="str">
        <x:f>IF(OR(AH408="yes",AC408="operational",AD408="debated"),"high",IF(AND(AG408="yes",L408="P0"),"medium","low"))</x:f>
        <x:v>high</x:v>
      </x:c>
      <x:c r="AK408" s="12" t="str">
        <x:f>IF(ISNUMBER(SEARCH("healthy",AB408)),"yes","no")</x:f>
        <x:v>no</x:v>
      </x:c>
      <x:c r="AL408" s="12" t="str">
        <x:f>IF(AG408="yes","yes","candidate_only")</x:f>
        <x:v>candidate_only</x:v>
      </x:c>
      <x:c r="AM408" s="12" t="str">
        <x:f>IF(OR(AC408="canonical",AG408="yes"),"yes","recommended")</x:f>
        <x:v>recommended</x:v>
      </x:c>
      <x:c r="AN408" s="12" t="str">
        <x:f>IF(AC408="deprecated","exclude",IF(AND(AG408="yes",AJ408="high"),"import_but_human_review_required",IF(AG408="yes","import_as_active","import_as_backlog")))</x:f>
        <x:v>import_as_backlog</x:v>
      </x:c>
      <x:c r="AO408" s="12" t="str">
        <x:f>IF(AND(AG408="yes",OR(P408="",Q408="",R408="",S408="")),"missing_required_mvp_fields",IF(AND(AC408="canonical",Y408=""),"missing_source_ref","ok"))</x:f>
        <x:v>ok</x:v>
      </x:c>
      <x:c r="AP408" s="12" t="str">
        <x:f>IF(AO408="ok","ready_for_codex_import","needs_review")</x:f>
        <x:v>ready_for_codex_import</x:v>
      </x:c>
      <x:c r="AQ408" s="12"/>
      <x:c r="AR408" s="12" t="str">
        <x:v>Added v2 operational fields. Review before classification activation.</x:v>
      </x:c>
    </x:row>
    <x:row r="409">
      <x:c r="A409" s="13" t="str">
        <x:v>ambiguity_effect_canonical</x:v>
      </x:c>
      <x:c r="B409" s="13" t="str">
        <x:v>ambiguity_effect</x:v>
      </x:c>
      <x:c r="C409" s="13" t="str">
        <x:v>Ambiguity effect</x:v>
      </x:c>
      <x:c r="D409" s="13" t="str">
        <x:v>گریز از ابهام</x:v>
      </x:c>
      <x:c r="E409" s="13" t="str">
        <x:v>Canonical form</x:v>
      </x:c>
      <x:c r="F409" s="13" t="str">
        <x:v>cognitive_biases_information_processing</x:v>
      </x:c>
      <x:c r="G409" s="13" t="str">
        <x:v>canonical</x:v>
      </x:c>
      <x:c r="H409" s="13" t="str">
        <x:v>contextual</x:v>
      </x:c>
      <x:c r="I409" s="13" t="str">
        <x:v>claim+context</x:v>
      </x:c>
      <x:c r="J409" s="13" t="str">
        <x:v>derived_operational_subtype</x:v>
      </x:c>
      <x:c r="K409" s="13" t="str">
        <x:v>derived_from_established_parent_review_required</x:v>
      </x:c>
      <x:c r="L409" s="13" t="str">
        <x:v>P2</x:v>
      </x:c>
      <x:c r="M409" s="13" t="str">
        <x:v>no</x:v>
      </x:c>
      <x:c r="N409" s="13" t="str">
        <x:v>Operational subtype under Ambiguity effect: the parent cognitive tendency appears as an observable claim-level pattern. Parent definition: Avoiding options with unknown probabilities, even when alternatives are not better.</x:v>
      </x:c>
      <x:c r="O409" s="13" t="str">
        <x:v>Look for: explicit claim-level evidence; parent-family cues for Ambiguity effect; variant cue: the parent cognitive tendency appears as an observable claim-level pattern; avoid author-level inference.</x:v>
      </x:c>
      <x:c r="P409" s="13" t="str">
        <x:v>Exact evidence span in text plus claim-level reasoning link; for contextual/discourse entries, require surrounding context.</x:v>
      </x:c>
      <x:c r="Q409" s="13" t="str">
        <x:v>Do not label merely because topic is controversial, emotional, or wrong. Do not judge intent or personality. Require textual evidence and consider healthy-reasoning cues.</x:v>
      </x:c>
      <x:c r="R409" s="13" t="str">
        <x:v>Stub: A claim relies on the parent cognitive tendency appears as an observable claim-level pattern to support a conclusion without adequate qualification.</x:v>
      </x:c>
      <x:c r="S409" s="13" t="str">
        <x:v>Stub: A claim discusses ambiguity effect with caveats, balanced evidence, or no argumentative use of the pattern.</x:v>
      </x:c>
      <x:c r="T409" s="13" t="str">
        <x:v>Mild or ambiguous cue; do not classify without clear evidence span.</x:v>
      </x:c>
      <x:c r="U409" s="13" t="str">
        <x:v>Clear claim-level pattern with some argumentative impact.</x:v>
      </x:c>
      <x:c r="V409" s="13" t="str">
        <x:v>Strong pattern central to the conclusion and likely to materially distort reasoning.</x:v>
      </x:c>
      <x:c r="W409" s="13" t="str"/>
      <x:c r="X409" s="13" t="str">
        <x:v>kahneman_tversky_prospect_1979</x:v>
      </x:c>
      <x:c r="Y409" s="13" t="str">
        <x:v>https://doi.org/10.2307/1914185</x:v>
      </x:c>
      <x:c r="Z409" s="13" t="str">
        <x:v>Review before enabling. This workbook is a living taxonomy scaffold, not a validated scientific benchmark.</x:v>
      </x:c>
      <x:c r="AA409" s="13" t="str">
        <x:v>0.1.0-draft</x:v>
      </x:c>
      <x:c r="AB409" s="12" t="str">
        <x:f>IF(ISNUMBER(SEARCH("healthy",F409)),"healthy_reasoning_patterns",IF(ISNUMBER(SEARCH("statistical",F409)),"statistical_reasoning",IF(ISNUMBER(SEARCH("causal",F409)),"causal_reasoning",IF(ISNUMBER(SEARCH("social",F409)),"social_influence",IF(ISNUMBER(SEARCH("rhetoric",F409)),"rhetoric_discourse",IF(ISNUMBER(SEARCH("behavior",F409)),"behavioural_economics",IF(ISNUMBER(SEARCH("cognitive",F409)),"cognitive_biases",IF(J409="protective_pattern","healthy_reasoning_patterns",IF(L409="P0","core_mvp","extended_fallacies")))))))))</x:f>
        <x:v>cognitive_biases</x:v>
      </x:c>
      <x:c r="AC409" s="12" t="str">
        <x:f>IF(ISNUMBER(SEARCH("operational",J409)),"operational",IF(ISNUMBER(SEARCH("deprecated",J409)),"deprecated",IF(L409="P0","canonical","recognized_subtype")))</x:f>
        <x:v>operational</x:v>
      </x:c>
      <x:c r="AD409" s="12" t="str">
        <x:f>IF(AC409="canonical","high",IF(AC409="recognized_subtype","medium",IF(AC409="operational","operational_only","debated")))</x:f>
        <x:v>operational_only</x:v>
      </x:c>
      <x:c r="AE409" s="12" t="str">
        <x:f>IF(AC409="deprecated","deprecated",IF(M409="yes","active",IF(M409="review","review_required","backlog")))</x:f>
        <x:v>backlog</x:v>
      </x:c>
      <x:c r="AF409" s="12" t="str">
        <x:f>IF(OR(AE409="active",AE409="review_required"),"yes","no")</x:f>
        <x:v>no</x:v>
      </x:c>
      <x:c r="AG409" s="12" t="str">
        <x:f>IF(AND(AE409="active",M409="yes",NOT(ISNUMBER(SEARCH("healthy",AB409)))),"yes","no")</x:f>
        <x:v>no</x:v>
      </x:c>
      <x:c r="AH409" s="12" t="str">
        <x:f>IF(OR(H409="contextual",H409="dialogue",H409="discourse",I409="claim+context",I409="discourse_segment"),"yes","no")</x:f>
        <x:v>yes</x:v>
      </x:c>
      <x:c r="AI409" s="12" t="str">
        <x:f>IF(OR(AH409="yes",AD409="debated",AC409="operational"),"yes","no")</x:f>
        <x:v>yes</x:v>
      </x:c>
      <x:c r="AJ409" s="12" t="str">
        <x:f>IF(OR(AH409="yes",AC409="operational",AD409="debated"),"high",IF(AND(AG409="yes",L409="P0"),"medium","low"))</x:f>
        <x:v>high</x:v>
      </x:c>
      <x:c r="AK409" s="12" t="str">
        <x:f>IF(ISNUMBER(SEARCH("healthy",AB409)),"yes","no")</x:f>
        <x:v>no</x:v>
      </x:c>
      <x:c r="AL409" s="12" t="str">
        <x:f>IF(AG409="yes","yes","candidate_only")</x:f>
        <x:v>candidate_only</x:v>
      </x:c>
      <x:c r="AM409" s="12" t="str">
        <x:f>IF(OR(AC409="canonical",AG409="yes"),"yes","recommended")</x:f>
        <x:v>recommended</x:v>
      </x:c>
      <x:c r="AN409" s="12" t="str">
        <x:f>IF(AC409="deprecated","exclude",IF(AND(AG409="yes",AJ409="high"),"import_but_human_review_required",IF(AG409="yes","import_as_active","import_as_backlog")))</x:f>
        <x:v>import_as_backlog</x:v>
      </x:c>
      <x:c r="AO409" s="12" t="str">
        <x:f>IF(AND(AG409="yes",OR(P409="",Q409="",R409="",S409="")),"missing_required_mvp_fields",IF(AND(AC409="canonical",Y409=""),"missing_source_ref","ok"))</x:f>
        <x:v>ok</x:v>
      </x:c>
      <x:c r="AP409" s="12" t="str">
        <x:f>IF(AO409="ok","ready_for_codex_import","needs_review")</x:f>
        <x:v>ready_for_codex_import</x:v>
      </x:c>
      <x:c r="AQ409" s="12"/>
      <x:c r="AR409" s="12" t="str">
        <x:v>Added v2 operational fields. Review before classification activation.</x:v>
      </x:c>
    </x:row>
    <x:row r="410">
      <x:c r="A410" s="13" t="str">
        <x:v>confirmation_bias_search_selection_variant</x:v>
      </x:c>
      <x:c r="B410" s="13" t="str">
        <x:v>confirmation_bias</x:v>
      </x:c>
      <x:c r="C410" s="13" t="str">
        <x:v>Confirmation bias</x:v>
      </x:c>
      <x:c r="D410" s="13" t="str">
        <x:v>سوگیری تأییدی</x:v>
      </x:c>
      <x:c r="E410" s="13" t="str">
        <x:v>Search/selection variant</x:v>
      </x:c>
      <x:c r="F410" s="13" t="str">
        <x:v>cognitive_biases_information_processing</x:v>
      </x:c>
      <x:c r="G410" s="13" t="str">
        <x:v>operational_variant</x:v>
      </x:c>
      <x:c r="H410" s="13" t="str">
        <x:v>contextual</x:v>
      </x:c>
      <x:c r="I410" s="13" t="str">
        <x:v>claim+context</x:v>
      </x:c>
      <x:c r="J410" s="13" t="str">
        <x:v>derived_operational_subtype</x:v>
      </x:c>
      <x:c r="K410" s="13" t="str">
        <x:v>derived_from_established_parent_review_required</x:v>
      </x:c>
      <x:c r="L410" s="13" t="str">
        <x:v>P2</x:v>
      </x:c>
      <x:c r="M410" s="13" t="str">
        <x:v>no</x:v>
      </x:c>
      <x:c r="N410" s="13" t="str">
        <x:v>Operational subtype under Confirmation bias: information selection is biased toward a prior view. Parent definition: Searching for or interpreting information in ways that support prior beliefs.</x:v>
      </x:c>
      <x:c r="O410" s="13" t="str">
        <x:v>Look for: explicit claim-level evidence; parent-family cues for Confirmation bias; variant cue: information selection is biased toward a prior view; avoid author-level inference.</x:v>
      </x:c>
      <x:c r="P410" s="13" t="str">
        <x:v>Exact evidence span in text plus claim-level reasoning link; for contextual/discourse entries, require surrounding context.</x:v>
      </x:c>
      <x:c r="Q410" s="13" t="str">
        <x:v>Do not label merely because topic is controversial, emotional, or wrong. Do not judge intent or personality. Require textual evidence and consider healthy-reasoning cues.</x:v>
      </x:c>
      <x:c r="R410" s="13" t="str">
        <x:v>Stub: A claim relies on information selection is biased toward a prior view to support a conclusion without adequate qualification.</x:v>
      </x:c>
      <x:c r="S410" s="13" t="str">
        <x:v>Stub: A claim discusses confirmation bias with caveats, balanced evidence, or no argumentative use of the pattern.</x:v>
      </x:c>
      <x:c r="T410" s="13" t="str">
        <x:v>Mild or ambiguous cue; do not classify without clear evidence span.</x:v>
      </x:c>
      <x:c r="U410" s="13" t="str">
        <x:v>Clear claim-level pattern with some argumentative impact.</x:v>
      </x:c>
      <x:c r="V410" s="13" t="str">
        <x:v>Strong pattern central to the conclusion and likely to materially distort reasoning.</x:v>
      </x:c>
      <x:c r="W410" s="13" t="str"/>
      <x:c r="X410" s="13" t="str">
        <x:v>nickerson_confirmation_1998</x:v>
      </x:c>
      <x:c r="Y410" s="13" t="str">
        <x:v>https://doi.org/10.1037/1089-2680.2.2.175</x:v>
      </x:c>
      <x:c r="Z410" s="13" t="str">
        <x:v>Review before enabling. This workbook is a living taxonomy scaffold, not a validated scientific benchmark.</x:v>
      </x:c>
      <x:c r="AA410" s="13" t="str">
        <x:v>0.1.0-draft</x:v>
      </x:c>
      <x:c r="AB410" s="12" t="str">
        <x:f>IF(ISNUMBER(SEARCH("healthy",F410)),"healthy_reasoning_patterns",IF(ISNUMBER(SEARCH("statistical",F410)),"statistical_reasoning",IF(ISNUMBER(SEARCH("causal",F410)),"causal_reasoning",IF(ISNUMBER(SEARCH("social",F410)),"social_influence",IF(ISNUMBER(SEARCH("rhetoric",F410)),"rhetoric_discourse",IF(ISNUMBER(SEARCH("behavior",F410)),"behavioural_economics",IF(ISNUMBER(SEARCH("cognitive",F410)),"cognitive_biases",IF(J410="protective_pattern","healthy_reasoning_patterns",IF(L410="P0","core_mvp","extended_fallacies")))))))))</x:f>
        <x:v>cognitive_biases</x:v>
      </x:c>
      <x:c r="AC410" s="12" t="str">
        <x:f>IF(ISNUMBER(SEARCH("operational",J410)),"operational",IF(ISNUMBER(SEARCH("deprecated",J410)),"deprecated",IF(L410="P0","canonical","recognized_subtype")))</x:f>
        <x:v>operational</x:v>
      </x:c>
      <x:c r="AD410" s="12" t="str">
        <x:f>IF(AC410="canonical","high",IF(AC410="recognized_subtype","medium",IF(AC410="operational","operational_only","debated")))</x:f>
        <x:v>operational_only</x:v>
      </x:c>
      <x:c r="AE410" s="12" t="str">
        <x:f>IF(AC410="deprecated","deprecated",IF(M410="yes","active",IF(M410="review","review_required","backlog")))</x:f>
        <x:v>backlog</x:v>
      </x:c>
      <x:c r="AF410" s="12" t="str">
        <x:f>IF(OR(AE410="active",AE410="review_required"),"yes","no")</x:f>
        <x:v>no</x:v>
      </x:c>
      <x:c r="AG410" s="12" t="str">
        <x:f>IF(AND(AE410="active",M410="yes",NOT(ISNUMBER(SEARCH("healthy",AB410)))),"yes","no")</x:f>
        <x:v>no</x:v>
      </x:c>
      <x:c r="AH410" s="12" t="str">
        <x:f>IF(OR(H410="contextual",H410="dialogue",H410="discourse",I410="claim+context",I410="discourse_segment"),"yes","no")</x:f>
        <x:v>yes</x:v>
      </x:c>
      <x:c r="AI410" s="12" t="str">
        <x:f>IF(OR(AH410="yes",AD410="debated",AC410="operational"),"yes","no")</x:f>
        <x:v>yes</x:v>
      </x:c>
      <x:c r="AJ410" s="12" t="str">
        <x:f>IF(OR(AH410="yes",AC410="operational",AD410="debated"),"high",IF(AND(AG410="yes",L410="P0"),"medium","low"))</x:f>
        <x:v>high</x:v>
      </x:c>
      <x:c r="AK410" s="12" t="str">
        <x:f>IF(ISNUMBER(SEARCH("healthy",AB410)),"yes","no")</x:f>
        <x:v>no</x:v>
      </x:c>
      <x:c r="AL410" s="12" t="str">
        <x:f>IF(AG410="yes","yes","candidate_only")</x:f>
        <x:v>candidate_only</x:v>
      </x:c>
      <x:c r="AM410" s="12" t="str">
        <x:f>IF(OR(AC410="canonical",AG410="yes"),"yes","recommended")</x:f>
        <x:v>recommended</x:v>
      </x:c>
      <x:c r="AN410" s="12" t="str">
        <x:f>IF(AC410="deprecated","exclude",IF(AND(AG410="yes",AJ410="high"),"import_but_human_review_required",IF(AG410="yes","import_as_active","import_as_backlog")))</x:f>
        <x:v>import_as_backlog</x:v>
      </x:c>
      <x:c r="AO410" s="12" t="str">
        <x:f>IF(AND(AG410="yes",OR(P410="",Q410="",R410="",S410="")),"missing_required_mvp_fields",IF(AND(AC410="canonical",Y410=""),"missing_source_ref","ok"))</x:f>
        <x:v>ok</x:v>
      </x:c>
      <x:c r="AP410" s="12" t="str">
        <x:f>IF(AO410="ok","ready_for_codex_import","needs_review")</x:f>
        <x:v>ready_for_codex_import</x:v>
      </x:c>
      <x:c r="AQ410" s="12"/>
      <x:c r="AR410" s="12" t="str">
        <x:v>Added v2 operational fields. Review before classification activation.</x:v>
      </x:c>
    </x:row>
    <x:row r="411">
      <x:c r="A411" s="13" t="str">
        <x:v>myside_bias_search_selection_variant</x:v>
      </x:c>
      <x:c r="B411" s="13" t="str">
        <x:v>myside_bias</x:v>
      </x:c>
      <x:c r="C411" s="13" t="str">
        <x:v>Myside bias</x:v>
      </x:c>
      <x:c r="D411" s="13" t="str">
        <x:v>سوگیری سمت خود</x:v>
      </x:c>
      <x:c r="E411" s="13" t="str">
        <x:v>Search/selection variant</x:v>
      </x:c>
      <x:c r="F411" s="13" t="str">
        <x:v>cognitive_biases_information_processing</x:v>
      </x:c>
      <x:c r="G411" s="13" t="str">
        <x:v>operational_variant</x:v>
      </x:c>
      <x:c r="H411" s="13" t="str">
        <x:v>contextual</x:v>
      </x:c>
      <x:c r="I411" s="13" t="str">
        <x:v>claim+context</x:v>
      </x:c>
      <x:c r="J411" s="13" t="str">
        <x:v>derived_operational_subtype</x:v>
      </x:c>
      <x:c r="K411" s="13" t="str">
        <x:v>derived_from_established_parent_review_required</x:v>
      </x:c>
      <x:c r="L411" s="13" t="str">
        <x:v>P2</x:v>
      </x:c>
      <x:c r="M411" s="13" t="str">
        <x:v>no</x:v>
      </x:c>
      <x:c r="N411" s="13" t="str">
        <x:v>Operational subtype under Myside bias: information selection is biased toward a prior view. Parent definition: Evaluating evidence differently depending on whether it supports one's side.</x:v>
      </x:c>
      <x:c r="O411" s="13" t="str">
        <x:v>Look for: explicit claim-level evidence; parent-family cues for Myside bias; variant cue: information selection is biased toward a prior view; avoid author-level inference.</x:v>
      </x:c>
      <x:c r="P411" s="13" t="str">
        <x:v>Exact evidence span in text plus claim-level reasoning link; for contextual/discourse entries, require surrounding context.</x:v>
      </x:c>
      <x:c r="Q411" s="13" t="str">
        <x:v>Do not label merely because topic is controversial, emotional, or wrong. Do not judge intent or personality. Require textual evidence and consider healthy-reasoning cues.</x:v>
      </x:c>
      <x:c r="R411" s="13" t="str">
        <x:v>Stub: A claim relies on information selection is biased toward a prior view to support a conclusion without adequate qualification.</x:v>
      </x:c>
      <x:c r="S411" s="13" t="str">
        <x:v>Stub: A claim discusses myside bias with caveats, balanced evidence, or no argumentative use of the pattern.</x:v>
      </x:c>
      <x:c r="T411" s="13" t="str">
        <x:v>Mild or ambiguous cue; do not classify without clear evidence span.</x:v>
      </x:c>
      <x:c r="U411" s="13" t="str">
        <x:v>Clear claim-level pattern with some argumentative impact.</x:v>
      </x:c>
      <x:c r="V411" s="13" t="str">
        <x:v>Strong pattern central to the conclusion and likely to materially distort reasoning.</x:v>
      </x:c>
      <x:c r="W411" s="13" t="str">
        <x:v>cherry_picking; missing_counterevidence; evidence_grading</x:v>
      </x:c>
      <x:c r="X411" s="13" t="str">
        <x:v>nickerson_confirmation_1998</x:v>
      </x:c>
      <x:c r="Y411" s="13" t="str">
        <x:v>https://doi.org/10.1037/1089-2680.2.2.175</x:v>
      </x:c>
      <x:c r="Z411" s="13" t="str">
        <x:v>Review before enabling. This workbook is a living taxonomy scaffold, not a validated scientific benchmark.</x:v>
      </x:c>
      <x:c r="AA411" s="13" t="str">
        <x:v>0.1.0-draft</x:v>
      </x:c>
      <x:c r="AB411" s="12" t="str">
        <x:f>IF(ISNUMBER(SEARCH("healthy",F411)),"healthy_reasoning_patterns",IF(ISNUMBER(SEARCH("statistical",F411)),"statistical_reasoning",IF(ISNUMBER(SEARCH("causal",F411)),"causal_reasoning",IF(ISNUMBER(SEARCH("social",F411)),"social_influence",IF(ISNUMBER(SEARCH("rhetoric",F411)),"rhetoric_discourse",IF(ISNUMBER(SEARCH("behavior",F411)),"behavioural_economics",IF(ISNUMBER(SEARCH("cognitive",F411)),"cognitive_biases",IF(J411="protective_pattern","healthy_reasoning_patterns",IF(L411="P0","core_mvp","extended_fallacies")))))))))</x:f>
        <x:v>cognitive_biases</x:v>
      </x:c>
      <x:c r="AC411" s="12" t="str">
        <x:f>IF(ISNUMBER(SEARCH("operational",J411)),"operational",IF(ISNUMBER(SEARCH("deprecated",J411)),"deprecated",IF(L411="P0","canonical","recognized_subtype")))</x:f>
        <x:v>operational</x:v>
      </x:c>
      <x:c r="AD411" s="12" t="str">
        <x:f>IF(AC411="canonical","high",IF(AC411="recognized_subtype","medium",IF(AC411="operational","operational_only","debated")))</x:f>
        <x:v>operational_only</x:v>
      </x:c>
      <x:c r="AE411" s="12" t="str">
        <x:f>IF(AC411="deprecated","deprecated",IF(M411="yes","active",IF(M411="review","review_required","backlog")))</x:f>
        <x:v>backlog</x:v>
      </x:c>
      <x:c r="AF411" s="12" t="str">
        <x:f>IF(OR(AE411="active",AE411="review_required"),"yes","no")</x:f>
        <x:v>no</x:v>
      </x:c>
      <x:c r="AG411" s="12" t="str">
        <x:f>IF(AND(AE411="active",M411="yes",NOT(ISNUMBER(SEARCH("healthy",AB411)))),"yes","no")</x:f>
        <x:v>no</x:v>
      </x:c>
      <x:c r="AH411" s="12" t="str">
        <x:f>IF(OR(H411="contextual",H411="dialogue",H411="discourse",I411="claim+context",I411="discourse_segment"),"yes","no")</x:f>
        <x:v>yes</x:v>
      </x:c>
      <x:c r="AI411" s="12" t="str">
        <x:f>IF(OR(AH411="yes",AD411="debated",AC411="operational"),"yes","no")</x:f>
        <x:v>yes</x:v>
      </x:c>
      <x:c r="AJ411" s="12" t="str">
        <x:f>IF(OR(AH411="yes",AC411="operational",AD411="debated"),"high",IF(AND(AG411="yes",L411="P0"),"medium","low"))</x:f>
        <x:v>high</x:v>
      </x:c>
      <x:c r="AK411" s="12" t="str">
        <x:f>IF(ISNUMBER(SEARCH("healthy",AB411)),"yes","no")</x:f>
        <x:v>no</x:v>
      </x:c>
      <x:c r="AL411" s="12" t="str">
        <x:f>IF(AG411="yes","yes","candidate_only")</x:f>
        <x:v>candidate_only</x:v>
      </x:c>
      <x:c r="AM411" s="12" t="str">
        <x:f>IF(OR(AC411="canonical",AG411="yes"),"yes","recommended")</x:f>
        <x:v>recommended</x:v>
      </x:c>
      <x:c r="AN411" s="12" t="str">
        <x:f>IF(AC411="deprecated","exclude",IF(AND(AG411="yes",AJ411="high"),"import_but_human_review_required",IF(AG411="yes","import_as_active","import_as_backlog")))</x:f>
        <x:v>import_as_backlog</x:v>
      </x:c>
      <x:c r="AO411" s="12" t="str">
        <x:f>IF(AND(AG411="yes",OR(P411="",Q411="",R411="",S411="")),"missing_required_mvp_fields",IF(AND(AC411="canonical",Y411=""),"missing_source_ref","ok"))</x:f>
        <x:v>ok</x:v>
      </x:c>
      <x:c r="AP411" s="12" t="str">
        <x:f>IF(AO411="ok","ready_for_codex_import","needs_review")</x:f>
        <x:v>ready_for_codex_import</x:v>
      </x:c>
      <x:c r="AQ411" s="12"/>
      <x:c r="AR411" s="12" t="str">
        <x:v>Added v2 operational fields. Review before classification activation.</x:v>
      </x:c>
    </x:row>
    <x:row r="412">
      <x:c r="A412" s="13" t="str">
        <x:v>belief_bias_search_selection_variant</x:v>
      </x:c>
      <x:c r="B412" s="13" t="str">
        <x:v>belief_bias</x:v>
      </x:c>
      <x:c r="C412" s="13" t="str">
        <x:v>Belief bias</x:v>
      </x:c>
      <x:c r="D412" s="13" t="str">
        <x:v>سوگیری باور</x:v>
      </x:c>
      <x:c r="E412" s="13" t="str">
        <x:v>Search/selection variant</x:v>
      </x:c>
      <x:c r="F412" s="13" t="str">
        <x:v>cognitive_biases_information_processing</x:v>
      </x:c>
      <x:c r="G412" s="13" t="str">
        <x:v>operational_variant</x:v>
      </x:c>
      <x:c r="H412" s="13" t="str">
        <x:v>structural</x:v>
      </x:c>
      <x:c r="I412" s="13" t="str">
        <x:v>claim</x:v>
      </x:c>
      <x:c r="J412" s="13" t="str">
        <x:v>derived_operational_subtype</x:v>
      </x:c>
      <x:c r="K412" s="13" t="str">
        <x:v>derived_from_established_parent_review_required</x:v>
      </x:c>
      <x:c r="L412" s="13" t="str">
        <x:v>P2</x:v>
      </x:c>
      <x:c r="M412" s="13" t="str">
        <x:v>no</x:v>
      </x:c>
      <x:c r="N412" s="13" t="str">
        <x:v>Operational subtype under Belief bias: information selection is biased toward a prior view. Parent definition: Judging logical strength by conclusion believability rather than validity.</x:v>
      </x:c>
      <x:c r="O412" s="13" t="str">
        <x:v>Look for: explicit claim-level evidence; parent-family cues for Belief bias; variant cue: information selection is biased toward a prior view; avoid author-level inference.</x:v>
      </x:c>
      <x:c r="P412" s="13" t="str">
        <x:v>Exact evidence span in text plus claim-level reasoning link; for contextual/discourse entries, require surrounding context.</x:v>
      </x:c>
      <x:c r="Q412" s="13" t="str">
        <x:v>Do not label merely because topic is controversial, emotional, or wrong. Do not judge intent or personality. Require textual evidence and consider healthy-reasoning cues.</x:v>
      </x:c>
      <x:c r="R412" s="13" t="str">
        <x:v>Stub: A claim relies on information selection is biased toward a prior view to support a conclusion without adequate qualification.</x:v>
      </x:c>
      <x:c r="S412" s="13" t="str">
        <x:v>Stub: A claim discusses belief bias with caveats, balanced evidence, or no argumentative use of the pattern.</x:v>
      </x:c>
      <x:c r="T412" s="13" t="str">
        <x:v>Mild or ambiguous cue; do not classify without clear evidence span.</x:v>
      </x:c>
      <x:c r="U412" s="13" t="str">
        <x:v>Clear claim-level pattern with some argumentative impact.</x:v>
      </x:c>
      <x:c r="V412" s="13" t="str">
        <x:v>Strong pattern central to the conclusion and likely to materially distort reasoning.</x:v>
      </x:c>
      <x:c r="W412" s="13" t="str"/>
      <x:c r="X412" s="13" t="str">
        <x:v>stanovich_dual_process</x:v>
      </x:c>
      <x:c r="Y412" s="13" t="str">
        <x:v>https://global.oup.com/academic/product/rationality-and-the-reflective-mind-9780195341140</x:v>
      </x:c>
      <x:c r="Z412" s="13" t="str">
        <x:v>Review before enabling. This workbook is a living taxonomy scaffold, not a validated scientific benchmark.</x:v>
      </x:c>
      <x:c r="AA412" s="13" t="str">
        <x:v>0.1.0-draft</x:v>
      </x:c>
      <x:c r="AB412" s="12" t="str">
        <x:f>IF(ISNUMBER(SEARCH("healthy",F412)),"healthy_reasoning_patterns",IF(ISNUMBER(SEARCH("statistical",F412)),"statistical_reasoning",IF(ISNUMBER(SEARCH("causal",F412)),"causal_reasoning",IF(ISNUMBER(SEARCH("social",F412)),"social_influence",IF(ISNUMBER(SEARCH("rhetoric",F412)),"rhetoric_discourse",IF(ISNUMBER(SEARCH("behavior",F412)),"behavioural_economics",IF(ISNUMBER(SEARCH("cognitive",F412)),"cognitive_biases",IF(J412="protective_pattern","healthy_reasoning_patterns",IF(L412="P0","core_mvp","extended_fallacies")))))))))</x:f>
        <x:v>cognitive_biases</x:v>
      </x:c>
      <x:c r="AC412" s="12" t="str">
        <x:f>IF(ISNUMBER(SEARCH("operational",J412)),"operational",IF(ISNUMBER(SEARCH("deprecated",J412)),"deprecated",IF(L412="P0","canonical","recognized_subtype")))</x:f>
        <x:v>operational</x:v>
      </x:c>
      <x:c r="AD412" s="12" t="str">
        <x:f>IF(AC412="canonical","high",IF(AC412="recognized_subtype","medium",IF(AC412="operational","operational_only","debated")))</x:f>
        <x:v>operational_only</x:v>
      </x:c>
      <x:c r="AE412" s="12" t="str">
        <x:f>IF(AC412="deprecated","deprecated",IF(M412="yes","active",IF(M412="review","review_required","backlog")))</x:f>
        <x:v>backlog</x:v>
      </x:c>
      <x:c r="AF412" s="12" t="str">
        <x:f>IF(OR(AE412="active",AE412="review_required"),"yes","no")</x:f>
        <x:v>no</x:v>
      </x:c>
      <x:c r="AG412" s="12" t="str">
        <x:f>IF(AND(AE412="active",M412="yes",NOT(ISNUMBER(SEARCH("healthy",AB412)))),"yes","no")</x:f>
        <x:v>no</x:v>
      </x:c>
      <x:c r="AH412" s="12" t="str">
        <x:f>IF(OR(H412="contextual",H412="dialogue",H412="discourse",I412="claim+context",I412="discourse_segment"),"yes","no")</x:f>
        <x:v>no</x:v>
      </x:c>
      <x:c r="AI412" s="12" t="str">
        <x:f>IF(OR(AH412="yes",AD412="debated",AC412="operational"),"yes","no")</x:f>
        <x:v>yes</x:v>
      </x:c>
      <x:c r="AJ412" s="12" t="str">
        <x:f>IF(OR(AH412="yes",AC412="operational",AD412="debated"),"high",IF(AND(AG412="yes",L412="P0"),"medium","low"))</x:f>
        <x:v>high</x:v>
      </x:c>
      <x:c r="AK412" s="12" t="str">
        <x:f>IF(ISNUMBER(SEARCH("healthy",AB412)),"yes","no")</x:f>
        <x:v>no</x:v>
      </x:c>
      <x:c r="AL412" s="12" t="str">
        <x:f>IF(AG412="yes","yes","candidate_only")</x:f>
        <x:v>candidate_only</x:v>
      </x:c>
      <x:c r="AM412" s="12" t="str">
        <x:f>IF(OR(AC412="canonical",AG412="yes"),"yes","recommended")</x:f>
        <x:v>recommended</x:v>
      </x:c>
      <x:c r="AN412" s="12" t="str">
        <x:f>IF(AC412="deprecated","exclude",IF(AND(AG412="yes",AJ412="high"),"import_but_human_review_required",IF(AG412="yes","import_as_active","import_as_backlog")))</x:f>
        <x:v>import_as_backlog</x:v>
      </x:c>
      <x:c r="AO412" s="12" t="str">
        <x:f>IF(AND(AG412="yes",OR(P412="",Q412="",R412="",S412="")),"missing_required_mvp_fields",IF(AND(AC412="canonical",Y412=""),"missing_source_ref","ok"))</x:f>
        <x:v>ok</x:v>
      </x:c>
      <x:c r="AP412" s="12" t="str">
        <x:f>IF(AO412="ok","ready_for_codex_import","needs_review")</x:f>
        <x:v>ready_for_codex_import</x:v>
      </x:c>
      <x:c r="AQ412" s="12"/>
      <x:c r="AR412" s="12" t="str">
        <x:v>Added v2 operational fields. Review before classification activation.</x:v>
      </x:c>
    </x:row>
    <x:row r="413">
      <x:c r="A413" s="13" t="str">
        <x:v>anchoring_bias_search_selection_variant</x:v>
      </x:c>
      <x:c r="B413" s="13" t="str">
        <x:v>anchoring_bias</x:v>
      </x:c>
      <x:c r="C413" s="13" t="str">
        <x:v>Anchoring bias</x:v>
      </x:c>
      <x:c r="D413" s="13" t="str">
        <x:v>سوگیری لنگری</x:v>
      </x:c>
      <x:c r="E413" s="13" t="str">
        <x:v>Search/selection variant</x:v>
      </x:c>
      <x:c r="F413" s="13" t="str">
        <x:v>cognitive_biases_information_processing</x:v>
      </x:c>
      <x:c r="G413" s="13" t="str">
        <x:v>operational_variant</x:v>
      </x:c>
      <x:c r="H413" s="13" t="str">
        <x:v>contextual</x:v>
      </x:c>
      <x:c r="I413" s="13" t="str">
        <x:v>claim+context</x:v>
      </x:c>
      <x:c r="J413" s="13" t="str">
        <x:v>derived_operational_subtype</x:v>
      </x:c>
      <x:c r="K413" s="13" t="str">
        <x:v>derived_from_established_parent_review_required</x:v>
      </x:c>
      <x:c r="L413" s="13" t="str">
        <x:v>P2</x:v>
      </x:c>
      <x:c r="M413" s="13" t="str">
        <x:v>no</x:v>
      </x:c>
      <x:c r="N413" s="13" t="str">
        <x:v>Operational subtype under Anchoring bias: information selection is biased toward a prior view. Parent definition: Relying too heavily on an initial value or frame when judging.</x:v>
      </x:c>
      <x:c r="O413" s="13" t="str">
        <x:v>Look for: explicit claim-level evidence; parent-family cues for Anchoring bias; variant cue: information selection is biased toward a prior view; avoid author-level inference.</x:v>
      </x:c>
      <x:c r="P413" s="13" t="str">
        <x:v>Exact evidence span in text plus claim-level reasoning link; for contextual/discourse entries, require surrounding context.</x:v>
      </x:c>
      <x:c r="Q413" s="13" t="str">
        <x:v>Do not label merely because topic is controversial, emotional, or wrong. Do not judge intent or personality. Require textual evidence and consider healthy-reasoning cues.</x:v>
      </x:c>
      <x:c r="R413" s="13" t="str">
        <x:v>Stub: A claim relies on information selection is biased toward a prior view to support a conclusion without adequate qualification.</x:v>
      </x:c>
      <x:c r="S413" s="13" t="str">
        <x:v>Stub: A claim discusses anchoring bias with caveats, balanced evidence, or no argumentative use of the pattern.</x:v>
      </x:c>
      <x:c r="T413" s="13" t="str">
        <x:v>Mild or ambiguous cue; do not classify without clear evidence span.</x:v>
      </x:c>
      <x:c r="U413" s="13" t="str">
        <x:v>Clear claim-level pattern with some argumentative impact.</x:v>
      </x:c>
      <x:c r="V413" s="13" t="str">
        <x:v>Strong pattern central to the conclusion and likely to materially distort reasoning.</x:v>
      </x:c>
      <x:c r="W413" s="13" t="str"/>
      <x:c r="X413" s="13" t="str">
        <x:v>kahneman_tversky_heuristics_1974</x:v>
      </x:c>
      <x:c r="Y413" s="13" t="str">
        <x:v>https://doi.org/10.1126/science.185.4157.1124</x:v>
      </x:c>
      <x:c r="Z413" s="13" t="str">
        <x:v>Review before enabling. This workbook is a living taxonomy scaffold, not a validated scientific benchmark.</x:v>
      </x:c>
      <x:c r="AA413" s="13" t="str">
        <x:v>0.1.0-draft</x:v>
      </x:c>
      <x:c r="AB413" s="12" t="str">
        <x:f>IF(ISNUMBER(SEARCH("healthy",F413)),"healthy_reasoning_patterns",IF(ISNUMBER(SEARCH("statistical",F413)),"statistical_reasoning",IF(ISNUMBER(SEARCH("causal",F413)),"causal_reasoning",IF(ISNUMBER(SEARCH("social",F413)),"social_influence",IF(ISNUMBER(SEARCH("rhetoric",F413)),"rhetoric_discourse",IF(ISNUMBER(SEARCH("behavior",F413)),"behavioural_economics",IF(ISNUMBER(SEARCH("cognitive",F413)),"cognitive_biases",IF(J413="protective_pattern","healthy_reasoning_patterns",IF(L413="P0","core_mvp","extended_fallacies")))))))))</x:f>
        <x:v>cognitive_biases</x:v>
      </x:c>
      <x:c r="AC413" s="12" t="str">
        <x:f>IF(ISNUMBER(SEARCH("operational",J413)),"operational",IF(ISNUMBER(SEARCH("deprecated",J413)),"deprecated",IF(L413="P0","canonical","recognized_subtype")))</x:f>
        <x:v>operational</x:v>
      </x:c>
      <x:c r="AD413" s="12" t="str">
        <x:f>IF(AC413="canonical","high",IF(AC413="recognized_subtype","medium",IF(AC413="operational","operational_only","debated")))</x:f>
        <x:v>operational_only</x:v>
      </x:c>
      <x:c r="AE413" s="12" t="str">
        <x:f>IF(AC413="deprecated","deprecated",IF(M413="yes","active",IF(M413="review","review_required","backlog")))</x:f>
        <x:v>backlog</x:v>
      </x:c>
      <x:c r="AF413" s="12" t="str">
        <x:f>IF(OR(AE413="active",AE413="review_required"),"yes","no")</x:f>
        <x:v>no</x:v>
      </x:c>
      <x:c r="AG413" s="12" t="str">
        <x:f>IF(AND(AE413="active",M413="yes",NOT(ISNUMBER(SEARCH("healthy",AB413)))),"yes","no")</x:f>
        <x:v>no</x:v>
      </x:c>
      <x:c r="AH413" s="12" t="str">
        <x:f>IF(OR(H413="contextual",H413="dialogue",H413="discourse",I413="claim+context",I413="discourse_segment"),"yes","no")</x:f>
        <x:v>yes</x:v>
      </x:c>
      <x:c r="AI413" s="12" t="str">
        <x:f>IF(OR(AH413="yes",AD413="debated",AC413="operational"),"yes","no")</x:f>
        <x:v>yes</x:v>
      </x:c>
      <x:c r="AJ413" s="12" t="str">
        <x:f>IF(OR(AH413="yes",AC413="operational",AD413="debated"),"high",IF(AND(AG413="yes",L413="P0"),"medium","low"))</x:f>
        <x:v>high</x:v>
      </x:c>
      <x:c r="AK413" s="12" t="str">
        <x:f>IF(ISNUMBER(SEARCH("healthy",AB413)),"yes","no")</x:f>
        <x:v>no</x:v>
      </x:c>
      <x:c r="AL413" s="12" t="str">
        <x:f>IF(AG413="yes","yes","candidate_only")</x:f>
        <x:v>candidate_only</x:v>
      </x:c>
      <x:c r="AM413" s="12" t="str">
        <x:f>IF(OR(AC413="canonical",AG413="yes"),"yes","recommended")</x:f>
        <x:v>recommended</x:v>
      </x:c>
      <x:c r="AN413" s="12" t="str">
        <x:f>IF(AC413="deprecated","exclude",IF(AND(AG413="yes",AJ413="high"),"import_but_human_review_required",IF(AG413="yes","import_as_active","import_as_backlog")))</x:f>
        <x:v>import_as_backlog</x:v>
      </x:c>
      <x:c r="AO413" s="12" t="str">
        <x:f>IF(AND(AG413="yes",OR(P413="",Q413="",R413="",S413="")),"missing_required_mvp_fields",IF(AND(AC413="canonical",Y413=""),"missing_source_ref","ok"))</x:f>
        <x:v>ok</x:v>
      </x:c>
      <x:c r="AP413" s="12" t="str">
        <x:f>IF(AO413="ok","ready_for_codex_import","needs_review")</x:f>
        <x:v>ready_for_codex_import</x:v>
      </x:c>
      <x:c r="AQ413" s="12"/>
      <x:c r="AR413" s="12" t="str">
        <x:v>Added v2 operational fields. Review before classification activation.</x:v>
      </x:c>
    </x:row>
    <x:row r="414">
      <x:c r="A414" s="13" t="str">
        <x:v>availability_heuristic_search_selection_variant</x:v>
      </x:c>
      <x:c r="B414" s="13" t="str">
        <x:v>availability_heuristic</x:v>
      </x:c>
      <x:c r="C414" s="13" t="str">
        <x:v>Availability heuristic</x:v>
      </x:c>
      <x:c r="D414" s="13" t="str">
        <x:v>قضاوت بر اساس در دسترس بودن</x:v>
      </x:c>
      <x:c r="E414" s="13" t="str">
        <x:v>Search/selection variant</x:v>
      </x:c>
      <x:c r="F414" s="13" t="str">
        <x:v>cognitive_biases_information_processing</x:v>
      </x:c>
      <x:c r="G414" s="13" t="str">
        <x:v>operational_variant</x:v>
      </x:c>
      <x:c r="H414" s="13" t="str">
        <x:v>contextual</x:v>
      </x:c>
      <x:c r="I414" s="13" t="str">
        <x:v>claim+context</x:v>
      </x:c>
      <x:c r="J414" s="13" t="str">
        <x:v>derived_operational_subtype</x:v>
      </x:c>
      <x:c r="K414" s="13" t="str">
        <x:v>derived_from_established_parent_review_required</x:v>
      </x:c>
      <x:c r="L414" s="13" t="str">
        <x:v>P2</x:v>
      </x:c>
      <x:c r="M414" s="13" t="str">
        <x:v>no</x:v>
      </x:c>
      <x:c r="N414" s="13" t="str">
        <x:v>Operational subtype under Availability heuristic: information selection is biased toward a prior view. Parent definition: Judging frequency or likelihood by how easily examples come to mind.</x:v>
      </x:c>
      <x:c r="O414" s="13" t="str">
        <x:v>Look for: explicit claim-level evidence; parent-family cues for Availability heuristic; variant cue: information selection is biased toward a prior view; avoid author-level inference.</x:v>
      </x:c>
      <x:c r="P414" s="13" t="str">
        <x:v>Exact evidence span in text plus claim-level reasoning link; for contextual/discourse entries, require surrounding context.</x:v>
      </x:c>
      <x:c r="Q414" s="13" t="str">
        <x:v>Do not label merely because topic is controversial, emotional, or wrong. Do not judge intent or personality. Require textual evidence and consider healthy-reasoning cues.</x:v>
      </x:c>
      <x:c r="R414" s="13" t="str">
        <x:v>Stub: A claim relies on information selection is biased toward a prior view to support a conclusion without adequate qualification.</x:v>
      </x:c>
      <x:c r="S414" s="13" t="str">
        <x:v>Stub: A claim discusses availability heuristic with caveats, balanced evidence, or no argumentative use of the pattern.</x:v>
      </x:c>
      <x:c r="T414" s="13" t="str">
        <x:v>Mild or ambiguous cue; do not classify without clear evidence span.</x:v>
      </x:c>
      <x:c r="U414" s="13" t="str">
        <x:v>Clear claim-level pattern with some argumentative impact.</x:v>
      </x:c>
      <x:c r="V414" s="13" t="str">
        <x:v>Strong pattern central to the conclusion and likely to materially distort reasoning.</x:v>
      </x:c>
      <x:c r="W414" s="13" t="str"/>
      <x:c r="X414" s="13" t="str">
        <x:v>kahneman_tversky_heuristics_1974</x:v>
      </x:c>
      <x:c r="Y414" s="13" t="str">
        <x:v>https://doi.org/10.1126/science.185.4157.1124</x:v>
      </x:c>
      <x:c r="Z414" s="13" t="str">
        <x:v>Review before enabling. This workbook is a living taxonomy scaffold, not a validated scientific benchmark.</x:v>
      </x:c>
      <x:c r="AA414" s="13" t="str">
        <x:v>0.1.0-draft</x:v>
      </x:c>
      <x:c r="AB414" s="12" t="str">
        <x:f>IF(ISNUMBER(SEARCH("healthy",F414)),"healthy_reasoning_patterns",IF(ISNUMBER(SEARCH("statistical",F414)),"statistical_reasoning",IF(ISNUMBER(SEARCH("causal",F414)),"causal_reasoning",IF(ISNUMBER(SEARCH("social",F414)),"social_influence",IF(ISNUMBER(SEARCH("rhetoric",F414)),"rhetoric_discourse",IF(ISNUMBER(SEARCH("behavior",F414)),"behavioural_economics",IF(ISNUMBER(SEARCH("cognitive",F414)),"cognitive_biases",IF(J414="protective_pattern","healthy_reasoning_patterns",IF(L414="P0","core_mvp","extended_fallacies")))))))))</x:f>
        <x:v>cognitive_biases</x:v>
      </x:c>
      <x:c r="AC414" s="12" t="str">
        <x:f>IF(ISNUMBER(SEARCH("operational",J414)),"operational",IF(ISNUMBER(SEARCH("deprecated",J414)),"deprecated",IF(L414="P0","canonical","recognized_subtype")))</x:f>
        <x:v>operational</x:v>
      </x:c>
      <x:c r="AD414" s="12" t="str">
        <x:f>IF(AC414="canonical","high",IF(AC414="recognized_subtype","medium",IF(AC414="operational","operational_only","debated")))</x:f>
        <x:v>operational_only</x:v>
      </x:c>
      <x:c r="AE414" s="12" t="str">
        <x:f>IF(AC414="deprecated","deprecated",IF(M414="yes","active",IF(M414="review","review_required","backlog")))</x:f>
        <x:v>backlog</x:v>
      </x:c>
      <x:c r="AF414" s="12" t="str">
        <x:f>IF(OR(AE414="active",AE414="review_required"),"yes","no")</x:f>
        <x:v>no</x:v>
      </x:c>
      <x:c r="AG414" s="12" t="str">
        <x:f>IF(AND(AE414="active",M414="yes",NOT(ISNUMBER(SEARCH("healthy",AB414)))),"yes","no")</x:f>
        <x:v>no</x:v>
      </x:c>
      <x:c r="AH414" s="12" t="str">
        <x:f>IF(OR(H414="contextual",H414="dialogue",H414="discourse",I414="claim+context",I414="discourse_segment"),"yes","no")</x:f>
        <x:v>yes</x:v>
      </x:c>
      <x:c r="AI414" s="12" t="str">
        <x:f>IF(OR(AH414="yes",AD414="debated",AC414="operational"),"yes","no")</x:f>
        <x:v>yes</x:v>
      </x:c>
      <x:c r="AJ414" s="12" t="str">
        <x:f>IF(OR(AH414="yes",AC414="operational",AD414="debated"),"high",IF(AND(AG414="yes",L414="P0"),"medium","low"))</x:f>
        <x:v>high</x:v>
      </x:c>
      <x:c r="AK414" s="12" t="str">
        <x:f>IF(ISNUMBER(SEARCH("healthy",AB414)),"yes","no")</x:f>
        <x:v>no</x:v>
      </x:c>
      <x:c r="AL414" s="12" t="str">
        <x:f>IF(AG414="yes","yes","candidate_only")</x:f>
        <x:v>candidate_only</x:v>
      </x:c>
      <x:c r="AM414" s="12" t="str">
        <x:f>IF(OR(AC414="canonical",AG414="yes"),"yes","recommended")</x:f>
        <x:v>recommended</x:v>
      </x:c>
      <x:c r="AN414" s="12" t="str">
        <x:f>IF(AC414="deprecated","exclude",IF(AND(AG414="yes",AJ414="high"),"import_but_human_review_required",IF(AG414="yes","import_as_active","import_as_backlog")))</x:f>
        <x:v>import_as_backlog</x:v>
      </x:c>
      <x:c r="AO414" s="12" t="str">
        <x:f>IF(AND(AG414="yes",OR(P414="",Q414="",R414="",S414="")),"missing_required_mvp_fields",IF(AND(AC414="canonical",Y414=""),"missing_source_ref","ok"))</x:f>
        <x:v>ok</x:v>
      </x:c>
      <x:c r="AP414" s="12" t="str">
        <x:f>IF(AO414="ok","ready_for_codex_import","needs_review")</x:f>
        <x:v>ready_for_codex_import</x:v>
      </x:c>
      <x:c r="AQ414" s="12"/>
      <x:c r="AR414" s="12" t="str">
        <x:v>Added v2 operational fields. Review before classification activation.</x:v>
      </x:c>
    </x:row>
    <x:row r="415">
      <x:c r="A415" s="13" t="str">
        <x:v>representativeness_heuristic_search_selection_variant</x:v>
      </x:c>
      <x:c r="B415" s="13" t="str">
        <x:v>representativeness_heuristic</x:v>
      </x:c>
      <x:c r="C415" s="13" t="str">
        <x:v>Representativeness heuristic</x:v>
      </x:c>
      <x:c r="D415" s="13" t="str">
        <x:v>نمایندگی‌گرایی</x:v>
      </x:c>
      <x:c r="E415" s="13" t="str">
        <x:v>Search/selection variant</x:v>
      </x:c>
      <x:c r="F415" s="13" t="str">
        <x:v>cognitive_biases_information_processing</x:v>
      </x:c>
      <x:c r="G415" s="13" t="str">
        <x:v>operational_variant</x:v>
      </x:c>
      <x:c r="H415" s="13" t="str">
        <x:v>contextual</x:v>
      </x:c>
      <x:c r="I415" s="13" t="str">
        <x:v>claim+context</x:v>
      </x:c>
      <x:c r="J415" s="13" t="str">
        <x:v>derived_operational_subtype</x:v>
      </x:c>
      <x:c r="K415" s="13" t="str">
        <x:v>derived_from_established_parent_review_required</x:v>
      </x:c>
      <x:c r="L415" s="13" t="str">
        <x:v>P2</x:v>
      </x:c>
      <x:c r="M415" s="13" t="str">
        <x:v>no</x:v>
      </x:c>
      <x:c r="N415" s="13" t="str">
        <x:v>Operational subtype under Representativeness heuristic: information selection is biased toward a prior view. Parent definition: Judging likelihood by similarity to a stereotype or prototype.</x:v>
      </x:c>
      <x:c r="O415" s="13" t="str">
        <x:v>Look for: explicit claim-level evidence; parent-family cues for Representativeness heuristic; variant cue: information selection is biased toward a prior view; avoid author-level inference.</x:v>
      </x:c>
      <x:c r="P415" s="13" t="str">
        <x:v>Exact evidence span in text plus claim-level reasoning link; for contextual/discourse entries, require surrounding context.</x:v>
      </x:c>
      <x:c r="Q415" s="13" t="str">
        <x:v>Do not label merely because topic is controversial, emotional, or wrong. Do not judge intent or personality. Require textual evidence and consider healthy-reasoning cues.</x:v>
      </x:c>
      <x:c r="R415" s="13" t="str">
        <x:v>Stub: A claim relies on information selection is biased toward a prior view to support a conclusion without adequate qualification.</x:v>
      </x:c>
      <x:c r="S415" s="13" t="str">
        <x:v>Stub: A claim discusses representativeness heuristic with caveats, balanced evidence, or no argumentative use of the pattern.</x:v>
      </x:c>
      <x:c r="T415" s="13" t="str">
        <x:v>Mild or ambiguous cue; do not classify without clear evidence span.</x:v>
      </x:c>
      <x:c r="U415" s="13" t="str">
        <x:v>Clear claim-level pattern with some argumentative impact.</x:v>
      </x:c>
      <x:c r="V415" s="13" t="str">
        <x:v>Strong pattern central to the conclusion and likely to materially distort reasoning.</x:v>
      </x:c>
      <x:c r="W415" s="13" t="str"/>
      <x:c r="X415" s="13" t="str">
        <x:v>kahneman_tversky_heuristics_1974</x:v>
      </x:c>
      <x:c r="Y415" s="13" t="str">
        <x:v>https://doi.org/10.1126/science.185.4157.1124</x:v>
      </x:c>
      <x:c r="Z415" s="13" t="str">
        <x:v>Review before enabling. This workbook is a living taxonomy scaffold, not a validated scientific benchmark.</x:v>
      </x:c>
      <x:c r="AA415" s="13" t="str">
        <x:v>0.1.0-draft</x:v>
      </x:c>
      <x:c r="AB415" s="12" t="str">
        <x:f>IF(ISNUMBER(SEARCH("healthy",F415)),"healthy_reasoning_patterns",IF(ISNUMBER(SEARCH("statistical",F415)),"statistical_reasoning",IF(ISNUMBER(SEARCH("causal",F415)),"causal_reasoning",IF(ISNUMBER(SEARCH("social",F415)),"social_influence",IF(ISNUMBER(SEARCH("rhetoric",F415)),"rhetoric_discourse",IF(ISNUMBER(SEARCH("behavior",F415)),"behavioural_economics",IF(ISNUMBER(SEARCH("cognitive",F415)),"cognitive_biases",IF(J415="protective_pattern","healthy_reasoning_patterns",IF(L415="P0","core_mvp","extended_fallacies")))))))))</x:f>
        <x:v>cognitive_biases</x:v>
      </x:c>
      <x:c r="AC415" s="12" t="str">
        <x:f>IF(ISNUMBER(SEARCH("operational",J415)),"operational",IF(ISNUMBER(SEARCH("deprecated",J415)),"deprecated",IF(L415="P0","canonical","recognized_subtype")))</x:f>
        <x:v>operational</x:v>
      </x:c>
      <x:c r="AD415" s="12" t="str">
        <x:f>IF(AC415="canonical","high",IF(AC415="recognized_subtype","medium",IF(AC415="operational","operational_only","debated")))</x:f>
        <x:v>operational_only</x:v>
      </x:c>
      <x:c r="AE415" s="12" t="str">
        <x:f>IF(AC415="deprecated","deprecated",IF(M415="yes","active",IF(M415="review","review_required","backlog")))</x:f>
        <x:v>backlog</x:v>
      </x:c>
      <x:c r="AF415" s="12" t="str">
        <x:f>IF(OR(AE415="active",AE415="review_required"),"yes","no")</x:f>
        <x:v>no</x:v>
      </x:c>
      <x:c r="AG415" s="12" t="str">
        <x:f>IF(AND(AE415="active",M415="yes",NOT(ISNUMBER(SEARCH("healthy",AB415)))),"yes","no")</x:f>
        <x:v>no</x:v>
      </x:c>
      <x:c r="AH415" s="12" t="str">
        <x:f>IF(OR(H415="contextual",H415="dialogue",H415="discourse",I415="claim+context",I415="discourse_segment"),"yes","no")</x:f>
        <x:v>yes</x:v>
      </x:c>
      <x:c r="AI415" s="12" t="str">
        <x:f>IF(OR(AH415="yes",AD415="debated",AC415="operational"),"yes","no")</x:f>
        <x:v>yes</x:v>
      </x:c>
      <x:c r="AJ415" s="12" t="str">
        <x:f>IF(OR(AH415="yes",AC415="operational",AD415="debated"),"high",IF(AND(AG415="yes",L415="P0"),"medium","low"))</x:f>
        <x:v>high</x:v>
      </x:c>
      <x:c r="AK415" s="12" t="str">
        <x:f>IF(ISNUMBER(SEARCH("healthy",AB415)),"yes","no")</x:f>
        <x:v>no</x:v>
      </x:c>
      <x:c r="AL415" s="12" t="str">
        <x:f>IF(AG415="yes","yes","candidate_only")</x:f>
        <x:v>candidate_only</x:v>
      </x:c>
      <x:c r="AM415" s="12" t="str">
        <x:f>IF(OR(AC415="canonical",AG415="yes"),"yes","recommended")</x:f>
        <x:v>recommended</x:v>
      </x:c>
      <x:c r="AN415" s="12" t="str">
        <x:f>IF(AC415="deprecated","exclude",IF(AND(AG415="yes",AJ415="high"),"import_but_human_review_required",IF(AG415="yes","import_as_active","import_as_backlog")))</x:f>
        <x:v>import_as_backlog</x:v>
      </x:c>
      <x:c r="AO415" s="12" t="str">
        <x:f>IF(AND(AG415="yes",OR(P415="",Q415="",R415="",S415="")),"missing_required_mvp_fields",IF(AND(AC415="canonical",Y415=""),"missing_source_ref","ok"))</x:f>
        <x:v>ok</x:v>
      </x:c>
      <x:c r="AP415" s="12" t="str">
        <x:f>IF(AO415="ok","ready_for_codex_import","needs_review")</x:f>
        <x:v>ready_for_codex_import</x:v>
      </x:c>
      <x:c r="AQ415" s="12"/>
      <x:c r="AR415" s="12" t="str">
        <x:v>Added v2 operational fields. Review before classification activation.</x:v>
      </x:c>
    </x:row>
    <x:row r="416">
      <x:c r="A416" s="13" t="str">
        <x:v>framing_effect_search_selection_variant</x:v>
      </x:c>
      <x:c r="B416" s="13" t="str">
        <x:v>framing_effect</x:v>
      </x:c>
      <x:c r="C416" s="13" t="str">
        <x:v>Framing effect</x:v>
      </x:c>
      <x:c r="D416" s="13" t="str">
        <x:v>اثر چارچوب‌بندی</x:v>
      </x:c>
      <x:c r="E416" s="13" t="str">
        <x:v>Search/selection variant</x:v>
      </x:c>
      <x:c r="F416" s="13" t="str">
        <x:v>cognitive_biases_information_processing</x:v>
      </x:c>
      <x:c r="G416" s="13" t="str">
        <x:v>operational_variant</x:v>
      </x:c>
      <x:c r="H416" s="13" t="str">
        <x:v>discourse</x:v>
      </x:c>
      <x:c r="I416" s="13" t="str">
        <x:v>discourse_segment</x:v>
      </x:c>
      <x:c r="J416" s="13" t="str">
        <x:v>derived_operational_subtype</x:v>
      </x:c>
      <x:c r="K416" s="13" t="str">
        <x:v>derived_from_established_parent_review_required</x:v>
      </x:c>
      <x:c r="L416" s="13" t="str">
        <x:v>P2</x:v>
      </x:c>
      <x:c r="M416" s="13" t="str">
        <x:v>no</x:v>
      </x:c>
      <x:c r="N416" s="13" t="str">
        <x:v>Operational subtype under Framing effect: information selection is biased toward a prior view. Parent definition: Different presentations of equivalent information lead to different judgments.</x:v>
      </x:c>
      <x:c r="O416" s="13" t="str">
        <x:v>Look for: explicit claim-level evidence; parent-family cues for Framing effect; variant cue: information selection is biased toward a prior view; avoid author-level inference.</x:v>
      </x:c>
      <x:c r="P416" s="13" t="str">
        <x:v>Exact evidence span in text plus claim-level reasoning link; for contextual/discourse entries, require surrounding context.</x:v>
      </x:c>
      <x:c r="Q416" s="13" t="str">
        <x:v>Do not label merely because topic is controversial, emotional, or wrong. Do not judge intent or personality. Require textual evidence and consider healthy-reasoning cues.</x:v>
      </x:c>
      <x:c r="R416" s="13" t="str">
        <x:v>Stub: A claim relies on information selection is biased toward a prior view to support a conclusion without adequate qualification.</x:v>
      </x:c>
      <x:c r="S416" s="13" t="str">
        <x:v>Stub: A claim discusses framing effect with caveats, balanced evidence, or no argumentative use of the pattern.</x:v>
      </x:c>
      <x:c r="T416" s="13" t="str">
        <x:v>Mild or ambiguous cue; do not classify without clear evidence span.</x:v>
      </x:c>
      <x:c r="U416" s="13" t="str">
        <x:v>Clear claim-level pattern with some argumentative impact.</x:v>
      </x:c>
      <x:c r="V416" s="13" t="str">
        <x:v>Strong pattern central to the conclusion and likely to materially distort reasoning.</x:v>
      </x:c>
      <x:c r="W416" s="13" t="str"/>
      <x:c r="X416" s="13" t="str">
        <x:v>tversky_kahneman_framing_1981</x:v>
      </x:c>
      <x:c r="Y416" s="13" t="str">
        <x:v>https://doi.org/10.1126/science.7455683</x:v>
      </x:c>
      <x:c r="Z416" s="13" t="str">
        <x:v>Review before enabling. This workbook is a living taxonomy scaffold, not a validated scientific benchmark.</x:v>
      </x:c>
      <x:c r="AA416" s="13" t="str">
        <x:v>0.1.0-draft</x:v>
      </x:c>
      <x:c r="AB416" s="12" t="str">
        <x:f>IF(ISNUMBER(SEARCH("healthy",F416)),"healthy_reasoning_patterns",IF(ISNUMBER(SEARCH("statistical",F416)),"statistical_reasoning",IF(ISNUMBER(SEARCH("causal",F416)),"causal_reasoning",IF(ISNUMBER(SEARCH("social",F416)),"social_influence",IF(ISNUMBER(SEARCH("rhetoric",F416)),"rhetoric_discourse",IF(ISNUMBER(SEARCH("behavior",F416)),"behavioural_economics",IF(ISNUMBER(SEARCH("cognitive",F416)),"cognitive_biases",IF(J416="protective_pattern","healthy_reasoning_patterns",IF(L416="P0","core_mvp","extended_fallacies")))))))))</x:f>
        <x:v>cognitive_biases</x:v>
      </x:c>
      <x:c r="AC416" s="12" t="str">
        <x:f>IF(ISNUMBER(SEARCH("operational",J416)),"operational",IF(ISNUMBER(SEARCH("deprecated",J416)),"deprecated",IF(L416="P0","canonical","recognized_subtype")))</x:f>
        <x:v>operational</x:v>
      </x:c>
      <x:c r="AD416" s="12" t="str">
        <x:f>IF(AC416="canonical","high",IF(AC416="recognized_subtype","medium",IF(AC416="operational","operational_only","debated")))</x:f>
        <x:v>operational_only</x:v>
      </x:c>
      <x:c r="AE416" s="12" t="str">
        <x:f>IF(AC416="deprecated","deprecated",IF(M416="yes","active",IF(M416="review","review_required","backlog")))</x:f>
        <x:v>backlog</x:v>
      </x:c>
      <x:c r="AF416" s="12" t="str">
        <x:f>IF(OR(AE416="active",AE416="review_required"),"yes","no")</x:f>
        <x:v>no</x:v>
      </x:c>
      <x:c r="AG416" s="12" t="str">
        <x:f>IF(AND(AE416="active",M416="yes",NOT(ISNUMBER(SEARCH("healthy",AB416)))),"yes","no")</x:f>
        <x:v>no</x:v>
      </x:c>
      <x:c r="AH416" s="12" t="str">
        <x:f>IF(OR(H416="contextual",H416="dialogue",H416="discourse",I416="claim+context",I416="discourse_segment"),"yes","no")</x:f>
        <x:v>yes</x:v>
      </x:c>
      <x:c r="AI416" s="12" t="str">
        <x:f>IF(OR(AH416="yes",AD416="debated",AC416="operational"),"yes","no")</x:f>
        <x:v>yes</x:v>
      </x:c>
      <x:c r="AJ416" s="12" t="str">
        <x:f>IF(OR(AH416="yes",AC416="operational",AD416="debated"),"high",IF(AND(AG416="yes",L416="P0"),"medium","low"))</x:f>
        <x:v>high</x:v>
      </x:c>
      <x:c r="AK416" s="12" t="str">
        <x:f>IF(ISNUMBER(SEARCH("healthy",AB416)),"yes","no")</x:f>
        <x:v>no</x:v>
      </x:c>
      <x:c r="AL416" s="12" t="str">
        <x:f>IF(AG416="yes","yes","candidate_only")</x:f>
        <x:v>candidate_only</x:v>
      </x:c>
      <x:c r="AM416" s="12" t="str">
        <x:f>IF(OR(AC416="canonical",AG416="yes"),"yes","recommended")</x:f>
        <x:v>recommended</x:v>
      </x:c>
      <x:c r="AN416" s="12" t="str">
        <x:f>IF(AC416="deprecated","exclude",IF(AND(AG416="yes",AJ416="high"),"import_but_human_review_required",IF(AG416="yes","import_as_active","import_as_backlog")))</x:f>
        <x:v>import_as_backlog</x:v>
      </x:c>
      <x:c r="AO416" s="12" t="str">
        <x:f>IF(AND(AG416="yes",OR(P416="",Q416="",R416="",S416="")),"missing_required_mvp_fields",IF(AND(AC416="canonical",Y416=""),"missing_source_ref","ok"))</x:f>
        <x:v>ok</x:v>
      </x:c>
      <x:c r="AP416" s="12" t="str">
        <x:f>IF(AO416="ok","ready_for_codex_import","needs_review")</x:f>
        <x:v>ready_for_codex_import</x:v>
      </x:c>
      <x:c r="AQ416" s="12"/>
      <x:c r="AR416" s="12" t="str">
        <x:v>Added v2 operational fields. Review before classification activation.</x:v>
      </x:c>
    </x:row>
    <x:row r="417">
      <x:c r="A417" s="13" t="str">
        <x:v>hindsight_bias_search_selection_variant</x:v>
      </x:c>
      <x:c r="B417" s="13" t="str">
        <x:v>hindsight_bias</x:v>
      </x:c>
      <x:c r="C417" s="13" t="str">
        <x:v>Hindsight bias</x:v>
      </x:c>
      <x:c r="D417" s="13" t="str">
        <x:v>سوگیری پس‌نگری</x:v>
      </x:c>
      <x:c r="E417" s="13" t="str">
        <x:v>Search/selection variant</x:v>
      </x:c>
      <x:c r="F417" s="13" t="str">
        <x:v>cognitive_biases_information_processing</x:v>
      </x:c>
      <x:c r="G417" s="13" t="str">
        <x:v>operational_variant</x:v>
      </x:c>
      <x:c r="H417" s="13" t="str">
        <x:v>contextual</x:v>
      </x:c>
      <x:c r="I417" s="13" t="str">
        <x:v>claim+context</x:v>
      </x:c>
      <x:c r="J417" s="13" t="str">
        <x:v>derived_operational_subtype</x:v>
      </x:c>
      <x:c r="K417" s="13" t="str">
        <x:v>derived_from_established_parent_review_required</x:v>
      </x:c>
      <x:c r="L417" s="13" t="str">
        <x:v>P2</x:v>
      </x:c>
      <x:c r="M417" s="13" t="str">
        <x:v>no</x:v>
      </x:c>
      <x:c r="N417" s="13" t="str">
        <x:v>Operational subtype under Hindsight bias: information selection is biased toward a prior view. Parent definition: Seeing past events as more predictable after knowing the outcome.</x:v>
      </x:c>
      <x:c r="O417" s="13" t="str">
        <x:v>Look for: explicit claim-level evidence; parent-family cues for Hindsight bias; variant cue: information selection is biased toward a prior view; avoid author-level inference.</x:v>
      </x:c>
      <x:c r="P417" s="13" t="str">
        <x:v>Exact evidence span in text plus claim-level reasoning link; for contextual/discourse entries, require surrounding context.</x:v>
      </x:c>
      <x:c r="Q417" s="13" t="str">
        <x:v>Do not label merely because topic is controversial, emotional, or wrong. Do not judge intent or personality. Require textual evidence and consider healthy-reasoning cues.</x:v>
      </x:c>
      <x:c r="R417" s="13" t="str">
        <x:v>Stub: A claim relies on information selection is biased toward a prior view to support a conclusion without adequate qualification.</x:v>
      </x:c>
      <x:c r="S417" s="13" t="str">
        <x:v>Stub: A claim discusses hindsight bias with caveats, balanced evidence, or no argumentative use of the pattern.</x:v>
      </x:c>
      <x:c r="T417" s="13" t="str">
        <x:v>Mild or ambiguous cue; do not classify without clear evidence span.</x:v>
      </x:c>
      <x:c r="U417" s="13" t="str">
        <x:v>Clear claim-level pattern with some argumentative impact.</x:v>
      </x:c>
      <x:c r="V417" s="13" t="str">
        <x:v>Strong pattern central to the conclusion and likely to materially distort reasoning.</x:v>
      </x:c>
      <x:c r="W417" s="13" t="str"/>
      <x:c r="X417" s="13" t="str">
        <x:v>gilovich_heuristics_biases</x:v>
      </x:c>
      <x:c r="Y417" s="13" t="str">
        <x:v>https://www.cambridge.org/core/books/heuristics-and-biases/3C30D3B05D2F190C3B8BE5E2531EFD24</x:v>
      </x:c>
      <x:c r="Z417" s="13" t="str">
        <x:v>Review before enabling. This workbook is a living taxonomy scaffold, not a validated scientific benchmark.</x:v>
      </x:c>
      <x:c r="AA417" s="13" t="str">
        <x:v>0.1.0-draft</x:v>
      </x:c>
      <x:c r="AB417" s="12" t="str">
        <x:f>IF(ISNUMBER(SEARCH("healthy",F417)),"healthy_reasoning_patterns",IF(ISNUMBER(SEARCH("statistical",F417)),"statistical_reasoning",IF(ISNUMBER(SEARCH("causal",F417)),"causal_reasoning",IF(ISNUMBER(SEARCH("social",F417)),"social_influence",IF(ISNUMBER(SEARCH("rhetoric",F417)),"rhetoric_discourse",IF(ISNUMBER(SEARCH("behavior",F417)),"behavioural_economics",IF(ISNUMBER(SEARCH("cognitive",F417)),"cognitive_biases",IF(J417="protective_pattern","healthy_reasoning_patterns",IF(L417="P0","core_mvp","extended_fallacies")))))))))</x:f>
        <x:v>cognitive_biases</x:v>
      </x:c>
      <x:c r="AC417" s="12" t="str">
        <x:f>IF(ISNUMBER(SEARCH("operational",J417)),"operational",IF(ISNUMBER(SEARCH("deprecated",J417)),"deprecated",IF(L417="P0","canonical","recognized_subtype")))</x:f>
        <x:v>operational</x:v>
      </x:c>
      <x:c r="AD417" s="12" t="str">
        <x:f>IF(AC417="canonical","high",IF(AC417="recognized_subtype","medium",IF(AC417="operational","operational_only","debated")))</x:f>
        <x:v>operational_only</x:v>
      </x:c>
      <x:c r="AE417" s="12" t="str">
        <x:f>IF(AC417="deprecated","deprecated",IF(M417="yes","active",IF(M417="review","review_required","backlog")))</x:f>
        <x:v>backlog</x:v>
      </x:c>
      <x:c r="AF417" s="12" t="str">
        <x:f>IF(OR(AE417="active",AE417="review_required"),"yes","no")</x:f>
        <x:v>no</x:v>
      </x:c>
      <x:c r="AG417" s="12" t="str">
        <x:f>IF(AND(AE417="active",M417="yes",NOT(ISNUMBER(SEARCH("healthy",AB417)))),"yes","no")</x:f>
        <x:v>no</x:v>
      </x:c>
      <x:c r="AH417" s="12" t="str">
        <x:f>IF(OR(H417="contextual",H417="dialogue",H417="discourse",I417="claim+context",I417="discourse_segment"),"yes","no")</x:f>
        <x:v>yes</x:v>
      </x:c>
      <x:c r="AI417" s="12" t="str">
        <x:f>IF(OR(AH417="yes",AD417="debated",AC417="operational"),"yes","no")</x:f>
        <x:v>yes</x:v>
      </x:c>
      <x:c r="AJ417" s="12" t="str">
        <x:f>IF(OR(AH417="yes",AC417="operational",AD417="debated"),"high",IF(AND(AG417="yes",L417="P0"),"medium","low"))</x:f>
        <x:v>high</x:v>
      </x:c>
      <x:c r="AK417" s="12" t="str">
        <x:f>IF(ISNUMBER(SEARCH("healthy",AB417)),"yes","no")</x:f>
        <x:v>no</x:v>
      </x:c>
      <x:c r="AL417" s="12" t="str">
        <x:f>IF(AG417="yes","yes","candidate_only")</x:f>
        <x:v>candidate_only</x:v>
      </x:c>
      <x:c r="AM417" s="12" t="str">
        <x:f>IF(OR(AC417="canonical",AG417="yes"),"yes","recommended")</x:f>
        <x:v>recommended</x:v>
      </x:c>
      <x:c r="AN417" s="12" t="str">
        <x:f>IF(AC417="deprecated","exclude",IF(AND(AG417="yes",AJ417="high"),"import_but_human_review_required",IF(AG417="yes","import_as_active","import_as_backlog")))</x:f>
        <x:v>import_as_backlog</x:v>
      </x:c>
      <x:c r="AO417" s="12" t="str">
        <x:f>IF(AND(AG417="yes",OR(P417="",Q417="",R417="",S417="")),"missing_required_mvp_fields",IF(AND(AC417="canonical",Y417=""),"missing_source_ref","ok"))</x:f>
        <x:v>ok</x:v>
      </x:c>
      <x:c r="AP417" s="12" t="str">
        <x:f>IF(AO417="ok","ready_for_codex_import","needs_review")</x:f>
        <x:v>ready_for_codex_import</x:v>
      </x:c>
      <x:c r="AQ417" s="12"/>
      <x:c r="AR417" s="12" t="str">
        <x:v>Added v2 operational fields. Review before classification activation.</x:v>
      </x:c>
    </x:row>
    <x:row r="418">
      <x:c r="A418" s="13" t="str">
        <x:v>outcome_bias_search_selection_variant</x:v>
      </x:c>
      <x:c r="B418" s="13" t="str">
        <x:v>outcome_bias</x:v>
      </x:c>
      <x:c r="C418" s="13" t="str">
        <x:v>Outcome bias</x:v>
      </x:c>
      <x:c r="D418" s="13" t="str">
        <x:v>سوگیری نتیجه</x:v>
      </x:c>
      <x:c r="E418" s="13" t="str">
        <x:v>Search/selection variant</x:v>
      </x:c>
      <x:c r="F418" s="13" t="str">
        <x:v>cognitive_biases_information_processing</x:v>
      </x:c>
      <x:c r="G418" s="13" t="str">
        <x:v>operational_variant</x:v>
      </x:c>
      <x:c r="H418" s="13" t="str">
        <x:v>contextual</x:v>
      </x:c>
      <x:c r="I418" s="13" t="str">
        <x:v>claim+context</x:v>
      </x:c>
      <x:c r="J418" s="13" t="str">
        <x:v>derived_operational_subtype</x:v>
      </x:c>
      <x:c r="K418" s="13" t="str">
        <x:v>derived_from_established_parent_review_required</x:v>
      </x:c>
      <x:c r="L418" s="13" t="str">
        <x:v>P2</x:v>
      </x:c>
      <x:c r="M418" s="13" t="str">
        <x:v>no</x:v>
      </x:c>
      <x:c r="N418" s="13" t="str">
        <x:v>Operational subtype under Outcome bias: information selection is biased toward a prior view. Parent definition: Judging a decision by its outcome rather than information available at the time.</x:v>
      </x:c>
      <x:c r="O418" s="13" t="str">
        <x:v>Look for: explicit claim-level evidence; parent-family cues for Outcome bias; variant cue: information selection is biased toward a prior view; avoid author-level inference.</x:v>
      </x:c>
      <x:c r="P418" s="13" t="str">
        <x:v>Exact evidence span in text plus claim-level reasoning link; for contextual/discourse entries, require surrounding context.</x:v>
      </x:c>
      <x:c r="Q418" s="13" t="str">
        <x:v>Do not label merely because topic is controversial, emotional, or wrong. Do not judge intent or personality. Require textual evidence and consider healthy-reasoning cues.</x:v>
      </x:c>
      <x:c r="R418" s="13" t="str">
        <x:v>Stub: A claim relies on information selection is biased toward a prior view to support a conclusion without adequate qualification.</x:v>
      </x:c>
      <x:c r="S418" s="13" t="str">
        <x:v>Stub: A claim discusses outcome bias with caveats, balanced evidence, or no argumentative use of the pattern.</x:v>
      </x:c>
      <x:c r="T418" s="13" t="str">
        <x:v>Mild or ambiguous cue; do not classify without clear evidence span.</x:v>
      </x:c>
      <x:c r="U418" s="13" t="str">
        <x:v>Clear claim-level pattern with some argumentative impact.</x:v>
      </x:c>
      <x:c r="V418" s="13" t="str">
        <x:v>Strong pattern central to the conclusion and likely to materially distort reasoning.</x:v>
      </x:c>
      <x:c r="W418" s="13" t="str"/>
      <x:c r="X418" s="13" t="str">
        <x:v>gilovich_heuristics_biases</x:v>
      </x:c>
      <x:c r="Y418" s="13" t="str">
        <x:v>https://www.cambridge.org/core/books/heuristics-and-biases/3C30D3B05D2F190C3B8BE5E2531EFD24</x:v>
      </x:c>
      <x:c r="Z418" s="13" t="str">
        <x:v>Review before enabling. This workbook is a living taxonomy scaffold, not a validated scientific benchmark.</x:v>
      </x:c>
      <x:c r="AA418" s="13" t="str">
        <x:v>0.1.0-draft</x:v>
      </x:c>
      <x:c r="AB418" s="12" t="str">
        <x:f>IF(ISNUMBER(SEARCH("healthy",F418)),"healthy_reasoning_patterns",IF(ISNUMBER(SEARCH("statistical",F418)),"statistical_reasoning",IF(ISNUMBER(SEARCH("causal",F418)),"causal_reasoning",IF(ISNUMBER(SEARCH("social",F418)),"social_influence",IF(ISNUMBER(SEARCH("rhetoric",F418)),"rhetoric_discourse",IF(ISNUMBER(SEARCH("behavior",F418)),"behavioural_economics",IF(ISNUMBER(SEARCH("cognitive",F418)),"cognitive_biases",IF(J418="protective_pattern","healthy_reasoning_patterns",IF(L418="P0","core_mvp","extended_fallacies")))))))))</x:f>
        <x:v>cognitive_biases</x:v>
      </x:c>
      <x:c r="AC418" s="12" t="str">
        <x:f>IF(ISNUMBER(SEARCH("operational",J418)),"operational",IF(ISNUMBER(SEARCH("deprecated",J418)),"deprecated",IF(L418="P0","canonical","recognized_subtype")))</x:f>
        <x:v>operational</x:v>
      </x:c>
      <x:c r="AD418" s="12" t="str">
        <x:f>IF(AC418="canonical","high",IF(AC418="recognized_subtype","medium",IF(AC418="operational","operational_only","debated")))</x:f>
        <x:v>operational_only</x:v>
      </x:c>
      <x:c r="AE418" s="12" t="str">
        <x:f>IF(AC418="deprecated","deprecated",IF(M418="yes","active",IF(M418="review","review_required","backlog")))</x:f>
        <x:v>backlog</x:v>
      </x:c>
      <x:c r="AF418" s="12" t="str">
        <x:f>IF(OR(AE418="active",AE418="review_required"),"yes","no")</x:f>
        <x:v>no</x:v>
      </x:c>
      <x:c r="AG418" s="12" t="str">
        <x:f>IF(AND(AE418="active",M418="yes",NOT(ISNUMBER(SEARCH("healthy",AB418)))),"yes","no")</x:f>
        <x:v>no</x:v>
      </x:c>
      <x:c r="AH418" s="12" t="str">
        <x:f>IF(OR(H418="contextual",H418="dialogue",H418="discourse",I418="claim+context",I418="discourse_segment"),"yes","no")</x:f>
        <x:v>yes</x:v>
      </x:c>
      <x:c r="AI418" s="12" t="str">
        <x:f>IF(OR(AH418="yes",AD418="debated",AC418="operational"),"yes","no")</x:f>
        <x:v>yes</x:v>
      </x:c>
      <x:c r="AJ418" s="12" t="str">
        <x:f>IF(OR(AH418="yes",AC418="operational",AD418="debated"),"high",IF(AND(AG418="yes",L418="P0"),"medium","low"))</x:f>
        <x:v>high</x:v>
      </x:c>
      <x:c r="AK418" s="12" t="str">
        <x:f>IF(ISNUMBER(SEARCH("healthy",AB418)),"yes","no")</x:f>
        <x:v>no</x:v>
      </x:c>
      <x:c r="AL418" s="12" t="str">
        <x:f>IF(AG418="yes","yes","candidate_only")</x:f>
        <x:v>candidate_only</x:v>
      </x:c>
      <x:c r="AM418" s="12" t="str">
        <x:f>IF(OR(AC418="canonical",AG418="yes"),"yes","recommended")</x:f>
        <x:v>recommended</x:v>
      </x:c>
      <x:c r="AN418" s="12" t="str">
        <x:f>IF(AC418="deprecated","exclude",IF(AND(AG418="yes",AJ418="high"),"import_but_human_review_required",IF(AG418="yes","import_as_active","import_as_backlog")))</x:f>
        <x:v>import_as_backlog</x:v>
      </x:c>
      <x:c r="AO418" s="12" t="str">
        <x:f>IF(AND(AG418="yes",OR(P418="",Q418="",R418="",S418="")),"missing_required_mvp_fields",IF(AND(AC418="canonical",Y418=""),"missing_source_ref","ok"))</x:f>
        <x:v>ok</x:v>
      </x:c>
      <x:c r="AP418" s="12" t="str">
        <x:f>IF(AO418="ok","ready_for_codex_import","needs_review")</x:f>
        <x:v>ready_for_codex_import</x:v>
      </x:c>
      <x:c r="AQ418" s="12"/>
      <x:c r="AR418" s="12" t="str">
        <x:v>Added v2 operational fields. Review before classification activation.</x:v>
      </x:c>
    </x:row>
    <x:row r="419">
      <x:c r="A419" s="13" t="str">
        <x:v>overconfidence_bias_search_selection_variant</x:v>
      </x:c>
      <x:c r="B419" s="13" t="str">
        <x:v>overconfidence_bias</x:v>
      </x:c>
      <x:c r="C419" s="13" t="str">
        <x:v>Overconfidence bias</x:v>
      </x:c>
      <x:c r="D419" s="13" t="str">
        <x:v>اعتماد به نفس بیش از حد</x:v>
      </x:c>
      <x:c r="E419" s="13" t="str">
        <x:v>Search/selection variant</x:v>
      </x:c>
      <x:c r="F419" s="13" t="str">
        <x:v>cognitive_biases_information_processing</x:v>
      </x:c>
      <x:c r="G419" s="13" t="str">
        <x:v>operational_variant</x:v>
      </x:c>
      <x:c r="H419" s="13" t="str">
        <x:v>contextual</x:v>
      </x:c>
      <x:c r="I419" s="13" t="str">
        <x:v>claim+context</x:v>
      </x:c>
      <x:c r="J419" s="13" t="str">
        <x:v>derived_operational_subtype</x:v>
      </x:c>
      <x:c r="K419" s="13" t="str">
        <x:v>derived_from_established_parent_review_required</x:v>
      </x:c>
      <x:c r="L419" s="13" t="str">
        <x:v>P2</x:v>
      </x:c>
      <x:c r="M419" s="13" t="str">
        <x:v>no</x:v>
      </x:c>
      <x:c r="N419" s="13" t="str">
        <x:v>Operational subtype under Overconfidence bias: information selection is biased toward a prior view. Parent definition: Expressing confidence beyond the strength of evidence.</x:v>
      </x:c>
      <x:c r="O419" s="13" t="str">
        <x:v>Look for: explicit claim-level evidence; parent-family cues for Overconfidence bias; variant cue: information selection is biased toward a prior view; avoid author-level inference.</x:v>
      </x:c>
      <x:c r="P419" s="13" t="str">
        <x:v>Exact evidence span in text plus claim-level reasoning link; for contextual/discourse entries, require surrounding context.</x:v>
      </x:c>
      <x:c r="Q419" s="13" t="str">
        <x:v>Do not label merely because topic is controversial, emotional, or wrong. Do not judge intent or personality. Require textual evidence and consider healthy-reasoning cues.</x:v>
      </x:c>
      <x:c r="R419" s="13" t="str">
        <x:v>Stub: A claim relies on information selection is biased toward a prior view to support a conclusion without adequate qualification.</x:v>
      </x:c>
      <x:c r="S419" s="13" t="str">
        <x:v>Stub: A claim discusses overconfidence bias with caveats, balanced evidence, or no argumentative use of the pattern.</x:v>
      </x:c>
      <x:c r="T419" s="13" t="str">
        <x:v>Mild or ambiguous cue; do not classify without clear evidence span.</x:v>
      </x:c>
      <x:c r="U419" s="13" t="str">
        <x:v>Clear claim-level pattern with some argumentative impact.</x:v>
      </x:c>
      <x:c r="V419" s="13" t="str">
        <x:v>Strong pattern central to the conclusion and likely to materially distort reasoning.</x:v>
      </x:c>
      <x:c r="W419" s="13" t="str">
        <x:v>cherry_picking; missing_counterevidence; evidence_grading</x:v>
      </x:c>
      <x:c r="X419" s="13" t="str">
        <x:v>stanovich_dual_process</x:v>
      </x:c>
      <x:c r="Y419" s="13" t="str">
        <x:v>https://global.oup.com/academic/product/rationality-and-the-reflective-mind-9780195341140</x:v>
      </x:c>
      <x:c r="Z419" s="13" t="str">
        <x:v>Review before enabling. This workbook is a living taxonomy scaffold, not a validated scientific benchmark.</x:v>
      </x:c>
      <x:c r="AA419" s="13" t="str">
        <x:v>0.1.0-draft</x:v>
      </x:c>
      <x:c r="AB419" s="12" t="str">
        <x:f>IF(ISNUMBER(SEARCH("healthy",F419)),"healthy_reasoning_patterns",IF(ISNUMBER(SEARCH("statistical",F419)),"statistical_reasoning",IF(ISNUMBER(SEARCH("causal",F419)),"causal_reasoning",IF(ISNUMBER(SEARCH("social",F419)),"social_influence",IF(ISNUMBER(SEARCH("rhetoric",F419)),"rhetoric_discourse",IF(ISNUMBER(SEARCH("behavior",F419)),"behavioural_economics",IF(ISNUMBER(SEARCH("cognitive",F419)),"cognitive_biases",IF(J419="protective_pattern","healthy_reasoning_patterns",IF(L419="P0","core_mvp","extended_fallacies")))))))))</x:f>
        <x:v>cognitive_biases</x:v>
      </x:c>
      <x:c r="AC419" s="12" t="str">
        <x:f>IF(ISNUMBER(SEARCH("operational",J419)),"operational",IF(ISNUMBER(SEARCH("deprecated",J419)),"deprecated",IF(L419="P0","canonical","recognized_subtype")))</x:f>
        <x:v>operational</x:v>
      </x:c>
      <x:c r="AD419" s="12" t="str">
        <x:f>IF(AC419="canonical","high",IF(AC419="recognized_subtype","medium",IF(AC419="operational","operational_only","debated")))</x:f>
        <x:v>operational_only</x:v>
      </x:c>
      <x:c r="AE419" s="12" t="str">
        <x:f>IF(AC419="deprecated","deprecated",IF(M419="yes","active",IF(M419="review","review_required","backlog")))</x:f>
        <x:v>backlog</x:v>
      </x:c>
      <x:c r="AF419" s="12" t="str">
        <x:f>IF(OR(AE419="active",AE419="review_required"),"yes","no")</x:f>
        <x:v>no</x:v>
      </x:c>
      <x:c r="AG419" s="12" t="str">
        <x:f>IF(AND(AE419="active",M419="yes",NOT(ISNUMBER(SEARCH("healthy",AB419)))),"yes","no")</x:f>
        <x:v>no</x:v>
      </x:c>
      <x:c r="AH419" s="12" t="str">
        <x:f>IF(OR(H419="contextual",H419="dialogue",H419="discourse",I419="claim+context",I419="discourse_segment"),"yes","no")</x:f>
        <x:v>yes</x:v>
      </x:c>
      <x:c r="AI419" s="12" t="str">
        <x:f>IF(OR(AH419="yes",AD419="debated",AC419="operational"),"yes","no")</x:f>
        <x:v>yes</x:v>
      </x:c>
      <x:c r="AJ419" s="12" t="str">
        <x:f>IF(OR(AH419="yes",AC419="operational",AD419="debated"),"high",IF(AND(AG419="yes",L419="P0"),"medium","low"))</x:f>
        <x:v>high</x:v>
      </x:c>
      <x:c r="AK419" s="12" t="str">
        <x:f>IF(ISNUMBER(SEARCH("healthy",AB419)),"yes","no")</x:f>
        <x:v>no</x:v>
      </x:c>
      <x:c r="AL419" s="12" t="str">
        <x:f>IF(AG419="yes","yes","candidate_only")</x:f>
        <x:v>candidate_only</x:v>
      </x:c>
      <x:c r="AM419" s="12" t="str">
        <x:f>IF(OR(AC419="canonical",AG419="yes"),"yes","recommended")</x:f>
        <x:v>recommended</x:v>
      </x:c>
      <x:c r="AN419" s="12" t="str">
        <x:f>IF(AC419="deprecated","exclude",IF(AND(AG419="yes",AJ419="high"),"import_but_human_review_required",IF(AG419="yes","import_as_active","import_as_backlog")))</x:f>
        <x:v>import_as_backlog</x:v>
      </x:c>
      <x:c r="AO419" s="12" t="str">
        <x:f>IF(AND(AG419="yes",OR(P419="",Q419="",R419="",S419="")),"missing_required_mvp_fields",IF(AND(AC419="canonical",Y419=""),"missing_source_ref","ok"))</x:f>
        <x:v>ok</x:v>
      </x:c>
      <x:c r="AP419" s="12" t="str">
        <x:f>IF(AO419="ok","ready_for_codex_import","needs_review")</x:f>
        <x:v>ready_for_codex_import</x:v>
      </x:c>
      <x:c r="AQ419" s="12"/>
      <x:c r="AR419" s="12" t="str">
        <x:v>Added v2 operational fields. Review before classification activation.</x:v>
      </x:c>
    </x:row>
    <x:row r="420">
      <x:c r="A420" s="13" t="str">
        <x:v>optimism_bias_search_selection_variant</x:v>
      </x:c>
      <x:c r="B420" s="13" t="str">
        <x:v>optimism_bias</x:v>
      </x:c>
      <x:c r="C420" s="13" t="str">
        <x:v>Optimism bias</x:v>
      </x:c>
      <x:c r="D420" s="13" t="str">
        <x:v>خوش‌بینی افراطی</x:v>
      </x:c>
      <x:c r="E420" s="13" t="str">
        <x:v>Search/selection variant</x:v>
      </x:c>
      <x:c r="F420" s="13" t="str">
        <x:v>cognitive_biases_information_processing</x:v>
      </x:c>
      <x:c r="G420" s="13" t="str">
        <x:v>operational_variant</x:v>
      </x:c>
      <x:c r="H420" s="13" t="str">
        <x:v>contextual</x:v>
      </x:c>
      <x:c r="I420" s="13" t="str">
        <x:v>claim+context</x:v>
      </x:c>
      <x:c r="J420" s="13" t="str">
        <x:v>derived_operational_subtype</x:v>
      </x:c>
      <x:c r="K420" s="13" t="str">
        <x:v>derived_from_established_parent_review_required</x:v>
      </x:c>
      <x:c r="L420" s="13" t="str">
        <x:v>P2</x:v>
      </x:c>
      <x:c r="M420" s="13" t="str">
        <x:v>no</x:v>
      </x:c>
      <x:c r="N420" s="13" t="str">
        <x:v>Operational subtype under Optimism bias: information selection is biased toward a prior view. Parent definition: Underestimating risks or overestimating favorable outcomes.</x:v>
      </x:c>
      <x:c r="O420" s="13" t="str">
        <x:v>Look for: explicit claim-level evidence; parent-family cues for Optimism bias; variant cue: information selection is biased toward a prior view; avoid author-level inference.</x:v>
      </x:c>
      <x:c r="P420" s="13" t="str">
        <x:v>Exact evidence span in text plus claim-level reasoning link; for contextual/discourse entries, require surrounding context.</x:v>
      </x:c>
      <x:c r="Q420" s="13" t="str">
        <x:v>Do not label merely because topic is controversial, emotional, or wrong. Do not judge intent or personality. Require textual evidence and consider healthy-reasoning cues.</x:v>
      </x:c>
      <x:c r="R420" s="13" t="str">
        <x:v>Stub: A claim relies on information selection is biased toward a prior view to support a conclusion without adequate qualification.</x:v>
      </x:c>
      <x:c r="S420" s="13" t="str">
        <x:v>Stub: A claim discusses optimism bias with caveats, balanced evidence, or no argumentative use of the pattern.</x:v>
      </x:c>
      <x:c r="T420" s="13" t="str">
        <x:v>Mild or ambiguous cue; do not classify without clear evidence span.</x:v>
      </x:c>
      <x:c r="U420" s="13" t="str">
        <x:v>Clear claim-level pattern with some argumentative impact.</x:v>
      </x:c>
      <x:c r="V420" s="13" t="str">
        <x:v>Strong pattern central to the conclusion and likely to materially distort reasoning.</x:v>
      </x:c>
      <x:c r="W420" s="13" t="str"/>
      <x:c r="X420" s="13" t="str">
        <x:v>gilovich_heuristics_biases</x:v>
      </x:c>
      <x:c r="Y420" s="13" t="str">
        <x:v>https://www.cambridge.org/core/books/heuristics-and-biases/3C30D3B05D2F190C3B8BE5E2531EFD24</x:v>
      </x:c>
      <x:c r="Z420" s="13" t="str">
        <x:v>Review before enabling. This workbook is a living taxonomy scaffold, not a validated scientific benchmark.</x:v>
      </x:c>
      <x:c r="AA420" s="13" t="str">
        <x:v>0.1.0-draft</x:v>
      </x:c>
      <x:c r="AB420" s="12" t="str">
        <x:f>IF(ISNUMBER(SEARCH("healthy",F420)),"healthy_reasoning_patterns",IF(ISNUMBER(SEARCH("statistical",F420)),"statistical_reasoning",IF(ISNUMBER(SEARCH("causal",F420)),"causal_reasoning",IF(ISNUMBER(SEARCH("social",F420)),"social_influence",IF(ISNUMBER(SEARCH("rhetoric",F420)),"rhetoric_discourse",IF(ISNUMBER(SEARCH("behavior",F420)),"behavioural_economics",IF(ISNUMBER(SEARCH("cognitive",F420)),"cognitive_biases",IF(J420="protective_pattern","healthy_reasoning_patterns",IF(L420="P0","core_mvp","extended_fallacies")))))))))</x:f>
        <x:v>cognitive_biases</x:v>
      </x:c>
      <x:c r="AC420" s="12" t="str">
        <x:f>IF(ISNUMBER(SEARCH("operational",J420)),"operational",IF(ISNUMBER(SEARCH("deprecated",J420)),"deprecated",IF(L420="P0","canonical","recognized_subtype")))</x:f>
        <x:v>operational</x:v>
      </x:c>
      <x:c r="AD420" s="12" t="str">
        <x:f>IF(AC420="canonical","high",IF(AC420="recognized_subtype","medium",IF(AC420="operational","operational_only","debated")))</x:f>
        <x:v>operational_only</x:v>
      </x:c>
      <x:c r="AE420" s="12" t="str">
        <x:f>IF(AC420="deprecated","deprecated",IF(M420="yes","active",IF(M420="review","review_required","backlog")))</x:f>
        <x:v>backlog</x:v>
      </x:c>
      <x:c r="AF420" s="12" t="str">
        <x:f>IF(OR(AE420="active",AE420="review_required"),"yes","no")</x:f>
        <x:v>no</x:v>
      </x:c>
      <x:c r="AG420" s="12" t="str">
        <x:f>IF(AND(AE420="active",M420="yes",NOT(ISNUMBER(SEARCH("healthy",AB420)))),"yes","no")</x:f>
        <x:v>no</x:v>
      </x:c>
      <x:c r="AH420" s="12" t="str">
        <x:f>IF(OR(H420="contextual",H420="dialogue",H420="discourse",I420="claim+context",I420="discourse_segment"),"yes","no")</x:f>
        <x:v>yes</x:v>
      </x:c>
      <x:c r="AI420" s="12" t="str">
        <x:f>IF(OR(AH420="yes",AD420="debated",AC420="operational"),"yes","no")</x:f>
        <x:v>yes</x:v>
      </x:c>
      <x:c r="AJ420" s="12" t="str">
        <x:f>IF(OR(AH420="yes",AC420="operational",AD420="debated"),"high",IF(AND(AG420="yes",L420="P0"),"medium","low"))</x:f>
        <x:v>high</x:v>
      </x:c>
      <x:c r="AK420" s="12" t="str">
        <x:f>IF(ISNUMBER(SEARCH("healthy",AB420)),"yes","no")</x:f>
        <x:v>no</x:v>
      </x:c>
      <x:c r="AL420" s="12" t="str">
        <x:f>IF(AG420="yes","yes","candidate_only")</x:f>
        <x:v>candidate_only</x:v>
      </x:c>
      <x:c r="AM420" s="12" t="str">
        <x:f>IF(OR(AC420="canonical",AG420="yes"),"yes","recommended")</x:f>
        <x:v>recommended</x:v>
      </x:c>
      <x:c r="AN420" s="12" t="str">
        <x:f>IF(AC420="deprecated","exclude",IF(AND(AG420="yes",AJ420="high"),"import_but_human_review_required",IF(AG420="yes","import_as_active","import_as_backlog")))</x:f>
        <x:v>import_as_backlog</x:v>
      </x:c>
      <x:c r="AO420" s="12" t="str">
        <x:f>IF(AND(AG420="yes",OR(P420="",Q420="",R420="",S420="")),"missing_required_mvp_fields",IF(AND(AC420="canonical",Y420=""),"missing_source_ref","ok"))</x:f>
        <x:v>ok</x:v>
      </x:c>
      <x:c r="AP420" s="12" t="str">
        <x:f>IF(AO420="ok","ready_for_codex_import","needs_review")</x:f>
        <x:v>ready_for_codex_import</x:v>
      </x:c>
      <x:c r="AQ420" s="12"/>
      <x:c r="AR420" s="12" t="str">
        <x:v>Added v2 operational fields. Review before classification activation.</x:v>
      </x:c>
    </x:row>
    <x:row r="421">
      <x:c r="A421" s="13" t="str">
        <x:v>pessimism_bias_search_selection_variant</x:v>
      </x:c>
      <x:c r="B421" s="13" t="str">
        <x:v>pessimism_bias</x:v>
      </x:c>
      <x:c r="C421" s="13" t="str">
        <x:v>Pessimism bias</x:v>
      </x:c>
      <x:c r="D421" s="13" t="str">
        <x:v>بدبینی افراطی</x:v>
      </x:c>
      <x:c r="E421" s="13" t="str">
        <x:v>Search/selection variant</x:v>
      </x:c>
      <x:c r="F421" s="13" t="str">
        <x:v>cognitive_biases_information_processing</x:v>
      </x:c>
      <x:c r="G421" s="13" t="str">
        <x:v>operational_variant</x:v>
      </x:c>
      <x:c r="H421" s="13" t="str">
        <x:v>contextual</x:v>
      </x:c>
      <x:c r="I421" s="13" t="str">
        <x:v>claim+context</x:v>
      </x:c>
      <x:c r="J421" s="13" t="str">
        <x:v>derived_operational_subtype</x:v>
      </x:c>
      <x:c r="K421" s="13" t="str">
        <x:v>derived_from_established_parent_review_required</x:v>
      </x:c>
      <x:c r="L421" s="13" t="str">
        <x:v>P2</x:v>
      </x:c>
      <x:c r="M421" s="13" t="str">
        <x:v>no</x:v>
      </x:c>
      <x:c r="N421" s="13" t="str">
        <x:v>Operational subtype under Pessimism bias: information selection is biased toward a prior view. Parent definition: Overestimating risks or negative outcomes without sufficient support.</x:v>
      </x:c>
      <x:c r="O421" s="13" t="str">
        <x:v>Look for: explicit claim-level evidence; parent-family cues for Pessimism bias; variant cue: information selection is biased toward a prior view; avoid author-level inference.</x:v>
      </x:c>
      <x:c r="P421" s="13" t="str">
        <x:v>Exact evidence span in text plus claim-level reasoning link; for contextual/discourse entries, require surrounding context.</x:v>
      </x:c>
      <x:c r="Q421" s="13" t="str">
        <x:v>Do not label merely because topic is controversial, emotional, or wrong. Do not judge intent or personality. Require textual evidence and consider healthy-reasoning cues.</x:v>
      </x:c>
      <x:c r="R421" s="13" t="str">
        <x:v>Stub: A claim relies on information selection is biased toward a prior view to support a conclusion without adequate qualification.</x:v>
      </x:c>
      <x:c r="S421" s="13" t="str">
        <x:v>Stub: A claim discusses pessimism bias with caveats, balanced evidence, or no argumentative use of the pattern.</x:v>
      </x:c>
      <x:c r="T421" s="13" t="str">
        <x:v>Mild or ambiguous cue; do not classify without clear evidence span.</x:v>
      </x:c>
      <x:c r="U421" s="13" t="str">
        <x:v>Clear claim-level pattern with some argumentative impact.</x:v>
      </x:c>
      <x:c r="V421" s="13" t="str">
        <x:v>Strong pattern central to the conclusion and likely to materially distort reasoning.</x:v>
      </x:c>
      <x:c r="W421" s="13" t="str"/>
      <x:c r="X421" s="13" t="str">
        <x:v>gilovich_heuristics_biases</x:v>
      </x:c>
      <x:c r="Y421" s="13" t="str">
        <x:v>https://www.cambridge.org/core/books/heuristics-and-biases/3C30D3B05D2F190C3B8BE5E2531EFD24</x:v>
      </x:c>
      <x:c r="Z421" s="13" t="str">
        <x:v>Review before enabling. This workbook is a living taxonomy scaffold, not a validated scientific benchmark.</x:v>
      </x:c>
      <x:c r="AA421" s="13" t="str">
        <x:v>0.1.0-draft</x:v>
      </x:c>
      <x:c r="AB421" s="12" t="str">
        <x:f>IF(ISNUMBER(SEARCH("healthy",F421)),"healthy_reasoning_patterns",IF(ISNUMBER(SEARCH("statistical",F421)),"statistical_reasoning",IF(ISNUMBER(SEARCH("causal",F421)),"causal_reasoning",IF(ISNUMBER(SEARCH("social",F421)),"social_influence",IF(ISNUMBER(SEARCH("rhetoric",F421)),"rhetoric_discourse",IF(ISNUMBER(SEARCH("behavior",F421)),"behavioural_economics",IF(ISNUMBER(SEARCH("cognitive",F421)),"cognitive_biases",IF(J421="protective_pattern","healthy_reasoning_patterns",IF(L421="P0","core_mvp","extended_fallacies")))))))))</x:f>
        <x:v>cognitive_biases</x:v>
      </x:c>
      <x:c r="AC421" s="12" t="str">
        <x:f>IF(ISNUMBER(SEARCH("operational",J421)),"operational",IF(ISNUMBER(SEARCH("deprecated",J421)),"deprecated",IF(L421="P0","canonical","recognized_subtype")))</x:f>
        <x:v>operational</x:v>
      </x:c>
      <x:c r="AD421" s="12" t="str">
        <x:f>IF(AC421="canonical","high",IF(AC421="recognized_subtype","medium",IF(AC421="operational","operational_only","debated")))</x:f>
        <x:v>operational_only</x:v>
      </x:c>
      <x:c r="AE421" s="12" t="str">
        <x:f>IF(AC421="deprecated","deprecated",IF(M421="yes","active",IF(M421="review","review_required","backlog")))</x:f>
        <x:v>backlog</x:v>
      </x:c>
      <x:c r="AF421" s="12" t="str">
        <x:f>IF(OR(AE421="active",AE421="review_required"),"yes","no")</x:f>
        <x:v>no</x:v>
      </x:c>
      <x:c r="AG421" s="12" t="str">
        <x:f>IF(AND(AE421="active",M421="yes",NOT(ISNUMBER(SEARCH("healthy",AB421)))),"yes","no")</x:f>
        <x:v>no</x:v>
      </x:c>
      <x:c r="AH421" s="12" t="str">
        <x:f>IF(OR(H421="contextual",H421="dialogue",H421="discourse",I421="claim+context",I421="discourse_segment"),"yes","no")</x:f>
        <x:v>yes</x:v>
      </x:c>
      <x:c r="AI421" s="12" t="str">
        <x:f>IF(OR(AH421="yes",AD421="debated",AC421="operational"),"yes","no")</x:f>
        <x:v>yes</x:v>
      </x:c>
      <x:c r="AJ421" s="12" t="str">
        <x:f>IF(OR(AH421="yes",AC421="operational",AD421="debated"),"high",IF(AND(AG421="yes",L421="P0"),"medium","low"))</x:f>
        <x:v>high</x:v>
      </x:c>
      <x:c r="AK421" s="12" t="str">
        <x:f>IF(ISNUMBER(SEARCH("healthy",AB421)),"yes","no")</x:f>
        <x:v>no</x:v>
      </x:c>
      <x:c r="AL421" s="12" t="str">
        <x:f>IF(AG421="yes","yes","candidate_only")</x:f>
        <x:v>candidate_only</x:v>
      </x:c>
      <x:c r="AM421" s="12" t="str">
        <x:f>IF(OR(AC421="canonical",AG421="yes"),"yes","recommended")</x:f>
        <x:v>recommended</x:v>
      </x:c>
      <x:c r="AN421" s="12" t="str">
        <x:f>IF(AC421="deprecated","exclude",IF(AND(AG421="yes",AJ421="high"),"import_but_human_review_required",IF(AG421="yes","import_as_active","import_as_backlog")))</x:f>
        <x:v>import_as_backlog</x:v>
      </x:c>
      <x:c r="AO421" s="12" t="str">
        <x:f>IF(AND(AG421="yes",OR(P421="",Q421="",R421="",S421="")),"missing_required_mvp_fields",IF(AND(AC421="canonical",Y421=""),"missing_source_ref","ok"))</x:f>
        <x:v>ok</x:v>
      </x:c>
      <x:c r="AP421" s="12" t="str">
        <x:f>IF(AO421="ok","ready_for_codex_import","needs_review")</x:f>
        <x:v>ready_for_codex_import</x:v>
      </x:c>
      <x:c r="AQ421" s="12"/>
      <x:c r="AR421" s="12" t="str">
        <x:v>Added v2 operational fields. Review before classification activation.</x:v>
      </x:c>
    </x:row>
    <x:row r="422">
      <x:c r="A422" s="13" t="str">
        <x:v>negativity_bias_search_selection_variant</x:v>
      </x:c>
      <x:c r="B422" s="13" t="str">
        <x:v>negativity_bias</x:v>
      </x:c>
      <x:c r="C422" s="13" t="str">
        <x:v>Negativity bias</x:v>
      </x:c>
      <x:c r="D422" s="13" t="str">
        <x:v>سوگیری منفی‌نگری</x:v>
      </x:c>
      <x:c r="E422" s="13" t="str">
        <x:v>Search/selection variant</x:v>
      </x:c>
      <x:c r="F422" s="13" t="str">
        <x:v>cognitive_biases_information_processing</x:v>
      </x:c>
      <x:c r="G422" s="13" t="str">
        <x:v>operational_variant</x:v>
      </x:c>
      <x:c r="H422" s="13" t="str">
        <x:v>contextual</x:v>
      </x:c>
      <x:c r="I422" s="13" t="str">
        <x:v>claim+context</x:v>
      </x:c>
      <x:c r="J422" s="13" t="str">
        <x:v>derived_operational_subtype</x:v>
      </x:c>
      <x:c r="K422" s="13" t="str">
        <x:v>derived_from_established_parent_review_required</x:v>
      </x:c>
      <x:c r="L422" s="13" t="str">
        <x:v>P2</x:v>
      </x:c>
      <x:c r="M422" s="13" t="str">
        <x:v>no</x:v>
      </x:c>
      <x:c r="N422" s="13" t="str">
        <x:v>Operational subtype under Negativity bias: information selection is biased toward a prior view. Parent definition: Giving negative information disproportionate weight.</x:v>
      </x:c>
      <x:c r="O422" s="13" t="str">
        <x:v>Look for: explicit claim-level evidence; parent-family cues for Negativity bias; variant cue: information selection is biased toward a prior view; avoid author-level inference.</x:v>
      </x:c>
      <x:c r="P422" s="13" t="str">
        <x:v>Exact evidence span in text plus claim-level reasoning link; for contextual/discourse entries, require surrounding context.</x:v>
      </x:c>
      <x:c r="Q422" s="13" t="str">
        <x:v>Do not label merely because topic is controversial, emotional, or wrong. Do not judge intent or personality. Require textual evidence and consider healthy-reasoning cues.</x:v>
      </x:c>
      <x:c r="R422" s="13" t="str">
        <x:v>Stub: A claim relies on information selection is biased toward a prior view to support a conclusion without adequate qualification.</x:v>
      </x:c>
      <x:c r="S422" s="13" t="str">
        <x:v>Stub: A claim discusses negativity bias with caveats, balanced evidence, or no argumentative use of the pattern.</x:v>
      </x:c>
      <x:c r="T422" s="13" t="str">
        <x:v>Mild or ambiguous cue; do not classify without clear evidence span.</x:v>
      </x:c>
      <x:c r="U422" s="13" t="str">
        <x:v>Clear claim-level pattern with some argumentative impact.</x:v>
      </x:c>
      <x:c r="V422" s="13" t="str">
        <x:v>Strong pattern central to the conclusion and likely to materially distort reasoning.</x:v>
      </x:c>
      <x:c r="W422" s="13" t="str"/>
      <x:c r="X422" s="13" t="str">
        <x:v>gilovich_heuristics_biases</x:v>
      </x:c>
      <x:c r="Y422" s="13" t="str">
        <x:v>https://www.cambridge.org/core/books/heuristics-and-biases/3C30D3B05D2F190C3B8BE5E2531EFD24</x:v>
      </x:c>
      <x:c r="Z422" s="13" t="str">
        <x:v>Review before enabling. This workbook is a living taxonomy scaffold, not a validated scientific benchmark.</x:v>
      </x:c>
      <x:c r="AA422" s="13" t="str">
        <x:v>0.1.0-draft</x:v>
      </x:c>
      <x:c r="AB422" s="12" t="str">
        <x:f>IF(ISNUMBER(SEARCH("healthy",F422)),"healthy_reasoning_patterns",IF(ISNUMBER(SEARCH("statistical",F422)),"statistical_reasoning",IF(ISNUMBER(SEARCH("causal",F422)),"causal_reasoning",IF(ISNUMBER(SEARCH("social",F422)),"social_influence",IF(ISNUMBER(SEARCH("rhetoric",F422)),"rhetoric_discourse",IF(ISNUMBER(SEARCH("behavior",F422)),"behavioural_economics",IF(ISNUMBER(SEARCH("cognitive",F422)),"cognitive_biases",IF(J422="protective_pattern","healthy_reasoning_patterns",IF(L422="P0","core_mvp","extended_fallacies")))))))))</x:f>
        <x:v>cognitive_biases</x:v>
      </x:c>
      <x:c r="AC422" s="12" t="str">
        <x:f>IF(ISNUMBER(SEARCH("operational",J422)),"operational",IF(ISNUMBER(SEARCH("deprecated",J422)),"deprecated",IF(L422="P0","canonical","recognized_subtype")))</x:f>
        <x:v>operational</x:v>
      </x:c>
      <x:c r="AD422" s="12" t="str">
        <x:f>IF(AC422="canonical","high",IF(AC422="recognized_subtype","medium",IF(AC422="operational","operational_only","debated")))</x:f>
        <x:v>operational_only</x:v>
      </x:c>
      <x:c r="AE422" s="12" t="str">
        <x:f>IF(AC422="deprecated","deprecated",IF(M422="yes","active",IF(M422="review","review_required","backlog")))</x:f>
        <x:v>backlog</x:v>
      </x:c>
      <x:c r="AF422" s="12" t="str">
        <x:f>IF(OR(AE422="active",AE422="review_required"),"yes","no")</x:f>
        <x:v>no</x:v>
      </x:c>
      <x:c r="AG422" s="12" t="str">
        <x:f>IF(AND(AE422="active",M422="yes",NOT(ISNUMBER(SEARCH("healthy",AB422)))),"yes","no")</x:f>
        <x:v>no</x:v>
      </x:c>
      <x:c r="AH422" s="12" t="str">
        <x:f>IF(OR(H422="contextual",H422="dialogue",H422="discourse",I422="claim+context",I422="discourse_segment"),"yes","no")</x:f>
        <x:v>yes</x:v>
      </x:c>
      <x:c r="AI422" s="12" t="str">
        <x:f>IF(OR(AH422="yes",AD422="debated",AC422="operational"),"yes","no")</x:f>
        <x:v>yes</x:v>
      </x:c>
      <x:c r="AJ422" s="12" t="str">
        <x:f>IF(OR(AH422="yes",AC422="operational",AD422="debated"),"high",IF(AND(AG422="yes",L422="P0"),"medium","low"))</x:f>
        <x:v>high</x:v>
      </x:c>
      <x:c r="AK422" s="12" t="str">
        <x:f>IF(ISNUMBER(SEARCH("healthy",AB422)),"yes","no")</x:f>
        <x:v>no</x:v>
      </x:c>
      <x:c r="AL422" s="12" t="str">
        <x:f>IF(AG422="yes","yes","candidate_only")</x:f>
        <x:v>candidate_only</x:v>
      </x:c>
      <x:c r="AM422" s="12" t="str">
        <x:f>IF(OR(AC422="canonical",AG422="yes"),"yes","recommended")</x:f>
        <x:v>recommended</x:v>
      </x:c>
      <x:c r="AN422" s="12" t="str">
        <x:f>IF(AC422="deprecated","exclude",IF(AND(AG422="yes",AJ422="high"),"import_but_human_review_required",IF(AG422="yes","import_as_active","import_as_backlog")))</x:f>
        <x:v>import_as_backlog</x:v>
      </x:c>
      <x:c r="AO422" s="12" t="str">
        <x:f>IF(AND(AG422="yes",OR(P422="",Q422="",R422="",S422="")),"missing_required_mvp_fields",IF(AND(AC422="canonical",Y422=""),"missing_source_ref","ok"))</x:f>
        <x:v>ok</x:v>
      </x:c>
      <x:c r="AP422" s="12" t="str">
        <x:f>IF(AO422="ok","ready_for_codex_import","needs_review")</x:f>
        <x:v>ready_for_codex_import</x:v>
      </x:c>
      <x:c r="AQ422" s="12"/>
      <x:c r="AR422" s="12" t="str">
        <x:v>Added v2 operational fields. Review before classification activation.</x:v>
      </x:c>
    </x:row>
    <x:row r="423">
      <x:c r="A423" s="13" t="str">
        <x:v>salience_bias_search_selection_variant</x:v>
      </x:c>
      <x:c r="B423" s="13" t="str">
        <x:v>salience_bias</x:v>
      </x:c>
      <x:c r="C423" s="13" t="str">
        <x:v>Salience bias</x:v>
      </x:c>
      <x:c r="D423" s="13" t="str">
        <x:v>سوگیری برجستگی</x:v>
      </x:c>
      <x:c r="E423" s="13" t="str">
        <x:v>Search/selection variant</x:v>
      </x:c>
      <x:c r="F423" s="13" t="str">
        <x:v>cognitive_biases_information_processing</x:v>
      </x:c>
      <x:c r="G423" s="13" t="str">
        <x:v>operational_variant</x:v>
      </x:c>
      <x:c r="H423" s="13" t="str">
        <x:v>contextual</x:v>
      </x:c>
      <x:c r="I423" s="13" t="str">
        <x:v>claim+context</x:v>
      </x:c>
      <x:c r="J423" s="13" t="str">
        <x:v>derived_operational_subtype</x:v>
      </x:c>
      <x:c r="K423" s="13" t="str">
        <x:v>derived_from_established_parent_review_required</x:v>
      </x:c>
      <x:c r="L423" s="13" t="str">
        <x:v>P2</x:v>
      </x:c>
      <x:c r="M423" s="13" t="str">
        <x:v>no</x:v>
      </x:c>
      <x:c r="N423" s="13" t="str">
        <x:v>Operational subtype under Salience bias: information selection is biased toward a prior view. Parent definition: Overweighting vivid or prominent features.</x:v>
      </x:c>
      <x:c r="O423" s="13" t="str">
        <x:v>Look for: explicit claim-level evidence; parent-family cues for Salience bias; variant cue: information selection is biased toward a prior view; avoid author-level inference.</x:v>
      </x:c>
      <x:c r="P423" s="13" t="str">
        <x:v>Exact evidence span in text plus claim-level reasoning link; for contextual/discourse entries, require surrounding context.</x:v>
      </x:c>
      <x:c r="Q423" s="13" t="str">
        <x:v>Do not label merely because topic is controversial, emotional, or wrong. Do not judge intent or personality. Require textual evidence and consider healthy-reasoning cues.</x:v>
      </x:c>
      <x:c r="R423" s="13" t="str">
        <x:v>Stub: A claim relies on information selection is biased toward a prior view to support a conclusion without adequate qualification.</x:v>
      </x:c>
      <x:c r="S423" s="13" t="str">
        <x:v>Stub: A claim discusses salience bias with caveats, balanced evidence, or no argumentative use of the pattern.</x:v>
      </x:c>
      <x:c r="T423" s="13" t="str">
        <x:v>Mild or ambiguous cue; do not classify without clear evidence span.</x:v>
      </x:c>
      <x:c r="U423" s="13" t="str">
        <x:v>Clear claim-level pattern with some argumentative impact.</x:v>
      </x:c>
      <x:c r="V423" s="13" t="str">
        <x:v>Strong pattern central to the conclusion and likely to materially distort reasoning.</x:v>
      </x:c>
      <x:c r="W423" s="13" t="str"/>
      <x:c r="X423" s="13" t="str">
        <x:v>kahneman_tversky_heuristics_1974</x:v>
      </x:c>
      <x:c r="Y423" s="13" t="str">
        <x:v>https://doi.org/10.1126/science.185.4157.1124</x:v>
      </x:c>
      <x:c r="Z423" s="13" t="str">
        <x:v>Review before enabling. This workbook is a living taxonomy scaffold, not a validated scientific benchmark.</x:v>
      </x:c>
      <x:c r="AA423" s="13" t="str">
        <x:v>0.1.0-draft</x:v>
      </x:c>
      <x:c r="AB423" s="12" t="str">
        <x:f>IF(ISNUMBER(SEARCH("healthy",F423)),"healthy_reasoning_patterns",IF(ISNUMBER(SEARCH("statistical",F423)),"statistical_reasoning",IF(ISNUMBER(SEARCH("causal",F423)),"causal_reasoning",IF(ISNUMBER(SEARCH("social",F423)),"social_influence",IF(ISNUMBER(SEARCH("rhetoric",F423)),"rhetoric_discourse",IF(ISNUMBER(SEARCH("behavior",F423)),"behavioural_economics",IF(ISNUMBER(SEARCH("cognitive",F423)),"cognitive_biases",IF(J423="protective_pattern","healthy_reasoning_patterns",IF(L423="P0","core_mvp","extended_fallacies")))))))))</x:f>
        <x:v>cognitive_biases</x:v>
      </x:c>
      <x:c r="AC423" s="12" t="str">
        <x:f>IF(ISNUMBER(SEARCH("operational",J423)),"operational",IF(ISNUMBER(SEARCH("deprecated",J423)),"deprecated",IF(L423="P0","canonical","recognized_subtype")))</x:f>
        <x:v>operational</x:v>
      </x:c>
      <x:c r="AD423" s="12" t="str">
        <x:f>IF(AC423="canonical","high",IF(AC423="recognized_subtype","medium",IF(AC423="operational","operational_only","debated")))</x:f>
        <x:v>operational_only</x:v>
      </x:c>
      <x:c r="AE423" s="12" t="str">
        <x:f>IF(AC423="deprecated","deprecated",IF(M423="yes","active",IF(M423="review","review_required","backlog")))</x:f>
        <x:v>backlog</x:v>
      </x:c>
      <x:c r="AF423" s="12" t="str">
        <x:f>IF(OR(AE423="active",AE423="review_required"),"yes","no")</x:f>
        <x:v>no</x:v>
      </x:c>
      <x:c r="AG423" s="12" t="str">
        <x:f>IF(AND(AE423="active",M423="yes",NOT(ISNUMBER(SEARCH("healthy",AB423)))),"yes","no")</x:f>
        <x:v>no</x:v>
      </x:c>
      <x:c r="AH423" s="12" t="str">
        <x:f>IF(OR(H423="contextual",H423="dialogue",H423="discourse",I423="claim+context",I423="discourse_segment"),"yes","no")</x:f>
        <x:v>yes</x:v>
      </x:c>
      <x:c r="AI423" s="12" t="str">
        <x:f>IF(OR(AH423="yes",AD423="debated",AC423="operational"),"yes","no")</x:f>
        <x:v>yes</x:v>
      </x:c>
      <x:c r="AJ423" s="12" t="str">
        <x:f>IF(OR(AH423="yes",AC423="operational",AD423="debated"),"high",IF(AND(AG423="yes",L423="P0"),"medium","low"))</x:f>
        <x:v>high</x:v>
      </x:c>
      <x:c r="AK423" s="12" t="str">
        <x:f>IF(ISNUMBER(SEARCH("healthy",AB423)),"yes","no")</x:f>
        <x:v>no</x:v>
      </x:c>
      <x:c r="AL423" s="12" t="str">
        <x:f>IF(AG423="yes","yes","candidate_only")</x:f>
        <x:v>candidate_only</x:v>
      </x:c>
      <x:c r="AM423" s="12" t="str">
        <x:f>IF(OR(AC423="canonical",AG423="yes"),"yes","recommended")</x:f>
        <x:v>recommended</x:v>
      </x:c>
      <x:c r="AN423" s="12" t="str">
        <x:f>IF(AC423="deprecated","exclude",IF(AND(AG423="yes",AJ423="high"),"import_but_human_review_required",IF(AG423="yes","import_as_active","import_as_backlog")))</x:f>
        <x:v>import_as_backlog</x:v>
      </x:c>
      <x:c r="AO423" s="12" t="str">
        <x:f>IF(AND(AG423="yes",OR(P423="",Q423="",R423="",S423="")),"missing_required_mvp_fields",IF(AND(AC423="canonical",Y423=""),"missing_source_ref","ok"))</x:f>
        <x:v>ok</x:v>
      </x:c>
      <x:c r="AP423" s="12" t="str">
        <x:f>IF(AO423="ok","ready_for_codex_import","needs_review")</x:f>
        <x:v>ready_for_codex_import</x:v>
      </x:c>
      <x:c r="AQ423" s="12"/>
      <x:c r="AR423" s="12" t="str">
        <x:v>Added v2 operational fields. Review before classification activation.</x:v>
      </x:c>
    </x:row>
    <x:row r="424">
      <x:c r="A424" s="13" t="str">
        <x:v>attentional_bias_search_selection_variant</x:v>
      </x:c>
      <x:c r="B424" s="13" t="str">
        <x:v>attentional_bias</x:v>
      </x:c>
      <x:c r="C424" s="13" t="str">
        <x:v>Attentional bias</x:v>
      </x:c>
      <x:c r="D424" s="13" t="str">
        <x:v>سوگیری توجه</x:v>
      </x:c>
      <x:c r="E424" s="13" t="str">
        <x:v>Search/selection variant</x:v>
      </x:c>
      <x:c r="F424" s="13" t="str">
        <x:v>cognitive_biases_information_processing</x:v>
      </x:c>
      <x:c r="G424" s="13" t="str">
        <x:v>operational_variant</x:v>
      </x:c>
      <x:c r="H424" s="13" t="str">
        <x:v>contextual</x:v>
      </x:c>
      <x:c r="I424" s="13" t="str">
        <x:v>claim+context</x:v>
      </x:c>
      <x:c r="J424" s="13" t="str">
        <x:v>derived_operational_subtype</x:v>
      </x:c>
      <x:c r="K424" s="13" t="str">
        <x:v>derived_from_established_parent_review_required</x:v>
      </x:c>
      <x:c r="L424" s="13" t="str">
        <x:v>P2</x:v>
      </x:c>
      <x:c r="M424" s="13" t="str">
        <x:v>no</x:v>
      </x:c>
      <x:c r="N424" s="13" t="str">
        <x:v>Operational subtype under Attentional bias: information selection is biased toward a prior view. Parent definition: Attention is disproportionately drawn to certain types of information.</x:v>
      </x:c>
      <x:c r="O424" s="13" t="str">
        <x:v>Look for: explicit claim-level evidence; parent-family cues for Attentional bias; variant cue: information selection is biased toward a prior view; avoid author-level inference.</x:v>
      </x:c>
      <x:c r="P424" s="13" t="str">
        <x:v>Exact evidence span in text plus claim-level reasoning link; for contextual/discourse entries, require surrounding context.</x:v>
      </x:c>
      <x:c r="Q424" s="13" t="str">
        <x:v>Do not label merely because topic is controversial, emotional, or wrong. Do not judge intent or personality. Require textual evidence and consider healthy-reasoning cues.</x:v>
      </x:c>
      <x:c r="R424" s="13" t="str">
        <x:v>Stub: A claim relies on information selection is biased toward a prior view to support a conclusion without adequate qualification.</x:v>
      </x:c>
      <x:c r="S424" s="13" t="str">
        <x:v>Stub: A claim discusses attentional bias with caveats, balanced evidence, or no argumentative use of the pattern.</x:v>
      </x:c>
      <x:c r="T424" s="13" t="str">
        <x:v>Mild or ambiguous cue; do not classify without clear evidence span.</x:v>
      </x:c>
      <x:c r="U424" s="13" t="str">
        <x:v>Clear claim-level pattern with some argumentative impact.</x:v>
      </x:c>
      <x:c r="V424" s="13" t="str">
        <x:v>Strong pattern central to the conclusion and likely to materially distort reasoning.</x:v>
      </x:c>
      <x:c r="W424" s="13" t="str"/>
      <x:c r="X424" s="13" t="str">
        <x:v>gilovich_heuristics_biases</x:v>
      </x:c>
      <x:c r="Y424" s="13" t="str">
        <x:v>https://www.cambridge.org/core/books/heuristics-and-biases/3C30D3B05D2F190C3B8BE5E2531EFD24</x:v>
      </x:c>
      <x:c r="Z424" s="13" t="str">
        <x:v>Review before enabling. This workbook is a living taxonomy scaffold, not a validated scientific benchmark.</x:v>
      </x:c>
      <x:c r="AA424" s="13" t="str">
        <x:v>0.1.0-draft</x:v>
      </x:c>
      <x:c r="AB424" s="12" t="str">
        <x:f>IF(ISNUMBER(SEARCH("healthy",F424)),"healthy_reasoning_patterns",IF(ISNUMBER(SEARCH("statistical",F424)),"statistical_reasoning",IF(ISNUMBER(SEARCH("causal",F424)),"causal_reasoning",IF(ISNUMBER(SEARCH("social",F424)),"social_influence",IF(ISNUMBER(SEARCH("rhetoric",F424)),"rhetoric_discourse",IF(ISNUMBER(SEARCH("behavior",F424)),"behavioural_economics",IF(ISNUMBER(SEARCH("cognitive",F424)),"cognitive_biases",IF(J424="protective_pattern","healthy_reasoning_patterns",IF(L424="P0","core_mvp","extended_fallacies")))))))))</x:f>
        <x:v>cognitive_biases</x:v>
      </x:c>
      <x:c r="AC424" s="12" t="str">
        <x:f>IF(ISNUMBER(SEARCH("operational",J424)),"operational",IF(ISNUMBER(SEARCH("deprecated",J424)),"deprecated",IF(L424="P0","canonical","recognized_subtype")))</x:f>
        <x:v>operational</x:v>
      </x:c>
      <x:c r="AD424" s="12" t="str">
        <x:f>IF(AC424="canonical","high",IF(AC424="recognized_subtype","medium",IF(AC424="operational","operational_only","debated")))</x:f>
        <x:v>operational_only</x:v>
      </x:c>
      <x:c r="AE424" s="12" t="str">
        <x:f>IF(AC424="deprecated","deprecated",IF(M424="yes","active",IF(M424="review","review_required","backlog")))</x:f>
        <x:v>backlog</x:v>
      </x:c>
      <x:c r="AF424" s="12" t="str">
        <x:f>IF(OR(AE424="active",AE424="review_required"),"yes","no")</x:f>
        <x:v>no</x:v>
      </x:c>
      <x:c r="AG424" s="12" t="str">
        <x:f>IF(AND(AE424="active",M424="yes",NOT(ISNUMBER(SEARCH("healthy",AB424)))),"yes","no")</x:f>
        <x:v>no</x:v>
      </x:c>
      <x:c r="AH424" s="12" t="str">
        <x:f>IF(OR(H424="contextual",H424="dialogue",H424="discourse",I424="claim+context",I424="discourse_segment"),"yes","no")</x:f>
        <x:v>yes</x:v>
      </x:c>
      <x:c r="AI424" s="12" t="str">
        <x:f>IF(OR(AH424="yes",AD424="debated",AC424="operational"),"yes","no")</x:f>
        <x:v>yes</x:v>
      </x:c>
      <x:c r="AJ424" s="12" t="str">
        <x:f>IF(OR(AH424="yes",AC424="operational",AD424="debated"),"high",IF(AND(AG424="yes",L424="P0"),"medium","low"))</x:f>
        <x:v>high</x:v>
      </x:c>
      <x:c r="AK424" s="12" t="str">
        <x:f>IF(ISNUMBER(SEARCH("healthy",AB424)),"yes","no")</x:f>
        <x:v>no</x:v>
      </x:c>
      <x:c r="AL424" s="12" t="str">
        <x:f>IF(AG424="yes","yes","candidate_only")</x:f>
        <x:v>candidate_only</x:v>
      </x:c>
      <x:c r="AM424" s="12" t="str">
        <x:f>IF(OR(AC424="canonical",AG424="yes"),"yes","recommended")</x:f>
        <x:v>recommended</x:v>
      </x:c>
      <x:c r="AN424" s="12" t="str">
        <x:f>IF(AC424="deprecated","exclude",IF(AND(AG424="yes",AJ424="high"),"import_but_human_review_required",IF(AG424="yes","import_as_active","import_as_backlog")))</x:f>
        <x:v>import_as_backlog</x:v>
      </x:c>
      <x:c r="AO424" s="12" t="str">
        <x:f>IF(AND(AG424="yes",OR(P424="",Q424="",R424="",S424="")),"missing_required_mvp_fields",IF(AND(AC424="canonical",Y424=""),"missing_source_ref","ok"))</x:f>
        <x:v>ok</x:v>
      </x:c>
      <x:c r="AP424" s="12" t="str">
        <x:f>IF(AO424="ok","ready_for_codex_import","needs_review")</x:f>
        <x:v>ready_for_codex_import</x:v>
      </x:c>
      <x:c r="AQ424" s="12"/>
      <x:c r="AR424" s="12" t="str">
        <x:v>Added v2 operational fields. Review before classification activation.</x:v>
      </x:c>
    </x:row>
    <x:row r="425">
      <x:c r="A425" s="13" t="str">
        <x:v>halo_effect_search_selection_variant</x:v>
      </x:c>
      <x:c r="B425" s="13" t="str">
        <x:v>halo_effect</x:v>
      </x:c>
      <x:c r="C425" s="13" t="str">
        <x:v>Halo effect</x:v>
      </x:c>
      <x:c r="D425" s="13" t="str">
        <x:v>اثر هاله‌ای</x:v>
      </x:c>
      <x:c r="E425" s="13" t="str">
        <x:v>Search/selection variant</x:v>
      </x:c>
      <x:c r="F425" s="13" t="str">
        <x:v>cognitive_biases_information_processing</x:v>
      </x:c>
      <x:c r="G425" s="13" t="str">
        <x:v>operational_variant</x:v>
      </x:c>
      <x:c r="H425" s="13" t="str">
        <x:v>contextual</x:v>
      </x:c>
      <x:c r="I425" s="13" t="str">
        <x:v>claim+context</x:v>
      </x:c>
      <x:c r="J425" s="13" t="str">
        <x:v>derived_operational_subtype</x:v>
      </x:c>
      <x:c r="K425" s="13" t="str">
        <x:v>derived_from_established_parent_review_required</x:v>
      </x:c>
      <x:c r="L425" s="13" t="str">
        <x:v>P2</x:v>
      </x:c>
      <x:c r="M425" s="13" t="str">
        <x:v>no</x:v>
      </x:c>
      <x:c r="N425" s="13" t="str">
        <x:v>Operational subtype under Halo effect: information selection is biased toward a prior view. Parent definition: Letting one positive feature color unrelated judgments.</x:v>
      </x:c>
      <x:c r="O425" s="13" t="str">
        <x:v>Look for: explicit claim-level evidence; parent-family cues for Halo effect; variant cue: information selection is biased toward a prior view; avoid author-level inference.</x:v>
      </x:c>
      <x:c r="P425" s="13" t="str">
        <x:v>Exact evidence span in text plus claim-level reasoning link; for contextual/discourse entries, require surrounding context.</x:v>
      </x:c>
      <x:c r="Q425" s="13" t="str">
        <x:v>Do not label merely because topic is controversial, emotional, or wrong. Do not judge intent or personality. Require textual evidence and consider healthy-reasoning cues.</x:v>
      </x:c>
      <x:c r="R425" s="13" t="str">
        <x:v>Stub: A claim relies on information selection is biased toward a prior view to support a conclusion without adequate qualification.</x:v>
      </x:c>
      <x:c r="S425" s="13" t="str">
        <x:v>Stub: A claim discusses halo effect with caveats, balanced evidence, or no argumentative use of the pattern.</x:v>
      </x:c>
      <x:c r="T425" s="13" t="str">
        <x:v>Mild or ambiguous cue; do not classify without clear evidence span.</x:v>
      </x:c>
      <x:c r="U425" s="13" t="str">
        <x:v>Clear claim-level pattern with some argumentative impact.</x:v>
      </x:c>
      <x:c r="V425" s="13" t="str">
        <x:v>Strong pattern central to the conclusion and likely to materially distort reasoning.</x:v>
      </x:c>
      <x:c r="W425" s="13" t="str"/>
      <x:c r="X425" s="13" t="str">
        <x:v>gilovich_heuristics_biases</x:v>
      </x:c>
      <x:c r="Y425" s="13" t="str">
        <x:v>https://www.cambridge.org/core/books/heuristics-and-biases/3C30D3B05D2F190C3B8BE5E2531EFD24</x:v>
      </x:c>
      <x:c r="Z425" s="13" t="str">
        <x:v>Review before enabling. This workbook is a living taxonomy scaffold, not a validated scientific benchmark.</x:v>
      </x:c>
      <x:c r="AA425" s="13" t="str">
        <x:v>0.1.0-draft</x:v>
      </x:c>
      <x:c r="AB425" s="12" t="str">
        <x:f>IF(ISNUMBER(SEARCH("healthy",F425)),"healthy_reasoning_patterns",IF(ISNUMBER(SEARCH("statistical",F425)),"statistical_reasoning",IF(ISNUMBER(SEARCH("causal",F425)),"causal_reasoning",IF(ISNUMBER(SEARCH("social",F425)),"social_influence",IF(ISNUMBER(SEARCH("rhetoric",F425)),"rhetoric_discourse",IF(ISNUMBER(SEARCH("behavior",F425)),"behavioural_economics",IF(ISNUMBER(SEARCH("cognitive",F425)),"cognitive_biases",IF(J425="protective_pattern","healthy_reasoning_patterns",IF(L425="P0","core_mvp","extended_fallacies")))))))))</x:f>
        <x:v>cognitive_biases</x:v>
      </x:c>
      <x:c r="AC425" s="12" t="str">
        <x:f>IF(ISNUMBER(SEARCH("operational",J425)),"operational",IF(ISNUMBER(SEARCH("deprecated",J425)),"deprecated",IF(L425="P0","canonical","recognized_subtype")))</x:f>
        <x:v>operational</x:v>
      </x:c>
      <x:c r="AD425" s="12" t="str">
        <x:f>IF(AC425="canonical","high",IF(AC425="recognized_subtype","medium",IF(AC425="operational","operational_only","debated")))</x:f>
        <x:v>operational_only</x:v>
      </x:c>
      <x:c r="AE425" s="12" t="str">
        <x:f>IF(AC425="deprecated","deprecated",IF(M425="yes","active",IF(M425="review","review_required","backlog")))</x:f>
        <x:v>backlog</x:v>
      </x:c>
      <x:c r="AF425" s="12" t="str">
        <x:f>IF(OR(AE425="active",AE425="review_required"),"yes","no")</x:f>
        <x:v>no</x:v>
      </x:c>
      <x:c r="AG425" s="12" t="str">
        <x:f>IF(AND(AE425="active",M425="yes",NOT(ISNUMBER(SEARCH("healthy",AB425)))),"yes","no")</x:f>
        <x:v>no</x:v>
      </x:c>
      <x:c r="AH425" s="12" t="str">
        <x:f>IF(OR(H425="contextual",H425="dialogue",H425="discourse",I425="claim+context",I425="discourse_segment"),"yes","no")</x:f>
        <x:v>yes</x:v>
      </x:c>
      <x:c r="AI425" s="12" t="str">
        <x:f>IF(OR(AH425="yes",AD425="debated",AC425="operational"),"yes","no")</x:f>
        <x:v>yes</x:v>
      </x:c>
      <x:c r="AJ425" s="12" t="str">
        <x:f>IF(OR(AH425="yes",AC425="operational",AD425="debated"),"high",IF(AND(AG425="yes",L425="P0"),"medium","low"))</x:f>
        <x:v>high</x:v>
      </x:c>
      <x:c r="AK425" s="12" t="str">
        <x:f>IF(ISNUMBER(SEARCH("healthy",AB425)),"yes","no")</x:f>
        <x:v>no</x:v>
      </x:c>
      <x:c r="AL425" s="12" t="str">
        <x:f>IF(AG425="yes","yes","candidate_only")</x:f>
        <x:v>candidate_only</x:v>
      </x:c>
      <x:c r="AM425" s="12" t="str">
        <x:f>IF(OR(AC425="canonical",AG425="yes"),"yes","recommended")</x:f>
        <x:v>recommended</x:v>
      </x:c>
      <x:c r="AN425" s="12" t="str">
        <x:f>IF(AC425="deprecated","exclude",IF(AND(AG425="yes",AJ425="high"),"import_but_human_review_required",IF(AG425="yes","import_as_active","import_as_backlog")))</x:f>
        <x:v>import_as_backlog</x:v>
      </x:c>
      <x:c r="AO425" s="12" t="str">
        <x:f>IF(AND(AG425="yes",OR(P425="",Q425="",R425="",S425="")),"missing_required_mvp_fields",IF(AND(AC425="canonical",Y425=""),"missing_source_ref","ok"))</x:f>
        <x:v>ok</x:v>
      </x:c>
      <x:c r="AP425" s="12" t="str">
        <x:f>IF(AO425="ok","ready_for_codex_import","needs_review")</x:f>
        <x:v>ready_for_codex_import</x:v>
      </x:c>
      <x:c r="AQ425" s="12"/>
      <x:c r="AR425" s="12" t="str">
        <x:v>Added v2 operational fields. Review before classification activation.</x:v>
      </x:c>
    </x:row>
    <x:row r="426">
      <x:c r="A426" s="13" t="str">
        <x:v>horns_effect_search_selection_variant</x:v>
      </x:c>
      <x:c r="B426" s="13" t="str">
        <x:v>horns_effect</x:v>
      </x:c>
      <x:c r="C426" s="13" t="str">
        <x:v>Horns effect</x:v>
      </x:c>
      <x:c r="D426" s="13" t="str">
        <x:v>اثر شاخ</x:v>
      </x:c>
      <x:c r="E426" s="13" t="str">
        <x:v>Search/selection variant</x:v>
      </x:c>
      <x:c r="F426" s="13" t="str">
        <x:v>cognitive_biases_information_processing</x:v>
      </x:c>
      <x:c r="G426" s="13" t="str">
        <x:v>operational_variant</x:v>
      </x:c>
      <x:c r="H426" s="13" t="str">
        <x:v>contextual</x:v>
      </x:c>
      <x:c r="I426" s="13" t="str">
        <x:v>claim+context</x:v>
      </x:c>
      <x:c r="J426" s="13" t="str">
        <x:v>derived_operational_subtype</x:v>
      </x:c>
      <x:c r="K426" s="13" t="str">
        <x:v>derived_from_established_parent_review_required</x:v>
      </x:c>
      <x:c r="L426" s="13" t="str">
        <x:v>P2</x:v>
      </x:c>
      <x:c r="M426" s="13" t="str">
        <x:v>no</x:v>
      </x:c>
      <x:c r="N426" s="13" t="str">
        <x:v>Operational subtype under Horns effect: information selection is biased toward a prior view. Parent definition: Letting one negative feature color unrelated judgments.</x:v>
      </x:c>
      <x:c r="O426" s="13" t="str">
        <x:v>Look for: explicit claim-level evidence; parent-family cues for Horns effect; variant cue: information selection is biased toward a prior view; avoid author-level inference.</x:v>
      </x:c>
      <x:c r="P426" s="13" t="str">
        <x:v>Exact evidence span in text plus claim-level reasoning link; for contextual/discourse entries, require surrounding context.</x:v>
      </x:c>
      <x:c r="Q426" s="13" t="str">
        <x:v>Do not label merely because topic is controversial, emotional, or wrong. Do not judge intent or personality. Require textual evidence and consider healthy-reasoning cues.</x:v>
      </x:c>
      <x:c r="R426" s="13" t="str">
        <x:v>Stub: A claim relies on information selection is biased toward a prior view to support a conclusion without adequate qualification.</x:v>
      </x:c>
      <x:c r="S426" s="13" t="str">
        <x:v>Stub: A claim discusses horns effect with caveats, balanced evidence, or no argumentative use of the pattern.</x:v>
      </x:c>
      <x:c r="T426" s="13" t="str">
        <x:v>Mild or ambiguous cue; do not classify without clear evidence span.</x:v>
      </x:c>
      <x:c r="U426" s="13" t="str">
        <x:v>Clear claim-level pattern with some argumentative impact.</x:v>
      </x:c>
      <x:c r="V426" s="13" t="str">
        <x:v>Strong pattern central to the conclusion and likely to materially distort reasoning.</x:v>
      </x:c>
      <x:c r="W426" s="13" t="str"/>
      <x:c r="X426" s="13" t="str">
        <x:v>gilovich_heuristics_biases</x:v>
      </x:c>
      <x:c r="Y426" s="13" t="str">
        <x:v>https://www.cambridge.org/core/books/heuristics-and-biases/3C30D3B05D2F190C3B8BE5E2531EFD24</x:v>
      </x:c>
      <x:c r="Z426" s="13" t="str">
        <x:v>Review before enabling. This workbook is a living taxonomy scaffold, not a validated scientific benchmark.</x:v>
      </x:c>
      <x:c r="AA426" s="13" t="str">
        <x:v>0.1.0-draft</x:v>
      </x:c>
      <x:c r="AB426" s="12" t="str">
        <x:f>IF(ISNUMBER(SEARCH("healthy",F426)),"healthy_reasoning_patterns",IF(ISNUMBER(SEARCH("statistical",F426)),"statistical_reasoning",IF(ISNUMBER(SEARCH("causal",F426)),"causal_reasoning",IF(ISNUMBER(SEARCH("social",F426)),"social_influence",IF(ISNUMBER(SEARCH("rhetoric",F426)),"rhetoric_discourse",IF(ISNUMBER(SEARCH("behavior",F426)),"behavioural_economics",IF(ISNUMBER(SEARCH("cognitive",F426)),"cognitive_biases",IF(J426="protective_pattern","healthy_reasoning_patterns",IF(L426="P0","core_mvp","extended_fallacies")))))))))</x:f>
        <x:v>cognitive_biases</x:v>
      </x:c>
      <x:c r="AC426" s="12" t="str">
        <x:f>IF(ISNUMBER(SEARCH("operational",J426)),"operational",IF(ISNUMBER(SEARCH("deprecated",J426)),"deprecated",IF(L426="P0","canonical","recognized_subtype")))</x:f>
        <x:v>operational</x:v>
      </x:c>
      <x:c r="AD426" s="12" t="str">
        <x:f>IF(AC426="canonical","high",IF(AC426="recognized_subtype","medium",IF(AC426="operational","operational_only","debated")))</x:f>
        <x:v>operational_only</x:v>
      </x:c>
      <x:c r="AE426" s="12" t="str">
        <x:f>IF(AC426="deprecated","deprecated",IF(M426="yes","active",IF(M426="review","review_required","backlog")))</x:f>
        <x:v>backlog</x:v>
      </x:c>
      <x:c r="AF426" s="12" t="str">
        <x:f>IF(OR(AE426="active",AE426="review_required"),"yes","no")</x:f>
        <x:v>no</x:v>
      </x:c>
      <x:c r="AG426" s="12" t="str">
        <x:f>IF(AND(AE426="active",M426="yes",NOT(ISNUMBER(SEARCH("healthy",AB426)))),"yes","no")</x:f>
        <x:v>no</x:v>
      </x:c>
      <x:c r="AH426" s="12" t="str">
        <x:f>IF(OR(H426="contextual",H426="dialogue",H426="discourse",I426="claim+context",I426="discourse_segment"),"yes","no")</x:f>
        <x:v>yes</x:v>
      </x:c>
      <x:c r="AI426" s="12" t="str">
        <x:f>IF(OR(AH426="yes",AD426="debated",AC426="operational"),"yes","no")</x:f>
        <x:v>yes</x:v>
      </x:c>
      <x:c r="AJ426" s="12" t="str">
        <x:f>IF(OR(AH426="yes",AC426="operational",AD426="debated"),"high",IF(AND(AG426="yes",L426="P0"),"medium","low"))</x:f>
        <x:v>high</x:v>
      </x:c>
      <x:c r="AK426" s="12" t="str">
        <x:f>IF(ISNUMBER(SEARCH("healthy",AB426)),"yes","no")</x:f>
        <x:v>no</x:v>
      </x:c>
      <x:c r="AL426" s="12" t="str">
        <x:f>IF(AG426="yes","yes","candidate_only")</x:f>
        <x:v>candidate_only</x:v>
      </x:c>
      <x:c r="AM426" s="12" t="str">
        <x:f>IF(OR(AC426="canonical",AG426="yes"),"yes","recommended")</x:f>
        <x:v>recommended</x:v>
      </x:c>
      <x:c r="AN426" s="12" t="str">
        <x:f>IF(AC426="deprecated","exclude",IF(AND(AG426="yes",AJ426="high"),"import_but_human_review_required",IF(AG426="yes","import_as_active","import_as_backlog")))</x:f>
        <x:v>import_as_backlog</x:v>
      </x:c>
      <x:c r="AO426" s="12" t="str">
        <x:f>IF(AND(AG426="yes",OR(P426="",Q426="",R426="",S426="")),"missing_required_mvp_fields",IF(AND(AC426="canonical",Y426=""),"missing_source_ref","ok"))</x:f>
        <x:v>ok</x:v>
      </x:c>
      <x:c r="AP426" s="12" t="str">
        <x:f>IF(AO426="ok","ready_for_codex_import","needs_review")</x:f>
        <x:v>ready_for_codex_import</x:v>
      </x:c>
      <x:c r="AQ426" s="12"/>
      <x:c r="AR426" s="12" t="str">
        <x:v>Added v2 operational fields. Review before classification activation.</x:v>
      </x:c>
    </x:row>
    <x:row r="427">
      <x:c r="A427" s="13" t="str">
        <x:v>fundamental_attribution_error_search_selection_variant</x:v>
      </x:c>
      <x:c r="B427" s="13" t="str">
        <x:v>fundamental_attribution_error</x:v>
      </x:c>
      <x:c r="C427" s="13" t="str">
        <x:v>Fundamental attribution error</x:v>
      </x:c>
      <x:c r="D427" s="13" t="str">
        <x:v>خطای اسناد بنیادی</x:v>
      </x:c>
      <x:c r="E427" s="13" t="str">
        <x:v>Search/selection variant</x:v>
      </x:c>
      <x:c r="F427" s="13" t="str">
        <x:v>cognitive_biases_information_processing</x:v>
      </x:c>
      <x:c r="G427" s="13" t="str">
        <x:v>operational_variant</x:v>
      </x:c>
      <x:c r="H427" s="13" t="str">
        <x:v>contextual</x:v>
      </x:c>
      <x:c r="I427" s="13" t="str">
        <x:v>claim+context</x:v>
      </x:c>
      <x:c r="J427" s="13" t="str">
        <x:v>derived_operational_subtype</x:v>
      </x:c>
      <x:c r="K427" s="13" t="str">
        <x:v>derived_from_established_parent_review_required</x:v>
      </x:c>
      <x:c r="L427" s="13" t="str">
        <x:v>P2</x:v>
      </x:c>
      <x:c r="M427" s="13" t="str">
        <x:v>no</x:v>
      </x:c>
      <x:c r="N427" s="13" t="str">
        <x:v>Operational subtype under Fundamental attribution error: information selection is biased toward a prior view. Parent definition: Overemphasizing dispositional explanations and underweighting situational context.</x:v>
      </x:c>
      <x:c r="O427" s="13" t="str">
        <x:v>Look for: explicit claim-level evidence; parent-family cues for Fundamental attribution error; variant cue: information selection is biased toward a prior view; avoid author-level inference.</x:v>
      </x:c>
      <x:c r="P427" s="13" t="str">
        <x:v>Exact evidence span in text plus claim-level reasoning link; for contextual/discourse entries, require surrounding context.</x:v>
      </x:c>
      <x:c r="Q427" s="13" t="str">
        <x:v>Do not label merely because topic is controversial, emotional, or wrong. Do not judge intent or personality. Require textual evidence and consider healthy-reasoning cues.</x:v>
      </x:c>
      <x:c r="R427" s="13" t="str">
        <x:v>Stub: A claim relies on information selection is biased toward a prior view to support a conclusion without adequate qualification.</x:v>
      </x:c>
      <x:c r="S427" s="13" t="str">
        <x:v>Stub: A claim discusses fundamental attribution error with caveats, balanced evidence, or no argumentative use of the pattern.</x:v>
      </x:c>
      <x:c r="T427" s="13" t="str">
        <x:v>Mild or ambiguous cue; do not classify without clear evidence span.</x:v>
      </x:c>
      <x:c r="U427" s="13" t="str">
        <x:v>Clear claim-level pattern with some argumentative impact.</x:v>
      </x:c>
      <x:c r="V427" s="13" t="str">
        <x:v>Strong pattern central to the conclusion and likely to materially distort reasoning.</x:v>
      </x:c>
      <x:c r="W427" s="13" t="str"/>
      <x:c r="X427" s="13" t="str">
        <x:v>gilovich_heuristics_biases</x:v>
      </x:c>
      <x:c r="Y427" s="13" t="str">
        <x:v>https://www.cambridge.org/core/books/heuristics-and-biases/3C30D3B05D2F190C3B8BE5E2531EFD24</x:v>
      </x:c>
      <x:c r="Z427" s="13" t="str">
        <x:v>Review before enabling. This workbook is a living taxonomy scaffold, not a validated scientific benchmark.</x:v>
      </x:c>
      <x:c r="AA427" s="13" t="str">
        <x:v>0.1.0-draft</x:v>
      </x:c>
      <x:c r="AB427" s="12" t="str">
        <x:f>IF(ISNUMBER(SEARCH("healthy",F427)),"healthy_reasoning_patterns",IF(ISNUMBER(SEARCH("statistical",F427)),"statistical_reasoning",IF(ISNUMBER(SEARCH("causal",F427)),"causal_reasoning",IF(ISNUMBER(SEARCH("social",F427)),"social_influence",IF(ISNUMBER(SEARCH("rhetoric",F427)),"rhetoric_discourse",IF(ISNUMBER(SEARCH("behavior",F427)),"behavioural_economics",IF(ISNUMBER(SEARCH("cognitive",F427)),"cognitive_biases",IF(J427="protective_pattern","healthy_reasoning_patterns",IF(L427="P0","core_mvp","extended_fallacies")))))))))</x:f>
        <x:v>cognitive_biases</x:v>
      </x:c>
      <x:c r="AC427" s="12" t="str">
        <x:f>IF(ISNUMBER(SEARCH("operational",J427)),"operational",IF(ISNUMBER(SEARCH("deprecated",J427)),"deprecated",IF(L427="P0","canonical","recognized_subtype")))</x:f>
        <x:v>operational</x:v>
      </x:c>
      <x:c r="AD427" s="12" t="str">
        <x:f>IF(AC427="canonical","high",IF(AC427="recognized_subtype","medium",IF(AC427="operational","operational_only","debated")))</x:f>
        <x:v>operational_only</x:v>
      </x:c>
      <x:c r="AE427" s="12" t="str">
        <x:f>IF(AC427="deprecated","deprecated",IF(M427="yes","active",IF(M427="review","review_required","backlog")))</x:f>
        <x:v>backlog</x:v>
      </x:c>
      <x:c r="AF427" s="12" t="str">
        <x:f>IF(OR(AE427="active",AE427="review_required"),"yes","no")</x:f>
        <x:v>no</x:v>
      </x:c>
      <x:c r="AG427" s="12" t="str">
        <x:f>IF(AND(AE427="active",M427="yes",NOT(ISNUMBER(SEARCH("healthy",AB427)))),"yes","no")</x:f>
        <x:v>no</x:v>
      </x:c>
      <x:c r="AH427" s="12" t="str">
        <x:f>IF(OR(H427="contextual",H427="dialogue",H427="discourse",I427="claim+context",I427="discourse_segment"),"yes","no")</x:f>
        <x:v>yes</x:v>
      </x:c>
      <x:c r="AI427" s="12" t="str">
        <x:f>IF(OR(AH427="yes",AD427="debated",AC427="operational"),"yes","no")</x:f>
        <x:v>yes</x:v>
      </x:c>
      <x:c r="AJ427" s="12" t="str">
        <x:f>IF(OR(AH427="yes",AC427="operational",AD427="debated"),"high",IF(AND(AG427="yes",L427="P0"),"medium","low"))</x:f>
        <x:v>high</x:v>
      </x:c>
      <x:c r="AK427" s="12" t="str">
        <x:f>IF(ISNUMBER(SEARCH("healthy",AB427)),"yes","no")</x:f>
        <x:v>no</x:v>
      </x:c>
      <x:c r="AL427" s="12" t="str">
        <x:f>IF(AG427="yes","yes","candidate_only")</x:f>
        <x:v>candidate_only</x:v>
      </x:c>
      <x:c r="AM427" s="12" t="str">
        <x:f>IF(OR(AC427="canonical",AG427="yes"),"yes","recommended")</x:f>
        <x:v>recommended</x:v>
      </x:c>
      <x:c r="AN427" s="12" t="str">
        <x:f>IF(AC427="deprecated","exclude",IF(AND(AG427="yes",AJ427="high"),"import_but_human_review_required",IF(AG427="yes","import_as_active","import_as_backlog")))</x:f>
        <x:v>import_as_backlog</x:v>
      </x:c>
      <x:c r="AO427" s="12" t="str">
        <x:f>IF(AND(AG427="yes",OR(P427="",Q427="",R427="",S427="")),"missing_required_mvp_fields",IF(AND(AC427="canonical",Y427=""),"missing_source_ref","ok"))</x:f>
        <x:v>ok</x:v>
      </x:c>
      <x:c r="AP427" s="12" t="str">
        <x:f>IF(AO427="ok","ready_for_codex_import","needs_review")</x:f>
        <x:v>ready_for_codex_import</x:v>
      </x:c>
      <x:c r="AQ427" s="12"/>
      <x:c r="AR427" s="12" t="str">
        <x:v>Added v2 operational fields. Review before classification activation.</x:v>
      </x:c>
    </x:row>
    <x:row r="428">
      <x:c r="A428" s="13" t="str">
        <x:v>actor_observer_bias_search_selection_variant</x:v>
      </x:c>
      <x:c r="B428" s="13" t="str">
        <x:v>actor_observer_bias</x:v>
      </x:c>
      <x:c r="C428" s="13" t="str">
        <x:v>Actor-observer bias</x:v>
      </x:c>
      <x:c r="D428" s="13" t="str">
        <x:v>سوگیری کنشگر-ناظر</x:v>
      </x:c>
      <x:c r="E428" s="13" t="str">
        <x:v>Search/selection variant</x:v>
      </x:c>
      <x:c r="F428" s="13" t="str">
        <x:v>cognitive_biases_information_processing</x:v>
      </x:c>
      <x:c r="G428" s="13" t="str">
        <x:v>operational_variant</x:v>
      </x:c>
      <x:c r="H428" s="13" t="str">
        <x:v>contextual</x:v>
      </x:c>
      <x:c r="I428" s="13" t="str">
        <x:v>claim+context</x:v>
      </x:c>
      <x:c r="J428" s="13" t="str">
        <x:v>derived_operational_subtype</x:v>
      </x:c>
      <x:c r="K428" s="13" t="str">
        <x:v>derived_from_established_parent_review_required</x:v>
      </x:c>
      <x:c r="L428" s="13" t="str">
        <x:v>P2</x:v>
      </x:c>
      <x:c r="M428" s="13" t="str">
        <x:v>no</x:v>
      </x:c>
      <x:c r="N428" s="13" t="str">
        <x:v>Operational subtype under Actor-observer bias: information selection is biased toward a prior view. Parent definition: Explaining one's own behavior situationally and others' behavior dispositionally.</x:v>
      </x:c>
      <x:c r="O428" s="13" t="str">
        <x:v>Look for: explicit claim-level evidence; parent-family cues for Actor-observer bias; variant cue: information selection is biased toward a prior view; avoid author-level inference.</x:v>
      </x:c>
      <x:c r="P428" s="13" t="str">
        <x:v>Exact evidence span in text plus claim-level reasoning link; for contextual/discourse entries, require surrounding context.</x:v>
      </x:c>
      <x:c r="Q428" s="13" t="str">
        <x:v>Do not label merely because topic is controversial, emotional, or wrong. Do not judge intent or personality. Require textual evidence and consider healthy-reasoning cues.</x:v>
      </x:c>
      <x:c r="R428" s="13" t="str">
        <x:v>Stub: A claim relies on information selection is biased toward a prior view to support a conclusion without adequate qualification.</x:v>
      </x:c>
      <x:c r="S428" s="13" t="str">
        <x:v>Stub: A claim discusses actor-observer bias with caveats, balanced evidence, or no argumentative use of the pattern.</x:v>
      </x:c>
      <x:c r="T428" s="13" t="str">
        <x:v>Mild or ambiguous cue; do not classify without clear evidence span.</x:v>
      </x:c>
      <x:c r="U428" s="13" t="str">
        <x:v>Clear claim-level pattern with some argumentative impact.</x:v>
      </x:c>
      <x:c r="V428" s="13" t="str">
        <x:v>Strong pattern central to the conclusion and likely to materially distort reasoning.</x:v>
      </x:c>
      <x:c r="W428" s="13" t="str"/>
      <x:c r="X428" s="13" t="str">
        <x:v>gilovich_heuristics_biases</x:v>
      </x:c>
      <x:c r="Y428" s="13" t="str">
        <x:v>https://www.cambridge.org/core/books/heuristics-and-biases/3C30D3B05D2F190C3B8BE5E2531EFD24</x:v>
      </x:c>
      <x:c r="Z428" s="13" t="str">
        <x:v>Review before enabling. This workbook is a living taxonomy scaffold, not a validated scientific benchmark.</x:v>
      </x:c>
      <x:c r="AA428" s="13" t="str">
        <x:v>0.1.0-draft</x:v>
      </x:c>
      <x:c r="AB428" s="12" t="str">
        <x:f>IF(ISNUMBER(SEARCH("healthy",F428)),"healthy_reasoning_patterns",IF(ISNUMBER(SEARCH("statistical",F428)),"statistical_reasoning",IF(ISNUMBER(SEARCH("causal",F428)),"causal_reasoning",IF(ISNUMBER(SEARCH("social",F428)),"social_influence",IF(ISNUMBER(SEARCH("rhetoric",F428)),"rhetoric_discourse",IF(ISNUMBER(SEARCH("behavior",F428)),"behavioural_economics",IF(ISNUMBER(SEARCH("cognitive",F428)),"cognitive_biases",IF(J428="protective_pattern","healthy_reasoning_patterns",IF(L428="P0","core_mvp","extended_fallacies")))))))))</x:f>
        <x:v>cognitive_biases</x:v>
      </x:c>
      <x:c r="AC428" s="12" t="str">
        <x:f>IF(ISNUMBER(SEARCH("operational",J428)),"operational",IF(ISNUMBER(SEARCH("deprecated",J428)),"deprecated",IF(L428="P0","canonical","recognized_subtype")))</x:f>
        <x:v>operational</x:v>
      </x:c>
      <x:c r="AD428" s="12" t="str">
        <x:f>IF(AC428="canonical","high",IF(AC428="recognized_subtype","medium",IF(AC428="operational","operational_only","debated")))</x:f>
        <x:v>operational_only</x:v>
      </x:c>
      <x:c r="AE428" s="12" t="str">
        <x:f>IF(AC428="deprecated","deprecated",IF(M428="yes","active",IF(M428="review","review_required","backlog")))</x:f>
        <x:v>backlog</x:v>
      </x:c>
      <x:c r="AF428" s="12" t="str">
        <x:f>IF(OR(AE428="active",AE428="review_required"),"yes","no")</x:f>
        <x:v>no</x:v>
      </x:c>
      <x:c r="AG428" s="12" t="str">
        <x:f>IF(AND(AE428="active",M428="yes",NOT(ISNUMBER(SEARCH("healthy",AB428)))),"yes","no")</x:f>
        <x:v>no</x:v>
      </x:c>
      <x:c r="AH428" s="12" t="str">
        <x:f>IF(OR(H428="contextual",H428="dialogue",H428="discourse",I428="claim+context",I428="discourse_segment"),"yes","no")</x:f>
        <x:v>yes</x:v>
      </x:c>
      <x:c r="AI428" s="12" t="str">
        <x:f>IF(OR(AH428="yes",AD428="debated",AC428="operational"),"yes","no")</x:f>
        <x:v>yes</x:v>
      </x:c>
      <x:c r="AJ428" s="12" t="str">
        <x:f>IF(OR(AH428="yes",AC428="operational",AD428="debated"),"high",IF(AND(AG428="yes",L428="P0"),"medium","low"))</x:f>
        <x:v>high</x:v>
      </x:c>
      <x:c r="AK428" s="12" t="str">
        <x:f>IF(ISNUMBER(SEARCH("healthy",AB428)),"yes","no")</x:f>
        <x:v>no</x:v>
      </x:c>
      <x:c r="AL428" s="12" t="str">
        <x:f>IF(AG428="yes","yes","candidate_only")</x:f>
        <x:v>candidate_only</x:v>
      </x:c>
      <x:c r="AM428" s="12" t="str">
        <x:f>IF(OR(AC428="canonical",AG428="yes"),"yes","recommended")</x:f>
        <x:v>recommended</x:v>
      </x:c>
      <x:c r="AN428" s="12" t="str">
        <x:f>IF(AC428="deprecated","exclude",IF(AND(AG428="yes",AJ428="high"),"import_but_human_review_required",IF(AG428="yes","import_as_active","import_as_backlog")))</x:f>
        <x:v>import_as_backlog</x:v>
      </x:c>
      <x:c r="AO428" s="12" t="str">
        <x:f>IF(AND(AG428="yes",OR(P428="",Q428="",R428="",S428="")),"missing_required_mvp_fields",IF(AND(AC428="canonical",Y428=""),"missing_source_ref","ok"))</x:f>
        <x:v>ok</x:v>
      </x:c>
      <x:c r="AP428" s="12" t="str">
        <x:f>IF(AO428="ok","ready_for_codex_import","needs_review")</x:f>
        <x:v>ready_for_codex_import</x:v>
      </x:c>
      <x:c r="AQ428" s="12"/>
      <x:c r="AR428" s="12" t="str">
        <x:v>Added v2 operational fields. Review before classification activation.</x:v>
      </x:c>
    </x:row>
    <x:row r="429">
      <x:c r="A429" s="13" t="str">
        <x:v>self_serving_bias_search_selection_variant</x:v>
      </x:c>
      <x:c r="B429" s="13" t="str">
        <x:v>self_serving_bias</x:v>
      </x:c>
      <x:c r="C429" s="13" t="str">
        <x:v>Self-serving bias</x:v>
      </x:c>
      <x:c r="D429" s="13" t="str">
        <x:v>سوگیری خودخدمتی</x:v>
      </x:c>
      <x:c r="E429" s="13" t="str">
        <x:v>Search/selection variant</x:v>
      </x:c>
      <x:c r="F429" s="13" t="str">
        <x:v>cognitive_biases_information_processing</x:v>
      </x:c>
      <x:c r="G429" s="13" t="str">
        <x:v>operational_variant</x:v>
      </x:c>
      <x:c r="H429" s="13" t="str">
        <x:v>contextual</x:v>
      </x:c>
      <x:c r="I429" s="13" t="str">
        <x:v>claim+context</x:v>
      </x:c>
      <x:c r="J429" s="13" t="str">
        <x:v>derived_operational_subtype</x:v>
      </x:c>
      <x:c r="K429" s="13" t="str">
        <x:v>derived_from_established_parent_review_required</x:v>
      </x:c>
      <x:c r="L429" s="13" t="str">
        <x:v>P2</x:v>
      </x:c>
      <x:c r="M429" s="13" t="str">
        <x:v>no</x:v>
      </x:c>
      <x:c r="N429" s="13" t="str">
        <x:v>Operational subtype under Self-serving bias: information selection is biased toward a prior view. Parent definition: Attributing successes internally and failures externally.</x:v>
      </x:c>
      <x:c r="O429" s="13" t="str">
        <x:v>Look for: explicit claim-level evidence; parent-family cues for Self-serving bias; variant cue: information selection is biased toward a prior view; avoid author-level inference.</x:v>
      </x:c>
      <x:c r="P429" s="13" t="str">
        <x:v>Exact evidence span in text plus claim-level reasoning link; for contextual/discourse entries, require surrounding context.</x:v>
      </x:c>
      <x:c r="Q429" s="13" t="str">
        <x:v>Do not label merely because topic is controversial, emotional, or wrong. Do not judge intent or personality. Require textual evidence and consider healthy-reasoning cues.</x:v>
      </x:c>
      <x:c r="R429" s="13" t="str">
        <x:v>Stub: A claim relies on information selection is biased toward a prior view to support a conclusion without adequate qualification.</x:v>
      </x:c>
      <x:c r="S429" s="13" t="str">
        <x:v>Stub: A claim discusses self-serving bias with caveats, balanced evidence, or no argumentative use of the pattern.</x:v>
      </x:c>
      <x:c r="T429" s="13" t="str">
        <x:v>Mild or ambiguous cue; do not classify without clear evidence span.</x:v>
      </x:c>
      <x:c r="U429" s="13" t="str">
        <x:v>Clear claim-level pattern with some argumentative impact.</x:v>
      </x:c>
      <x:c r="V429" s="13" t="str">
        <x:v>Strong pattern central to the conclusion and likely to materially distort reasoning.</x:v>
      </x:c>
      <x:c r="W429" s="13" t="str"/>
      <x:c r="X429" s="13" t="str">
        <x:v>gilovich_heuristics_biases</x:v>
      </x:c>
      <x:c r="Y429" s="13" t="str">
        <x:v>https://www.cambridge.org/core/books/heuristics-and-biases/3C30D3B05D2F190C3B8BE5E2531EFD24</x:v>
      </x:c>
      <x:c r="Z429" s="13" t="str">
        <x:v>Review before enabling. This workbook is a living taxonomy scaffold, not a validated scientific benchmark.</x:v>
      </x:c>
      <x:c r="AA429" s="13" t="str">
        <x:v>0.1.0-draft</x:v>
      </x:c>
      <x:c r="AB429" s="12" t="str">
        <x:f>IF(ISNUMBER(SEARCH("healthy",F429)),"healthy_reasoning_patterns",IF(ISNUMBER(SEARCH("statistical",F429)),"statistical_reasoning",IF(ISNUMBER(SEARCH("causal",F429)),"causal_reasoning",IF(ISNUMBER(SEARCH("social",F429)),"social_influence",IF(ISNUMBER(SEARCH("rhetoric",F429)),"rhetoric_discourse",IF(ISNUMBER(SEARCH("behavior",F429)),"behavioural_economics",IF(ISNUMBER(SEARCH("cognitive",F429)),"cognitive_biases",IF(J429="protective_pattern","healthy_reasoning_patterns",IF(L429="P0","core_mvp","extended_fallacies")))))))))</x:f>
        <x:v>cognitive_biases</x:v>
      </x:c>
      <x:c r="AC429" s="12" t="str">
        <x:f>IF(ISNUMBER(SEARCH("operational",J429)),"operational",IF(ISNUMBER(SEARCH("deprecated",J429)),"deprecated",IF(L429="P0","canonical","recognized_subtype")))</x:f>
        <x:v>operational</x:v>
      </x:c>
      <x:c r="AD429" s="12" t="str">
        <x:f>IF(AC429="canonical","high",IF(AC429="recognized_subtype","medium",IF(AC429="operational","operational_only","debated")))</x:f>
        <x:v>operational_only</x:v>
      </x:c>
      <x:c r="AE429" s="12" t="str">
        <x:f>IF(AC429="deprecated","deprecated",IF(M429="yes","active",IF(M429="review","review_required","backlog")))</x:f>
        <x:v>backlog</x:v>
      </x:c>
      <x:c r="AF429" s="12" t="str">
        <x:f>IF(OR(AE429="active",AE429="review_required"),"yes","no")</x:f>
        <x:v>no</x:v>
      </x:c>
      <x:c r="AG429" s="12" t="str">
        <x:f>IF(AND(AE429="active",M429="yes",NOT(ISNUMBER(SEARCH("healthy",AB429)))),"yes","no")</x:f>
        <x:v>no</x:v>
      </x:c>
      <x:c r="AH429" s="12" t="str">
        <x:f>IF(OR(H429="contextual",H429="dialogue",H429="discourse",I429="claim+context",I429="discourse_segment"),"yes","no")</x:f>
        <x:v>yes</x:v>
      </x:c>
      <x:c r="AI429" s="12" t="str">
        <x:f>IF(OR(AH429="yes",AD429="debated",AC429="operational"),"yes","no")</x:f>
        <x:v>yes</x:v>
      </x:c>
      <x:c r="AJ429" s="12" t="str">
        <x:f>IF(OR(AH429="yes",AC429="operational",AD429="debated"),"high",IF(AND(AG429="yes",L429="P0"),"medium","low"))</x:f>
        <x:v>high</x:v>
      </x:c>
      <x:c r="AK429" s="12" t="str">
        <x:f>IF(ISNUMBER(SEARCH("healthy",AB429)),"yes","no")</x:f>
        <x:v>no</x:v>
      </x:c>
      <x:c r="AL429" s="12" t="str">
        <x:f>IF(AG429="yes","yes","candidate_only")</x:f>
        <x:v>candidate_only</x:v>
      </x:c>
      <x:c r="AM429" s="12" t="str">
        <x:f>IF(OR(AC429="canonical",AG429="yes"),"yes","recommended")</x:f>
        <x:v>recommended</x:v>
      </x:c>
      <x:c r="AN429" s="12" t="str">
        <x:f>IF(AC429="deprecated","exclude",IF(AND(AG429="yes",AJ429="high"),"import_but_human_review_required",IF(AG429="yes","import_as_active","import_as_backlog")))</x:f>
        <x:v>import_as_backlog</x:v>
      </x:c>
      <x:c r="AO429" s="12" t="str">
        <x:f>IF(AND(AG429="yes",OR(P429="",Q429="",R429="",S429="")),"missing_required_mvp_fields",IF(AND(AC429="canonical",Y429=""),"missing_source_ref","ok"))</x:f>
        <x:v>ok</x:v>
      </x:c>
      <x:c r="AP429" s="12" t="str">
        <x:f>IF(AO429="ok","ready_for_codex_import","needs_review")</x:f>
        <x:v>ready_for_codex_import</x:v>
      </x:c>
      <x:c r="AQ429" s="12"/>
      <x:c r="AR429" s="12" t="str">
        <x:v>Added v2 operational fields. Review before classification activation.</x:v>
      </x:c>
    </x:row>
    <x:row r="430">
      <x:c r="A430" s="13" t="str">
        <x:v>illusory_correlation_search_selection_variant</x:v>
      </x:c>
      <x:c r="B430" s="13" t="str">
        <x:v>illusory_correlation</x:v>
      </x:c>
      <x:c r="C430" s="13" t="str">
        <x:v>Illusory correlation</x:v>
      </x:c>
      <x:c r="D430" s="13" t="str">
        <x:v>همبستگی موهوم</x:v>
      </x:c>
      <x:c r="E430" s="13" t="str">
        <x:v>Search/selection variant</x:v>
      </x:c>
      <x:c r="F430" s="13" t="str">
        <x:v>cognitive_biases_information_processing</x:v>
      </x:c>
      <x:c r="G430" s="13" t="str">
        <x:v>operational_variant</x:v>
      </x:c>
      <x:c r="H430" s="13" t="str">
        <x:v>contextual</x:v>
      </x:c>
      <x:c r="I430" s="13" t="str">
        <x:v>claim+context</x:v>
      </x:c>
      <x:c r="J430" s="13" t="str">
        <x:v>derived_operational_subtype</x:v>
      </x:c>
      <x:c r="K430" s="13" t="str">
        <x:v>derived_from_established_parent_review_required</x:v>
      </x:c>
      <x:c r="L430" s="13" t="str">
        <x:v>P2</x:v>
      </x:c>
      <x:c r="M430" s="13" t="str">
        <x:v>no</x:v>
      </x:c>
      <x:c r="N430" s="13" t="str">
        <x:v>Operational subtype under Illusory correlation: information selection is biased toward a prior view. Parent definition: Perceiving an association where evidence is weak or absent.</x:v>
      </x:c>
      <x:c r="O430" s="13" t="str">
        <x:v>Look for: explicit claim-level evidence; parent-family cues for Illusory correlation; variant cue: information selection is biased toward a prior view; avoid author-level inference.</x:v>
      </x:c>
      <x:c r="P430" s="13" t="str">
        <x:v>Exact evidence span in text plus claim-level reasoning link; for contextual/discourse entries, require surrounding context.</x:v>
      </x:c>
      <x:c r="Q430" s="13" t="str">
        <x:v>Do not label merely because topic is controversial, emotional, or wrong. Do not judge intent or personality. Require textual evidence and consider healthy-reasoning cues.</x:v>
      </x:c>
      <x:c r="R430" s="13" t="str">
        <x:v>Stub: A claim relies on information selection is biased toward a prior view to support a conclusion without adequate qualification.</x:v>
      </x:c>
      <x:c r="S430" s="13" t="str">
        <x:v>Stub: A claim discusses illusory correlation with caveats, balanced evidence, or no argumentative use of the pattern.</x:v>
      </x:c>
      <x:c r="T430" s="13" t="str">
        <x:v>Mild or ambiguous cue; do not classify without clear evidence span.</x:v>
      </x:c>
      <x:c r="U430" s="13" t="str">
        <x:v>Clear claim-level pattern with some argumentative impact.</x:v>
      </x:c>
      <x:c r="V430" s="13" t="str">
        <x:v>Strong pattern central to the conclusion and likely to materially distort reasoning.</x:v>
      </x:c>
      <x:c r="W430" s="13" t="str">
        <x:v>cherry_picking; missing_counterevidence; evidence_grading</x:v>
      </x:c>
      <x:c r="X430" s="13" t="str">
        <x:v>kahneman_tversky_heuristics_1974</x:v>
      </x:c>
      <x:c r="Y430" s="13" t="str">
        <x:v>https://doi.org/10.1126/science.185.4157.1124</x:v>
      </x:c>
      <x:c r="Z430" s="13" t="str">
        <x:v>Review before enabling. This workbook is a living taxonomy scaffold, not a validated scientific benchmark.</x:v>
      </x:c>
      <x:c r="AA430" s="13" t="str">
        <x:v>0.1.0-draft</x:v>
      </x:c>
      <x:c r="AB430" s="12" t="str">
        <x:f>IF(ISNUMBER(SEARCH("healthy",F430)),"healthy_reasoning_patterns",IF(ISNUMBER(SEARCH("statistical",F430)),"statistical_reasoning",IF(ISNUMBER(SEARCH("causal",F430)),"causal_reasoning",IF(ISNUMBER(SEARCH("social",F430)),"social_influence",IF(ISNUMBER(SEARCH("rhetoric",F430)),"rhetoric_discourse",IF(ISNUMBER(SEARCH("behavior",F430)),"behavioural_economics",IF(ISNUMBER(SEARCH("cognitive",F430)),"cognitive_biases",IF(J430="protective_pattern","healthy_reasoning_patterns",IF(L430="P0","core_mvp","extended_fallacies")))))))))</x:f>
        <x:v>cognitive_biases</x:v>
      </x:c>
      <x:c r="AC430" s="12" t="str">
        <x:f>IF(ISNUMBER(SEARCH("operational",J430)),"operational",IF(ISNUMBER(SEARCH("deprecated",J430)),"deprecated",IF(L430="P0","canonical","recognized_subtype")))</x:f>
        <x:v>operational</x:v>
      </x:c>
      <x:c r="AD430" s="12" t="str">
        <x:f>IF(AC430="canonical","high",IF(AC430="recognized_subtype","medium",IF(AC430="operational","operational_only","debated")))</x:f>
        <x:v>operational_only</x:v>
      </x:c>
      <x:c r="AE430" s="12" t="str">
        <x:f>IF(AC430="deprecated","deprecated",IF(M430="yes","active",IF(M430="review","review_required","backlog")))</x:f>
        <x:v>backlog</x:v>
      </x:c>
      <x:c r="AF430" s="12" t="str">
        <x:f>IF(OR(AE430="active",AE430="review_required"),"yes","no")</x:f>
        <x:v>no</x:v>
      </x:c>
      <x:c r="AG430" s="12" t="str">
        <x:f>IF(AND(AE430="active",M430="yes",NOT(ISNUMBER(SEARCH("healthy",AB430)))),"yes","no")</x:f>
        <x:v>no</x:v>
      </x:c>
      <x:c r="AH430" s="12" t="str">
        <x:f>IF(OR(H430="contextual",H430="dialogue",H430="discourse",I430="claim+context",I430="discourse_segment"),"yes","no")</x:f>
        <x:v>yes</x:v>
      </x:c>
      <x:c r="AI430" s="12" t="str">
        <x:f>IF(OR(AH430="yes",AD430="debated",AC430="operational"),"yes","no")</x:f>
        <x:v>yes</x:v>
      </x:c>
      <x:c r="AJ430" s="12" t="str">
        <x:f>IF(OR(AH430="yes",AC430="operational",AD430="debated"),"high",IF(AND(AG430="yes",L430="P0"),"medium","low"))</x:f>
        <x:v>high</x:v>
      </x:c>
      <x:c r="AK430" s="12" t="str">
        <x:f>IF(ISNUMBER(SEARCH("healthy",AB430)),"yes","no")</x:f>
        <x:v>no</x:v>
      </x:c>
      <x:c r="AL430" s="12" t="str">
        <x:f>IF(AG430="yes","yes","candidate_only")</x:f>
        <x:v>candidate_only</x:v>
      </x:c>
      <x:c r="AM430" s="12" t="str">
        <x:f>IF(OR(AC430="canonical",AG430="yes"),"yes","recommended")</x:f>
        <x:v>recommended</x:v>
      </x:c>
      <x:c r="AN430" s="12" t="str">
        <x:f>IF(AC430="deprecated","exclude",IF(AND(AG430="yes",AJ430="high"),"import_but_human_review_required",IF(AG430="yes","import_as_active","import_as_backlog")))</x:f>
        <x:v>import_as_backlog</x:v>
      </x:c>
      <x:c r="AO430" s="12" t="str">
        <x:f>IF(AND(AG430="yes",OR(P430="",Q430="",R430="",S430="")),"missing_required_mvp_fields",IF(AND(AC430="canonical",Y430=""),"missing_source_ref","ok"))</x:f>
        <x:v>ok</x:v>
      </x:c>
      <x:c r="AP430" s="12" t="str">
        <x:f>IF(AO430="ok","ready_for_codex_import","needs_review")</x:f>
        <x:v>ready_for_codex_import</x:v>
      </x:c>
      <x:c r="AQ430" s="12"/>
      <x:c r="AR430" s="12" t="str">
        <x:v>Added v2 operational fields. Review before classification activation.</x:v>
      </x:c>
    </x:row>
    <x:row r="431">
      <x:c r="A431" s="13" t="str">
        <x:v>clustering_illusion_search_selection_variant</x:v>
      </x:c>
      <x:c r="B431" s="13" t="str">
        <x:v>clustering_illusion</x:v>
      </x:c>
      <x:c r="C431" s="13" t="str">
        <x:v>Clustering illusion</x:v>
      </x:c>
      <x:c r="D431" s="13" t="str">
        <x:v>توهم خوشه‌بندی</x:v>
      </x:c>
      <x:c r="E431" s="13" t="str">
        <x:v>Search/selection variant</x:v>
      </x:c>
      <x:c r="F431" s="13" t="str">
        <x:v>cognitive_biases_information_processing</x:v>
      </x:c>
      <x:c r="G431" s="13" t="str">
        <x:v>operational_variant</x:v>
      </x:c>
      <x:c r="H431" s="13" t="str">
        <x:v>contextual</x:v>
      </x:c>
      <x:c r="I431" s="13" t="str">
        <x:v>claim+context</x:v>
      </x:c>
      <x:c r="J431" s="13" t="str">
        <x:v>derived_operational_subtype</x:v>
      </x:c>
      <x:c r="K431" s="13" t="str">
        <x:v>derived_from_established_parent_review_required</x:v>
      </x:c>
      <x:c r="L431" s="13" t="str">
        <x:v>P2</x:v>
      </x:c>
      <x:c r="M431" s="13" t="str">
        <x:v>no</x:v>
      </x:c>
      <x:c r="N431" s="13" t="str">
        <x:v>Operational subtype under Clustering illusion: information selection is biased toward a prior view. Parent definition: Seeing meaningful clusters in random sequences.</x:v>
      </x:c>
      <x:c r="O431" s="13" t="str">
        <x:v>Look for: explicit claim-level evidence; parent-family cues for Clustering illusion; variant cue: information selection is biased toward a prior view; avoid author-level inference.</x:v>
      </x:c>
      <x:c r="P431" s="13" t="str">
        <x:v>Exact evidence span in text plus claim-level reasoning link; for contextual/discourse entries, require surrounding context.</x:v>
      </x:c>
      <x:c r="Q431" s="13" t="str">
        <x:v>Do not label merely because topic is controversial, emotional, or wrong. Do not judge intent or personality. Require textual evidence and consider healthy-reasoning cues.</x:v>
      </x:c>
      <x:c r="R431" s="13" t="str">
        <x:v>Stub: A claim relies on information selection is biased toward a prior view to support a conclusion without adequate qualification.</x:v>
      </x:c>
      <x:c r="S431" s="13" t="str">
        <x:v>Stub: A claim discusses clustering illusion with caveats, balanced evidence, or no argumentative use of the pattern.</x:v>
      </x:c>
      <x:c r="T431" s="13" t="str">
        <x:v>Mild or ambiguous cue; do not classify without clear evidence span.</x:v>
      </x:c>
      <x:c r="U431" s="13" t="str">
        <x:v>Clear claim-level pattern with some argumentative impact.</x:v>
      </x:c>
      <x:c r="V431" s="13" t="str">
        <x:v>Strong pattern central to the conclusion and likely to materially distort reasoning.</x:v>
      </x:c>
      <x:c r="W431" s="13" t="str"/>
      <x:c r="X431" s="13" t="str">
        <x:v>kahneman_tversky_heuristics_1974</x:v>
      </x:c>
      <x:c r="Y431" s="13" t="str">
        <x:v>https://doi.org/10.1126/science.185.4157.1124</x:v>
      </x:c>
      <x:c r="Z431" s="13" t="str">
        <x:v>Review before enabling. This workbook is a living taxonomy scaffold, not a validated scientific benchmark.</x:v>
      </x:c>
      <x:c r="AA431" s="13" t="str">
        <x:v>0.1.0-draft</x:v>
      </x:c>
      <x:c r="AB431" s="12" t="str">
        <x:f>IF(ISNUMBER(SEARCH("healthy",F431)),"healthy_reasoning_patterns",IF(ISNUMBER(SEARCH("statistical",F431)),"statistical_reasoning",IF(ISNUMBER(SEARCH("causal",F431)),"causal_reasoning",IF(ISNUMBER(SEARCH("social",F431)),"social_influence",IF(ISNUMBER(SEARCH("rhetoric",F431)),"rhetoric_discourse",IF(ISNUMBER(SEARCH("behavior",F431)),"behavioural_economics",IF(ISNUMBER(SEARCH("cognitive",F431)),"cognitive_biases",IF(J431="protective_pattern","healthy_reasoning_patterns",IF(L431="P0","core_mvp","extended_fallacies")))))))))</x:f>
        <x:v>cognitive_biases</x:v>
      </x:c>
      <x:c r="AC431" s="12" t="str">
        <x:f>IF(ISNUMBER(SEARCH("operational",J431)),"operational",IF(ISNUMBER(SEARCH("deprecated",J431)),"deprecated",IF(L431="P0","canonical","recognized_subtype")))</x:f>
        <x:v>operational</x:v>
      </x:c>
      <x:c r="AD431" s="12" t="str">
        <x:f>IF(AC431="canonical","high",IF(AC431="recognized_subtype","medium",IF(AC431="operational","operational_only","debated")))</x:f>
        <x:v>operational_only</x:v>
      </x:c>
      <x:c r="AE431" s="12" t="str">
        <x:f>IF(AC431="deprecated","deprecated",IF(M431="yes","active",IF(M431="review","review_required","backlog")))</x:f>
        <x:v>backlog</x:v>
      </x:c>
      <x:c r="AF431" s="12" t="str">
        <x:f>IF(OR(AE431="active",AE431="review_required"),"yes","no")</x:f>
        <x:v>no</x:v>
      </x:c>
      <x:c r="AG431" s="12" t="str">
        <x:f>IF(AND(AE431="active",M431="yes",NOT(ISNUMBER(SEARCH("healthy",AB431)))),"yes","no")</x:f>
        <x:v>no</x:v>
      </x:c>
      <x:c r="AH431" s="12" t="str">
        <x:f>IF(OR(H431="contextual",H431="dialogue",H431="discourse",I431="claim+context",I431="discourse_segment"),"yes","no")</x:f>
        <x:v>yes</x:v>
      </x:c>
      <x:c r="AI431" s="12" t="str">
        <x:f>IF(OR(AH431="yes",AD431="debated",AC431="operational"),"yes","no")</x:f>
        <x:v>yes</x:v>
      </x:c>
      <x:c r="AJ431" s="12" t="str">
        <x:f>IF(OR(AH431="yes",AC431="operational",AD431="debated"),"high",IF(AND(AG431="yes",L431="P0"),"medium","low"))</x:f>
        <x:v>high</x:v>
      </x:c>
      <x:c r="AK431" s="12" t="str">
        <x:f>IF(ISNUMBER(SEARCH("healthy",AB431)),"yes","no")</x:f>
        <x:v>no</x:v>
      </x:c>
      <x:c r="AL431" s="12" t="str">
        <x:f>IF(AG431="yes","yes","candidate_only")</x:f>
        <x:v>candidate_only</x:v>
      </x:c>
      <x:c r="AM431" s="12" t="str">
        <x:f>IF(OR(AC431="canonical",AG431="yes"),"yes","recommended")</x:f>
        <x:v>recommended</x:v>
      </x:c>
      <x:c r="AN431" s="12" t="str">
        <x:f>IF(AC431="deprecated","exclude",IF(AND(AG431="yes",AJ431="high"),"import_but_human_review_required",IF(AG431="yes","import_as_active","import_as_backlog")))</x:f>
        <x:v>import_as_backlog</x:v>
      </x:c>
      <x:c r="AO431" s="12" t="str">
        <x:f>IF(AND(AG431="yes",OR(P431="",Q431="",R431="",S431="")),"missing_required_mvp_fields",IF(AND(AC431="canonical",Y431=""),"missing_source_ref","ok"))</x:f>
        <x:v>ok</x:v>
      </x:c>
      <x:c r="AP431" s="12" t="str">
        <x:f>IF(AO431="ok","ready_for_codex_import","needs_review")</x:f>
        <x:v>ready_for_codex_import</x:v>
      </x:c>
      <x:c r="AQ431" s="12"/>
      <x:c r="AR431" s="12" t="str">
        <x:v>Added v2 operational fields. Review before classification activation.</x:v>
      </x:c>
    </x:row>
    <x:row r="432">
      <x:c r="A432" s="13" t="str">
        <x:v>recency_bias_search_selection_variant</x:v>
      </x:c>
      <x:c r="B432" s="13" t="str">
        <x:v>recency_bias</x:v>
      </x:c>
      <x:c r="C432" s="13" t="str">
        <x:v>Recency bias</x:v>
      </x:c>
      <x:c r="D432" s="13" t="str">
        <x:v>سوگیری تازگی</x:v>
      </x:c>
      <x:c r="E432" s="13" t="str">
        <x:v>Search/selection variant</x:v>
      </x:c>
      <x:c r="F432" s="13" t="str">
        <x:v>cognitive_biases_information_processing</x:v>
      </x:c>
      <x:c r="G432" s="13" t="str">
        <x:v>operational_variant</x:v>
      </x:c>
      <x:c r="H432" s="13" t="str">
        <x:v>contextual</x:v>
      </x:c>
      <x:c r="I432" s="13" t="str">
        <x:v>claim+context</x:v>
      </x:c>
      <x:c r="J432" s="13" t="str">
        <x:v>derived_operational_subtype</x:v>
      </x:c>
      <x:c r="K432" s="13" t="str">
        <x:v>derived_from_established_parent_review_required</x:v>
      </x:c>
      <x:c r="L432" s="13" t="str">
        <x:v>P2</x:v>
      </x:c>
      <x:c r="M432" s="13" t="str">
        <x:v>no</x:v>
      </x:c>
      <x:c r="N432" s="13" t="str">
        <x:v>Operational subtype under Recency bias: information selection is biased toward a prior view. Parent definition: Overweighting the most recent information.</x:v>
      </x:c>
      <x:c r="O432" s="13" t="str">
        <x:v>Look for: explicit claim-level evidence; parent-family cues for Recency bias; variant cue: information selection is biased toward a prior view; avoid author-level inference.</x:v>
      </x:c>
      <x:c r="P432" s="13" t="str">
        <x:v>Exact evidence span in text plus claim-level reasoning link; for contextual/discourse entries, require surrounding context.</x:v>
      </x:c>
      <x:c r="Q432" s="13" t="str">
        <x:v>Do not label merely because topic is controversial, emotional, or wrong. Do not judge intent or personality. Require textual evidence and consider healthy-reasoning cues.</x:v>
      </x:c>
      <x:c r="R432" s="13" t="str">
        <x:v>Stub: A claim relies on information selection is biased toward a prior view to support a conclusion without adequate qualification.</x:v>
      </x:c>
      <x:c r="S432" s="13" t="str">
        <x:v>Stub: A claim discusses recency bias with caveats, balanced evidence, or no argumentative use of the pattern.</x:v>
      </x:c>
      <x:c r="T432" s="13" t="str">
        <x:v>Mild or ambiguous cue; do not classify without clear evidence span.</x:v>
      </x:c>
      <x:c r="U432" s="13" t="str">
        <x:v>Clear claim-level pattern with some argumentative impact.</x:v>
      </x:c>
      <x:c r="V432" s="13" t="str">
        <x:v>Strong pattern central to the conclusion and likely to materially distort reasoning.</x:v>
      </x:c>
      <x:c r="W432" s="13" t="str"/>
      <x:c r="X432" s="13" t="str">
        <x:v>gilovich_heuristics_biases</x:v>
      </x:c>
      <x:c r="Y432" s="13" t="str">
        <x:v>https://www.cambridge.org/core/books/heuristics-and-biases/3C30D3B05D2F190C3B8BE5E2531EFD24</x:v>
      </x:c>
      <x:c r="Z432" s="13" t="str">
        <x:v>Review before enabling. This workbook is a living taxonomy scaffold, not a validated scientific benchmark.</x:v>
      </x:c>
      <x:c r="AA432" s="13" t="str">
        <x:v>0.1.0-draft</x:v>
      </x:c>
      <x:c r="AB432" s="12" t="str">
        <x:f>IF(ISNUMBER(SEARCH("healthy",F432)),"healthy_reasoning_patterns",IF(ISNUMBER(SEARCH("statistical",F432)),"statistical_reasoning",IF(ISNUMBER(SEARCH("causal",F432)),"causal_reasoning",IF(ISNUMBER(SEARCH("social",F432)),"social_influence",IF(ISNUMBER(SEARCH("rhetoric",F432)),"rhetoric_discourse",IF(ISNUMBER(SEARCH("behavior",F432)),"behavioural_economics",IF(ISNUMBER(SEARCH("cognitive",F432)),"cognitive_biases",IF(J432="protective_pattern","healthy_reasoning_patterns",IF(L432="P0","core_mvp","extended_fallacies")))))))))</x:f>
        <x:v>cognitive_biases</x:v>
      </x:c>
      <x:c r="AC432" s="12" t="str">
        <x:f>IF(ISNUMBER(SEARCH("operational",J432)),"operational",IF(ISNUMBER(SEARCH("deprecated",J432)),"deprecated",IF(L432="P0","canonical","recognized_subtype")))</x:f>
        <x:v>operational</x:v>
      </x:c>
      <x:c r="AD432" s="12" t="str">
        <x:f>IF(AC432="canonical","high",IF(AC432="recognized_subtype","medium",IF(AC432="operational","operational_only","debated")))</x:f>
        <x:v>operational_only</x:v>
      </x:c>
      <x:c r="AE432" s="12" t="str">
        <x:f>IF(AC432="deprecated","deprecated",IF(M432="yes","active",IF(M432="review","review_required","backlog")))</x:f>
        <x:v>backlog</x:v>
      </x:c>
      <x:c r="AF432" s="12" t="str">
        <x:f>IF(OR(AE432="active",AE432="review_required"),"yes","no")</x:f>
        <x:v>no</x:v>
      </x:c>
      <x:c r="AG432" s="12" t="str">
        <x:f>IF(AND(AE432="active",M432="yes",NOT(ISNUMBER(SEARCH("healthy",AB432)))),"yes","no")</x:f>
        <x:v>no</x:v>
      </x:c>
      <x:c r="AH432" s="12" t="str">
        <x:f>IF(OR(H432="contextual",H432="dialogue",H432="discourse",I432="claim+context",I432="discourse_segment"),"yes","no")</x:f>
        <x:v>yes</x:v>
      </x:c>
      <x:c r="AI432" s="12" t="str">
        <x:f>IF(OR(AH432="yes",AD432="debated",AC432="operational"),"yes","no")</x:f>
        <x:v>yes</x:v>
      </x:c>
      <x:c r="AJ432" s="12" t="str">
        <x:f>IF(OR(AH432="yes",AC432="operational",AD432="debated"),"high",IF(AND(AG432="yes",L432="P0"),"medium","low"))</x:f>
        <x:v>high</x:v>
      </x:c>
      <x:c r="AK432" s="12" t="str">
        <x:f>IF(ISNUMBER(SEARCH("healthy",AB432)),"yes","no")</x:f>
        <x:v>no</x:v>
      </x:c>
      <x:c r="AL432" s="12" t="str">
        <x:f>IF(AG432="yes","yes","candidate_only")</x:f>
        <x:v>candidate_only</x:v>
      </x:c>
      <x:c r="AM432" s="12" t="str">
        <x:f>IF(OR(AC432="canonical",AG432="yes"),"yes","recommended")</x:f>
        <x:v>recommended</x:v>
      </x:c>
      <x:c r="AN432" s="12" t="str">
        <x:f>IF(AC432="deprecated","exclude",IF(AND(AG432="yes",AJ432="high"),"import_but_human_review_required",IF(AG432="yes","import_as_active","import_as_backlog")))</x:f>
        <x:v>import_as_backlog</x:v>
      </x:c>
      <x:c r="AO432" s="12" t="str">
        <x:f>IF(AND(AG432="yes",OR(P432="",Q432="",R432="",S432="")),"missing_required_mvp_fields",IF(AND(AC432="canonical",Y432=""),"missing_source_ref","ok"))</x:f>
        <x:v>ok</x:v>
      </x:c>
      <x:c r="AP432" s="12" t="str">
        <x:f>IF(AO432="ok","ready_for_codex_import","needs_review")</x:f>
        <x:v>ready_for_codex_import</x:v>
      </x:c>
      <x:c r="AQ432" s="12"/>
      <x:c r="AR432" s="12" t="str">
        <x:v>Added v2 operational fields. Review before classification activation.</x:v>
      </x:c>
    </x:row>
    <x:row r="433">
      <x:c r="A433" s="13" t="str">
        <x:v>primacy_effect_search_selection_variant</x:v>
      </x:c>
      <x:c r="B433" s="13" t="str">
        <x:v>primacy_effect</x:v>
      </x:c>
      <x:c r="C433" s="13" t="str">
        <x:v>Primacy effect</x:v>
      </x:c>
      <x:c r="D433" s="13" t="str">
        <x:v>اثر تقدم</x:v>
      </x:c>
      <x:c r="E433" s="13" t="str">
        <x:v>Search/selection variant</x:v>
      </x:c>
      <x:c r="F433" s="13" t="str">
        <x:v>cognitive_biases_information_processing</x:v>
      </x:c>
      <x:c r="G433" s="13" t="str">
        <x:v>operational_variant</x:v>
      </x:c>
      <x:c r="H433" s="13" t="str">
        <x:v>contextual</x:v>
      </x:c>
      <x:c r="I433" s="13" t="str">
        <x:v>claim+context</x:v>
      </x:c>
      <x:c r="J433" s="13" t="str">
        <x:v>derived_operational_subtype</x:v>
      </x:c>
      <x:c r="K433" s="13" t="str">
        <x:v>derived_from_established_parent_review_required</x:v>
      </x:c>
      <x:c r="L433" s="13" t="str">
        <x:v>P2</x:v>
      </x:c>
      <x:c r="M433" s="13" t="str">
        <x:v>no</x:v>
      </x:c>
      <x:c r="N433" s="13" t="str">
        <x:v>Operational subtype under Primacy effect: information selection is biased toward a prior view. Parent definition: Overweighting information encountered first.</x:v>
      </x:c>
      <x:c r="O433" s="13" t="str">
        <x:v>Look for: explicit claim-level evidence; parent-family cues for Primacy effect; variant cue: information selection is biased toward a prior view; avoid author-level inference.</x:v>
      </x:c>
      <x:c r="P433" s="13" t="str">
        <x:v>Exact evidence span in text plus claim-level reasoning link; for contextual/discourse entries, require surrounding context.</x:v>
      </x:c>
      <x:c r="Q433" s="13" t="str">
        <x:v>Do not label merely because topic is controversial, emotional, or wrong. Do not judge intent or personality. Require textual evidence and consider healthy-reasoning cues.</x:v>
      </x:c>
      <x:c r="R433" s="13" t="str">
        <x:v>Stub: A claim relies on information selection is biased toward a prior view to support a conclusion without adequate qualification.</x:v>
      </x:c>
      <x:c r="S433" s="13" t="str">
        <x:v>Stub: A claim discusses primacy effect with caveats, balanced evidence, or no argumentative use of the pattern.</x:v>
      </x:c>
      <x:c r="T433" s="13" t="str">
        <x:v>Mild or ambiguous cue; do not classify without clear evidence span.</x:v>
      </x:c>
      <x:c r="U433" s="13" t="str">
        <x:v>Clear claim-level pattern with some argumentative impact.</x:v>
      </x:c>
      <x:c r="V433" s="13" t="str">
        <x:v>Strong pattern central to the conclusion and likely to materially distort reasoning.</x:v>
      </x:c>
      <x:c r="W433" s="13" t="str"/>
      <x:c r="X433" s="13" t="str">
        <x:v>gilovich_heuristics_biases</x:v>
      </x:c>
      <x:c r="Y433" s="13" t="str">
        <x:v>https://www.cambridge.org/core/books/heuristics-and-biases/3C30D3B05D2F190C3B8BE5E2531EFD24</x:v>
      </x:c>
      <x:c r="Z433" s="13" t="str">
        <x:v>Review before enabling. This workbook is a living taxonomy scaffold, not a validated scientific benchmark.</x:v>
      </x:c>
      <x:c r="AA433" s="13" t="str">
        <x:v>0.1.0-draft</x:v>
      </x:c>
      <x:c r="AB433" s="12" t="str">
        <x:f>IF(ISNUMBER(SEARCH("healthy",F433)),"healthy_reasoning_patterns",IF(ISNUMBER(SEARCH("statistical",F433)),"statistical_reasoning",IF(ISNUMBER(SEARCH("causal",F433)),"causal_reasoning",IF(ISNUMBER(SEARCH("social",F433)),"social_influence",IF(ISNUMBER(SEARCH("rhetoric",F433)),"rhetoric_discourse",IF(ISNUMBER(SEARCH("behavior",F433)),"behavioural_economics",IF(ISNUMBER(SEARCH("cognitive",F433)),"cognitive_biases",IF(J433="protective_pattern","healthy_reasoning_patterns",IF(L433="P0","core_mvp","extended_fallacies")))))))))</x:f>
        <x:v>cognitive_biases</x:v>
      </x:c>
      <x:c r="AC433" s="12" t="str">
        <x:f>IF(ISNUMBER(SEARCH("operational",J433)),"operational",IF(ISNUMBER(SEARCH("deprecated",J433)),"deprecated",IF(L433="P0","canonical","recognized_subtype")))</x:f>
        <x:v>operational</x:v>
      </x:c>
      <x:c r="AD433" s="12" t="str">
        <x:f>IF(AC433="canonical","high",IF(AC433="recognized_subtype","medium",IF(AC433="operational","operational_only","debated")))</x:f>
        <x:v>operational_only</x:v>
      </x:c>
      <x:c r="AE433" s="12" t="str">
        <x:f>IF(AC433="deprecated","deprecated",IF(M433="yes","active",IF(M433="review","review_required","backlog")))</x:f>
        <x:v>backlog</x:v>
      </x:c>
      <x:c r="AF433" s="12" t="str">
        <x:f>IF(OR(AE433="active",AE433="review_required"),"yes","no")</x:f>
        <x:v>no</x:v>
      </x:c>
      <x:c r="AG433" s="12" t="str">
        <x:f>IF(AND(AE433="active",M433="yes",NOT(ISNUMBER(SEARCH("healthy",AB433)))),"yes","no")</x:f>
        <x:v>no</x:v>
      </x:c>
      <x:c r="AH433" s="12" t="str">
        <x:f>IF(OR(H433="contextual",H433="dialogue",H433="discourse",I433="claim+context",I433="discourse_segment"),"yes","no")</x:f>
        <x:v>yes</x:v>
      </x:c>
      <x:c r="AI433" s="12" t="str">
        <x:f>IF(OR(AH433="yes",AD433="debated",AC433="operational"),"yes","no")</x:f>
        <x:v>yes</x:v>
      </x:c>
      <x:c r="AJ433" s="12" t="str">
        <x:f>IF(OR(AH433="yes",AC433="operational",AD433="debated"),"high",IF(AND(AG433="yes",L433="P0"),"medium","low"))</x:f>
        <x:v>high</x:v>
      </x:c>
      <x:c r="AK433" s="12" t="str">
        <x:f>IF(ISNUMBER(SEARCH("healthy",AB433)),"yes","no")</x:f>
        <x:v>no</x:v>
      </x:c>
      <x:c r="AL433" s="12" t="str">
        <x:f>IF(AG433="yes","yes","candidate_only")</x:f>
        <x:v>candidate_only</x:v>
      </x:c>
      <x:c r="AM433" s="12" t="str">
        <x:f>IF(OR(AC433="canonical",AG433="yes"),"yes","recommended")</x:f>
        <x:v>recommended</x:v>
      </x:c>
      <x:c r="AN433" s="12" t="str">
        <x:f>IF(AC433="deprecated","exclude",IF(AND(AG433="yes",AJ433="high"),"import_but_human_review_required",IF(AG433="yes","import_as_active","import_as_backlog")))</x:f>
        <x:v>import_as_backlog</x:v>
      </x:c>
      <x:c r="AO433" s="12" t="str">
        <x:f>IF(AND(AG433="yes",OR(P433="",Q433="",R433="",S433="")),"missing_required_mvp_fields",IF(AND(AC433="canonical",Y433=""),"missing_source_ref","ok"))</x:f>
        <x:v>ok</x:v>
      </x:c>
      <x:c r="AP433" s="12" t="str">
        <x:f>IF(AO433="ok","ready_for_codex_import","needs_review")</x:f>
        <x:v>ready_for_codex_import</x:v>
      </x:c>
      <x:c r="AQ433" s="12"/>
      <x:c r="AR433" s="12" t="str">
        <x:v>Added v2 operational fields. Review before classification activation.</x:v>
      </x:c>
    </x:row>
    <x:row r="434">
      <x:c r="A434" s="13" t="str">
        <x:v>memory_consistency_bias_search_selection_variant</x:v>
      </x:c>
      <x:c r="B434" s="13" t="str">
        <x:v>memory_consistency_bias</x:v>
      </x:c>
      <x:c r="C434" s="13" t="str">
        <x:v>Consistency bias</x:v>
      </x:c>
      <x:c r="D434" s="13" t="str">
        <x:v>سوگیری سازگاری حافظه</x:v>
      </x:c>
      <x:c r="E434" s="13" t="str">
        <x:v>Search/selection variant</x:v>
      </x:c>
      <x:c r="F434" s="13" t="str">
        <x:v>cognitive_biases_information_processing</x:v>
      </x:c>
      <x:c r="G434" s="13" t="str">
        <x:v>operational_variant</x:v>
      </x:c>
      <x:c r="H434" s="13" t="str">
        <x:v>contextual</x:v>
      </x:c>
      <x:c r="I434" s="13" t="str">
        <x:v>claim+context</x:v>
      </x:c>
      <x:c r="J434" s="13" t="str">
        <x:v>derived_operational_subtype</x:v>
      </x:c>
      <x:c r="K434" s="13" t="str">
        <x:v>derived_from_established_parent_review_required</x:v>
      </x:c>
      <x:c r="L434" s="13" t="str">
        <x:v>P2</x:v>
      </x:c>
      <x:c r="M434" s="13" t="str">
        <x:v>no</x:v>
      </x:c>
      <x:c r="N434" s="13" t="str">
        <x:v>Operational subtype under Consistency bias: information selection is biased toward a prior view. Parent definition: Remembering past beliefs as more consistent with present beliefs.</x:v>
      </x:c>
      <x:c r="O434" s="13" t="str">
        <x:v>Look for: explicit claim-level evidence; parent-family cues for Consistency bias; variant cue: information selection is biased toward a prior view; avoid author-level inference.</x:v>
      </x:c>
      <x:c r="P434" s="13" t="str">
        <x:v>Exact evidence span in text plus claim-level reasoning link; for contextual/discourse entries, require surrounding context.</x:v>
      </x:c>
      <x:c r="Q434" s="13" t="str">
        <x:v>Do not label merely because topic is controversial, emotional, or wrong. Do not judge intent or personality. Require textual evidence and consider healthy-reasoning cues.</x:v>
      </x:c>
      <x:c r="R434" s="13" t="str">
        <x:v>Stub: A claim relies on information selection is biased toward a prior view to support a conclusion without adequate qualification.</x:v>
      </x:c>
      <x:c r="S434" s="13" t="str">
        <x:v>Stub: A claim discusses consistency bias with caveats, balanced evidence, or no argumentative use of the pattern.</x:v>
      </x:c>
      <x:c r="T434" s="13" t="str">
        <x:v>Mild or ambiguous cue; do not classify without clear evidence span.</x:v>
      </x:c>
      <x:c r="U434" s="13" t="str">
        <x:v>Clear claim-level pattern with some argumentative impact.</x:v>
      </x:c>
      <x:c r="V434" s="13" t="str">
        <x:v>Strong pattern central to the conclusion and likely to materially distort reasoning.</x:v>
      </x:c>
      <x:c r="W434" s="13" t="str"/>
      <x:c r="X434" s="13" t="str">
        <x:v>gilovich_heuristics_biases</x:v>
      </x:c>
      <x:c r="Y434" s="13" t="str">
        <x:v>https://www.cambridge.org/core/books/heuristics-and-biases/3C30D3B05D2F190C3B8BE5E2531EFD24</x:v>
      </x:c>
      <x:c r="Z434" s="13" t="str">
        <x:v>Review before enabling. This workbook is a living taxonomy scaffold, not a validated scientific benchmark.</x:v>
      </x:c>
      <x:c r="AA434" s="13" t="str">
        <x:v>0.1.0-draft</x:v>
      </x:c>
      <x:c r="AB434" s="12" t="str">
        <x:f>IF(ISNUMBER(SEARCH("healthy",F434)),"healthy_reasoning_patterns",IF(ISNUMBER(SEARCH("statistical",F434)),"statistical_reasoning",IF(ISNUMBER(SEARCH("causal",F434)),"causal_reasoning",IF(ISNUMBER(SEARCH("social",F434)),"social_influence",IF(ISNUMBER(SEARCH("rhetoric",F434)),"rhetoric_discourse",IF(ISNUMBER(SEARCH("behavior",F434)),"behavioural_economics",IF(ISNUMBER(SEARCH("cognitive",F434)),"cognitive_biases",IF(J434="protective_pattern","healthy_reasoning_patterns",IF(L434="P0","core_mvp","extended_fallacies")))))))))</x:f>
        <x:v>cognitive_biases</x:v>
      </x:c>
      <x:c r="AC434" s="12" t="str">
        <x:f>IF(ISNUMBER(SEARCH("operational",J434)),"operational",IF(ISNUMBER(SEARCH("deprecated",J434)),"deprecated",IF(L434="P0","canonical","recognized_subtype")))</x:f>
        <x:v>operational</x:v>
      </x:c>
      <x:c r="AD434" s="12" t="str">
        <x:f>IF(AC434="canonical","high",IF(AC434="recognized_subtype","medium",IF(AC434="operational","operational_only","debated")))</x:f>
        <x:v>operational_only</x:v>
      </x:c>
      <x:c r="AE434" s="12" t="str">
        <x:f>IF(AC434="deprecated","deprecated",IF(M434="yes","active",IF(M434="review","review_required","backlog")))</x:f>
        <x:v>backlog</x:v>
      </x:c>
      <x:c r="AF434" s="12" t="str">
        <x:f>IF(OR(AE434="active",AE434="review_required"),"yes","no")</x:f>
        <x:v>no</x:v>
      </x:c>
      <x:c r="AG434" s="12" t="str">
        <x:f>IF(AND(AE434="active",M434="yes",NOT(ISNUMBER(SEARCH("healthy",AB434)))),"yes","no")</x:f>
        <x:v>no</x:v>
      </x:c>
      <x:c r="AH434" s="12" t="str">
        <x:f>IF(OR(H434="contextual",H434="dialogue",H434="discourse",I434="claim+context",I434="discourse_segment"),"yes","no")</x:f>
        <x:v>yes</x:v>
      </x:c>
      <x:c r="AI434" s="12" t="str">
        <x:f>IF(OR(AH434="yes",AD434="debated",AC434="operational"),"yes","no")</x:f>
        <x:v>yes</x:v>
      </x:c>
      <x:c r="AJ434" s="12" t="str">
        <x:f>IF(OR(AH434="yes",AC434="operational",AD434="debated"),"high",IF(AND(AG434="yes",L434="P0"),"medium","low"))</x:f>
        <x:v>high</x:v>
      </x:c>
      <x:c r="AK434" s="12" t="str">
        <x:f>IF(ISNUMBER(SEARCH("healthy",AB434)),"yes","no")</x:f>
        <x:v>no</x:v>
      </x:c>
      <x:c r="AL434" s="12" t="str">
        <x:f>IF(AG434="yes","yes","candidate_only")</x:f>
        <x:v>candidate_only</x:v>
      </x:c>
      <x:c r="AM434" s="12" t="str">
        <x:f>IF(OR(AC434="canonical",AG434="yes"),"yes","recommended")</x:f>
        <x:v>recommended</x:v>
      </x:c>
      <x:c r="AN434" s="12" t="str">
        <x:f>IF(AC434="deprecated","exclude",IF(AND(AG434="yes",AJ434="high"),"import_but_human_review_required",IF(AG434="yes","import_as_active","import_as_backlog")))</x:f>
        <x:v>import_as_backlog</x:v>
      </x:c>
      <x:c r="AO434" s="12" t="str">
        <x:f>IF(AND(AG434="yes",OR(P434="",Q434="",R434="",S434="")),"missing_required_mvp_fields",IF(AND(AC434="canonical",Y434=""),"missing_source_ref","ok"))</x:f>
        <x:v>ok</x:v>
      </x:c>
      <x:c r="AP434" s="12" t="str">
        <x:f>IF(AO434="ok","ready_for_codex_import","needs_review")</x:f>
        <x:v>ready_for_codex_import</x:v>
      </x:c>
      <x:c r="AQ434" s="12"/>
      <x:c r="AR434" s="12" t="str">
        <x:v>Added v2 operational fields. Review before classification activation.</x:v>
      </x:c>
    </x:row>
    <x:row r="435">
      <x:c r="A435" s="13" t="str">
        <x:v>projection_bias_search_selection_variant</x:v>
      </x:c>
      <x:c r="B435" s="13" t="str">
        <x:v>projection_bias</x:v>
      </x:c>
      <x:c r="C435" s="13" t="str">
        <x:v>Projection bias</x:v>
      </x:c>
      <x:c r="D435" s="13" t="str">
        <x:v>سوگیری فرافکنی</x:v>
      </x:c>
      <x:c r="E435" s="13" t="str">
        <x:v>Search/selection variant</x:v>
      </x:c>
      <x:c r="F435" s="13" t="str">
        <x:v>cognitive_biases_information_processing</x:v>
      </x:c>
      <x:c r="G435" s="13" t="str">
        <x:v>operational_variant</x:v>
      </x:c>
      <x:c r="H435" s="13" t="str">
        <x:v>contextual</x:v>
      </x:c>
      <x:c r="I435" s="13" t="str">
        <x:v>claim+context</x:v>
      </x:c>
      <x:c r="J435" s="13" t="str">
        <x:v>derived_operational_subtype</x:v>
      </x:c>
      <x:c r="K435" s="13" t="str">
        <x:v>derived_from_established_parent_review_required</x:v>
      </x:c>
      <x:c r="L435" s="13" t="str">
        <x:v>P2</x:v>
      </x:c>
      <x:c r="M435" s="13" t="str">
        <x:v>no</x:v>
      </x:c>
      <x:c r="N435" s="13" t="str">
        <x:v>Operational subtype under Projection bias: information selection is biased toward a prior view. Parent definition: Assuming future or others' preferences resemble current preferences.</x:v>
      </x:c>
      <x:c r="O435" s="13" t="str">
        <x:v>Look for: explicit claim-level evidence; parent-family cues for Projection bias; variant cue: information selection is biased toward a prior view; avoid author-level inference.</x:v>
      </x:c>
      <x:c r="P435" s="13" t="str">
        <x:v>Exact evidence span in text plus claim-level reasoning link; for contextual/discourse entries, require surrounding context.</x:v>
      </x:c>
      <x:c r="Q435" s="13" t="str">
        <x:v>Do not label merely because topic is controversial, emotional, or wrong. Do not judge intent or personality. Require textual evidence and consider healthy-reasoning cues.</x:v>
      </x:c>
      <x:c r="R435" s="13" t="str">
        <x:v>Stub: A claim relies on information selection is biased toward a prior view to support a conclusion without adequate qualification.</x:v>
      </x:c>
      <x:c r="S435" s="13" t="str">
        <x:v>Stub: A claim discusses projection bias with caveats, balanced evidence, or no argumentative use of the pattern.</x:v>
      </x:c>
      <x:c r="T435" s="13" t="str">
        <x:v>Mild or ambiguous cue; do not classify without clear evidence span.</x:v>
      </x:c>
      <x:c r="U435" s="13" t="str">
        <x:v>Clear claim-level pattern with some argumentative impact.</x:v>
      </x:c>
      <x:c r="V435" s="13" t="str">
        <x:v>Strong pattern central to the conclusion and likely to materially distort reasoning.</x:v>
      </x:c>
      <x:c r="W435" s="13" t="str"/>
      <x:c r="X435" s="13" t="str">
        <x:v>gilovich_heuristics_biases</x:v>
      </x:c>
      <x:c r="Y435" s="13" t="str">
        <x:v>https://www.cambridge.org/core/books/heuristics-and-biases/3C30D3B05D2F190C3B8BE5E2531EFD24</x:v>
      </x:c>
      <x:c r="Z435" s="13" t="str">
        <x:v>Review before enabling. This workbook is a living taxonomy scaffold, not a validated scientific benchmark.</x:v>
      </x:c>
      <x:c r="AA435" s="13" t="str">
        <x:v>0.1.0-draft</x:v>
      </x:c>
      <x:c r="AB435" s="12" t="str">
        <x:f>IF(ISNUMBER(SEARCH("healthy",F435)),"healthy_reasoning_patterns",IF(ISNUMBER(SEARCH("statistical",F435)),"statistical_reasoning",IF(ISNUMBER(SEARCH("causal",F435)),"causal_reasoning",IF(ISNUMBER(SEARCH("social",F435)),"social_influence",IF(ISNUMBER(SEARCH("rhetoric",F435)),"rhetoric_discourse",IF(ISNUMBER(SEARCH("behavior",F435)),"behavioural_economics",IF(ISNUMBER(SEARCH("cognitive",F435)),"cognitive_biases",IF(J435="protective_pattern","healthy_reasoning_patterns",IF(L435="P0","core_mvp","extended_fallacies")))))))))</x:f>
        <x:v>cognitive_biases</x:v>
      </x:c>
      <x:c r="AC435" s="12" t="str">
        <x:f>IF(ISNUMBER(SEARCH("operational",J435)),"operational",IF(ISNUMBER(SEARCH("deprecated",J435)),"deprecated",IF(L435="P0","canonical","recognized_subtype")))</x:f>
        <x:v>operational</x:v>
      </x:c>
      <x:c r="AD435" s="12" t="str">
        <x:f>IF(AC435="canonical","high",IF(AC435="recognized_subtype","medium",IF(AC435="operational","operational_only","debated")))</x:f>
        <x:v>operational_only</x:v>
      </x:c>
      <x:c r="AE435" s="12" t="str">
        <x:f>IF(AC435="deprecated","deprecated",IF(M435="yes","active",IF(M435="review","review_required","backlog")))</x:f>
        <x:v>backlog</x:v>
      </x:c>
      <x:c r="AF435" s="12" t="str">
        <x:f>IF(OR(AE435="active",AE435="review_required"),"yes","no")</x:f>
        <x:v>no</x:v>
      </x:c>
      <x:c r="AG435" s="12" t="str">
        <x:f>IF(AND(AE435="active",M435="yes",NOT(ISNUMBER(SEARCH("healthy",AB435)))),"yes","no")</x:f>
        <x:v>no</x:v>
      </x:c>
      <x:c r="AH435" s="12" t="str">
        <x:f>IF(OR(H435="contextual",H435="dialogue",H435="discourse",I435="claim+context",I435="discourse_segment"),"yes","no")</x:f>
        <x:v>yes</x:v>
      </x:c>
      <x:c r="AI435" s="12" t="str">
        <x:f>IF(OR(AH435="yes",AD435="debated",AC435="operational"),"yes","no")</x:f>
        <x:v>yes</x:v>
      </x:c>
      <x:c r="AJ435" s="12" t="str">
        <x:f>IF(OR(AH435="yes",AC435="operational",AD435="debated"),"high",IF(AND(AG435="yes",L435="P0"),"medium","low"))</x:f>
        <x:v>high</x:v>
      </x:c>
      <x:c r="AK435" s="12" t="str">
        <x:f>IF(ISNUMBER(SEARCH("healthy",AB435)),"yes","no")</x:f>
        <x:v>no</x:v>
      </x:c>
      <x:c r="AL435" s="12" t="str">
        <x:f>IF(AG435="yes","yes","candidate_only")</x:f>
        <x:v>candidate_only</x:v>
      </x:c>
      <x:c r="AM435" s="12" t="str">
        <x:f>IF(OR(AC435="canonical",AG435="yes"),"yes","recommended")</x:f>
        <x:v>recommended</x:v>
      </x:c>
      <x:c r="AN435" s="12" t="str">
        <x:f>IF(AC435="deprecated","exclude",IF(AND(AG435="yes",AJ435="high"),"import_but_human_review_required",IF(AG435="yes","import_as_active","import_as_backlog")))</x:f>
        <x:v>import_as_backlog</x:v>
      </x:c>
      <x:c r="AO435" s="12" t="str">
        <x:f>IF(AND(AG435="yes",OR(P435="",Q435="",R435="",S435="")),"missing_required_mvp_fields",IF(AND(AC435="canonical",Y435=""),"missing_source_ref","ok"))</x:f>
        <x:v>ok</x:v>
      </x:c>
      <x:c r="AP435" s="12" t="str">
        <x:f>IF(AO435="ok","ready_for_codex_import","needs_review")</x:f>
        <x:v>ready_for_codex_import</x:v>
      </x:c>
      <x:c r="AQ435" s="12"/>
      <x:c r="AR435" s="12" t="str">
        <x:v>Added v2 operational fields. Review before classification activation.</x:v>
      </x:c>
    </x:row>
    <x:row r="436">
      <x:c r="A436" s="13" t="str">
        <x:v>curse_of_knowledge_search_selection_variant</x:v>
      </x:c>
      <x:c r="B436" s="13" t="str">
        <x:v>curse_of_knowledge</x:v>
      </x:c>
      <x:c r="C436" s="13" t="str">
        <x:v>Curse of knowledge</x:v>
      </x:c>
      <x:c r="D436" s="13" t="str">
        <x:v>نفرین دانستن</x:v>
      </x:c>
      <x:c r="E436" s="13" t="str">
        <x:v>Search/selection variant</x:v>
      </x:c>
      <x:c r="F436" s="13" t="str">
        <x:v>cognitive_biases_information_processing</x:v>
      </x:c>
      <x:c r="G436" s="13" t="str">
        <x:v>operational_variant</x:v>
      </x:c>
      <x:c r="H436" s="13" t="str">
        <x:v>contextual</x:v>
      </x:c>
      <x:c r="I436" s="13" t="str">
        <x:v>claim+context</x:v>
      </x:c>
      <x:c r="J436" s="13" t="str">
        <x:v>derived_operational_subtype</x:v>
      </x:c>
      <x:c r="K436" s="13" t="str">
        <x:v>derived_from_established_parent_review_required</x:v>
      </x:c>
      <x:c r="L436" s="13" t="str">
        <x:v>P2</x:v>
      </x:c>
      <x:c r="M436" s="13" t="str">
        <x:v>no</x:v>
      </x:c>
      <x:c r="N436" s="13" t="str">
        <x:v>Operational subtype under Curse of knowledge: information selection is biased toward a prior view. Parent definition: Failing to account for what others do not know.</x:v>
      </x:c>
      <x:c r="O436" s="13" t="str">
        <x:v>Look for: explicit claim-level evidence; parent-family cues for Curse of knowledge; variant cue: information selection is biased toward a prior view; avoid author-level inference.</x:v>
      </x:c>
      <x:c r="P436" s="13" t="str">
        <x:v>Exact evidence span in text plus claim-level reasoning link; for contextual/discourse entries, require surrounding context.</x:v>
      </x:c>
      <x:c r="Q436" s="13" t="str">
        <x:v>Do not label merely because topic is controversial, emotional, or wrong. Do not judge intent or personality. Require textual evidence and consider healthy-reasoning cues.</x:v>
      </x:c>
      <x:c r="R436" s="13" t="str">
        <x:v>Stub: A claim relies on information selection is biased toward a prior view to support a conclusion without adequate qualification.</x:v>
      </x:c>
      <x:c r="S436" s="13" t="str">
        <x:v>Stub: A claim discusses curse of knowledge with caveats, balanced evidence, or no argumentative use of the pattern.</x:v>
      </x:c>
      <x:c r="T436" s="13" t="str">
        <x:v>Mild or ambiguous cue; do not classify without clear evidence span.</x:v>
      </x:c>
      <x:c r="U436" s="13" t="str">
        <x:v>Clear claim-level pattern with some argumentative impact.</x:v>
      </x:c>
      <x:c r="V436" s="13" t="str">
        <x:v>Strong pattern central to the conclusion and likely to materially distort reasoning.</x:v>
      </x:c>
      <x:c r="W436" s="13" t="str"/>
      <x:c r="X436" s="13" t="str">
        <x:v>stanovich_dual_process</x:v>
      </x:c>
      <x:c r="Y436" s="13" t="str">
        <x:v>https://global.oup.com/academic/product/rationality-and-the-reflective-mind-9780195341140</x:v>
      </x:c>
      <x:c r="Z436" s="13" t="str">
        <x:v>Review before enabling. This workbook is a living taxonomy scaffold, not a validated scientific benchmark.</x:v>
      </x:c>
      <x:c r="AA436" s="13" t="str">
        <x:v>0.1.0-draft</x:v>
      </x:c>
      <x:c r="AB436" s="12" t="str">
        <x:f>IF(ISNUMBER(SEARCH("healthy",F436)),"healthy_reasoning_patterns",IF(ISNUMBER(SEARCH("statistical",F436)),"statistical_reasoning",IF(ISNUMBER(SEARCH("causal",F436)),"causal_reasoning",IF(ISNUMBER(SEARCH("social",F436)),"social_influence",IF(ISNUMBER(SEARCH("rhetoric",F436)),"rhetoric_discourse",IF(ISNUMBER(SEARCH("behavior",F436)),"behavioural_economics",IF(ISNUMBER(SEARCH("cognitive",F436)),"cognitive_biases",IF(J436="protective_pattern","healthy_reasoning_patterns",IF(L436="P0","core_mvp","extended_fallacies")))))))))</x:f>
        <x:v>cognitive_biases</x:v>
      </x:c>
      <x:c r="AC436" s="12" t="str">
        <x:f>IF(ISNUMBER(SEARCH("operational",J436)),"operational",IF(ISNUMBER(SEARCH("deprecated",J436)),"deprecated",IF(L436="P0","canonical","recognized_subtype")))</x:f>
        <x:v>operational</x:v>
      </x:c>
      <x:c r="AD436" s="12" t="str">
        <x:f>IF(AC436="canonical","high",IF(AC436="recognized_subtype","medium",IF(AC436="operational","operational_only","debated")))</x:f>
        <x:v>operational_only</x:v>
      </x:c>
      <x:c r="AE436" s="12" t="str">
        <x:f>IF(AC436="deprecated","deprecated",IF(M436="yes","active",IF(M436="review","review_required","backlog")))</x:f>
        <x:v>backlog</x:v>
      </x:c>
      <x:c r="AF436" s="12" t="str">
        <x:f>IF(OR(AE436="active",AE436="review_required"),"yes","no")</x:f>
        <x:v>no</x:v>
      </x:c>
      <x:c r="AG436" s="12" t="str">
        <x:f>IF(AND(AE436="active",M436="yes",NOT(ISNUMBER(SEARCH("healthy",AB436)))),"yes","no")</x:f>
        <x:v>no</x:v>
      </x:c>
      <x:c r="AH436" s="12" t="str">
        <x:f>IF(OR(H436="contextual",H436="dialogue",H436="discourse",I436="claim+context",I436="discourse_segment"),"yes","no")</x:f>
        <x:v>yes</x:v>
      </x:c>
      <x:c r="AI436" s="12" t="str">
        <x:f>IF(OR(AH436="yes",AD436="debated",AC436="operational"),"yes","no")</x:f>
        <x:v>yes</x:v>
      </x:c>
      <x:c r="AJ436" s="12" t="str">
        <x:f>IF(OR(AH436="yes",AC436="operational",AD436="debated"),"high",IF(AND(AG436="yes",L436="P0"),"medium","low"))</x:f>
        <x:v>high</x:v>
      </x:c>
      <x:c r="AK436" s="12" t="str">
        <x:f>IF(ISNUMBER(SEARCH("healthy",AB436)),"yes","no")</x:f>
        <x:v>no</x:v>
      </x:c>
      <x:c r="AL436" s="12" t="str">
        <x:f>IF(AG436="yes","yes","candidate_only")</x:f>
        <x:v>candidate_only</x:v>
      </x:c>
      <x:c r="AM436" s="12" t="str">
        <x:f>IF(OR(AC436="canonical",AG436="yes"),"yes","recommended")</x:f>
        <x:v>recommended</x:v>
      </x:c>
      <x:c r="AN436" s="12" t="str">
        <x:f>IF(AC436="deprecated","exclude",IF(AND(AG436="yes",AJ436="high"),"import_but_human_review_required",IF(AG436="yes","import_as_active","import_as_backlog")))</x:f>
        <x:v>import_as_backlog</x:v>
      </x:c>
      <x:c r="AO436" s="12" t="str">
        <x:f>IF(AND(AG436="yes",OR(P436="",Q436="",R436="",S436="")),"missing_required_mvp_fields",IF(AND(AC436="canonical",Y436=""),"missing_source_ref","ok"))</x:f>
        <x:v>ok</x:v>
      </x:c>
      <x:c r="AP436" s="12" t="str">
        <x:f>IF(AO436="ok","ready_for_codex_import","needs_review")</x:f>
        <x:v>ready_for_codex_import</x:v>
      </x:c>
      <x:c r="AQ436" s="12"/>
      <x:c r="AR436" s="12" t="str">
        <x:v>Added v2 operational fields. Review before classification activation.</x:v>
      </x:c>
    </x:row>
    <x:row r="437">
      <x:c r="A437" s="13" t="str">
        <x:v>ambiguity_effect_search_selection_variant</x:v>
      </x:c>
      <x:c r="B437" s="13" t="str">
        <x:v>ambiguity_effect</x:v>
      </x:c>
      <x:c r="C437" s="13" t="str">
        <x:v>Ambiguity effect</x:v>
      </x:c>
      <x:c r="D437" s="13" t="str">
        <x:v>گریز از ابهام</x:v>
      </x:c>
      <x:c r="E437" s="13" t="str">
        <x:v>Search/selection variant</x:v>
      </x:c>
      <x:c r="F437" s="13" t="str">
        <x:v>cognitive_biases_information_processing</x:v>
      </x:c>
      <x:c r="G437" s="13" t="str">
        <x:v>operational_variant</x:v>
      </x:c>
      <x:c r="H437" s="13" t="str">
        <x:v>contextual</x:v>
      </x:c>
      <x:c r="I437" s="13" t="str">
        <x:v>claim+context</x:v>
      </x:c>
      <x:c r="J437" s="13" t="str">
        <x:v>derived_operational_subtype</x:v>
      </x:c>
      <x:c r="K437" s="13" t="str">
        <x:v>derived_from_established_parent_review_required</x:v>
      </x:c>
      <x:c r="L437" s="13" t="str">
        <x:v>P2</x:v>
      </x:c>
      <x:c r="M437" s="13" t="str">
        <x:v>no</x:v>
      </x:c>
      <x:c r="N437" s="13" t="str">
        <x:v>Operational subtype under Ambiguity effect: information selection is biased toward a prior view. Parent definition: Avoiding options with unknown probabilities, even when alternatives are not better.</x:v>
      </x:c>
      <x:c r="O437" s="13" t="str">
        <x:v>Look for: explicit claim-level evidence; parent-family cues for Ambiguity effect; variant cue: information selection is biased toward a prior view; avoid author-level inference.</x:v>
      </x:c>
      <x:c r="P437" s="13" t="str">
        <x:v>Exact evidence span in text plus claim-level reasoning link; for contextual/discourse entries, require surrounding context.</x:v>
      </x:c>
      <x:c r="Q437" s="13" t="str">
        <x:v>Do not label merely because topic is controversial, emotional, or wrong. Do not judge intent or personality. Require textual evidence and consider healthy-reasoning cues.</x:v>
      </x:c>
      <x:c r="R437" s="13" t="str">
        <x:v>Stub: A claim relies on information selection is biased toward a prior view to support a conclusion without adequate qualification.</x:v>
      </x:c>
      <x:c r="S437" s="13" t="str">
        <x:v>Stub: A claim discusses ambiguity effect with caveats, balanced evidence, or no argumentative use of the pattern.</x:v>
      </x:c>
      <x:c r="T437" s="13" t="str">
        <x:v>Mild or ambiguous cue; do not classify without clear evidence span.</x:v>
      </x:c>
      <x:c r="U437" s="13" t="str">
        <x:v>Clear claim-level pattern with some argumentative impact.</x:v>
      </x:c>
      <x:c r="V437" s="13" t="str">
        <x:v>Strong pattern central to the conclusion and likely to materially distort reasoning.</x:v>
      </x:c>
      <x:c r="W437" s="13" t="str"/>
      <x:c r="X437" s="13" t="str">
        <x:v>kahneman_tversky_prospect_1979</x:v>
      </x:c>
      <x:c r="Y437" s="13" t="str">
        <x:v>https://doi.org/10.2307/1914185</x:v>
      </x:c>
      <x:c r="Z437" s="13" t="str">
        <x:v>Review before enabling. This workbook is a living taxonomy scaffold, not a validated scientific benchmark.</x:v>
      </x:c>
      <x:c r="AA437" s="13" t="str">
        <x:v>0.1.0-draft</x:v>
      </x:c>
      <x:c r="AB437" s="12" t="str">
        <x:f>IF(ISNUMBER(SEARCH("healthy",F437)),"healthy_reasoning_patterns",IF(ISNUMBER(SEARCH("statistical",F437)),"statistical_reasoning",IF(ISNUMBER(SEARCH("causal",F437)),"causal_reasoning",IF(ISNUMBER(SEARCH("social",F437)),"social_influence",IF(ISNUMBER(SEARCH("rhetoric",F437)),"rhetoric_discourse",IF(ISNUMBER(SEARCH("behavior",F437)),"behavioural_economics",IF(ISNUMBER(SEARCH("cognitive",F437)),"cognitive_biases",IF(J437="protective_pattern","healthy_reasoning_patterns",IF(L437="P0","core_mvp","extended_fallacies")))))))))</x:f>
        <x:v>cognitive_biases</x:v>
      </x:c>
      <x:c r="AC437" s="12" t="str">
        <x:f>IF(ISNUMBER(SEARCH("operational",J437)),"operational",IF(ISNUMBER(SEARCH("deprecated",J437)),"deprecated",IF(L437="P0","canonical","recognized_subtype")))</x:f>
        <x:v>operational</x:v>
      </x:c>
      <x:c r="AD437" s="12" t="str">
        <x:f>IF(AC437="canonical","high",IF(AC437="recognized_subtype","medium",IF(AC437="operational","operational_only","debated")))</x:f>
        <x:v>operational_only</x:v>
      </x:c>
      <x:c r="AE437" s="12" t="str">
        <x:f>IF(AC437="deprecated","deprecated",IF(M437="yes","active",IF(M437="review","review_required","backlog")))</x:f>
        <x:v>backlog</x:v>
      </x:c>
      <x:c r="AF437" s="12" t="str">
        <x:f>IF(OR(AE437="active",AE437="review_required"),"yes","no")</x:f>
        <x:v>no</x:v>
      </x:c>
      <x:c r="AG437" s="12" t="str">
        <x:f>IF(AND(AE437="active",M437="yes",NOT(ISNUMBER(SEARCH("healthy",AB437)))),"yes","no")</x:f>
        <x:v>no</x:v>
      </x:c>
      <x:c r="AH437" s="12" t="str">
        <x:f>IF(OR(H437="contextual",H437="dialogue",H437="discourse",I437="claim+context",I437="discourse_segment"),"yes","no")</x:f>
        <x:v>yes</x:v>
      </x:c>
      <x:c r="AI437" s="12" t="str">
        <x:f>IF(OR(AH437="yes",AD437="debated",AC437="operational"),"yes","no")</x:f>
        <x:v>yes</x:v>
      </x:c>
      <x:c r="AJ437" s="12" t="str">
        <x:f>IF(OR(AH437="yes",AC437="operational",AD437="debated"),"high",IF(AND(AG437="yes",L437="P0"),"medium","low"))</x:f>
        <x:v>high</x:v>
      </x:c>
      <x:c r="AK437" s="12" t="str">
        <x:f>IF(ISNUMBER(SEARCH("healthy",AB437)),"yes","no")</x:f>
        <x:v>no</x:v>
      </x:c>
      <x:c r="AL437" s="12" t="str">
        <x:f>IF(AG437="yes","yes","candidate_only")</x:f>
        <x:v>candidate_only</x:v>
      </x:c>
      <x:c r="AM437" s="12" t="str">
        <x:f>IF(OR(AC437="canonical",AG437="yes"),"yes","recommended")</x:f>
        <x:v>recommended</x:v>
      </x:c>
      <x:c r="AN437" s="12" t="str">
        <x:f>IF(AC437="deprecated","exclude",IF(AND(AG437="yes",AJ437="high"),"import_but_human_review_required",IF(AG437="yes","import_as_active","import_as_backlog")))</x:f>
        <x:v>import_as_backlog</x:v>
      </x:c>
      <x:c r="AO437" s="12" t="str">
        <x:f>IF(AND(AG437="yes",OR(P437="",Q437="",R437="",S437="")),"missing_required_mvp_fields",IF(AND(AC437="canonical",Y437=""),"missing_source_ref","ok"))</x:f>
        <x:v>ok</x:v>
      </x:c>
      <x:c r="AP437" s="12" t="str">
        <x:f>IF(AO437="ok","ready_for_codex_import","needs_review")</x:f>
        <x:v>ready_for_codex_import</x:v>
      </x:c>
      <x:c r="AQ437" s="12"/>
      <x:c r="AR437" s="12" t="str">
        <x:v>Added v2 operational fields. Review before classification activation.</x:v>
      </x:c>
    </x:row>
    <x:row r="438">
      <x:c r="A438" s="13" t="str">
        <x:v>confirmation_bias_interpretation_variant</x:v>
      </x:c>
      <x:c r="B438" s="13" t="str">
        <x:v>confirmation_bias</x:v>
      </x:c>
      <x:c r="C438" s="13" t="str">
        <x:v>Confirmation bias</x:v>
      </x:c>
      <x:c r="D438" s="13" t="str">
        <x:v>سوگیری تأییدی</x:v>
      </x:c>
      <x:c r="E438" s="13" t="str">
        <x:v>Interpretation variant</x:v>
      </x:c>
      <x:c r="F438" s="13" t="str">
        <x:v>cognitive_biases_information_processing</x:v>
      </x:c>
      <x:c r="G438" s="13" t="str">
        <x:v>operational_variant</x:v>
      </x:c>
      <x:c r="H438" s="13" t="str">
        <x:v>contextual</x:v>
      </x:c>
      <x:c r="I438" s="13" t="str">
        <x:v>claim+context</x:v>
      </x:c>
      <x:c r="J438" s="13" t="str">
        <x:v>derived_operational_subtype</x:v>
      </x:c>
      <x:c r="K438" s="13" t="str">
        <x:v>derived_from_established_parent_review_required</x:v>
      </x:c>
      <x:c r="L438" s="13" t="str">
        <x:v>P2</x:v>
      </x:c>
      <x:c r="M438" s="13" t="str">
        <x:v>no</x:v>
      </x:c>
      <x:c r="N438" s="13" t="str">
        <x:v>Operational subtype under Confirmation bias: ambiguous evidence is interpreted asymmetrically. Parent definition: Searching for or interpreting information in ways that support prior beliefs.</x:v>
      </x:c>
      <x:c r="O438" s="13" t="str">
        <x:v>Look for: explicit claim-level evidence; parent-family cues for Confirmation bias; variant cue: ambiguous evidence is interpreted asymmetrically; avoid author-level inference.</x:v>
      </x:c>
      <x:c r="P438" s="13" t="str">
        <x:v>Exact evidence span in text plus claim-level reasoning link; for contextual/discourse entries, require surrounding context.</x:v>
      </x:c>
      <x:c r="Q438" s="13" t="str">
        <x:v>Do not label merely because topic is controversial, emotional, or wrong. Do not judge intent or personality. Require textual evidence and consider healthy-reasoning cues.</x:v>
      </x:c>
      <x:c r="R438" s="13" t="str">
        <x:v>Stub: A claim relies on ambiguous evidence is interpreted asymmetrically to support a conclusion without adequate qualification.</x:v>
      </x:c>
      <x:c r="S438" s="13" t="str">
        <x:v>Stub: A claim discusses confirmation bias with caveats, balanced evidence, or no argumentative use of the pattern.</x:v>
      </x:c>
      <x:c r="T438" s="13" t="str">
        <x:v>Mild or ambiguous cue; do not classify without clear evidence span.</x:v>
      </x:c>
      <x:c r="U438" s="13" t="str">
        <x:v>Clear claim-level pattern with some argumentative impact.</x:v>
      </x:c>
      <x:c r="V438" s="13" t="str">
        <x:v>Strong pattern central to the conclusion and likely to materially distort reasoning.</x:v>
      </x:c>
      <x:c r="W438" s="13" t="str"/>
      <x:c r="X438" s="13" t="str">
        <x:v>nickerson_confirmation_1998</x:v>
      </x:c>
      <x:c r="Y438" s="13" t="str">
        <x:v>https://doi.org/10.1037/1089-2680.2.2.175</x:v>
      </x:c>
      <x:c r="Z438" s="13" t="str">
        <x:v>Review before enabling. This workbook is a living taxonomy scaffold, not a validated scientific benchmark.</x:v>
      </x:c>
      <x:c r="AA438" s="13" t="str">
        <x:v>0.1.0-draft</x:v>
      </x:c>
      <x:c r="AB438" s="12" t="str">
        <x:f>IF(ISNUMBER(SEARCH("healthy",F438)),"healthy_reasoning_patterns",IF(ISNUMBER(SEARCH("statistical",F438)),"statistical_reasoning",IF(ISNUMBER(SEARCH("causal",F438)),"causal_reasoning",IF(ISNUMBER(SEARCH("social",F438)),"social_influence",IF(ISNUMBER(SEARCH("rhetoric",F438)),"rhetoric_discourse",IF(ISNUMBER(SEARCH("behavior",F438)),"behavioural_economics",IF(ISNUMBER(SEARCH("cognitive",F438)),"cognitive_biases",IF(J438="protective_pattern","healthy_reasoning_patterns",IF(L438="P0","core_mvp","extended_fallacies")))))))))</x:f>
        <x:v>cognitive_biases</x:v>
      </x:c>
      <x:c r="AC438" s="12" t="str">
        <x:f>IF(ISNUMBER(SEARCH("operational",J438)),"operational",IF(ISNUMBER(SEARCH("deprecated",J438)),"deprecated",IF(L438="P0","canonical","recognized_subtype")))</x:f>
        <x:v>operational</x:v>
      </x:c>
      <x:c r="AD438" s="12" t="str">
        <x:f>IF(AC438="canonical","high",IF(AC438="recognized_subtype","medium",IF(AC438="operational","operational_only","debated")))</x:f>
        <x:v>operational_only</x:v>
      </x:c>
      <x:c r="AE438" s="12" t="str">
        <x:f>IF(AC438="deprecated","deprecated",IF(M438="yes","active",IF(M438="review","review_required","backlog")))</x:f>
        <x:v>backlog</x:v>
      </x:c>
      <x:c r="AF438" s="12" t="str">
        <x:f>IF(OR(AE438="active",AE438="review_required"),"yes","no")</x:f>
        <x:v>no</x:v>
      </x:c>
      <x:c r="AG438" s="12" t="str">
        <x:f>IF(AND(AE438="active",M438="yes",NOT(ISNUMBER(SEARCH("healthy",AB438)))),"yes","no")</x:f>
        <x:v>no</x:v>
      </x:c>
      <x:c r="AH438" s="12" t="str">
        <x:f>IF(OR(H438="contextual",H438="dialogue",H438="discourse",I438="claim+context",I438="discourse_segment"),"yes","no")</x:f>
        <x:v>yes</x:v>
      </x:c>
      <x:c r="AI438" s="12" t="str">
        <x:f>IF(OR(AH438="yes",AD438="debated",AC438="operational"),"yes","no")</x:f>
        <x:v>yes</x:v>
      </x:c>
      <x:c r="AJ438" s="12" t="str">
        <x:f>IF(OR(AH438="yes",AC438="operational",AD438="debated"),"high",IF(AND(AG438="yes",L438="P0"),"medium","low"))</x:f>
        <x:v>high</x:v>
      </x:c>
      <x:c r="AK438" s="12" t="str">
        <x:f>IF(ISNUMBER(SEARCH("healthy",AB438)),"yes","no")</x:f>
        <x:v>no</x:v>
      </x:c>
      <x:c r="AL438" s="12" t="str">
        <x:f>IF(AG438="yes","yes","candidate_only")</x:f>
        <x:v>candidate_only</x:v>
      </x:c>
      <x:c r="AM438" s="12" t="str">
        <x:f>IF(OR(AC438="canonical",AG438="yes"),"yes","recommended")</x:f>
        <x:v>recommended</x:v>
      </x:c>
      <x:c r="AN438" s="12" t="str">
        <x:f>IF(AC438="deprecated","exclude",IF(AND(AG438="yes",AJ438="high"),"import_but_human_review_required",IF(AG438="yes","import_as_active","import_as_backlog")))</x:f>
        <x:v>import_as_backlog</x:v>
      </x:c>
      <x:c r="AO438" s="12" t="str">
        <x:f>IF(AND(AG438="yes",OR(P438="",Q438="",R438="",S438="")),"missing_required_mvp_fields",IF(AND(AC438="canonical",Y438=""),"missing_source_ref","ok"))</x:f>
        <x:v>ok</x:v>
      </x:c>
      <x:c r="AP438" s="12" t="str">
        <x:f>IF(AO438="ok","ready_for_codex_import","needs_review")</x:f>
        <x:v>ready_for_codex_import</x:v>
      </x:c>
      <x:c r="AQ438" s="12"/>
      <x:c r="AR438" s="12" t="str">
        <x:v>Added v2 operational fields. Review before classification activation.</x:v>
      </x:c>
    </x:row>
    <x:row r="439">
      <x:c r="A439" s="13" t="str">
        <x:v>myside_bias_interpretation_variant</x:v>
      </x:c>
      <x:c r="B439" s="13" t="str">
        <x:v>myside_bias</x:v>
      </x:c>
      <x:c r="C439" s="13" t="str">
        <x:v>Myside bias</x:v>
      </x:c>
      <x:c r="D439" s="13" t="str">
        <x:v>سوگیری سمت خود</x:v>
      </x:c>
      <x:c r="E439" s="13" t="str">
        <x:v>Interpretation variant</x:v>
      </x:c>
      <x:c r="F439" s="13" t="str">
        <x:v>cognitive_biases_information_processing</x:v>
      </x:c>
      <x:c r="G439" s="13" t="str">
        <x:v>operational_variant</x:v>
      </x:c>
      <x:c r="H439" s="13" t="str">
        <x:v>contextual</x:v>
      </x:c>
      <x:c r="I439" s="13" t="str">
        <x:v>claim+context</x:v>
      </x:c>
      <x:c r="J439" s="13" t="str">
        <x:v>derived_operational_subtype</x:v>
      </x:c>
      <x:c r="K439" s="13" t="str">
        <x:v>derived_from_established_parent_review_required</x:v>
      </x:c>
      <x:c r="L439" s="13" t="str">
        <x:v>P2</x:v>
      </x:c>
      <x:c r="M439" s="13" t="str">
        <x:v>no</x:v>
      </x:c>
      <x:c r="N439" s="13" t="str">
        <x:v>Operational subtype under Myside bias: ambiguous evidence is interpreted asymmetrically. Parent definition: Evaluating evidence differently depending on whether it supports one's side.</x:v>
      </x:c>
      <x:c r="O439" s="13" t="str">
        <x:v>Look for: explicit claim-level evidence; parent-family cues for Myside bias; variant cue: ambiguous evidence is interpreted asymmetrically; avoid author-level inference.</x:v>
      </x:c>
      <x:c r="P439" s="13" t="str">
        <x:v>Exact evidence span in text plus claim-level reasoning link; for contextual/discourse entries, require surrounding context.</x:v>
      </x:c>
      <x:c r="Q439" s="13" t="str">
        <x:v>Do not label merely because topic is controversial, emotional, or wrong. Do not judge intent or personality. Require textual evidence and consider healthy-reasoning cues.</x:v>
      </x:c>
      <x:c r="R439" s="13" t="str">
        <x:v>Stub: A claim relies on ambiguous evidence is interpreted asymmetrically to support a conclusion without adequate qualification.</x:v>
      </x:c>
      <x:c r="S439" s="13" t="str">
        <x:v>Stub: A claim discusses myside bias with caveats, balanced evidence, or no argumentative use of the pattern.</x:v>
      </x:c>
      <x:c r="T439" s="13" t="str">
        <x:v>Mild or ambiguous cue; do not classify without clear evidence span.</x:v>
      </x:c>
      <x:c r="U439" s="13" t="str">
        <x:v>Clear claim-level pattern with some argumentative impact.</x:v>
      </x:c>
      <x:c r="V439" s="13" t="str">
        <x:v>Strong pattern central to the conclusion and likely to materially distort reasoning.</x:v>
      </x:c>
      <x:c r="W439" s="13" t="str">
        <x:v>cherry_picking; missing_counterevidence; evidence_grading</x:v>
      </x:c>
      <x:c r="X439" s="13" t="str">
        <x:v>nickerson_confirmation_1998</x:v>
      </x:c>
      <x:c r="Y439" s="13" t="str">
        <x:v>https://doi.org/10.1037/1089-2680.2.2.175</x:v>
      </x:c>
      <x:c r="Z439" s="13" t="str">
        <x:v>Review before enabling. This workbook is a living taxonomy scaffold, not a validated scientific benchmark.</x:v>
      </x:c>
      <x:c r="AA439" s="13" t="str">
        <x:v>0.1.0-draft</x:v>
      </x:c>
      <x:c r="AB439" s="12" t="str">
        <x:f>IF(ISNUMBER(SEARCH("healthy",F439)),"healthy_reasoning_patterns",IF(ISNUMBER(SEARCH("statistical",F439)),"statistical_reasoning",IF(ISNUMBER(SEARCH("causal",F439)),"causal_reasoning",IF(ISNUMBER(SEARCH("social",F439)),"social_influence",IF(ISNUMBER(SEARCH("rhetoric",F439)),"rhetoric_discourse",IF(ISNUMBER(SEARCH("behavior",F439)),"behavioural_economics",IF(ISNUMBER(SEARCH("cognitive",F439)),"cognitive_biases",IF(J439="protective_pattern","healthy_reasoning_patterns",IF(L439="P0","core_mvp","extended_fallacies")))))))))</x:f>
        <x:v>cognitive_biases</x:v>
      </x:c>
      <x:c r="AC439" s="12" t="str">
        <x:f>IF(ISNUMBER(SEARCH("operational",J439)),"operational",IF(ISNUMBER(SEARCH("deprecated",J439)),"deprecated",IF(L439="P0","canonical","recognized_subtype")))</x:f>
        <x:v>operational</x:v>
      </x:c>
      <x:c r="AD439" s="12" t="str">
        <x:f>IF(AC439="canonical","high",IF(AC439="recognized_subtype","medium",IF(AC439="operational","operational_only","debated")))</x:f>
        <x:v>operational_only</x:v>
      </x:c>
      <x:c r="AE439" s="12" t="str">
        <x:f>IF(AC439="deprecated","deprecated",IF(M439="yes","active",IF(M439="review","review_required","backlog")))</x:f>
        <x:v>backlog</x:v>
      </x:c>
      <x:c r="AF439" s="12" t="str">
        <x:f>IF(OR(AE439="active",AE439="review_required"),"yes","no")</x:f>
        <x:v>no</x:v>
      </x:c>
      <x:c r="AG439" s="12" t="str">
        <x:f>IF(AND(AE439="active",M439="yes",NOT(ISNUMBER(SEARCH("healthy",AB439)))),"yes","no")</x:f>
        <x:v>no</x:v>
      </x:c>
      <x:c r="AH439" s="12" t="str">
        <x:f>IF(OR(H439="contextual",H439="dialogue",H439="discourse",I439="claim+context",I439="discourse_segment"),"yes","no")</x:f>
        <x:v>yes</x:v>
      </x:c>
      <x:c r="AI439" s="12" t="str">
        <x:f>IF(OR(AH439="yes",AD439="debated",AC439="operational"),"yes","no")</x:f>
        <x:v>yes</x:v>
      </x:c>
      <x:c r="AJ439" s="12" t="str">
        <x:f>IF(OR(AH439="yes",AC439="operational",AD439="debated"),"high",IF(AND(AG439="yes",L439="P0"),"medium","low"))</x:f>
        <x:v>high</x:v>
      </x:c>
      <x:c r="AK439" s="12" t="str">
        <x:f>IF(ISNUMBER(SEARCH("healthy",AB439)),"yes","no")</x:f>
        <x:v>no</x:v>
      </x:c>
      <x:c r="AL439" s="12" t="str">
        <x:f>IF(AG439="yes","yes","candidate_only")</x:f>
        <x:v>candidate_only</x:v>
      </x:c>
      <x:c r="AM439" s="12" t="str">
        <x:f>IF(OR(AC439="canonical",AG439="yes"),"yes","recommended")</x:f>
        <x:v>recommended</x:v>
      </x:c>
      <x:c r="AN439" s="12" t="str">
        <x:f>IF(AC439="deprecated","exclude",IF(AND(AG439="yes",AJ439="high"),"import_but_human_review_required",IF(AG439="yes","import_as_active","import_as_backlog")))</x:f>
        <x:v>import_as_backlog</x:v>
      </x:c>
      <x:c r="AO439" s="12" t="str">
        <x:f>IF(AND(AG439="yes",OR(P439="",Q439="",R439="",S439="")),"missing_required_mvp_fields",IF(AND(AC439="canonical",Y439=""),"missing_source_ref","ok"))</x:f>
        <x:v>ok</x:v>
      </x:c>
      <x:c r="AP439" s="12" t="str">
        <x:f>IF(AO439="ok","ready_for_codex_import","needs_review")</x:f>
        <x:v>ready_for_codex_import</x:v>
      </x:c>
      <x:c r="AQ439" s="12"/>
      <x:c r="AR439" s="12" t="str">
        <x:v>Added v2 operational fields. Review before classification activation.</x:v>
      </x:c>
    </x:row>
    <x:row r="440">
      <x:c r="A440" s="13" t="str">
        <x:v>belief_bias_interpretation_variant</x:v>
      </x:c>
      <x:c r="B440" s="13" t="str">
        <x:v>belief_bias</x:v>
      </x:c>
      <x:c r="C440" s="13" t="str">
        <x:v>Belief bias</x:v>
      </x:c>
      <x:c r="D440" s="13" t="str">
        <x:v>سوگیری باور</x:v>
      </x:c>
      <x:c r="E440" s="13" t="str">
        <x:v>Interpretation variant</x:v>
      </x:c>
      <x:c r="F440" s="13" t="str">
        <x:v>cognitive_biases_information_processing</x:v>
      </x:c>
      <x:c r="G440" s="13" t="str">
        <x:v>operational_variant</x:v>
      </x:c>
      <x:c r="H440" s="13" t="str">
        <x:v>structural</x:v>
      </x:c>
      <x:c r="I440" s="13" t="str">
        <x:v>claim</x:v>
      </x:c>
      <x:c r="J440" s="13" t="str">
        <x:v>derived_operational_subtype</x:v>
      </x:c>
      <x:c r="K440" s="13" t="str">
        <x:v>derived_from_established_parent_review_required</x:v>
      </x:c>
      <x:c r="L440" s="13" t="str">
        <x:v>P2</x:v>
      </x:c>
      <x:c r="M440" s="13" t="str">
        <x:v>no</x:v>
      </x:c>
      <x:c r="N440" s="13" t="str">
        <x:v>Operational subtype under Belief bias: ambiguous evidence is interpreted asymmetrically. Parent definition: Judging logical strength by conclusion believability rather than validity.</x:v>
      </x:c>
      <x:c r="O440" s="13" t="str">
        <x:v>Look for: explicit claim-level evidence; parent-family cues for Belief bias; variant cue: ambiguous evidence is interpreted asymmetrically; avoid author-level inference.</x:v>
      </x:c>
      <x:c r="P440" s="13" t="str">
        <x:v>Exact evidence span in text plus claim-level reasoning link; for contextual/discourse entries, require surrounding context.</x:v>
      </x:c>
      <x:c r="Q440" s="13" t="str">
        <x:v>Do not label merely because topic is controversial, emotional, or wrong. Do not judge intent or personality. Require textual evidence and consider healthy-reasoning cues.</x:v>
      </x:c>
      <x:c r="R440" s="13" t="str">
        <x:v>Stub: A claim relies on ambiguous evidence is interpreted asymmetrically to support a conclusion without adequate qualification.</x:v>
      </x:c>
      <x:c r="S440" s="13" t="str">
        <x:v>Stub: A claim discusses belief bias with caveats, balanced evidence, or no argumentative use of the pattern.</x:v>
      </x:c>
      <x:c r="T440" s="13" t="str">
        <x:v>Mild or ambiguous cue; do not classify without clear evidence span.</x:v>
      </x:c>
      <x:c r="U440" s="13" t="str">
        <x:v>Clear claim-level pattern with some argumentative impact.</x:v>
      </x:c>
      <x:c r="V440" s="13" t="str">
        <x:v>Strong pattern central to the conclusion and likely to materially distort reasoning.</x:v>
      </x:c>
      <x:c r="W440" s="13" t="str"/>
      <x:c r="X440" s="13" t="str">
        <x:v>stanovich_dual_process</x:v>
      </x:c>
      <x:c r="Y440" s="13" t="str">
        <x:v>https://global.oup.com/academic/product/rationality-and-the-reflective-mind-9780195341140</x:v>
      </x:c>
      <x:c r="Z440" s="13" t="str">
        <x:v>Review before enabling. This workbook is a living taxonomy scaffold, not a validated scientific benchmark.</x:v>
      </x:c>
      <x:c r="AA440" s="13" t="str">
        <x:v>0.1.0-draft</x:v>
      </x:c>
      <x:c r="AB440" s="12" t="str">
        <x:f>IF(ISNUMBER(SEARCH("healthy",F440)),"healthy_reasoning_patterns",IF(ISNUMBER(SEARCH("statistical",F440)),"statistical_reasoning",IF(ISNUMBER(SEARCH("causal",F440)),"causal_reasoning",IF(ISNUMBER(SEARCH("social",F440)),"social_influence",IF(ISNUMBER(SEARCH("rhetoric",F440)),"rhetoric_discourse",IF(ISNUMBER(SEARCH("behavior",F440)),"behavioural_economics",IF(ISNUMBER(SEARCH("cognitive",F440)),"cognitive_biases",IF(J440="protective_pattern","healthy_reasoning_patterns",IF(L440="P0","core_mvp","extended_fallacies")))))))))</x:f>
        <x:v>cognitive_biases</x:v>
      </x:c>
      <x:c r="AC440" s="12" t="str">
        <x:f>IF(ISNUMBER(SEARCH("operational",J440)),"operational",IF(ISNUMBER(SEARCH("deprecated",J440)),"deprecated",IF(L440="P0","canonical","recognized_subtype")))</x:f>
        <x:v>operational</x:v>
      </x:c>
      <x:c r="AD440" s="12" t="str">
        <x:f>IF(AC440="canonical","high",IF(AC440="recognized_subtype","medium",IF(AC440="operational","operational_only","debated")))</x:f>
        <x:v>operational_only</x:v>
      </x:c>
      <x:c r="AE440" s="12" t="str">
        <x:f>IF(AC440="deprecated","deprecated",IF(M440="yes","active",IF(M440="review","review_required","backlog")))</x:f>
        <x:v>backlog</x:v>
      </x:c>
      <x:c r="AF440" s="12" t="str">
        <x:f>IF(OR(AE440="active",AE440="review_required"),"yes","no")</x:f>
        <x:v>no</x:v>
      </x:c>
      <x:c r="AG440" s="12" t="str">
        <x:f>IF(AND(AE440="active",M440="yes",NOT(ISNUMBER(SEARCH("healthy",AB440)))),"yes","no")</x:f>
        <x:v>no</x:v>
      </x:c>
      <x:c r="AH440" s="12" t="str">
        <x:f>IF(OR(H440="contextual",H440="dialogue",H440="discourse",I440="claim+context",I440="discourse_segment"),"yes","no")</x:f>
        <x:v>no</x:v>
      </x:c>
      <x:c r="AI440" s="12" t="str">
        <x:f>IF(OR(AH440="yes",AD440="debated",AC440="operational"),"yes","no")</x:f>
        <x:v>yes</x:v>
      </x:c>
      <x:c r="AJ440" s="12" t="str">
        <x:f>IF(OR(AH440="yes",AC440="operational",AD440="debated"),"high",IF(AND(AG440="yes",L440="P0"),"medium","low"))</x:f>
        <x:v>high</x:v>
      </x:c>
      <x:c r="AK440" s="12" t="str">
        <x:f>IF(ISNUMBER(SEARCH("healthy",AB440)),"yes","no")</x:f>
        <x:v>no</x:v>
      </x:c>
      <x:c r="AL440" s="12" t="str">
        <x:f>IF(AG440="yes","yes","candidate_only")</x:f>
        <x:v>candidate_only</x:v>
      </x:c>
      <x:c r="AM440" s="12" t="str">
        <x:f>IF(OR(AC440="canonical",AG440="yes"),"yes","recommended")</x:f>
        <x:v>recommended</x:v>
      </x:c>
      <x:c r="AN440" s="12" t="str">
        <x:f>IF(AC440="deprecated","exclude",IF(AND(AG440="yes",AJ440="high"),"import_but_human_review_required",IF(AG440="yes","import_as_active","import_as_backlog")))</x:f>
        <x:v>import_as_backlog</x:v>
      </x:c>
      <x:c r="AO440" s="12" t="str">
        <x:f>IF(AND(AG440="yes",OR(P440="",Q440="",R440="",S440="")),"missing_required_mvp_fields",IF(AND(AC440="canonical",Y440=""),"missing_source_ref","ok"))</x:f>
        <x:v>ok</x:v>
      </x:c>
      <x:c r="AP440" s="12" t="str">
        <x:f>IF(AO440="ok","ready_for_codex_import","needs_review")</x:f>
        <x:v>ready_for_codex_import</x:v>
      </x:c>
      <x:c r="AQ440" s="12"/>
      <x:c r="AR440" s="12" t="str">
        <x:v>Added v2 operational fields. Review before classification activation.</x:v>
      </x:c>
    </x:row>
    <x:row r="441">
      <x:c r="A441" s="13" t="str">
        <x:v>anchoring_bias_interpretation_variant</x:v>
      </x:c>
      <x:c r="B441" s="13" t="str">
        <x:v>anchoring_bias</x:v>
      </x:c>
      <x:c r="C441" s="13" t="str">
        <x:v>Anchoring bias</x:v>
      </x:c>
      <x:c r="D441" s="13" t="str">
        <x:v>سوگیری لنگری</x:v>
      </x:c>
      <x:c r="E441" s="13" t="str">
        <x:v>Interpretation variant</x:v>
      </x:c>
      <x:c r="F441" s="13" t="str">
        <x:v>cognitive_biases_information_processing</x:v>
      </x:c>
      <x:c r="G441" s="13" t="str">
        <x:v>operational_variant</x:v>
      </x:c>
      <x:c r="H441" s="13" t="str">
        <x:v>contextual</x:v>
      </x:c>
      <x:c r="I441" s="13" t="str">
        <x:v>claim+context</x:v>
      </x:c>
      <x:c r="J441" s="13" t="str">
        <x:v>derived_operational_subtype</x:v>
      </x:c>
      <x:c r="K441" s="13" t="str">
        <x:v>derived_from_established_parent_review_required</x:v>
      </x:c>
      <x:c r="L441" s="13" t="str">
        <x:v>P2</x:v>
      </x:c>
      <x:c r="M441" s="13" t="str">
        <x:v>no</x:v>
      </x:c>
      <x:c r="N441" s="13" t="str">
        <x:v>Operational subtype under Anchoring bias: ambiguous evidence is interpreted asymmetrically. Parent definition: Relying too heavily on an initial value or frame when judging.</x:v>
      </x:c>
      <x:c r="O441" s="13" t="str">
        <x:v>Look for: explicit claim-level evidence; parent-family cues for Anchoring bias; variant cue: ambiguous evidence is interpreted asymmetrically; avoid author-level inference.</x:v>
      </x:c>
      <x:c r="P441" s="13" t="str">
        <x:v>Exact evidence span in text plus claim-level reasoning link; for contextual/discourse entries, require surrounding context.</x:v>
      </x:c>
      <x:c r="Q441" s="13" t="str">
        <x:v>Do not label merely because topic is controversial, emotional, or wrong. Do not judge intent or personality. Require textual evidence and consider healthy-reasoning cues.</x:v>
      </x:c>
      <x:c r="R441" s="13" t="str">
        <x:v>Stub: A claim relies on ambiguous evidence is interpreted asymmetrically to support a conclusion without adequate qualification.</x:v>
      </x:c>
      <x:c r="S441" s="13" t="str">
        <x:v>Stub: A claim discusses anchoring bias with caveats, balanced evidence, or no argumentative use of the pattern.</x:v>
      </x:c>
      <x:c r="T441" s="13" t="str">
        <x:v>Mild or ambiguous cue; do not classify without clear evidence span.</x:v>
      </x:c>
      <x:c r="U441" s="13" t="str">
        <x:v>Clear claim-level pattern with some argumentative impact.</x:v>
      </x:c>
      <x:c r="V441" s="13" t="str">
        <x:v>Strong pattern central to the conclusion and likely to materially distort reasoning.</x:v>
      </x:c>
      <x:c r="W441" s="13" t="str"/>
      <x:c r="X441" s="13" t="str">
        <x:v>kahneman_tversky_heuristics_1974</x:v>
      </x:c>
      <x:c r="Y441" s="13" t="str">
        <x:v>https://doi.org/10.1126/science.185.4157.1124</x:v>
      </x:c>
      <x:c r="Z441" s="13" t="str">
        <x:v>Review before enabling. This workbook is a living taxonomy scaffold, not a validated scientific benchmark.</x:v>
      </x:c>
      <x:c r="AA441" s="13" t="str">
        <x:v>0.1.0-draft</x:v>
      </x:c>
      <x:c r="AB441" s="12" t="str">
        <x:f>IF(ISNUMBER(SEARCH("healthy",F441)),"healthy_reasoning_patterns",IF(ISNUMBER(SEARCH("statistical",F441)),"statistical_reasoning",IF(ISNUMBER(SEARCH("causal",F441)),"causal_reasoning",IF(ISNUMBER(SEARCH("social",F441)),"social_influence",IF(ISNUMBER(SEARCH("rhetoric",F441)),"rhetoric_discourse",IF(ISNUMBER(SEARCH("behavior",F441)),"behavioural_economics",IF(ISNUMBER(SEARCH("cognitive",F441)),"cognitive_biases",IF(J441="protective_pattern","healthy_reasoning_patterns",IF(L441="P0","core_mvp","extended_fallacies")))))))))</x:f>
        <x:v>cognitive_biases</x:v>
      </x:c>
      <x:c r="AC441" s="12" t="str">
        <x:f>IF(ISNUMBER(SEARCH("operational",J441)),"operational",IF(ISNUMBER(SEARCH("deprecated",J441)),"deprecated",IF(L441="P0","canonical","recognized_subtype")))</x:f>
        <x:v>operational</x:v>
      </x:c>
      <x:c r="AD441" s="12" t="str">
        <x:f>IF(AC441="canonical","high",IF(AC441="recognized_subtype","medium",IF(AC441="operational","operational_only","debated")))</x:f>
        <x:v>operational_only</x:v>
      </x:c>
      <x:c r="AE441" s="12" t="str">
        <x:f>IF(AC441="deprecated","deprecated",IF(M441="yes","active",IF(M441="review","review_required","backlog")))</x:f>
        <x:v>backlog</x:v>
      </x:c>
      <x:c r="AF441" s="12" t="str">
        <x:f>IF(OR(AE441="active",AE441="review_required"),"yes","no")</x:f>
        <x:v>no</x:v>
      </x:c>
      <x:c r="AG441" s="12" t="str">
        <x:f>IF(AND(AE441="active",M441="yes",NOT(ISNUMBER(SEARCH("healthy",AB441)))),"yes","no")</x:f>
        <x:v>no</x:v>
      </x:c>
      <x:c r="AH441" s="12" t="str">
        <x:f>IF(OR(H441="contextual",H441="dialogue",H441="discourse",I441="claim+context",I441="discourse_segment"),"yes","no")</x:f>
        <x:v>yes</x:v>
      </x:c>
      <x:c r="AI441" s="12" t="str">
        <x:f>IF(OR(AH441="yes",AD441="debated",AC441="operational"),"yes","no")</x:f>
        <x:v>yes</x:v>
      </x:c>
      <x:c r="AJ441" s="12" t="str">
        <x:f>IF(OR(AH441="yes",AC441="operational",AD441="debated"),"high",IF(AND(AG441="yes",L441="P0"),"medium","low"))</x:f>
        <x:v>high</x:v>
      </x:c>
      <x:c r="AK441" s="12" t="str">
        <x:f>IF(ISNUMBER(SEARCH("healthy",AB441)),"yes","no")</x:f>
        <x:v>no</x:v>
      </x:c>
      <x:c r="AL441" s="12" t="str">
        <x:f>IF(AG441="yes","yes","candidate_only")</x:f>
        <x:v>candidate_only</x:v>
      </x:c>
      <x:c r="AM441" s="12" t="str">
        <x:f>IF(OR(AC441="canonical",AG441="yes"),"yes","recommended")</x:f>
        <x:v>recommended</x:v>
      </x:c>
      <x:c r="AN441" s="12" t="str">
        <x:f>IF(AC441="deprecated","exclude",IF(AND(AG441="yes",AJ441="high"),"import_but_human_review_required",IF(AG441="yes","import_as_active","import_as_backlog")))</x:f>
        <x:v>import_as_backlog</x:v>
      </x:c>
      <x:c r="AO441" s="12" t="str">
        <x:f>IF(AND(AG441="yes",OR(P441="",Q441="",R441="",S441="")),"missing_required_mvp_fields",IF(AND(AC441="canonical",Y441=""),"missing_source_ref","ok"))</x:f>
        <x:v>ok</x:v>
      </x:c>
      <x:c r="AP441" s="12" t="str">
        <x:f>IF(AO441="ok","ready_for_codex_import","needs_review")</x:f>
        <x:v>ready_for_codex_import</x:v>
      </x:c>
      <x:c r="AQ441" s="12"/>
      <x:c r="AR441" s="12" t="str">
        <x:v>Added v2 operational fields. Review before classification activation.</x:v>
      </x:c>
    </x:row>
    <x:row r="442">
      <x:c r="A442" s="13" t="str">
        <x:v>availability_heuristic_interpretation_variant</x:v>
      </x:c>
      <x:c r="B442" s="13" t="str">
        <x:v>availability_heuristic</x:v>
      </x:c>
      <x:c r="C442" s="13" t="str">
        <x:v>Availability heuristic</x:v>
      </x:c>
      <x:c r="D442" s="13" t="str">
        <x:v>قضاوت بر اساس در دسترس بودن</x:v>
      </x:c>
      <x:c r="E442" s="13" t="str">
        <x:v>Interpretation variant</x:v>
      </x:c>
      <x:c r="F442" s="13" t="str">
        <x:v>cognitive_biases_information_processing</x:v>
      </x:c>
      <x:c r="G442" s="13" t="str">
        <x:v>operational_variant</x:v>
      </x:c>
      <x:c r="H442" s="13" t="str">
        <x:v>contextual</x:v>
      </x:c>
      <x:c r="I442" s="13" t="str">
        <x:v>claim+context</x:v>
      </x:c>
      <x:c r="J442" s="13" t="str">
        <x:v>derived_operational_subtype</x:v>
      </x:c>
      <x:c r="K442" s="13" t="str">
        <x:v>derived_from_established_parent_review_required</x:v>
      </x:c>
      <x:c r="L442" s="13" t="str">
        <x:v>P2</x:v>
      </x:c>
      <x:c r="M442" s="13" t="str">
        <x:v>no</x:v>
      </x:c>
      <x:c r="N442" s="13" t="str">
        <x:v>Operational subtype under Availability heuristic: ambiguous evidence is interpreted asymmetrically. Parent definition: Judging frequency or likelihood by how easily examples come to mind.</x:v>
      </x:c>
      <x:c r="O442" s="13" t="str">
        <x:v>Look for: explicit claim-level evidence; parent-family cues for Availability heuristic; variant cue: ambiguous evidence is interpreted asymmetrically; avoid author-level inference.</x:v>
      </x:c>
      <x:c r="P442" s="13" t="str">
        <x:v>Exact evidence span in text plus claim-level reasoning link; for contextual/discourse entries, require surrounding context.</x:v>
      </x:c>
      <x:c r="Q442" s="13" t="str">
        <x:v>Do not label merely because topic is controversial, emotional, or wrong. Do not judge intent or personality. Require textual evidence and consider healthy-reasoning cues.</x:v>
      </x:c>
      <x:c r="R442" s="13" t="str">
        <x:v>Stub: A claim relies on ambiguous evidence is interpreted asymmetrically to support a conclusion without adequate qualification.</x:v>
      </x:c>
      <x:c r="S442" s="13" t="str">
        <x:v>Stub: A claim discusses availability heuristic with caveats, balanced evidence, or no argumentative use of the pattern.</x:v>
      </x:c>
      <x:c r="T442" s="13" t="str">
        <x:v>Mild or ambiguous cue; do not classify without clear evidence span.</x:v>
      </x:c>
      <x:c r="U442" s="13" t="str">
        <x:v>Clear claim-level pattern with some argumentative impact.</x:v>
      </x:c>
      <x:c r="V442" s="13" t="str">
        <x:v>Strong pattern central to the conclusion and likely to materially distort reasoning.</x:v>
      </x:c>
      <x:c r="W442" s="13" t="str"/>
      <x:c r="X442" s="13" t="str">
        <x:v>kahneman_tversky_heuristics_1974</x:v>
      </x:c>
      <x:c r="Y442" s="13" t="str">
        <x:v>https://doi.org/10.1126/science.185.4157.1124</x:v>
      </x:c>
      <x:c r="Z442" s="13" t="str">
        <x:v>Review before enabling. This workbook is a living taxonomy scaffold, not a validated scientific benchmark.</x:v>
      </x:c>
      <x:c r="AA442" s="13" t="str">
        <x:v>0.1.0-draft</x:v>
      </x:c>
      <x:c r="AB442" s="12" t="str">
        <x:f>IF(ISNUMBER(SEARCH("healthy",F442)),"healthy_reasoning_patterns",IF(ISNUMBER(SEARCH("statistical",F442)),"statistical_reasoning",IF(ISNUMBER(SEARCH("causal",F442)),"causal_reasoning",IF(ISNUMBER(SEARCH("social",F442)),"social_influence",IF(ISNUMBER(SEARCH("rhetoric",F442)),"rhetoric_discourse",IF(ISNUMBER(SEARCH("behavior",F442)),"behavioural_economics",IF(ISNUMBER(SEARCH("cognitive",F442)),"cognitive_biases",IF(J442="protective_pattern","healthy_reasoning_patterns",IF(L442="P0","core_mvp","extended_fallacies")))))))))</x:f>
        <x:v>cognitive_biases</x:v>
      </x:c>
      <x:c r="AC442" s="12" t="str">
        <x:f>IF(ISNUMBER(SEARCH("operational",J442)),"operational",IF(ISNUMBER(SEARCH("deprecated",J442)),"deprecated",IF(L442="P0","canonical","recognized_subtype")))</x:f>
        <x:v>operational</x:v>
      </x:c>
      <x:c r="AD442" s="12" t="str">
        <x:f>IF(AC442="canonical","high",IF(AC442="recognized_subtype","medium",IF(AC442="operational","operational_only","debated")))</x:f>
        <x:v>operational_only</x:v>
      </x:c>
      <x:c r="AE442" s="12" t="str">
        <x:f>IF(AC442="deprecated","deprecated",IF(M442="yes","active",IF(M442="review","review_required","backlog")))</x:f>
        <x:v>backlog</x:v>
      </x:c>
      <x:c r="AF442" s="12" t="str">
        <x:f>IF(OR(AE442="active",AE442="review_required"),"yes","no")</x:f>
        <x:v>no</x:v>
      </x:c>
      <x:c r="AG442" s="12" t="str">
        <x:f>IF(AND(AE442="active",M442="yes",NOT(ISNUMBER(SEARCH("healthy",AB442)))),"yes","no")</x:f>
        <x:v>no</x:v>
      </x:c>
      <x:c r="AH442" s="12" t="str">
        <x:f>IF(OR(H442="contextual",H442="dialogue",H442="discourse",I442="claim+context",I442="discourse_segment"),"yes","no")</x:f>
        <x:v>yes</x:v>
      </x:c>
      <x:c r="AI442" s="12" t="str">
        <x:f>IF(OR(AH442="yes",AD442="debated",AC442="operational"),"yes","no")</x:f>
        <x:v>yes</x:v>
      </x:c>
      <x:c r="AJ442" s="12" t="str">
        <x:f>IF(OR(AH442="yes",AC442="operational",AD442="debated"),"high",IF(AND(AG442="yes",L442="P0"),"medium","low"))</x:f>
        <x:v>high</x:v>
      </x:c>
      <x:c r="AK442" s="12" t="str">
        <x:f>IF(ISNUMBER(SEARCH("healthy",AB442)),"yes","no")</x:f>
        <x:v>no</x:v>
      </x:c>
      <x:c r="AL442" s="12" t="str">
        <x:f>IF(AG442="yes","yes","candidate_only")</x:f>
        <x:v>candidate_only</x:v>
      </x:c>
      <x:c r="AM442" s="12" t="str">
        <x:f>IF(OR(AC442="canonical",AG442="yes"),"yes","recommended")</x:f>
        <x:v>recommended</x:v>
      </x:c>
      <x:c r="AN442" s="12" t="str">
        <x:f>IF(AC442="deprecated","exclude",IF(AND(AG442="yes",AJ442="high"),"import_but_human_review_required",IF(AG442="yes","import_as_active","import_as_backlog")))</x:f>
        <x:v>import_as_backlog</x:v>
      </x:c>
      <x:c r="AO442" s="12" t="str">
        <x:f>IF(AND(AG442="yes",OR(P442="",Q442="",R442="",S442="")),"missing_required_mvp_fields",IF(AND(AC442="canonical",Y442=""),"missing_source_ref","ok"))</x:f>
        <x:v>ok</x:v>
      </x:c>
      <x:c r="AP442" s="12" t="str">
        <x:f>IF(AO442="ok","ready_for_codex_import","needs_review")</x:f>
        <x:v>ready_for_codex_import</x:v>
      </x:c>
      <x:c r="AQ442" s="12"/>
      <x:c r="AR442" s="12" t="str">
        <x:v>Added v2 operational fields. Review before classification activation.</x:v>
      </x:c>
    </x:row>
    <x:row r="443">
      <x:c r="A443" s="13" t="str">
        <x:v>representativeness_heuristic_interpretation_variant</x:v>
      </x:c>
      <x:c r="B443" s="13" t="str">
        <x:v>representativeness_heuristic</x:v>
      </x:c>
      <x:c r="C443" s="13" t="str">
        <x:v>Representativeness heuristic</x:v>
      </x:c>
      <x:c r="D443" s="13" t="str">
        <x:v>نمایندگی‌گرایی</x:v>
      </x:c>
      <x:c r="E443" s="13" t="str">
        <x:v>Interpretation variant</x:v>
      </x:c>
      <x:c r="F443" s="13" t="str">
        <x:v>cognitive_biases_information_processing</x:v>
      </x:c>
      <x:c r="G443" s="13" t="str">
        <x:v>operational_variant</x:v>
      </x:c>
      <x:c r="H443" s="13" t="str">
        <x:v>contextual</x:v>
      </x:c>
      <x:c r="I443" s="13" t="str">
        <x:v>claim+context</x:v>
      </x:c>
      <x:c r="J443" s="13" t="str">
        <x:v>derived_operational_subtype</x:v>
      </x:c>
      <x:c r="K443" s="13" t="str">
        <x:v>derived_from_established_parent_review_required</x:v>
      </x:c>
      <x:c r="L443" s="13" t="str">
        <x:v>P2</x:v>
      </x:c>
      <x:c r="M443" s="13" t="str">
        <x:v>no</x:v>
      </x:c>
      <x:c r="N443" s="13" t="str">
        <x:v>Operational subtype under Representativeness heuristic: ambiguous evidence is interpreted asymmetrically. Parent definition: Judging likelihood by similarity to a stereotype or prototype.</x:v>
      </x:c>
      <x:c r="O443" s="13" t="str">
        <x:v>Look for: explicit claim-level evidence; parent-family cues for Representativeness heuristic; variant cue: ambiguous evidence is interpreted asymmetrically; avoid author-level inference.</x:v>
      </x:c>
      <x:c r="P443" s="13" t="str">
        <x:v>Exact evidence span in text plus claim-level reasoning link; for contextual/discourse entries, require surrounding context.</x:v>
      </x:c>
      <x:c r="Q443" s="13" t="str">
        <x:v>Do not label merely because topic is controversial, emotional, or wrong. Do not judge intent or personality. Require textual evidence and consider healthy-reasoning cues.</x:v>
      </x:c>
      <x:c r="R443" s="13" t="str">
        <x:v>Stub: A claim relies on ambiguous evidence is interpreted asymmetrically to support a conclusion without adequate qualification.</x:v>
      </x:c>
      <x:c r="S443" s="13" t="str">
        <x:v>Stub: A claim discusses representativeness heuristic with caveats, balanced evidence, or no argumentative use of the pattern.</x:v>
      </x:c>
      <x:c r="T443" s="13" t="str">
        <x:v>Mild or ambiguous cue; do not classify without clear evidence span.</x:v>
      </x:c>
      <x:c r="U443" s="13" t="str">
        <x:v>Clear claim-level pattern with some argumentative impact.</x:v>
      </x:c>
      <x:c r="V443" s="13" t="str">
        <x:v>Strong pattern central to the conclusion and likely to materially distort reasoning.</x:v>
      </x:c>
      <x:c r="W443" s="13" t="str"/>
      <x:c r="X443" s="13" t="str">
        <x:v>kahneman_tversky_heuristics_1974</x:v>
      </x:c>
      <x:c r="Y443" s="13" t="str">
        <x:v>https://doi.org/10.1126/science.185.4157.1124</x:v>
      </x:c>
      <x:c r="Z443" s="13" t="str">
        <x:v>Review before enabling. This workbook is a living taxonomy scaffold, not a validated scientific benchmark.</x:v>
      </x:c>
      <x:c r="AA443" s="13" t="str">
        <x:v>0.1.0-draft</x:v>
      </x:c>
      <x:c r="AB443" s="12" t="str">
        <x:f>IF(ISNUMBER(SEARCH("healthy",F443)),"healthy_reasoning_patterns",IF(ISNUMBER(SEARCH("statistical",F443)),"statistical_reasoning",IF(ISNUMBER(SEARCH("causal",F443)),"causal_reasoning",IF(ISNUMBER(SEARCH("social",F443)),"social_influence",IF(ISNUMBER(SEARCH("rhetoric",F443)),"rhetoric_discourse",IF(ISNUMBER(SEARCH("behavior",F443)),"behavioural_economics",IF(ISNUMBER(SEARCH("cognitive",F443)),"cognitive_biases",IF(J443="protective_pattern","healthy_reasoning_patterns",IF(L443="P0","core_mvp","extended_fallacies")))))))))</x:f>
        <x:v>cognitive_biases</x:v>
      </x:c>
      <x:c r="AC443" s="12" t="str">
        <x:f>IF(ISNUMBER(SEARCH("operational",J443)),"operational",IF(ISNUMBER(SEARCH("deprecated",J443)),"deprecated",IF(L443="P0","canonical","recognized_subtype")))</x:f>
        <x:v>operational</x:v>
      </x:c>
      <x:c r="AD443" s="12" t="str">
        <x:f>IF(AC443="canonical","high",IF(AC443="recognized_subtype","medium",IF(AC443="operational","operational_only","debated")))</x:f>
        <x:v>operational_only</x:v>
      </x:c>
      <x:c r="AE443" s="12" t="str">
        <x:f>IF(AC443="deprecated","deprecated",IF(M443="yes","active",IF(M443="review","review_required","backlog")))</x:f>
        <x:v>backlog</x:v>
      </x:c>
      <x:c r="AF443" s="12" t="str">
        <x:f>IF(OR(AE443="active",AE443="review_required"),"yes","no")</x:f>
        <x:v>no</x:v>
      </x:c>
      <x:c r="AG443" s="12" t="str">
        <x:f>IF(AND(AE443="active",M443="yes",NOT(ISNUMBER(SEARCH("healthy",AB443)))),"yes","no")</x:f>
        <x:v>no</x:v>
      </x:c>
      <x:c r="AH443" s="12" t="str">
        <x:f>IF(OR(H443="contextual",H443="dialogue",H443="discourse",I443="claim+context",I443="discourse_segment"),"yes","no")</x:f>
        <x:v>yes</x:v>
      </x:c>
      <x:c r="AI443" s="12" t="str">
        <x:f>IF(OR(AH443="yes",AD443="debated",AC443="operational"),"yes","no")</x:f>
        <x:v>yes</x:v>
      </x:c>
      <x:c r="AJ443" s="12" t="str">
        <x:f>IF(OR(AH443="yes",AC443="operational",AD443="debated"),"high",IF(AND(AG443="yes",L443="P0"),"medium","low"))</x:f>
        <x:v>high</x:v>
      </x:c>
      <x:c r="AK443" s="12" t="str">
        <x:f>IF(ISNUMBER(SEARCH("healthy",AB443)),"yes","no")</x:f>
        <x:v>no</x:v>
      </x:c>
      <x:c r="AL443" s="12" t="str">
        <x:f>IF(AG443="yes","yes","candidate_only")</x:f>
        <x:v>candidate_only</x:v>
      </x:c>
      <x:c r="AM443" s="12" t="str">
        <x:f>IF(OR(AC443="canonical",AG443="yes"),"yes","recommended")</x:f>
        <x:v>recommended</x:v>
      </x:c>
      <x:c r="AN443" s="12" t="str">
        <x:f>IF(AC443="deprecated","exclude",IF(AND(AG443="yes",AJ443="high"),"import_but_human_review_required",IF(AG443="yes","import_as_active","import_as_backlog")))</x:f>
        <x:v>import_as_backlog</x:v>
      </x:c>
      <x:c r="AO443" s="12" t="str">
        <x:f>IF(AND(AG443="yes",OR(P443="",Q443="",R443="",S443="")),"missing_required_mvp_fields",IF(AND(AC443="canonical",Y443=""),"missing_source_ref","ok"))</x:f>
        <x:v>ok</x:v>
      </x:c>
      <x:c r="AP443" s="12" t="str">
        <x:f>IF(AO443="ok","ready_for_codex_import","needs_review")</x:f>
        <x:v>ready_for_codex_import</x:v>
      </x:c>
      <x:c r="AQ443" s="12"/>
      <x:c r="AR443" s="12" t="str">
        <x:v>Added v2 operational fields. Review before classification activation.</x:v>
      </x:c>
    </x:row>
    <x:row r="444">
      <x:c r="A444" s="13" t="str">
        <x:v>framing_effect_interpretation_variant</x:v>
      </x:c>
      <x:c r="B444" s="13" t="str">
        <x:v>framing_effect</x:v>
      </x:c>
      <x:c r="C444" s="13" t="str">
        <x:v>Framing effect</x:v>
      </x:c>
      <x:c r="D444" s="13" t="str">
        <x:v>اثر چارچوب‌بندی</x:v>
      </x:c>
      <x:c r="E444" s="13" t="str">
        <x:v>Interpretation variant</x:v>
      </x:c>
      <x:c r="F444" s="13" t="str">
        <x:v>cognitive_biases_information_processing</x:v>
      </x:c>
      <x:c r="G444" s="13" t="str">
        <x:v>operational_variant</x:v>
      </x:c>
      <x:c r="H444" s="13" t="str">
        <x:v>discourse</x:v>
      </x:c>
      <x:c r="I444" s="13" t="str">
        <x:v>discourse_segment</x:v>
      </x:c>
      <x:c r="J444" s="13" t="str">
        <x:v>derived_operational_subtype</x:v>
      </x:c>
      <x:c r="K444" s="13" t="str">
        <x:v>derived_from_established_parent_review_required</x:v>
      </x:c>
      <x:c r="L444" s="13" t="str">
        <x:v>P2</x:v>
      </x:c>
      <x:c r="M444" s="13" t="str">
        <x:v>no</x:v>
      </x:c>
      <x:c r="N444" s="13" t="str">
        <x:v>Operational subtype under Framing effect: ambiguous evidence is interpreted asymmetrically. Parent definition: Different presentations of equivalent information lead to different judgments.</x:v>
      </x:c>
      <x:c r="O444" s="13" t="str">
        <x:v>Look for: explicit claim-level evidence; parent-family cues for Framing effect; variant cue: ambiguous evidence is interpreted asymmetrically; avoid author-level inference.</x:v>
      </x:c>
      <x:c r="P444" s="13" t="str">
        <x:v>Exact evidence span in text plus claim-level reasoning link; for contextual/discourse entries, require surrounding context.</x:v>
      </x:c>
      <x:c r="Q444" s="13" t="str">
        <x:v>Do not label merely because topic is controversial, emotional, or wrong. Do not judge intent or personality. Require textual evidence and consider healthy-reasoning cues.</x:v>
      </x:c>
      <x:c r="R444" s="13" t="str">
        <x:v>Stub: A claim relies on ambiguous evidence is interpreted asymmetrically to support a conclusion without adequate qualification.</x:v>
      </x:c>
      <x:c r="S444" s="13" t="str">
        <x:v>Stub: A claim discusses framing effect with caveats, balanced evidence, or no argumentative use of the pattern.</x:v>
      </x:c>
      <x:c r="T444" s="13" t="str">
        <x:v>Mild or ambiguous cue; do not classify without clear evidence span.</x:v>
      </x:c>
      <x:c r="U444" s="13" t="str">
        <x:v>Clear claim-level pattern with some argumentative impact.</x:v>
      </x:c>
      <x:c r="V444" s="13" t="str">
        <x:v>Strong pattern central to the conclusion and likely to materially distort reasoning.</x:v>
      </x:c>
      <x:c r="W444" s="13" t="str"/>
      <x:c r="X444" s="13" t="str">
        <x:v>tversky_kahneman_framing_1981</x:v>
      </x:c>
      <x:c r="Y444" s="13" t="str">
        <x:v>https://doi.org/10.1126/science.7455683</x:v>
      </x:c>
      <x:c r="Z444" s="13" t="str">
        <x:v>Review before enabling. This workbook is a living taxonomy scaffold, not a validated scientific benchmark.</x:v>
      </x:c>
      <x:c r="AA444" s="13" t="str">
        <x:v>0.1.0-draft</x:v>
      </x:c>
      <x:c r="AB444" s="12" t="str">
        <x:f>IF(ISNUMBER(SEARCH("healthy",F444)),"healthy_reasoning_patterns",IF(ISNUMBER(SEARCH("statistical",F444)),"statistical_reasoning",IF(ISNUMBER(SEARCH("causal",F444)),"causal_reasoning",IF(ISNUMBER(SEARCH("social",F444)),"social_influence",IF(ISNUMBER(SEARCH("rhetoric",F444)),"rhetoric_discourse",IF(ISNUMBER(SEARCH("behavior",F444)),"behavioural_economics",IF(ISNUMBER(SEARCH("cognitive",F444)),"cognitive_biases",IF(J444="protective_pattern","healthy_reasoning_patterns",IF(L444="P0","core_mvp","extended_fallacies")))))))))</x:f>
        <x:v>cognitive_biases</x:v>
      </x:c>
      <x:c r="AC444" s="12" t="str">
        <x:f>IF(ISNUMBER(SEARCH("operational",J444)),"operational",IF(ISNUMBER(SEARCH("deprecated",J444)),"deprecated",IF(L444="P0","canonical","recognized_subtype")))</x:f>
        <x:v>operational</x:v>
      </x:c>
      <x:c r="AD444" s="12" t="str">
        <x:f>IF(AC444="canonical","high",IF(AC444="recognized_subtype","medium",IF(AC444="operational","operational_only","debated")))</x:f>
        <x:v>operational_only</x:v>
      </x:c>
      <x:c r="AE444" s="12" t="str">
        <x:f>IF(AC444="deprecated","deprecated",IF(M444="yes","active",IF(M444="review","review_required","backlog")))</x:f>
        <x:v>backlog</x:v>
      </x:c>
      <x:c r="AF444" s="12" t="str">
        <x:f>IF(OR(AE444="active",AE444="review_required"),"yes","no")</x:f>
        <x:v>no</x:v>
      </x:c>
      <x:c r="AG444" s="12" t="str">
        <x:f>IF(AND(AE444="active",M444="yes",NOT(ISNUMBER(SEARCH("healthy",AB444)))),"yes","no")</x:f>
        <x:v>no</x:v>
      </x:c>
      <x:c r="AH444" s="12" t="str">
        <x:f>IF(OR(H444="contextual",H444="dialogue",H444="discourse",I444="claim+context",I444="discourse_segment"),"yes","no")</x:f>
        <x:v>yes</x:v>
      </x:c>
      <x:c r="AI444" s="12" t="str">
        <x:f>IF(OR(AH444="yes",AD444="debated",AC444="operational"),"yes","no")</x:f>
        <x:v>yes</x:v>
      </x:c>
      <x:c r="AJ444" s="12" t="str">
        <x:f>IF(OR(AH444="yes",AC444="operational",AD444="debated"),"high",IF(AND(AG444="yes",L444="P0"),"medium","low"))</x:f>
        <x:v>high</x:v>
      </x:c>
      <x:c r="AK444" s="12" t="str">
        <x:f>IF(ISNUMBER(SEARCH("healthy",AB444)),"yes","no")</x:f>
        <x:v>no</x:v>
      </x:c>
      <x:c r="AL444" s="12" t="str">
        <x:f>IF(AG444="yes","yes","candidate_only")</x:f>
        <x:v>candidate_only</x:v>
      </x:c>
      <x:c r="AM444" s="12" t="str">
        <x:f>IF(OR(AC444="canonical",AG444="yes"),"yes","recommended")</x:f>
        <x:v>recommended</x:v>
      </x:c>
      <x:c r="AN444" s="12" t="str">
        <x:f>IF(AC444="deprecated","exclude",IF(AND(AG444="yes",AJ444="high"),"import_but_human_review_required",IF(AG444="yes","import_as_active","import_as_backlog")))</x:f>
        <x:v>import_as_backlog</x:v>
      </x:c>
      <x:c r="AO444" s="12" t="str">
        <x:f>IF(AND(AG444="yes",OR(P444="",Q444="",R444="",S444="")),"missing_required_mvp_fields",IF(AND(AC444="canonical",Y444=""),"missing_source_ref","ok"))</x:f>
        <x:v>ok</x:v>
      </x:c>
      <x:c r="AP444" s="12" t="str">
        <x:f>IF(AO444="ok","ready_for_codex_import","needs_review")</x:f>
        <x:v>ready_for_codex_import</x:v>
      </x:c>
      <x:c r="AQ444" s="12"/>
      <x:c r="AR444" s="12" t="str">
        <x:v>Added v2 operational fields. Review before classification activation.</x:v>
      </x:c>
    </x:row>
    <x:row r="445">
      <x:c r="A445" s="13" t="str">
        <x:v>hindsight_bias_interpretation_variant</x:v>
      </x:c>
      <x:c r="B445" s="13" t="str">
        <x:v>hindsight_bias</x:v>
      </x:c>
      <x:c r="C445" s="13" t="str">
        <x:v>Hindsight bias</x:v>
      </x:c>
      <x:c r="D445" s="13" t="str">
        <x:v>سوگیری پس‌نگری</x:v>
      </x:c>
      <x:c r="E445" s="13" t="str">
        <x:v>Interpretation variant</x:v>
      </x:c>
      <x:c r="F445" s="13" t="str">
        <x:v>cognitive_biases_information_processing</x:v>
      </x:c>
      <x:c r="G445" s="13" t="str">
        <x:v>operational_variant</x:v>
      </x:c>
      <x:c r="H445" s="13" t="str">
        <x:v>contextual</x:v>
      </x:c>
      <x:c r="I445" s="13" t="str">
        <x:v>claim+context</x:v>
      </x:c>
      <x:c r="J445" s="13" t="str">
        <x:v>derived_operational_subtype</x:v>
      </x:c>
      <x:c r="K445" s="13" t="str">
        <x:v>derived_from_established_parent_review_required</x:v>
      </x:c>
      <x:c r="L445" s="13" t="str">
        <x:v>P2</x:v>
      </x:c>
      <x:c r="M445" s="13" t="str">
        <x:v>no</x:v>
      </x:c>
      <x:c r="N445" s="13" t="str">
        <x:v>Operational subtype under Hindsight bias: ambiguous evidence is interpreted asymmetrically. Parent definition: Seeing past events as more predictable after knowing the outcome.</x:v>
      </x:c>
      <x:c r="O445" s="13" t="str">
        <x:v>Look for: explicit claim-level evidence; parent-family cues for Hindsight bias; variant cue: ambiguous evidence is interpreted asymmetrically; avoid author-level inference.</x:v>
      </x:c>
      <x:c r="P445" s="13" t="str">
        <x:v>Exact evidence span in text plus claim-level reasoning link; for contextual/discourse entries, require surrounding context.</x:v>
      </x:c>
      <x:c r="Q445" s="13" t="str">
        <x:v>Do not label merely because topic is controversial, emotional, or wrong. Do not judge intent or personality. Require textual evidence and consider healthy-reasoning cues.</x:v>
      </x:c>
      <x:c r="R445" s="13" t="str">
        <x:v>Stub: A claim relies on ambiguous evidence is interpreted asymmetrically to support a conclusion without adequate qualification.</x:v>
      </x:c>
      <x:c r="S445" s="13" t="str">
        <x:v>Stub: A claim discusses hindsight bias with caveats, balanced evidence, or no argumentative use of the pattern.</x:v>
      </x:c>
      <x:c r="T445" s="13" t="str">
        <x:v>Mild or ambiguous cue; do not classify without clear evidence span.</x:v>
      </x:c>
      <x:c r="U445" s="13" t="str">
        <x:v>Clear claim-level pattern with some argumentative impact.</x:v>
      </x:c>
      <x:c r="V445" s="13" t="str">
        <x:v>Strong pattern central to the conclusion and likely to materially distort reasoning.</x:v>
      </x:c>
      <x:c r="W445" s="13" t="str"/>
      <x:c r="X445" s="13" t="str">
        <x:v>gilovich_heuristics_biases</x:v>
      </x:c>
      <x:c r="Y445" s="13" t="str">
        <x:v>https://www.cambridge.org/core/books/heuristics-and-biases/3C30D3B05D2F190C3B8BE5E2531EFD24</x:v>
      </x:c>
      <x:c r="Z445" s="13" t="str">
        <x:v>Review before enabling. This workbook is a living taxonomy scaffold, not a validated scientific benchmark.</x:v>
      </x:c>
      <x:c r="AA445" s="13" t="str">
        <x:v>0.1.0-draft</x:v>
      </x:c>
      <x:c r="AB445" s="12" t="str">
        <x:f>IF(ISNUMBER(SEARCH("healthy",F445)),"healthy_reasoning_patterns",IF(ISNUMBER(SEARCH("statistical",F445)),"statistical_reasoning",IF(ISNUMBER(SEARCH("causal",F445)),"causal_reasoning",IF(ISNUMBER(SEARCH("social",F445)),"social_influence",IF(ISNUMBER(SEARCH("rhetoric",F445)),"rhetoric_discourse",IF(ISNUMBER(SEARCH("behavior",F445)),"behavioural_economics",IF(ISNUMBER(SEARCH("cognitive",F445)),"cognitive_biases",IF(J445="protective_pattern","healthy_reasoning_patterns",IF(L445="P0","core_mvp","extended_fallacies")))))))))</x:f>
        <x:v>cognitive_biases</x:v>
      </x:c>
      <x:c r="AC445" s="12" t="str">
        <x:f>IF(ISNUMBER(SEARCH("operational",J445)),"operational",IF(ISNUMBER(SEARCH("deprecated",J445)),"deprecated",IF(L445="P0","canonical","recognized_subtype")))</x:f>
        <x:v>operational</x:v>
      </x:c>
      <x:c r="AD445" s="12" t="str">
        <x:f>IF(AC445="canonical","high",IF(AC445="recognized_subtype","medium",IF(AC445="operational","operational_only","debated")))</x:f>
        <x:v>operational_only</x:v>
      </x:c>
      <x:c r="AE445" s="12" t="str">
        <x:f>IF(AC445="deprecated","deprecated",IF(M445="yes","active",IF(M445="review","review_required","backlog")))</x:f>
        <x:v>backlog</x:v>
      </x:c>
      <x:c r="AF445" s="12" t="str">
        <x:f>IF(OR(AE445="active",AE445="review_required"),"yes","no")</x:f>
        <x:v>no</x:v>
      </x:c>
      <x:c r="AG445" s="12" t="str">
        <x:f>IF(AND(AE445="active",M445="yes",NOT(ISNUMBER(SEARCH("healthy",AB445)))),"yes","no")</x:f>
        <x:v>no</x:v>
      </x:c>
      <x:c r="AH445" s="12" t="str">
        <x:f>IF(OR(H445="contextual",H445="dialogue",H445="discourse",I445="claim+context",I445="discourse_segment"),"yes","no")</x:f>
        <x:v>yes</x:v>
      </x:c>
      <x:c r="AI445" s="12" t="str">
        <x:f>IF(OR(AH445="yes",AD445="debated",AC445="operational"),"yes","no")</x:f>
        <x:v>yes</x:v>
      </x:c>
      <x:c r="AJ445" s="12" t="str">
        <x:f>IF(OR(AH445="yes",AC445="operational",AD445="debated"),"high",IF(AND(AG445="yes",L445="P0"),"medium","low"))</x:f>
        <x:v>high</x:v>
      </x:c>
      <x:c r="AK445" s="12" t="str">
        <x:f>IF(ISNUMBER(SEARCH("healthy",AB445)),"yes","no")</x:f>
        <x:v>no</x:v>
      </x:c>
      <x:c r="AL445" s="12" t="str">
        <x:f>IF(AG445="yes","yes","candidate_only")</x:f>
        <x:v>candidate_only</x:v>
      </x:c>
      <x:c r="AM445" s="12" t="str">
        <x:f>IF(OR(AC445="canonical",AG445="yes"),"yes","recommended")</x:f>
        <x:v>recommended</x:v>
      </x:c>
      <x:c r="AN445" s="12" t="str">
        <x:f>IF(AC445="deprecated","exclude",IF(AND(AG445="yes",AJ445="high"),"import_but_human_review_required",IF(AG445="yes","import_as_active","import_as_backlog")))</x:f>
        <x:v>import_as_backlog</x:v>
      </x:c>
      <x:c r="AO445" s="12" t="str">
        <x:f>IF(AND(AG445="yes",OR(P445="",Q445="",R445="",S445="")),"missing_required_mvp_fields",IF(AND(AC445="canonical",Y445=""),"missing_source_ref","ok"))</x:f>
        <x:v>ok</x:v>
      </x:c>
      <x:c r="AP445" s="12" t="str">
        <x:f>IF(AO445="ok","ready_for_codex_import","needs_review")</x:f>
        <x:v>ready_for_codex_import</x:v>
      </x:c>
      <x:c r="AQ445" s="12"/>
      <x:c r="AR445" s="12" t="str">
        <x:v>Added v2 operational fields. Review before classification activation.</x:v>
      </x:c>
    </x:row>
    <x:row r="446">
      <x:c r="A446" s="13" t="str">
        <x:v>outcome_bias_interpretation_variant</x:v>
      </x:c>
      <x:c r="B446" s="13" t="str">
        <x:v>outcome_bias</x:v>
      </x:c>
      <x:c r="C446" s="13" t="str">
        <x:v>Outcome bias</x:v>
      </x:c>
      <x:c r="D446" s="13" t="str">
        <x:v>سوگیری نتیجه</x:v>
      </x:c>
      <x:c r="E446" s="13" t="str">
        <x:v>Interpretation variant</x:v>
      </x:c>
      <x:c r="F446" s="13" t="str">
        <x:v>cognitive_biases_information_processing</x:v>
      </x:c>
      <x:c r="G446" s="13" t="str">
        <x:v>operational_variant</x:v>
      </x:c>
      <x:c r="H446" s="13" t="str">
        <x:v>contextual</x:v>
      </x:c>
      <x:c r="I446" s="13" t="str">
        <x:v>claim+context</x:v>
      </x:c>
      <x:c r="J446" s="13" t="str">
        <x:v>derived_operational_subtype</x:v>
      </x:c>
      <x:c r="K446" s="13" t="str">
        <x:v>derived_from_established_parent_review_required</x:v>
      </x:c>
      <x:c r="L446" s="13" t="str">
        <x:v>P2</x:v>
      </x:c>
      <x:c r="M446" s="13" t="str">
        <x:v>no</x:v>
      </x:c>
      <x:c r="N446" s="13" t="str">
        <x:v>Operational subtype under Outcome bias: ambiguous evidence is interpreted asymmetrically. Parent definition: Judging a decision by its outcome rather than information available at the time.</x:v>
      </x:c>
      <x:c r="O446" s="13" t="str">
        <x:v>Look for: explicit claim-level evidence; parent-family cues for Outcome bias; variant cue: ambiguous evidence is interpreted asymmetrically; avoid author-level inference.</x:v>
      </x:c>
      <x:c r="P446" s="13" t="str">
        <x:v>Exact evidence span in text plus claim-level reasoning link; for contextual/discourse entries, require surrounding context.</x:v>
      </x:c>
      <x:c r="Q446" s="13" t="str">
        <x:v>Do not label merely because topic is controversial, emotional, or wrong. Do not judge intent or personality. Require textual evidence and consider healthy-reasoning cues.</x:v>
      </x:c>
      <x:c r="R446" s="13" t="str">
        <x:v>Stub: A claim relies on ambiguous evidence is interpreted asymmetrically to support a conclusion without adequate qualification.</x:v>
      </x:c>
      <x:c r="S446" s="13" t="str">
        <x:v>Stub: A claim discusses outcome bias with caveats, balanced evidence, or no argumentative use of the pattern.</x:v>
      </x:c>
      <x:c r="T446" s="13" t="str">
        <x:v>Mild or ambiguous cue; do not classify without clear evidence span.</x:v>
      </x:c>
      <x:c r="U446" s="13" t="str">
        <x:v>Clear claim-level pattern with some argumentative impact.</x:v>
      </x:c>
      <x:c r="V446" s="13" t="str">
        <x:v>Strong pattern central to the conclusion and likely to materially distort reasoning.</x:v>
      </x:c>
      <x:c r="W446" s="13" t="str"/>
      <x:c r="X446" s="13" t="str">
        <x:v>gilovich_heuristics_biases</x:v>
      </x:c>
      <x:c r="Y446" s="13" t="str">
        <x:v>https://www.cambridge.org/core/books/heuristics-and-biases/3C30D3B05D2F190C3B8BE5E2531EFD24</x:v>
      </x:c>
      <x:c r="Z446" s="13" t="str">
        <x:v>Review before enabling. This workbook is a living taxonomy scaffold, not a validated scientific benchmark.</x:v>
      </x:c>
      <x:c r="AA446" s="13" t="str">
        <x:v>0.1.0-draft</x:v>
      </x:c>
      <x:c r="AB446" s="12" t="str">
        <x:f>IF(ISNUMBER(SEARCH("healthy",F446)),"healthy_reasoning_patterns",IF(ISNUMBER(SEARCH("statistical",F446)),"statistical_reasoning",IF(ISNUMBER(SEARCH("causal",F446)),"causal_reasoning",IF(ISNUMBER(SEARCH("social",F446)),"social_influence",IF(ISNUMBER(SEARCH("rhetoric",F446)),"rhetoric_discourse",IF(ISNUMBER(SEARCH("behavior",F446)),"behavioural_economics",IF(ISNUMBER(SEARCH("cognitive",F446)),"cognitive_biases",IF(J446="protective_pattern","healthy_reasoning_patterns",IF(L446="P0","core_mvp","extended_fallacies")))))))))</x:f>
        <x:v>cognitive_biases</x:v>
      </x:c>
      <x:c r="AC446" s="12" t="str">
        <x:f>IF(ISNUMBER(SEARCH("operational",J446)),"operational",IF(ISNUMBER(SEARCH("deprecated",J446)),"deprecated",IF(L446="P0","canonical","recognized_subtype")))</x:f>
        <x:v>operational</x:v>
      </x:c>
      <x:c r="AD446" s="12" t="str">
        <x:f>IF(AC446="canonical","high",IF(AC446="recognized_subtype","medium",IF(AC446="operational","operational_only","debated")))</x:f>
        <x:v>operational_only</x:v>
      </x:c>
      <x:c r="AE446" s="12" t="str">
        <x:f>IF(AC446="deprecated","deprecated",IF(M446="yes","active",IF(M446="review","review_required","backlog")))</x:f>
        <x:v>backlog</x:v>
      </x:c>
      <x:c r="AF446" s="12" t="str">
        <x:f>IF(OR(AE446="active",AE446="review_required"),"yes","no")</x:f>
        <x:v>no</x:v>
      </x:c>
      <x:c r="AG446" s="12" t="str">
        <x:f>IF(AND(AE446="active",M446="yes",NOT(ISNUMBER(SEARCH("healthy",AB446)))),"yes","no")</x:f>
        <x:v>no</x:v>
      </x:c>
      <x:c r="AH446" s="12" t="str">
        <x:f>IF(OR(H446="contextual",H446="dialogue",H446="discourse",I446="claim+context",I446="discourse_segment"),"yes","no")</x:f>
        <x:v>yes</x:v>
      </x:c>
      <x:c r="AI446" s="12" t="str">
        <x:f>IF(OR(AH446="yes",AD446="debated",AC446="operational"),"yes","no")</x:f>
        <x:v>yes</x:v>
      </x:c>
      <x:c r="AJ446" s="12" t="str">
        <x:f>IF(OR(AH446="yes",AC446="operational",AD446="debated"),"high",IF(AND(AG446="yes",L446="P0"),"medium","low"))</x:f>
        <x:v>high</x:v>
      </x:c>
      <x:c r="AK446" s="12" t="str">
        <x:f>IF(ISNUMBER(SEARCH("healthy",AB446)),"yes","no")</x:f>
        <x:v>no</x:v>
      </x:c>
      <x:c r="AL446" s="12" t="str">
        <x:f>IF(AG446="yes","yes","candidate_only")</x:f>
        <x:v>candidate_only</x:v>
      </x:c>
      <x:c r="AM446" s="12" t="str">
        <x:f>IF(OR(AC446="canonical",AG446="yes"),"yes","recommended")</x:f>
        <x:v>recommended</x:v>
      </x:c>
      <x:c r="AN446" s="12" t="str">
        <x:f>IF(AC446="deprecated","exclude",IF(AND(AG446="yes",AJ446="high"),"import_but_human_review_required",IF(AG446="yes","import_as_active","import_as_backlog")))</x:f>
        <x:v>import_as_backlog</x:v>
      </x:c>
      <x:c r="AO446" s="12" t="str">
        <x:f>IF(AND(AG446="yes",OR(P446="",Q446="",R446="",S446="")),"missing_required_mvp_fields",IF(AND(AC446="canonical",Y446=""),"missing_source_ref","ok"))</x:f>
        <x:v>ok</x:v>
      </x:c>
      <x:c r="AP446" s="12" t="str">
        <x:f>IF(AO446="ok","ready_for_codex_import","needs_review")</x:f>
        <x:v>ready_for_codex_import</x:v>
      </x:c>
      <x:c r="AQ446" s="12"/>
      <x:c r="AR446" s="12" t="str">
        <x:v>Added v2 operational fields. Review before classification activation.</x:v>
      </x:c>
    </x:row>
    <x:row r="447">
      <x:c r="A447" s="13" t="str">
        <x:v>overconfidence_bias_interpretation_variant</x:v>
      </x:c>
      <x:c r="B447" s="13" t="str">
        <x:v>overconfidence_bias</x:v>
      </x:c>
      <x:c r="C447" s="13" t="str">
        <x:v>Overconfidence bias</x:v>
      </x:c>
      <x:c r="D447" s="13" t="str">
        <x:v>اعتماد به نفس بیش از حد</x:v>
      </x:c>
      <x:c r="E447" s="13" t="str">
        <x:v>Interpretation variant</x:v>
      </x:c>
      <x:c r="F447" s="13" t="str">
        <x:v>cognitive_biases_information_processing</x:v>
      </x:c>
      <x:c r="G447" s="13" t="str">
        <x:v>operational_variant</x:v>
      </x:c>
      <x:c r="H447" s="13" t="str">
        <x:v>contextual</x:v>
      </x:c>
      <x:c r="I447" s="13" t="str">
        <x:v>claim+context</x:v>
      </x:c>
      <x:c r="J447" s="13" t="str">
        <x:v>derived_operational_subtype</x:v>
      </x:c>
      <x:c r="K447" s="13" t="str">
        <x:v>derived_from_established_parent_review_required</x:v>
      </x:c>
      <x:c r="L447" s="13" t="str">
        <x:v>P2</x:v>
      </x:c>
      <x:c r="M447" s="13" t="str">
        <x:v>no</x:v>
      </x:c>
      <x:c r="N447" s="13" t="str">
        <x:v>Operational subtype under Overconfidence bias: ambiguous evidence is interpreted asymmetrically. Parent definition: Expressing confidence beyond the strength of evidence.</x:v>
      </x:c>
      <x:c r="O447" s="13" t="str">
        <x:v>Look for: explicit claim-level evidence; parent-family cues for Overconfidence bias; variant cue: ambiguous evidence is interpreted asymmetrically; avoid author-level inference.</x:v>
      </x:c>
      <x:c r="P447" s="13" t="str">
        <x:v>Exact evidence span in text plus claim-level reasoning link; for contextual/discourse entries, require surrounding context.</x:v>
      </x:c>
      <x:c r="Q447" s="13" t="str">
        <x:v>Do not label merely because topic is controversial, emotional, or wrong. Do not judge intent or personality. Require textual evidence and consider healthy-reasoning cues.</x:v>
      </x:c>
      <x:c r="R447" s="13" t="str">
        <x:v>Stub: A claim relies on ambiguous evidence is interpreted asymmetrically to support a conclusion without adequate qualification.</x:v>
      </x:c>
      <x:c r="S447" s="13" t="str">
        <x:v>Stub: A claim discusses overconfidence bias with caveats, balanced evidence, or no argumentative use of the pattern.</x:v>
      </x:c>
      <x:c r="T447" s="13" t="str">
        <x:v>Mild or ambiguous cue; do not classify without clear evidence span.</x:v>
      </x:c>
      <x:c r="U447" s="13" t="str">
        <x:v>Clear claim-level pattern with some argumentative impact.</x:v>
      </x:c>
      <x:c r="V447" s="13" t="str">
        <x:v>Strong pattern central to the conclusion and likely to materially distort reasoning.</x:v>
      </x:c>
      <x:c r="W447" s="13" t="str">
        <x:v>cherry_picking; missing_counterevidence; evidence_grading</x:v>
      </x:c>
      <x:c r="X447" s="13" t="str">
        <x:v>stanovich_dual_process</x:v>
      </x:c>
      <x:c r="Y447" s="13" t="str">
        <x:v>https://global.oup.com/academic/product/rationality-and-the-reflective-mind-9780195341140</x:v>
      </x:c>
      <x:c r="Z447" s="13" t="str">
        <x:v>Review before enabling. This workbook is a living taxonomy scaffold, not a validated scientific benchmark.</x:v>
      </x:c>
      <x:c r="AA447" s="13" t="str">
        <x:v>0.1.0-draft</x:v>
      </x:c>
      <x:c r="AB447" s="12" t="str">
        <x:f>IF(ISNUMBER(SEARCH("healthy",F447)),"healthy_reasoning_patterns",IF(ISNUMBER(SEARCH("statistical",F447)),"statistical_reasoning",IF(ISNUMBER(SEARCH("causal",F447)),"causal_reasoning",IF(ISNUMBER(SEARCH("social",F447)),"social_influence",IF(ISNUMBER(SEARCH("rhetoric",F447)),"rhetoric_discourse",IF(ISNUMBER(SEARCH("behavior",F447)),"behavioural_economics",IF(ISNUMBER(SEARCH("cognitive",F447)),"cognitive_biases",IF(J447="protective_pattern","healthy_reasoning_patterns",IF(L447="P0","core_mvp","extended_fallacies")))))))))</x:f>
        <x:v>cognitive_biases</x:v>
      </x:c>
      <x:c r="AC447" s="12" t="str">
        <x:f>IF(ISNUMBER(SEARCH("operational",J447)),"operational",IF(ISNUMBER(SEARCH("deprecated",J447)),"deprecated",IF(L447="P0","canonical","recognized_subtype")))</x:f>
        <x:v>operational</x:v>
      </x:c>
      <x:c r="AD447" s="12" t="str">
        <x:f>IF(AC447="canonical","high",IF(AC447="recognized_subtype","medium",IF(AC447="operational","operational_only","debated")))</x:f>
        <x:v>operational_only</x:v>
      </x:c>
      <x:c r="AE447" s="12" t="str">
        <x:f>IF(AC447="deprecated","deprecated",IF(M447="yes","active",IF(M447="review","review_required","backlog")))</x:f>
        <x:v>backlog</x:v>
      </x:c>
      <x:c r="AF447" s="12" t="str">
        <x:f>IF(OR(AE447="active",AE447="review_required"),"yes","no")</x:f>
        <x:v>no</x:v>
      </x:c>
      <x:c r="AG447" s="12" t="str">
        <x:f>IF(AND(AE447="active",M447="yes",NOT(ISNUMBER(SEARCH("healthy",AB447)))),"yes","no")</x:f>
        <x:v>no</x:v>
      </x:c>
      <x:c r="AH447" s="12" t="str">
        <x:f>IF(OR(H447="contextual",H447="dialogue",H447="discourse",I447="claim+context",I447="discourse_segment"),"yes","no")</x:f>
        <x:v>yes</x:v>
      </x:c>
      <x:c r="AI447" s="12" t="str">
        <x:f>IF(OR(AH447="yes",AD447="debated",AC447="operational"),"yes","no")</x:f>
        <x:v>yes</x:v>
      </x:c>
      <x:c r="AJ447" s="12" t="str">
        <x:f>IF(OR(AH447="yes",AC447="operational",AD447="debated"),"high",IF(AND(AG447="yes",L447="P0"),"medium","low"))</x:f>
        <x:v>high</x:v>
      </x:c>
      <x:c r="AK447" s="12" t="str">
        <x:f>IF(ISNUMBER(SEARCH("healthy",AB447)),"yes","no")</x:f>
        <x:v>no</x:v>
      </x:c>
      <x:c r="AL447" s="12" t="str">
        <x:f>IF(AG447="yes","yes","candidate_only")</x:f>
        <x:v>candidate_only</x:v>
      </x:c>
      <x:c r="AM447" s="12" t="str">
        <x:f>IF(OR(AC447="canonical",AG447="yes"),"yes","recommended")</x:f>
        <x:v>recommended</x:v>
      </x:c>
      <x:c r="AN447" s="12" t="str">
        <x:f>IF(AC447="deprecated","exclude",IF(AND(AG447="yes",AJ447="high"),"import_but_human_review_required",IF(AG447="yes","import_as_active","import_as_backlog")))</x:f>
        <x:v>import_as_backlog</x:v>
      </x:c>
      <x:c r="AO447" s="12" t="str">
        <x:f>IF(AND(AG447="yes",OR(P447="",Q447="",R447="",S447="")),"missing_required_mvp_fields",IF(AND(AC447="canonical",Y447=""),"missing_source_ref","ok"))</x:f>
        <x:v>ok</x:v>
      </x:c>
      <x:c r="AP447" s="12" t="str">
        <x:f>IF(AO447="ok","ready_for_codex_import","needs_review")</x:f>
        <x:v>ready_for_codex_import</x:v>
      </x:c>
      <x:c r="AQ447" s="12"/>
      <x:c r="AR447" s="12" t="str">
        <x:v>Added v2 operational fields. Review before classification activation.</x:v>
      </x:c>
    </x:row>
    <x:row r="448">
      <x:c r="A448" s="13" t="str">
        <x:v>optimism_bias_interpretation_variant</x:v>
      </x:c>
      <x:c r="B448" s="13" t="str">
        <x:v>optimism_bias</x:v>
      </x:c>
      <x:c r="C448" s="13" t="str">
        <x:v>Optimism bias</x:v>
      </x:c>
      <x:c r="D448" s="13" t="str">
        <x:v>خوش‌بینی افراطی</x:v>
      </x:c>
      <x:c r="E448" s="13" t="str">
        <x:v>Interpretation variant</x:v>
      </x:c>
      <x:c r="F448" s="13" t="str">
        <x:v>cognitive_biases_information_processing</x:v>
      </x:c>
      <x:c r="G448" s="13" t="str">
        <x:v>operational_variant</x:v>
      </x:c>
      <x:c r="H448" s="13" t="str">
        <x:v>contextual</x:v>
      </x:c>
      <x:c r="I448" s="13" t="str">
        <x:v>claim+context</x:v>
      </x:c>
      <x:c r="J448" s="13" t="str">
        <x:v>derived_operational_subtype</x:v>
      </x:c>
      <x:c r="K448" s="13" t="str">
        <x:v>derived_from_established_parent_review_required</x:v>
      </x:c>
      <x:c r="L448" s="13" t="str">
        <x:v>P2</x:v>
      </x:c>
      <x:c r="M448" s="13" t="str">
        <x:v>no</x:v>
      </x:c>
      <x:c r="N448" s="13" t="str">
        <x:v>Operational subtype under Optimism bias: ambiguous evidence is interpreted asymmetrically. Parent definition: Underestimating risks or overestimating favorable outcomes.</x:v>
      </x:c>
      <x:c r="O448" s="13" t="str">
        <x:v>Look for: explicit claim-level evidence; parent-family cues for Optimism bias; variant cue: ambiguous evidence is interpreted asymmetrically; avoid author-level inference.</x:v>
      </x:c>
      <x:c r="P448" s="13" t="str">
        <x:v>Exact evidence span in text plus claim-level reasoning link; for contextual/discourse entries, require surrounding context.</x:v>
      </x:c>
      <x:c r="Q448" s="13" t="str">
        <x:v>Do not label merely because topic is controversial, emotional, or wrong. Do not judge intent or personality. Require textual evidence and consider healthy-reasoning cues.</x:v>
      </x:c>
      <x:c r="R448" s="13" t="str">
        <x:v>Stub: A claim relies on ambiguous evidence is interpreted asymmetrically to support a conclusion without adequate qualification.</x:v>
      </x:c>
      <x:c r="S448" s="13" t="str">
        <x:v>Stub: A claim discusses optimism bias with caveats, balanced evidence, or no argumentative use of the pattern.</x:v>
      </x:c>
      <x:c r="T448" s="13" t="str">
        <x:v>Mild or ambiguous cue; do not classify without clear evidence span.</x:v>
      </x:c>
      <x:c r="U448" s="13" t="str">
        <x:v>Clear claim-level pattern with some argumentative impact.</x:v>
      </x:c>
      <x:c r="V448" s="13" t="str">
        <x:v>Strong pattern central to the conclusion and likely to materially distort reasoning.</x:v>
      </x:c>
      <x:c r="W448" s="13" t="str"/>
      <x:c r="X448" s="13" t="str">
        <x:v>gilovich_heuristics_biases</x:v>
      </x:c>
      <x:c r="Y448" s="13" t="str">
        <x:v>https://www.cambridge.org/core/books/heuristics-and-biases/3C30D3B05D2F190C3B8BE5E2531EFD24</x:v>
      </x:c>
      <x:c r="Z448" s="13" t="str">
        <x:v>Review before enabling. This workbook is a living taxonomy scaffold, not a validated scientific benchmark.</x:v>
      </x:c>
      <x:c r="AA448" s="13" t="str">
        <x:v>0.1.0-draft</x:v>
      </x:c>
      <x:c r="AB448" s="12" t="str">
        <x:f>IF(ISNUMBER(SEARCH("healthy",F448)),"healthy_reasoning_patterns",IF(ISNUMBER(SEARCH("statistical",F448)),"statistical_reasoning",IF(ISNUMBER(SEARCH("causal",F448)),"causal_reasoning",IF(ISNUMBER(SEARCH("social",F448)),"social_influence",IF(ISNUMBER(SEARCH("rhetoric",F448)),"rhetoric_discourse",IF(ISNUMBER(SEARCH("behavior",F448)),"behavioural_economics",IF(ISNUMBER(SEARCH("cognitive",F448)),"cognitive_biases",IF(J448="protective_pattern","healthy_reasoning_patterns",IF(L448="P0","core_mvp","extended_fallacies")))))))))</x:f>
        <x:v>cognitive_biases</x:v>
      </x:c>
      <x:c r="AC448" s="12" t="str">
        <x:f>IF(ISNUMBER(SEARCH("operational",J448)),"operational",IF(ISNUMBER(SEARCH("deprecated",J448)),"deprecated",IF(L448="P0","canonical","recognized_subtype")))</x:f>
        <x:v>operational</x:v>
      </x:c>
      <x:c r="AD448" s="12" t="str">
        <x:f>IF(AC448="canonical","high",IF(AC448="recognized_subtype","medium",IF(AC448="operational","operational_only","debated")))</x:f>
        <x:v>operational_only</x:v>
      </x:c>
      <x:c r="AE448" s="12" t="str">
        <x:f>IF(AC448="deprecated","deprecated",IF(M448="yes","active",IF(M448="review","review_required","backlog")))</x:f>
        <x:v>backlog</x:v>
      </x:c>
      <x:c r="AF448" s="12" t="str">
        <x:f>IF(OR(AE448="active",AE448="review_required"),"yes","no")</x:f>
        <x:v>no</x:v>
      </x:c>
      <x:c r="AG448" s="12" t="str">
        <x:f>IF(AND(AE448="active",M448="yes",NOT(ISNUMBER(SEARCH("healthy",AB448)))),"yes","no")</x:f>
        <x:v>no</x:v>
      </x:c>
      <x:c r="AH448" s="12" t="str">
        <x:f>IF(OR(H448="contextual",H448="dialogue",H448="discourse",I448="claim+context",I448="discourse_segment"),"yes","no")</x:f>
        <x:v>yes</x:v>
      </x:c>
      <x:c r="AI448" s="12" t="str">
        <x:f>IF(OR(AH448="yes",AD448="debated",AC448="operational"),"yes","no")</x:f>
        <x:v>yes</x:v>
      </x:c>
      <x:c r="AJ448" s="12" t="str">
        <x:f>IF(OR(AH448="yes",AC448="operational",AD448="debated"),"high",IF(AND(AG448="yes",L448="P0"),"medium","low"))</x:f>
        <x:v>high</x:v>
      </x:c>
      <x:c r="AK448" s="12" t="str">
        <x:f>IF(ISNUMBER(SEARCH("healthy",AB448)),"yes","no")</x:f>
        <x:v>no</x:v>
      </x:c>
      <x:c r="AL448" s="12" t="str">
        <x:f>IF(AG448="yes","yes","candidate_only")</x:f>
        <x:v>candidate_only</x:v>
      </x:c>
      <x:c r="AM448" s="12" t="str">
        <x:f>IF(OR(AC448="canonical",AG448="yes"),"yes","recommended")</x:f>
        <x:v>recommended</x:v>
      </x:c>
      <x:c r="AN448" s="12" t="str">
        <x:f>IF(AC448="deprecated","exclude",IF(AND(AG448="yes",AJ448="high"),"import_but_human_review_required",IF(AG448="yes","import_as_active","import_as_backlog")))</x:f>
        <x:v>import_as_backlog</x:v>
      </x:c>
      <x:c r="AO448" s="12" t="str">
        <x:f>IF(AND(AG448="yes",OR(P448="",Q448="",R448="",S448="")),"missing_required_mvp_fields",IF(AND(AC448="canonical",Y448=""),"missing_source_ref","ok"))</x:f>
        <x:v>ok</x:v>
      </x:c>
      <x:c r="AP448" s="12" t="str">
        <x:f>IF(AO448="ok","ready_for_codex_import","needs_review")</x:f>
        <x:v>ready_for_codex_import</x:v>
      </x:c>
      <x:c r="AQ448" s="12"/>
      <x:c r="AR448" s="12" t="str">
        <x:v>Added v2 operational fields. Review before classification activation.</x:v>
      </x:c>
    </x:row>
    <x:row r="449">
      <x:c r="A449" s="13" t="str">
        <x:v>pessimism_bias_interpretation_variant</x:v>
      </x:c>
      <x:c r="B449" s="13" t="str">
        <x:v>pessimism_bias</x:v>
      </x:c>
      <x:c r="C449" s="13" t="str">
        <x:v>Pessimism bias</x:v>
      </x:c>
      <x:c r="D449" s="13" t="str">
        <x:v>بدبینی افراطی</x:v>
      </x:c>
      <x:c r="E449" s="13" t="str">
        <x:v>Interpretation variant</x:v>
      </x:c>
      <x:c r="F449" s="13" t="str">
        <x:v>cognitive_biases_information_processing</x:v>
      </x:c>
      <x:c r="G449" s="13" t="str">
        <x:v>operational_variant</x:v>
      </x:c>
      <x:c r="H449" s="13" t="str">
        <x:v>contextual</x:v>
      </x:c>
      <x:c r="I449" s="13" t="str">
        <x:v>claim+context</x:v>
      </x:c>
      <x:c r="J449" s="13" t="str">
        <x:v>derived_operational_subtype</x:v>
      </x:c>
      <x:c r="K449" s="13" t="str">
        <x:v>derived_from_established_parent_review_required</x:v>
      </x:c>
      <x:c r="L449" s="13" t="str">
        <x:v>P2</x:v>
      </x:c>
      <x:c r="M449" s="13" t="str">
        <x:v>no</x:v>
      </x:c>
      <x:c r="N449" s="13" t="str">
        <x:v>Operational subtype under Pessimism bias: ambiguous evidence is interpreted asymmetrically. Parent definition: Overestimating risks or negative outcomes without sufficient support.</x:v>
      </x:c>
      <x:c r="O449" s="13" t="str">
        <x:v>Look for: explicit claim-level evidence; parent-family cues for Pessimism bias; variant cue: ambiguous evidence is interpreted asymmetrically; avoid author-level inference.</x:v>
      </x:c>
      <x:c r="P449" s="13" t="str">
        <x:v>Exact evidence span in text plus claim-level reasoning link; for contextual/discourse entries, require surrounding context.</x:v>
      </x:c>
      <x:c r="Q449" s="13" t="str">
        <x:v>Do not label merely because topic is controversial, emotional, or wrong. Do not judge intent or personality. Require textual evidence and consider healthy-reasoning cues.</x:v>
      </x:c>
      <x:c r="R449" s="13" t="str">
        <x:v>Stub: A claim relies on ambiguous evidence is interpreted asymmetrically to support a conclusion without adequate qualification.</x:v>
      </x:c>
      <x:c r="S449" s="13" t="str">
        <x:v>Stub: A claim discusses pessimism bias with caveats, balanced evidence, or no argumentative use of the pattern.</x:v>
      </x:c>
      <x:c r="T449" s="13" t="str">
        <x:v>Mild or ambiguous cue; do not classify without clear evidence span.</x:v>
      </x:c>
      <x:c r="U449" s="13" t="str">
        <x:v>Clear claim-level pattern with some argumentative impact.</x:v>
      </x:c>
      <x:c r="V449" s="13" t="str">
        <x:v>Strong pattern central to the conclusion and likely to materially distort reasoning.</x:v>
      </x:c>
      <x:c r="W449" s="13" t="str"/>
      <x:c r="X449" s="13" t="str">
        <x:v>gilovich_heuristics_biases</x:v>
      </x:c>
      <x:c r="Y449" s="13" t="str">
        <x:v>https://www.cambridge.org/core/books/heuristics-and-biases/3C30D3B05D2F190C3B8BE5E2531EFD24</x:v>
      </x:c>
      <x:c r="Z449" s="13" t="str">
        <x:v>Review before enabling. This workbook is a living taxonomy scaffold, not a validated scientific benchmark.</x:v>
      </x:c>
      <x:c r="AA449" s="13" t="str">
        <x:v>0.1.0-draft</x:v>
      </x:c>
      <x:c r="AB449" s="12" t="str">
        <x:f>IF(ISNUMBER(SEARCH("healthy",F449)),"healthy_reasoning_patterns",IF(ISNUMBER(SEARCH("statistical",F449)),"statistical_reasoning",IF(ISNUMBER(SEARCH("causal",F449)),"causal_reasoning",IF(ISNUMBER(SEARCH("social",F449)),"social_influence",IF(ISNUMBER(SEARCH("rhetoric",F449)),"rhetoric_discourse",IF(ISNUMBER(SEARCH("behavior",F449)),"behavioural_economics",IF(ISNUMBER(SEARCH("cognitive",F449)),"cognitive_biases",IF(J449="protective_pattern","healthy_reasoning_patterns",IF(L449="P0","core_mvp","extended_fallacies")))))))))</x:f>
        <x:v>cognitive_biases</x:v>
      </x:c>
      <x:c r="AC449" s="12" t="str">
        <x:f>IF(ISNUMBER(SEARCH("operational",J449)),"operational",IF(ISNUMBER(SEARCH("deprecated",J449)),"deprecated",IF(L449="P0","canonical","recognized_subtype")))</x:f>
        <x:v>operational</x:v>
      </x:c>
      <x:c r="AD449" s="12" t="str">
        <x:f>IF(AC449="canonical","high",IF(AC449="recognized_subtype","medium",IF(AC449="operational","operational_only","debated")))</x:f>
        <x:v>operational_only</x:v>
      </x:c>
      <x:c r="AE449" s="12" t="str">
        <x:f>IF(AC449="deprecated","deprecated",IF(M449="yes","active",IF(M449="review","review_required","backlog")))</x:f>
        <x:v>backlog</x:v>
      </x:c>
      <x:c r="AF449" s="12" t="str">
        <x:f>IF(OR(AE449="active",AE449="review_required"),"yes","no")</x:f>
        <x:v>no</x:v>
      </x:c>
      <x:c r="AG449" s="12" t="str">
        <x:f>IF(AND(AE449="active",M449="yes",NOT(ISNUMBER(SEARCH("healthy",AB449)))),"yes","no")</x:f>
        <x:v>no</x:v>
      </x:c>
      <x:c r="AH449" s="12" t="str">
        <x:f>IF(OR(H449="contextual",H449="dialogue",H449="discourse",I449="claim+context",I449="discourse_segment"),"yes","no")</x:f>
        <x:v>yes</x:v>
      </x:c>
      <x:c r="AI449" s="12" t="str">
        <x:f>IF(OR(AH449="yes",AD449="debated",AC449="operational"),"yes","no")</x:f>
        <x:v>yes</x:v>
      </x:c>
      <x:c r="AJ449" s="12" t="str">
        <x:f>IF(OR(AH449="yes",AC449="operational",AD449="debated"),"high",IF(AND(AG449="yes",L449="P0"),"medium","low"))</x:f>
        <x:v>high</x:v>
      </x:c>
      <x:c r="AK449" s="12" t="str">
        <x:f>IF(ISNUMBER(SEARCH("healthy",AB449)),"yes","no")</x:f>
        <x:v>no</x:v>
      </x:c>
      <x:c r="AL449" s="12" t="str">
        <x:f>IF(AG449="yes","yes","candidate_only")</x:f>
        <x:v>candidate_only</x:v>
      </x:c>
      <x:c r="AM449" s="12" t="str">
        <x:f>IF(OR(AC449="canonical",AG449="yes"),"yes","recommended")</x:f>
        <x:v>recommended</x:v>
      </x:c>
      <x:c r="AN449" s="12" t="str">
        <x:f>IF(AC449="deprecated","exclude",IF(AND(AG449="yes",AJ449="high"),"import_but_human_review_required",IF(AG449="yes","import_as_active","import_as_backlog")))</x:f>
        <x:v>import_as_backlog</x:v>
      </x:c>
      <x:c r="AO449" s="12" t="str">
        <x:f>IF(AND(AG449="yes",OR(P449="",Q449="",R449="",S449="")),"missing_required_mvp_fields",IF(AND(AC449="canonical",Y449=""),"missing_source_ref","ok"))</x:f>
        <x:v>ok</x:v>
      </x:c>
      <x:c r="AP449" s="12" t="str">
        <x:f>IF(AO449="ok","ready_for_codex_import","needs_review")</x:f>
        <x:v>ready_for_codex_import</x:v>
      </x:c>
      <x:c r="AQ449" s="12"/>
      <x:c r="AR449" s="12" t="str">
        <x:v>Added v2 operational fields. Review before classification activation.</x:v>
      </x:c>
    </x:row>
    <x:row r="450">
      <x:c r="A450" s="13" t="str">
        <x:v>negativity_bias_interpretation_variant</x:v>
      </x:c>
      <x:c r="B450" s="13" t="str">
        <x:v>negativity_bias</x:v>
      </x:c>
      <x:c r="C450" s="13" t="str">
        <x:v>Negativity bias</x:v>
      </x:c>
      <x:c r="D450" s="13" t="str">
        <x:v>سوگیری منفی‌نگری</x:v>
      </x:c>
      <x:c r="E450" s="13" t="str">
        <x:v>Interpretation variant</x:v>
      </x:c>
      <x:c r="F450" s="13" t="str">
        <x:v>cognitive_biases_information_processing</x:v>
      </x:c>
      <x:c r="G450" s="13" t="str">
        <x:v>operational_variant</x:v>
      </x:c>
      <x:c r="H450" s="13" t="str">
        <x:v>contextual</x:v>
      </x:c>
      <x:c r="I450" s="13" t="str">
        <x:v>claim+context</x:v>
      </x:c>
      <x:c r="J450" s="13" t="str">
        <x:v>derived_operational_subtype</x:v>
      </x:c>
      <x:c r="K450" s="13" t="str">
        <x:v>derived_from_established_parent_review_required</x:v>
      </x:c>
      <x:c r="L450" s="13" t="str">
        <x:v>P2</x:v>
      </x:c>
      <x:c r="M450" s="13" t="str">
        <x:v>no</x:v>
      </x:c>
      <x:c r="N450" s="13" t="str">
        <x:v>Operational subtype under Negativity bias: ambiguous evidence is interpreted asymmetrically. Parent definition: Giving negative information disproportionate weight.</x:v>
      </x:c>
      <x:c r="O450" s="13" t="str">
        <x:v>Look for: explicit claim-level evidence; parent-family cues for Negativity bias; variant cue: ambiguous evidence is interpreted asymmetrically; avoid author-level inference.</x:v>
      </x:c>
      <x:c r="P450" s="13" t="str">
        <x:v>Exact evidence span in text plus claim-level reasoning link; for contextual/discourse entries, require surrounding context.</x:v>
      </x:c>
      <x:c r="Q450" s="13" t="str">
        <x:v>Do not label merely because topic is controversial, emotional, or wrong. Do not judge intent or personality. Require textual evidence and consider healthy-reasoning cues.</x:v>
      </x:c>
      <x:c r="R450" s="13" t="str">
        <x:v>Stub: A claim relies on ambiguous evidence is interpreted asymmetrically to support a conclusion without adequate qualification.</x:v>
      </x:c>
      <x:c r="S450" s="13" t="str">
        <x:v>Stub: A claim discusses negativity bias with caveats, balanced evidence, or no argumentative use of the pattern.</x:v>
      </x:c>
      <x:c r="T450" s="13" t="str">
        <x:v>Mild or ambiguous cue; do not classify without clear evidence span.</x:v>
      </x:c>
      <x:c r="U450" s="13" t="str">
        <x:v>Clear claim-level pattern with some argumentative impact.</x:v>
      </x:c>
      <x:c r="V450" s="13" t="str">
        <x:v>Strong pattern central to the conclusion and likely to materially distort reasoning.</x:v>
      </x:c>
      <x:c r="W450" s="13" t="str"/>
      <x:c r="X450" s="13" t="str">
        <x:v>gilovich_heuristics_biases</x:v>
      </x:c>
      <x:c r="Y450" s="13" t="str">
        <x:v>https://www.cambridge.org/core/books/heuristics-and-biases/3C30D3B05D2F190C3B8BE5E2531EFD24</x:v>
      </x:c>
      <x:c r="Z450" s="13" t="str">
        <x:v>Review before enabling. This workbook is a living taxonomy scaffold, not a validated scientific benchmark.</x:v>
      </x:c>
      <x:c r="AA450" s="13" t="str">
        <x:v>0.1.0-draft</x:v>
      </x:c>
      <x:c r="AB450" s="12" t="str">
        <x:f>IF(ISNUMBER(SEARCH("healthy",F450)),"healthy_reasoning_patterns",IF(ISNUMBER(SEARCH("statistical",F450)),"statistical_reasoning",IF(ISNUMBER(SEARCH("causal",F450)),"causal_reasoning",IF(ISNUMBER(SEARCH("social",F450)),"social_influence",IF(ISNUMBER(SEARCH("rhetoric",F450)),"rhetoric_discourse",IF(ISNUMBER(SEARCH("behavior",F450)),"behavioural_economics",IF(ISNUMBER(SEARCH("cognitive",F450)),"cognitive_biases",IF(J450="protective_pattern","healthy_reasoning_patterns",IF(L450="P0","core_mvp","extended_fallacies")))))))))</x:f>
        <x:v>cognitive_biases</x:v>
      </x:c>
      <x:c r="AC450" s="12" t="str">
        <x:f>IF(ISNUMBER(SEARCH("operational",J450)),"operational",IF(ISNUMBER(SEARCH("deprecated",J450)),"deprecated",IF(L450="P0","canonical","recognized_subtype")))</x:f>
        <x:v>operational</x:v>
      </x:c>
      <x:c r="AD450" s="12" t="str">
        <x:f>IF(AC450="canonical","high",IF(AC450="recognized_subtype","medium",IF(AC450="operational","operational_only","debated")))</x:f>
        <x:v>operational_only</x:v>
      </x:c>
      <x:c r="AE450" s="12" t="str">
        <x:f>IF(AC450="deprecated","deprecated",IF(M450="yes","active",IF(M450="review","review_required","backlog")))</x:f>
        <x:v>backlog</x:v>
      </x:c>
      <x:c r="AF450" s="12" t="str">
        <x:f>IF(OR(AE450="active",AE450="review_required"),"yes","no")</x:f>
        <x:v>no</x:v>
      </x:c>
      <x:c r="AG450" s="12" t="str">
        <x:f>IF(AND(AE450="active",M450="yes",NOT(ISNUMBER(SEARCH("healthy",AB450)))),"yes","no")</x:f>
        <x:v>no</x:v>
      </x:c>
      <x:c r="AH450" s="12" t="str">
        <x:f>IF(OR(H450="contextual",H450="dialogue",H450="discourse",I450="claim+context",I450="discourse_segment"),"yes","no")</x:f>
        <x:v>yes</x:v>
      </x:c>
      <x:c r="AI450" s="12" t="str">
        <x:f>IF(OR(AH450="yes",AD450="debated",AC450="operational"),"yes","no")</x:f>
        <x:v>yes</x:v>
      </x:c>
      <x:c r="AJ450" s="12" t="str">
        <x:f>IF(OR(AH450="yes",AC450="operational",AD450="debated"),"high",IF(AND(AG450="yes",L450="P0"),"medium","low"))</x:f>
        <x:v>high</x:v>
      </x:c>
      <x:c r="AK450" s="12" t="str">
        <x:f>IF(ISNUMBER(SEARCH("healthy",AB450)),"yes","no")</x:f>
        <x:v>no</x:v>
      </x:c>
      <x:c r="AL450" s="12" t="str">
        <x:f>IF(AG450="yes","yes","candidate_only")</x:f>
        <x:v>candidate_only</x:v>
      </x:c>
      <x:c r="AM450" s="12" t="str">
        <x:f>IF(OR(AC450="canonical",AG450="yes"),"yes","recommended")</x:f>
        <x:v>recommended</x:v>
      </x:c>
      <x:c r="AN450" s="12" t="str">
        <x:f>IF(AC450="deprecated","exclude",IF(AND(AG450="yes",AJ450="high"),"import_but_human_review_required",IF(AG450="yes","import_as_active","import_as_backlog")))</x:f>
        <x:v>import_as_backlog</x:v>
      </x:c>
      <x:c r="AO450" s="12" t="str">
        <x:f>IF(AND(AG450="yes",OR(P450="",Q450="",R450="",S450="")),"missing_required_mvp_fields",IF(AND(AC450="canonical",Y450=""),"missing_source_ref","ok"))</x:f>
        <x:v>ok</x:v>
      </x:c>
      <x:c r="AP450" s="12" t="str">
        <x:f>IF(AO450="ok","ready_for_codex_import","needs_review")</x:f>
        <x:v>ready_for_codex_import</x:v>
      </x:c>
      <x:c r="AQ450" s="12"/>
      <x:c r="AR450" s="12" t="str">
        <x:v>Added v2 operational fields. Review before classification activation.</x:v>
      </x:c>
    </x:row>
    <x:row r="451">
      <x:c r="A451" s="13" t="str">
        <x:v>salience_bias_interpretation_variant</x:v>
      </x:c>
      <x:c r="B451" s="13" t="str">
        <x:v>salience_bias</x:v>
      </x:c>
      <x:c r="C451" s="13" t="str">
        <x:v>Salience bias</x:v>
      </x:c>
      <x:c r="D451" s="13" t="str">
        <x:v>سوگیری برجستگی</x:v>
      </x:c>
      <x:c r="E451" s="13" t="str">
        <x:v>Interpretation variant</x:v>
      </x:c>
      <x:c r="F451" s="13" t="str">
        <x:v>cognitive_biases_information_processing</x:v>
      </x:c>
      <x:c r="G451" s="13" t="str">
        <x:v>operational_variant</x:v>
      </x:c>
      <x:c r="H451" s="13" t="str">
        <x:v>contextual</x:v>
      </x:c>
      <x:c r="I451" s="13" t="str">
        <x:v>claim+context</x:v>
      </x:c>
      <x:c r="J451" s="13" t="str">
        <x:v>derived_operational_subtype</x:v>
      </x:c>
      <x:c r="K451" s="13" t="str">
        <x:v>derived_from_established_parent_review_required</x:v>
      </x:c>
      <x:c r="L451" s="13" t="str">
        <x:v>P2</x:v>
      </x:c>
      <x:c r="M451" s="13" t="str">
        <x:v>no</x:v>
      </x:c>
      <x:c r="N451" s="13" t="str">
        <x:v>Operational subtype under Salience bias: ambiguous evidence is interpreted asymmetrically. Parent definition: Overweighting vivid or prominent features.</x:v>
      </x:c>
      <x:c r="O451" s="13" t="str">
        <x:v>Look for: explicit claim-level evidence; parent-family cues for Salience bias; variant cue: ambiguous evidence is interpreted asymmetrically; avoid author-level inference.</x:v>
      </x:c>
      <x:c r="P451" s="13" t="str">
        <x:v>Exact evidence span in text plus claim-level reasoning link; for contextual/discourse entries, require surrounding context.</x:v>
      </x:c>
      <x:c r="Q451" s="13" t="str">
        <x:v>Do not label merely because topic is controversial, emotional, or wrong. Do not judge intent or personality. Require textual evidence and consider healthy-reasoning cues.</x:v>
      </x:c>
      <x:c r="R451" s="13" t="str">
        <x:v>Stub: A claim relies on ambiguous evidence is interpreted asymmetrically to support a conclusion without adequate qualification.</x:v>
      </x:c>
      <x:c r="S451" s="13" t="str">
        <x:v>Stub: A claim discusses salience bias with caveats, balanced evidence, or no argumentative use of the pattern.</x:v>
      </x:c>
      <x:c r="T451" s="13" t="str">
        <x:v>Mild or ambiguous cue; do not classify without clear evidence span.</x:v>
      </x:c>
      <x:c r="U451" s="13" t="str">
        <x:v>Clear claim-level pattern with some argumentative impact.</x:v>
      </x:c>
      <x:c r="V451" s="13" t="str">
        <x:v>Strong pattern central to the conclusion and likely to materially distort reasoning.</x:v>
      </x:c>
      <x:c r="W451" s="13" t="str"/>
      <x:c r="X451" s="13" t="str">
        <x:v>kahneman_tversky_heuristics_1974</x:v>
      </x:c>
      <x:c r="Y451" s="13" t="str">
        <x:v>https://doi.org/10.1126/science.185.4157.1124</x:v>
      </x:c>
      <x:c r="Z451" s="13" t="str">
        <x:v>Review before enabling. This workbook is a living taxonomy scaffold, not a validated scientific benchmark.</x:v>
      </x:c>
      <x:c r="AA451" s="13" t="str">
        <x:v>0.1.0-draft</x:v>
      </x:c>
      <x:c r="AB451" s="12" t="str">
        <x:f>IF(ISNUMBER(SEARCH("healthy",F451)),"healthy_reasoning_patterns",IF(ISNUMBER(SEARCH("statistical",F451)),"statistical_reasoning",IF(ISNUMBER(SEARCH("causal",F451)),"causal_reasoning",IF(ISNUMBER(SEARCH("social",F451)),"social_influence",IF(ISNUMBER(SEARCH("rhetoric",F451)),"rhetoric_discourse",IF(ISNUMBER(SEARCH("behavior",F451)),"behavioural_economics",IF(ISNUMBER(SEARCH("cognitive",F451)),"cognitive_biases",IF(J451="protective_pattern","healthy_reasoning_patterns",IF(L451="P0","core_mvp","extended_fallacies")))))))))</x:f>
        <x:v>cognitive_biases</x:v>
      </x:c>
      <x:c r="AC451" s="12" t="str">
        <x:f>IF(ISNUMBER(SEARCH("operational",J451)),"operational",IF(ISNUMBER(SEARCH("deprecated",J451)),"deprecated",IF(L451="P0","canonical","recognized_subtype")))</x:f>
        <x:v>operational</x:v>
      </x:c>
      <x:c r="AD451" s="12" t="str">
        <x:f>IF(AC451="canonical","high",IF(AC451="recognized_subtype","medium",IF(AC451="operational","operational_only","debated")))</x:f>
        <x:v>operational_only</x:v>
      </x:c>
      <x:c r="AE451" s="12" t="str">
        <x:f>IF(AC451="deprecated","deprecated",IF(M451="yes","active",IF(M451="review","review_required","backlog")))</x:f>
        <x:v>backlog</x:v>
      </x:c>
      <x:c r="AF451" s="12" t="str">
        <x:f>IF(OR(AE451="active",AE451="review_required"),"yes","no")</x:f>
        <x:v>no</x:v>
      </x:c>
      <x:c r="AG451" s="12" t="str">
        <x:f>IF(AND(AE451="active",M451="yes",NOT(ISNUMBER(SEARCH("healthy",AB451)))),"yes","no")</x:f>
        <x:v>no</x:v>
      </x:c>
      <x:c r="AH451" s="12" t="str">
        <x:f>IF(OR(H451="contextual",H451="dialogue",H451="discourse",I451="claim+context",I451="discourse_segment"),"yes","no")</x:f>
        <x:v>yes</x:v>
      </x:c>
      <x:c r="AI451" s="12" t="str">
        <x:f>IF(OR(AH451="yes",AD451="debated",AC451="operational"),"yes","no")</x:f>
        <x:v>yes</x:v>
      </x:c>
      <x:c r="AJ451" s="12" t="str">
        <x:f>IF(OR(AH451="yes",AC451="operational",AD451="debated"),"high",IF(AND(AG451="yes",L451="P0"),"medium","low"))</x:f>
        <x:v>high</x:v>
      </x:c>
      <x:c r="AK451" s="12" t="str">
        <x:f>IF(ISNUMBER(SEARCH("healthy",AB451)),"yes","no")</x:f>
        <x:v>no</x:v>
      </x:c>
      <x:c r="AL451" s="12" t="str">
        <x:f>IF(AG451="yes","yes","candidate_only")</x:f>
        <x:v>candidate_only</x:v>
      </x:c>
      <x:c r="AM451" s="12" t="str">
        <x:f>IF(OR(AC451="canonical",AG451="yes"),"yes","recommended")</x:f>
        <x:v>recommended</x:v>
      </x:c>
      <x:c r="AN451" s="12" t="str">
        <x:f>IF(AC451="deprecated","exclude",IF(AND(AG451="yes",AJ451="high"),"import_but_human_review_required",IF(AG451="yes","import_as_active","import_as_backlog")))</x:f>
        <x:v>import_as_backlog</x:v>
      </x:c>
      <x:c r="AO451" s="12" t="str">
        <x:f>IF(AND(AG451="yes",OR(P451="",Q451="",R451="",S451="")),"missing_required_mvp_fields",IF(AND(AC451="canonical",Y451=""),"missing_source_ref","ok"))</x:f>
        <x:v>ok</x:v>
      </x:c>
      <x:c r="AP451" s="12" t="str">
        <x:f>IF(AO451="ok","ready_for_codex_import","needs_review")</x:f>
        <x:v>ready_for_codex_import</x:v>
      </x:c>
      <x:c r="AQ451" s="12"/>
      <x:c r="AR451" s="12" t="str">
        <x:v>Added v2 operational fields. Review before classification activation.</x:v>
      </x:c>
    </x:row>
    <x:row r="452">
      <x:c r="A452" s="13" t="str">
        <x:v>attentional_bias_interpretation_variant</x:v>
      </x:c>
      <x:c r="B452" s="13" t="str">
        <x:v>attentional_bias</x:v>
      </x:c>
      <x:c r="C452" s="13" t="str">
        <x:v>Attentional bias</x:v>
      </x:c>
      <x:c r="D452" s="13" t="str">
        <x:v>سوگیری توجه</x:v>
      </x:c>
      <x:c r="E452" s="13" t="str">
        <x:v>Interpretation variant</x:v>
      </x:c>
      <x:c r="F452" s="13" t="str">
        <x:v>cognitive_biases_information_processing</x:v>
      </x:c>
      <x:c r="G452" s="13" t="str">
        <x:v>operational_variant</x:v>
      </x:c>
      <x:c r="H452" s="13" t="str">
        <x:v>contextual</x:v>
      </x:c>
      <x:c r="I452" s="13" t="str">
        <x:v>claim+context</x:v>
      </x:c>
      <x:c r="J452" s="13" t="str">
        <x:v>derived_operational_subtype</x:v>
      </x:c>
      <x:c r="K452" s="13" t="str">
        <x:v>derived_from_established_parent_review_required</x:v>
      </x:c>
      <x:c r="L452" s="13" t="str">
        <x:v>P2</x:v>
      </x:c>
      <x:c r="M452" s="13" t="str">
        <x:v>no</x:v>
      </x:c>
      <x:c r="N452" s="13" t="str">
        <x:v>Operational subtype under Attentional bias: ambiguous evidence is interpreted asymmetrically. Parent definition: Attention is disproportionately drawn to certain types of information.</x:v>
      </x:c>
      <x:c r="O452" s="13" t="str">
        <x:v>Look for: explicit claim-level evidence; parent-family cues for Attentional bias; variant cue: ambiguous evidence is interpreted asymmetrically; avoid author-level inference.</x:v>
      </x:c>
      <x:c r="P452" s="13" t="str">
        <x:v>Exact evidence span in text plus claim-level reasoning link; for contextual/discourse entries, require surrounding context.</x:v>
      </x:c>
      <x:c r="Q452" s="13" t="str">
        <x:v>Do not label merely because topic is controversial, emotional, or wrong. Do not judge intent or personality. Require textual evidence and consider healthy-reasoning cues.</x:v>
      </x:c>
      <x:c r="R452" s="13" t="str">
        <x:v>Stub: A claim relies on ambiguous evidence is interpreted asymmetrically to support a conclusion without adequate qualification.</x:v>
      </x:c>
      <x:c r="S452" s="13" t="str">
        <x:v>Stub: A claim discusses attentional bias with caveats, balanced evidence, or no argumentative use of the pattern.</x:v>
      </x:c>
      <x:c r="T452" s="13" t="str">
        <x:v>Mild or ambiguous cue; do not classify without clear evidence span.</x:v>
      </x:c>
      <x:c r="U452" s="13" t="str">
        <x:v>Clear claim-level pattern with some argumentative impact.</x:v>
      </x:c>
      <x:c r="V452" s="13" t="str">
        <x:v>Strong pattern central to the conclusion and likely to materially distort reasoning.</x:v>
      </x:c>
      <x:c r="W452" s="13" t="str"/>
      <x:c r="X452" s="13" t="str">
        <x:v>gilovich_heuristics_biases</x:v>
      </x:c>
      <x:c r="Y452" s="13" t="str">
        <x:v>https://www.cambridge.org/core/books/heuristics-and-biases/3C30D3B05D2F190C3B8BE5E2531EFD24</x:v>
      </x:c>
      <x:c r="Z452" s="13" t="str">
        <x:v>Review before enabling. This workbook is a living taxonomy scaffold, not a validated scientific benchmark.</x:v>
      </x:c>
      <x:c r="AA452" s="13" t="str">
        <x:v>0.1.0-draft</x:v>
      </x:c>
      <x:c r="AB452" s="12" t="str">
        <x:f>IF(ISNUMBER(SEARCH("healthy",F452)),"healthy_reasoning_patterns",IF(ISNUMBER(SEARCH("statistical",F452)),"statistical_reasoning",IF(ISNUMBER(SEARCH("causal",F452)),"causal_reasoning",IF(ISNUMBER(SEARCH("social",F452)),"social_influence",IF(ISNUMBER(SEARCH("rhetoric",F452)),"rhetoric_discourse",IF(ISNUMBER(SEARCH("behavior",F452)),"behavioural_economics",IF(ISNUMBER(SEARCH("cognitive",F452)),"cognitive_biases",IF(J452="protective_pattern","healthy_reasoning_patterns",IF(L452="P0","core_mvp","extended_fallacies")))))))))</x:f>
        <x:v>cognitive_biases</x:v>
      </x:c>
      <x:c r="AC452" s="12" t="str">
        <x:f>IF(ISNUMBER(SEARCH("operational",J452)),"operational",IF(ISNUMBER(SEARCH("deprecated",J452)),"deprecated",IF(L452="P0","canonical","recognized_subtype")))</x:f>
        <x:v>operational</x:v>
      </x:c>
      <x:c r="AD452" s="12" t="str">
        <x:f>IF(AC452="canonical","high",IF(AC452="recognized_subtype","medium",IF(AC452="operational","operational_only","debated")))</x:f>
        <x:v>operational_only</x:v>
      </x:c>
      <x:c r="AE452" s="12" t="str">
        <x:f>IF(AC452="deprecated","deprecated",IF(M452="yes","active",IF(M452="review","review_required","backlog")))</x:f>
        <x:v>backlog</x:v>
      </x:c>
      <x:c r="AF452" s="12" t="str">
        <x:f>IF(OR(AE452="active",AE452="review_required"),"yes","no")</x:f>
        <x:v>no</x:v>
      </x:c>
      <x:c r="AG452" s="12" t="str">
        <x:f>IF(AND(AE452="active",M452="yes",NOT(ISNUMBER(SEARCH("healthy",AB452)))),"yes","no")</x:f>
        <x:v>no</x:v>
      </x:c>
      <x:c r="AH452" s="12" t="str">
        <x:f>IF(OR(H452="contextual",H452="dialogue",H452="discourse",I452="claim+context",I452="discourse_segment"),"yes","no")</x:f>
        <x:v>yes</x:v>
      </x:c>
      <x:c r="AI452" s="12" t="str">
        <x:f>IF(OR(AH452="yes",AD452="debated",AC452="operational"),"yes","no")</x:f>
        <x:v>yes</x:v>
      </x:c>
      <x:c r="AJ452" s="12" t="str">
        <x:f>IF(OR(AH452="yes",AC452="operational",AD452="debated"),"high",IF(AND(AG452="yes",L452="P0"),"medium","low"))</x:f>
        <x:v>high</x:v>
      </x:c>
      <x:c r="AK452" s="12" t="str">
        <x:f>IF(ISNUMBER(SEARCH("healthy",AB452)),"yes","no")</x:f>
        <x:v>no</x:v>
      </x:c>
      <x:c r="AL452" s="12" t="str">
        <x:f>IF(AG452="yes","yes","candidate_only")</x:f>
        <x:v>candidate_only</x:v>
      </x:c>
      <x:c r="AM452" s="12" t="str">
        <x:f>IF(OR(AC452="canonical",AG452="yes"),"yes","recommended")</x:f>
        <x:v>recommended</x:v>
      </x:c>
      <x:c r="AN452" s="12" t="str">
        <x:f>IF(AC452="deprecated","exclude",IF(AND(AG452="yes",AJ452="high"),"import_but_human_review_required",IF(AG452="yes","import_as_active","import_as_backlog")))</x:f>
        <x:v>import_as_backlog</x:v>
      </x:c>
      <x:c r="AO452" s="12" t="str">
        <x:f>IF(AND(AG452="yes",OR(P452="",Q452="",R452="",S452="")),"missing_required_mvp_fields",IF(AND(AC452="canonical",Y452=""),"missing_source_ref","ok"))</x:f>
        <x:v>ok</x:v>
      </x:c>
      <x:c r="AP452" s="12" t="str">
        <x:f>IF(AO452="ok","ready_for_codex_import","needs_review")</x:f>
        <x:v>ready_for_codex_import</x:v>
      </x:c>
      <x:c r="AQ452" s="12"/>
      <x:c r="AR452" s="12" t="str">
        <x:v>Added v2 operational fields. Review before classification activation.</x:v>
      </x:c>
    </x:row>
    <x:row r="453">
      <x:c r="A453" s="13" t="str">
        <x:v>halo_effect_interpretation_variant</x:v>
      </x:c>
      <x:c r="B453" s="13" t="str">
        <x:v>halo_effect</x:v>
      </x:c>
      <x:c r="C453" s="13" t="str">
        <x:v>Halo effect</x:v>
      </x:c>
      <x:c r="D453" s="13" t="str">
        <x:v>اثر هاله‌ای</x:v>
      </x:c>
      <x:c r="E453" s="13" t="str">
        <x:v>Interpretation variant</x:v>
      </x:c>
      <x:c r="F453" s="13" t="str">
        <x:v>cognitive_biases_information_processing</x:v>
      </x:c>
      <x:c r="G453" s="13" t="str">
        <x:v>operational_variant</x:v>
      </x:c>
      <x:c r="H453" s="13" t="str">
        <x:v>contextual</x:v>
      </x:c>
      <x:c r="I453" s="13" t="str">
        <x:v>claim+context</x:v>
      </x:c>
      <x:c r="J453" s="13" t="str">
        <x:v>derived_operational_subtype</x:v>
      </x:c>
      <x:c r="K453" s="13" t="str">
        <x:v>derived_from_established_parent_review_required</x:v>
      </x:c>
      <x:c r="L453" s="13" t="str">
        <x:v>P2</x:v>
      </x:c>
      <x:c r="M453" s="13" t="str">
        <x:v>no</x:v>
      </x:c>
      <x:c r="N453" s="13" t="str">
        <x:v>Operational subtype under Halo effect: ambiguous evidence is interpreted asymmetrically. Parent definition: Letting one positive feature color unrelated judgments.</x:v>
      </x:c>
      <x:c r="O453" s="13" t="str">
        <x:v>Look for: explicit claim-level evidence; parent-family cues for Halo effect; variant cue: ambiguous evidence is interpreted asymmetrically; avoid author-level inference.</x:v>
      </x:c>
      <x:c r="P453" s="13" t="str">
        <x:v>Exact evidence span in text plus claim-level reasoning link; for contextual/discourse entries, require surrounding context.</x:v>
      </x:c>
      <x:c r="Q453" s="13" t="str">
        <x:v>Do not label merely because topic is controversial, emotional, or wrong. Do not judge intent or personality. Require textual evidence and consider healthy-reasoning cues.</x:v>
      </x:c>
      <x:c r="R453" s="13" t="str">
        <x:v>Stub: A claim relies on ambiguous evidence is interpreted asymmetrically to support a conclusion without adequate qualification.</x:v>
      </x:c>
      <x:c r="S453" s="13" t="str">
        <x:v>Stub: A claim discusses halo effect with caveats, balanced evidence, or no argumentative use of the pattern.</x:v>
      </x:c>
      <x:c r="T453" s="13" t="str">
        <x:v>Mild or ambiguous cue; do not classify without clear evidence span.</x:v>
      </x:c>
      <x:c r="U453" s="13" t="str">
        <x:v>Clear claim-level pattern with some argumentative impact.</x:v>
      </x:c>
      <x:c r="V453" s="13" t="str">
        <x:v>Strong pattern central to the conclusion and likely to materially distort reasoning.</x:v>
      </x:c>
      <x:c r="W453" s="13" t="str"/>
      <x:c r="X453" s="13" t="str">
        <x:v>gilovich_heuristics_biases</x:v>
      </x:c>
      <x:c r="Y453" s="13" t="str">
        <x:v>https://www.cambridge.org/core/books/heuristics-and-biases/3C30D3B05D2F190C3B8BE5E2531EFD24</x:v>
      </x:c>
      <x:c r="Z453" s="13" t="str">
        <x:v>Review before enabling. This workbook is a living taxonomy scaffold, not a validated scientific benchmark.</x:v>
      </x:c>
      <x:c r="AA453" s="13" t="str">
        <x:v>0.1.0-draft</x:v>
      </x:c>
      <x:c r="AB453" s="12" t="str">
        <x:f>IF(ISNUMBER(SEARCH("healthy",F453)),"healthy_reasoning_patterns",IF(ISNUMBER(SEARCH("statistical",F453)),"statistical_reasoning",IF(ISNUMBER(SEARCH("causal",F453)),"causal_reasoning",IF(ISNUMBER(SEARCH("social",F453)),"social_influence",IF(ISNUMBER(SEARCH("rhetoric",F453)),"rhetoric_discourse",IF(ISNUMBER(SEARCH("behavior",F453)),"behavioural_economics",IF(ISNUMBER(SEARCH("cognitive",F453)),"cognitive_biases",IF(J453="protective_pattern","healthy_reasoning_patterns",IF(L453="P0","core_mvp","extended_fallacies")))))))))</x:f>
        <x:v>cognitive_biases</x:v>
      </x:c>
      <x:c r="AC453" s="12" t="str">
        <x:f>IF(ISNUMBER(SEARCH("operational",J453)),"operational",IF(ISNUMBER(SEARCH("deprecated",J453)),"deprecated",IF(L453="P0","canonical","recognized_subtype")))</x:f>
        <x:v>operational</x:v>
      </x:c>
      <x:c r="AD453" s="12" t="str">
        <x:f>IF(AC453="canonical","high",IF(AC453="recognized_subtype","medium",IF(AC453="operational","operational_only","debated")))</x:f>
        <x:v>operational_only</x:v>
      </x:c>
      <x:c r="AE453" s="12" t="str">
        <x:f>IF(AC453="deprecated","deprecated",IF(M453="yes","active",IF(M453="review","review_required","backlog")))</x:f>
        <x:v>backlog</x:v>
      </x:c>
      <x:c r="AF453" s="12" t="str">
        <x:f>IF(OR(AE453="active",AE453="review_required"),"yes","no")</x:f>
        <x:v>no</x:v>
      </x:c>
      <x:c r="AG453" s="12" t="str">
        <x:f>IF(AND(AE453="active",M453="yes",NOT(ISNUMBER(SEARCH("healthy",AB453)))),"yes","no")</x:f>
        <x:v>no</x:v>
      </x:c>
      <x:c r="AH453" s="12" t="str">
        <x:f>IF(OR(H453="contextual",H453="dialogue",H453="discourse",I453="claim+context",I453="discourse_segment"),"yes","no")</x:f>
        <x:v>yes</x:v>
      </x:c>
      <x:c r="AI453" s="12" t="str">
        <x:f>IF(OR(AH453="yes",AD453="debated",AC453="operational"),"yes","no")</x:f>
        <x:v>yes</x:v>
      </x:c>
      <x:c r="AJ453" s="12" t="str">
        <x:f>IF(OR(AH453="yes",AC453="operational",AD453="debated"),"high",IF(AND(AG453="yes",L453="P0"),"medium","low"))</x:f>
        <x:v>high</x:v>
      </x:c>
      <x:c r="AK453" s="12" t="str">
        <x:f>IF(ISNUMBER(SEARCH("healthy",AB453)),"yes","no")</x:f>
        <x:v>no</x:v>
      </x:c>
      <x:c r="AL453" s="12" t="str">
        <x:f>IF(AG453="yes","yes","candidate_only")</x:f>
        <x:v>candidate_only</x:v>
      </x:c>
      <x:c r="AM453" s="12" t="str">
        <x:f>IF(OR(AC453="canonical",AG453="yes"),"yes","recommended")</x:f>
        <x:v>recommended</x:v>
      </x:c>
      <x:c r="AN453" s="12" t="str">
        <x:f>IF(AC453="deprecated","exclude",IF(AND(AG453="yes",AJ453="high"),"import_but_human_review_required",IF(AG453="yes","import_as_active","import_as_backlog")))</x:f>
        <x:v>import_as_backlog</x:v>
      </x:c>
      <x:c r="AO453" s="12" t="str">
        <x:f>IF(AND(AG453="yes",OR(P453="",Q453="",R453="",S453="")),"missing_required_mvp_fields",IF(AND(AC453="canonical",Y453=""),"missing_source_ref","ok"))</x:f>
        <x:v>ok</x:v>
      </x:c>
      <x:c r="AP453" s="12" t="str">
        <x:f>IF(AO453="ok","ready_for_codex_import","needs_review")</x:f>
        <x:v>ready_for_codex_import</x:v>
      </x:c>
      <x:c r="AQ453" s="12"/>
      <x:c r="AR453" s="12" t="str">
        <x:v>Added v2 operational fields. Review before classification activation.</x:v>
      </x:c>
    </x:row>
    <x:row r="454">
      <x:c r="A454" s="13" t="str">
        <x:v>horns_effect_interpretation_variant</x:v>
      </x:c>
      <x:c r="B454" s="13" t="str">
        <x:v>horns_effect</x:v>
      </x:c>
      <x:c r="C454" s="13" t="str">
        <x:v>Horns effect</x:v>
      </x:c>
      <x:c r="D454" s="13" t="str">
        <x:v>اثر شاخ</x:v>
      </x:c>
      <x:c r="E454" s="13" t="str">
        <x:v>Interpretation variant</x:v>
      </x:c>
      <x:c r="F454" s="13" t="str">
        <x:v>cognitive_biases_information_processing</x:v>
      </x:c>
      <x:c r="G454" s="13" t="str">
        <x:v>operational_variant</x:v>
      </x:c>
      <x:c r="H454" s="13" t="str">
        <x:v>contextual</x:v>
      </x:c>
      <x:c r="I454" s="13" t="str">
        <x:v>claim+context</x:v>
      </x:c>
      <x:c r="J454" s="13" t="str">
        <x:v>derived_operational_subtype</x:v>
      </x:c>
      <x:c r="K454" s="13" t="str">
        <x:v>derived_from_established_parent_review_required</x:v>
      </x:c>
      <x:c r="L454" s="13" t="str">
        <x:v>P2</x:v>
      </x:c>
      <x:c r="M454" s="13" t="str">
        <x:v>no</x:v>
      </x:c>
      <x:c r="N454" s="13" t="str">
        <x:v>Operational subtype under Horns effect: ambiguous evidence is interpreted asymmetrically. Parent definition: Letting one negative feature color unrelated judgments.</x:v>
      </x:c>
      <x:c r="O454" s="13" t="str">
        <x:v>Look for: explicit claim-level evidence; parent-family cues for Horns effect; variant cue: ambiguous evidence is interpreted asymmetrically; avoid author-level inference.</x:v>
      </x:c>
      <x:c r="P454" s="13" t="str">
        <x:v>Exact evidence span in text plus claim-level reasoning link; for contextual/discourse entries, require surrounding context.</x:v>
      </x:c>
      <x:c r="Q454" s="13" t="str">
        <x:v>Do not label merely because topic is controversial, emotional, or wrong. Do not judge intent or personality. Require textual evidence and consider healthy-reasoning cues.</x:v>
      </x:c>
      <x:c r="R454" s="13" t="str">
        <x:v>Stub: A claim relies on ambiguous evidence is interpreted asymmetrically to support a conclusion without adequate qualification.</x:v>
      </x:c>
      <x:c r="S454" s="13" t="str">
        <x:v>Stub: A claim discusses horns effect with caveats, balanced evidence, or no argumentative use of the pattern.</x:v>
      </x:c>
      <x:c r="T454" s="13" t="str">
        <x:v>Mild or ambiguous cue; do not classify without clear evidence span.</x:v>
      </x:c>
      <x:c r="U454" s="13" t="str">
        <x:v>Clear claim-level pattern with some argumentative impact.</x:v>
      </x:c>
      <x:c r="V454" s="13" t="str">
        <x:v>Strong pattern central to the conclusion and likely to materially distort reasoning.</x:v>
      </x:c>
      <x:c r="W454" s="13" t="str"/>
      <x:c r="X454" s="13" t="str">
        <x:v>gilovich_heuristics_biases</x:v>
      </x:c>
      <x:c r="Y454" s="13" t="str">
        <x:v>https://www.cambridge.org/core/books/heuristics-and-biases/3C30D3B05D2F190C3B8BE5E2531EFD24</x:v>
      </x:c>
      <x:c r="Z454" s="13" t="str">
        <x:v>Review before enabling. This workbook is a living taxonomy scaffold, not a validated scientific benchmark.</x:v>
      </x:c>
      <x:c r="AA454" s="13" t="str">
        <x:v>0.1.0-draft</x:v>
      </x:c>
      <x:c r="AB454" s="12" t="str">
        <x:f>IF(ISNUMBER(SEARCH("healthy",F454)),"healthy_reasoning_patterns",IF(ISNUMBER(SEARCH("statistical",F454)),"statistical_reasoning",IF(ISNUMBER(SEARCH("causal",F454)),"causal_reasoning",IF(ISNUMBER(SEARCH("social",F454)),"social_influence",IF(ISNUMBER(SEARCH("rhetoric",F454)),"rhetoric_discourse",IF(ISNUMBER(SEARCH("behavior",F454)),"behavioural_economics",IF(ISNUMBER(SEARCH("cognitive",F454)),"cognitive_biases",IF(J454="protective_pattern","healthy_reasoning_patterns",IF(L454="P0","core_mvp","extended_fallacies")))))))))</x:f>
        <x:v>cognitive_biases</x:v>
      </x:c>
      <x:c r="AC454" s="12" t="str">
        <x:f>IF(ISNUMBER(SEARCH("operational",J454)),"operational",IF(ISNUMBER(SEARCH("deprecated",J454)),"deprecated",IF(L454="P0","canonical","recognized_subtype")))</x:f>
        <x:v>operational</x:v>
      </x:c>
      <x:c r="AD454" s="12" t="str">
        <x:f>IF(AC454="canonical","high",IF(AC454="recognized_subtype","medium",IF(AC454="operational","operational_only","debated")))</x:f>
        <x:v>operational_only</x:v>
      </x:c>
      <x:c r="AE454" s="12" t="str">
        <x:f>IF(AC454="deprecated","deprecated",IF(M454="yes","active",IF(M454="review","review_required","backlog")))</x:f>
        <x:v>backlog</x:v>
      </x:c>
      <x:c r="AF454" s="12" t="str">
        <x:f>IF(OR(AE454="active",AE454="review_required"),"yes","no")</x:f>
        <x:v>no</x:v>
      </x:c>
      <x:c r="AG454" s="12" t="str">
        <x:f>IF(AND(AE454="active",M454="yes",NOT(ISNUMBER(SEARCH("healthy",AB454)))),"yes","no")</x:f>
        <x:v>no</x:v>
      </x:c>
      <x:c r="AH454" s="12" t="str">
        <x:f>IF(OR(H454="contextual",H454="dialogue",H454="discourse",I454="claim+context",I454="discourse_segment"),"yes","no")</x:f>
        <x:v>yes</x:v>
      </x:c>
      <x:c r="AI454" s="12" t="str">
        <x:f>IF(OR(AH454="yes",AD454="debated",AC454="operational"),"yes","no")</x:f>
        <x:v>yes</x:v>
      </x:c>
      <x:c r="AJ454" s="12" t="str">
        <x:f>IF(OR(AH454="yes",AC454="operational",AD454="debated"),"high",IF(AND(AG454="yes",L454="P0"),"medium","low"))</x:f>
        <x:v>high</x:v>
      </x:c>
      <x:c r="AK454" s="12" t="str">
        <x:f>IF(ISNUMBER(SEARCH("healthy",AB454)),"yes","no")</x:f>
        <x:v>no</x:v>
      </x:c>
      <x:c r="AL454" s="12" t="str">
        <x:f>IF(AG454="yes","yes","candidate_only")</x:f>
        <x:v>candidate_only</x:v>
      </x:c>
      <x:c r="AM454" s="12" t="str">
        <x:f>IF(OR(AC454="canonical",AG454="yes"),"yes","recommended")</x:f>
        <x:v>recommended</x:v>
      </x:c>
      <x:c r="AN454" s="12" t="str">
        <x:f>IF(AC454="deprecated","exclude",IF(AND(AG454="yes",AJ454="high"),"import_but_human_review_required",IF(AG454="yes","import_as_active","import_as_backlog")))</x:f>
        <x:v>import_as_backlog</x:v>
      </x:c>
      <x:c r="AO454" s="12" t="str">
        <x:f>IF(AND(AG454="yes",OR(P454="",Q454="",R454="",S454="")),"missing_required_mvp_fields",IF(AND(AC454="canonical",Y454=""),"missing_source_ref","ok"))</x:f>
        <x:v>ok</x:v>
      </x:c>
      <x:c r="AP454" s="12" t="str">
        <x:f>IF(AO454="ok","ready_for_codex_import","needs_review")</x:f>
        <x:v>ready_for_codex_import</x:v>
      </x:c>
      <x:c r="AQ454" s="12"/>
      <x:c r="AR454" s="12" t="str">
        <x:v>Added v2 operational fields. Review before classification activation.</x:v>
      </x:c>
    </x:row>
    <x:row r="455">
      <x:c r="A455" s="13" t="str">
        <x:v>fundamental_attribution_error_interpretation_variant</x:v>
      </x:c>
      <x:c r="B455" s="13" t="str">
        <x:v>fundamental_attribution_error</x:v>
      </x:c>
      <x:c r="C455" s="13" t="str">
        <x:v>Fundamental attribution error</x:v>
      </x:c>
      <x:c r="D455" s="13" t="str">
        <x:v>خطای اسناد بنیادی</x:v>
      </x:c>
      <x:c r="E455" s="13" t="str">
        <x:v>Interpretation variant</x:v>
      </x:c>
      <x:c r="F455" s="13" t="str">
        <x:v>cognitive_biases_information_processing</x:v>
      </x:c>
      <x:c r="G455" s="13" t="str">
        <x:v>operational_variant</x:v>
      </x:c>
      <x:c r="H455" s="13" t="str">
        <x:v>contextual</x:v>
      </x:c>
      <x:c r="I455" s="13" t="str">
        <x:v>claim+context</x:v>
      </x:c>
      <x:c r="J455" s="13" t="str">
        <x:v>derived_operational_subtype</x:v>
      </x:c>
      <x:c r="K455" s="13" t="str">
        <x:v>derived_from_established_parent_review_required</x:v>
      </x:c>
      <x:c r="L455" s="13" t="str">
        <x:v>P2</x:v>
      </x:c>
      <x:c r="M455" s="13" t="str">
        <x:v>no</x:v>
      </x:c>
      <x:c r="N455" s="13" t="str">
        <x:v>Operational subtype under Fundamental attribution error: ambiguous evidence is interpreted asymmetrically. Parent definition: Overemphasizing dispositional explanations and underweighting situational context.</x:v>
      </x:c>
      <x:c r="O455" s="13" t="str">
        <x:v>Look for: explicit claim-level evidence; parent-family cues for Fundamental attribution error; variant cue: ambiguous evidence is interpreted asymmetrically; avoid author-level inference.</x:v>
      </x:c>
      <x:c r="P455" s="13" t="str">
        <x:v>Exact evidence span in text plus claim-level reasoning link; for contextual/discourse entries, require surrounding context.</x:v>
      </x:c>
      <x:c r="Q455" s="13" t="str">
        <x:v>Do not label merely because topic is controversial, emotional, or wrong. Do not judge intent or personality. Require textual evidence and consider healthy-reasoning cues.</x:v>
      </x:c>
      <x:c r="R455" s="13" t="str">
        <x:v>Stub: A claim relies on ambiguous evidence is interpreted asymmetrically to support a conclusion without adequate qualification.</x:v>
      </x:c>
      <x:c r="S455" s="13" t="str">
        <x:v>Stub: A claim discusses fundamental attribution error with caveats, balanced evidence, or no argumentative use of the pattern.</x:v>
      </x:c>
      <x:c r="T455" s="13" t="str">
        <x:v>Mild or ambiguous cue; do not classify without clear evidence span.</x:v>
      </x:c>
      <x:c r="U455" s="13" t="str">
        <x:v>Clear claim-level pattern with some argumentative impact.</x:v>
      </x:c>
      <x:c r="V455" s="13" t="str">
        <x:v>Strong pattern central to the conclusion and likely to materially distort reasoning.</x:v>
      </x:c>
      <x:c r="W455" s="13" t="str"/>
      <x:c r="X455" s="13" t="str">
        <x:v>gilovich_heuristics_biases</x:v>
      </x:c>
      <x:c r="Y455" s="13" t="str">
        <x:v>https://www.cambridge.org/core/books/heuristics-and-biases/3C30D3B05D2F190C3B8BE5E2531EFD24</x:v>
      </x:c>
      <x:c r="Z455" s="13" t="str">
        <x:v>Review before enabling. This workbook is a living taxonomy scaffold, not a validated scientific benchmark.</x:v>
      </x:c>
      <x:c r="AA455" s="13" t="str">
        <x:v>0.1.0-draft</x:v>
      </x:c>
      <x:c r="AB455" s="12" t="str">
        <x:f>IF(ISNUMBER(SEARCH("healthy",F455)),"healthy_reasoning_patterns",IF(ISNUMBER(SEARCH("statistical",F455)),"statistical_reasoning",IF(ISNUMBER(SEARCH("causal",F455)),"causal_reasoning",IF(ISNUMBER(SEARCH("social",F455)),"social_influence",IF(ISNUMBER(SEARCH("rhetoric",F455)),"rhetoric_discourse",IF(ISNUMBER(SEARCH("behavior",F455)),"behavioural_economics",IF(ISNUMBER(SEARCH("cognitive",F455)),"cognitive_biases",IF(J455="protective_pattern","healthy_reasoning_patterns",IF(L455="P0","core_mvp","extended_fallacies")))))))))</x:f>
        <x:v>cognitive_biases</x:v>
      </x:c>
      <x:c r="AC455" s="12" t="str">
        <x:f>IF(ISNUMBER(SEARCH("operational",J455)),"operational",IF(ISNUMBER(SEARCH("deprecated",J455)),"deprecated",IF(L455="P0","canonical","recognized_subtype")))</x:f>
        <x:v>operational</x:v>
      </x:c>
      <x:c r="AD455" s="12" t="str">
        <x:f>IF(AC455="canonical","high",IF(AC455="recognized_subtype","medium",IF(AC455="operational","operational_only","debated")))</x:f>
        <x:v>operational_only</x:v>
      </x:c>
      <x:c r="AE455" s="12" t="str">
        <x:f>IF(AC455="deprecated","deprecated",IF(M455="yes","active",IF(M455="review","review_required","backlog")))</x:f>
        <x:v>backlog</x:v>
      </x:c>
      <x:c r="AF455" s="12" t="str">
        <x:f>IF(OR(AE455="active",AE455="review_required"),"yes","no")</x:f>
        <x:v>no</x:v>
      </x:c>
      <x:c r="AG455" s="12" t="str">
        <x:f>IF(AND(AE455="active",M455="yes",NOT(ISNUMBER(SEARCH("healthy",AB455)))),"yes","no")</x:f>
        <x:v>no</x:v>
      </x:c>
      <x:c r="AH455" s="12" t="str">
        <x:f>IF(OR(H455="contextual",H455="dialogue",H455="discourse",I455="claim+context",I455="discourse_segment"),"yes","no")</x:f>
        <x:v>yes</x:v>
      </x:c>
      <x:c r="AI455" s="12" t="str">
        <x:f>IF(OR(AH455="yes",AD455="debated",AC455="operational"),"yes","no")</x:f>
        <x:v>yes</x:v>
      </x:c>
      <x:c r="AJ455" s="12" t="str">
        <x:f>IF(OR(AH455="yes",AC455="operational",AD455="debated"),"high",IF(AND(AG455="yes",L455="P0"),"medium","low"))</x:f>
        <x:v>high</x:v>
      </x:c>
      <x:c r="AK455" s="12" t="str">
        <x:f>IF(ISNUMBER(SEARCH("healthy",AB455)),"yes","no")</x:f>
        <x:v>no</x:v>
      </x:c>
      <x:c r="AL455" s="12" t="str">
        <x:f>IF(AG455="yes","yes","candidate_only")</x:f>
        <x:v>candidate_only</x:v>
      </x:c>
      <x:c r="AM455" s="12" t="str">
        <x:f>IF(OR(AC455="canonical",AG455="yes"),"yes","recommended")</x:f>
        <x:v>recommended</x:v>
      </x:c>
      <x:c r="AN455" s="12" t="str">
        <x:f>IF(AC455="deprecated","exclude",IF(AND(AG455="yes",AJ455="high"),"import_but_human_review_required",IF(AG455="yes","import_as_active","import_as_backlog")))</x:f>
        <x:v>import_as_backlog</x:v>
      </x:c>
      <x:c r="AO455" s="12" t="str">
        <x:f>IF(AND(AG455="yes",OR(P455="",Q455="",R455="",S455="")),"missing_required_mvp_fields",IF(AND(AC455="canonical",Y455=""),"missing_source_ref","ok"))</x:f>
        <x:v>ok</x:v>
      </x:c>
      <x:c r="AP455" s="12" t="str">
        <x:f>IF(AO455="ok","ready_for_codex_import","needs_review")</x:f>
        <x:v>ready_for_codex_import</x:v>
      </x:c>
      <x:c r="AQ455" s="12"/>
      <x:c r="AR455" s="12" t="str">
        <x:v>Added v2 operational fields. Review before classification activation.</x:v>
      </x:c>
    </x:row>
    <x:row r="456">
      <x:c r="A456" s="13" t="str">
        <x:v>actor_observer_bias_interpretation_variant</x:v>
      </x:c>
      <x:c r="B456" s="13" t="str">
        <x:v>actor_observer_bias</x:v>
      </x:c>
      <x:c r="C456" s="13" t="str">
        <x:v>Actor-observer bias</x:v>
      </x:c>
      <x:c r="D456" s="13" t="str">
        <x:v>سوگیری کنشگر-ناظر</x:v>
      </x:c>
      <x:c r="E456" s="13" t="str">
        <x:v>Interpretation variant</x:v>
      </x:c>
      <x:c r="F456" s="13" t="str">
        <x:v>cognitive_biases_information_processing</x:v>
      </x:c>
      <x:c r="G456" s="13" t="str">
        <x:v>operational_variant</x:v>
      </x:c>
      <x:c r="H456" s="13" t="str">
        <x:v>contextual</x:v>
      </x:c>
      <x:c r="I456" s="13" t="str">
        <x:v>claim+context</x:v>
      </x:c>
      <x:c r="J456" s="13" t="str">
        <x:v>derived_operational_subtype</x:v>
      </x:c>
      <x:c r="K456" s="13" t="str">
        <x:v>derived_from_established_parent_review_required</x:v>
      </x:c>
      <x:c r="L456" s="13" t="str">
        <x:v>P2</x:v>
      </x:c>
      <x:c r="M456" s="13" t="str">
        <x:v>no</x:v>
      </x:c>
      <x:c r="N456" s="13" t="str">
        <x:v>Operational subtype under Actor-observer bias: ambiguous evidence is interpreted asymmetrically. Parent definition: Explaining one's own behavior situationally and others' behavior dispositionally.</x:v>
      </x:c>
      <x:c r="O456" s="13" t="str">
        <x:v>Look for: explicit claim-level evidence; parent-family cues for Actor-observer bias; variant cue: ambiguous evidence is interpreted asymmetrically; avoid author-level inference.</x:v>
      </x:c>
      <x:c r="P456" s="13" t="str">
        <x:v>Exact evidence span in text plus claim-level reasoning link; for contextual/discourse entries, require surrounding context.</x:v>
      </x:c>
      <x:c r="Q456" s="13" t="str">
        <x:v>Do not label merely because topic is controversial, emotional, or wrong. Do not judge intent or personality. Require textual evidence and consider healthy-reasoning cues.</x:v>
      </x:c>
      <x:c r="R456" s="13" t="str">
        <x:v>Stub: A claim relies on ambiguous evidence is interpreted asymmetrically to support a conclusion without adequate qualification.</x:v>
      </x:c>
      <x:c r="S456" s="13" t="str">
        <x:v>Stub: A claim discusses actor-observer bias with caveats, balanced evidence, or no argumentative use of the pattern.</x:v>
      </x:c>
      <x:c r="T456" s="13" t="str">
        <x:v>Mild or ambiguous cue; do not classify without clear evidence span.</x:v>
      </x:c>
      <x:c r="U456" s="13" t="str">
        <x:v>Clear claim-level pattern with some argumentative impact.</x:v>
      </x:c>
      <x:c r="V456" s="13" t="str">
        <x:v>Strong pattern central to the conclusion and likely to materially distort reasoning.</x:v>
      </x:c>
      <x:c r="W456" s="13" t="str"/>
      <x:c r="X456" s="13" t="str">
        <x:v>gilovich_heuristics_biases</x:v>
      </x:c>
      <x:c r="Y456" s="13" t="str">
        <x:v>https://www.cambridge.org/core/books/heuristics-and-biases/3C30D3B05D2F190C3B8BE5E2531EFD24</x:v>
      </x:c>
      <x:c r="Z456" s="13" t="str">
        <x:v>Review before enabling. This workbook is a living taxonomy scaffold, not a validated scientific benchmark.</x:v>
      </x:c>
      <x:c r="AA456" s="13" t="str">
        <x:v>0.1.0-draft</x:v>
      </x:c>
      <x:c r="AB456" s="12" t="str">
        <x:f>IF(ISNUMBER(SEARCH("healthy",F456)),"healthy_reasoning_patterns",IF(ISNUMBER(SEARCH("statistical",F456)),"statistical_reasoning",IF(ISNUMBER(SEARCH("causal",F456)),"causal_reasoning",IF(ISNUMBER(SEARCH("social",F456)),"social_influence",IF(ISNUMBER(SEARCH("rhetoric",F456)),"rhetoric_discourse",IF(ISNUMBER(SEARCH("behavior",F456)),"behavioural_economics",IF(ISNUMBER(SEARCH("cognitive",F456)),"cognitive_biases",IF(J456="protective_pattern","healthy_reasoning_patterns",IF(L456="P0","core_mvp","extended_fallacies")))))))))</x:f>
        <x:v>cognitive_biases</x:v>
      </x:c>
      <x:c r="AC456" s="12" t="str">
        <x:f>IF(ISNUMBER(SEARCH("operational",J456)),"operational",IF(ISNUMBER(SEARCH("deprecated",J456)),"deprecated",IF(L456="P0","canonical","recognized_subtype")))</x:f>
        <x:v>operational</x:v>
      </x:c>
      <x:c r="AD456" s="12" t="str">
        <x:f>IF(AC456="canonical","high",IF(AC456="recognized_subtype","medium",IF(AC456="operational","operational_only","debated")))</x:f>
        <x:v>operational_only</x:v>
      </x:c>
      <x:c r="AE456" s="12" t="str">
        <x:f>IF(AC456="deprecated","deprecated",IF(M456="yes","active",IF(M456="review","review_required","backlog")))</x:f>
        <x:v>backlog</x:v>
      </x:c>
      <x:c r="AF456" s="12" t="str">
        <x:f>IF(OR(AE456="active",AE456="review_required"),"yes","no")</x:f>
        <x:v>no</x:v>
      </x:c>
      <x:c r="AG456" s="12" t="str">
        <x:f>IF(AND(AE456="active",M456="yes",NOT(ISNUMBER(SEARCH("healthy",AB456)))),"yes","no")</x:f>
        <x:v>no</x:v>
      </x:c>
      <x:c r="AH456" s="12" t="str">
        <x:f>IF(OR(H456="contextual",H456="dialogue",H456="discourse",I456="claim+context",I456="discourse_segment"),"yes","no")</x:f>
        <x:v>yes</x:v>
      </x:c>
      <x:c r="AI456" s="12" t="str">
        <x:f>IF(OR(AH456="yes",AD456="debated",AC456="operational"),"yes","no")</x:f>
        <x:v>yes</x:v>
      </x:c>
      <x:c r="AJ456" s="12" t="str">
        <x:f>IF(OR(AH456="yes",AC456="operational",AD456="debated"),"high",IF(AND(AG456="yes",L456="P0"),"medium","low"))</x:f>
        <x:v>high</x:v>
      </x:c>
      <x:c r="AK456" s="12" t="str">
        <x:f>IF(ISNUMBER(SEARCH("healthy",AB456)),"yes","no")</x:f>
        <x:v>no</x:v>
      </x:c>
      <x:c r="AL456" s="12" t="str">
        <x:f>IF(AG456="yes","yes","candidate_only")</x:f>
        <x:v>candidate_only</x:v>
      </x:c>
      <x:c r="AM456" s="12" t="str">
        <x:f>IF(OR(AC456="canonical",AG456="yes"),"yes","recommended")</x:f>
        <x:v>recommended</x:v>
      </x:c>
      <x:c r="AN456" s="12" t="str">
        <x:f>IF(AC456="deprecated","exclude",IF(AND(AG456="yes",AJ456="high"),"import_but_human_review_required",IF(AG456="yes","import_as_active","import_as_backlog")))</x:f>
        <x:v>import_as_backlog</x:v>
      </x:c>
      <x:c r="AO456" s="12" t="str">
        <x:f>IF(AND(AG456="yes",OR(P456="",Q456="",R456="",S456="")),"missing_required_mvp_fields",IF(AND(AC456="canonical",Y456=""),"missing_source_ref","ok"))</x:f>
        <x:v>ok</x:v>
      </x:c>
      <x:c r="AP456" s="12" t="str">
        <x:f>IF(AO456="ok","ready_for_codex_import","needs_review")</x:f>
        <x:v>ready_for_codex_import</x:v>
      </x:c>
      <x:c r="AQ456" s="12"/>
      <x:c r="AR456" s="12" t="str">
        <x:v>Added v2 operational fields. Review before classification activation.</x:v>
      </x:c>
    </x:row>
    <x:row r="457">
      <x:c r="A457" s="13" t="str">
        <x:v>self_serving_bias_interpretation_variant</x:v>
      </x:c>
      <x:c r="B457" s="13" t="str">
        <x:v>self_serving_bias</x:v>
      </x:c>
      <x:c r="C457" s="13" t="str">
        <x:v>Self-serving bias</x:v>
      </x:c>
      <x:c r="D457" s="13" t="str">
        <x:v>سوگیری خودخدمتی</x:v>
      </x:c>
      <x:c r="E457" s="13" t="str">
        <x:v>Interpretation variant</x:v>
      </x:c>
      <x:c r="F457" s="13" t="str">
        <x:v>cognitive_biases_information_processing</x:v>
      </x:c>
      <x:c r="G457" s="13" t="str">
        <x:v>operational_variant</x:v>
      </x:c>
      <x:c r="H457" s="13" t="str">
        <x:v>contextual</x:v>
      </x:c>
      <x:c r="I457" s="13" t="str">
        <x:v>claim+context</x:v>
      </x:c>
      <x:c r="J457" s="13" t="str">
        <x:v>derived_operational_subtype</x:v>
      </x:c>
      <x:c r="K457" s="13" t="str">
        <x:v>derived_from_established_parent_review_required</x:v>
      </x:c>
      <x:c r="L457" s="13" t="str">
        <x:v>P2</x:v>
      </x:c>
      <x:c r="M457" s="13" t="str">
        <x:v>no</x:v>
      </x:c>
      <x:c r="N457" s="13" t="str">
        <x:v>Operational subtype under Self-serving bias: ambiguous evidence is interpreted asymmetrically. Parent definition: Attributing successes internally and failures externally.</x:v>
      </x:c>
      <x:c r="O457" s="13" t="str">
        <x:v>Look for: explicit claim-level evidence; parent-family cues for Self-serving bias; variant cue: ambiguous evidence is interpreted asymmetrically; avoid author-level inference.</x:v>
      </x:c>
      <x:c r="P457" s="13" t="str">
        <x:v>Exact evidence span in text plus claim-level reasoning link; for contextual/discourse entries, require surrounding context.</x:v>
      </x:c>
      <x:c r="Q457" s="13" t="str">
        <x:v>Do not label merely because topic is controversial, emotional, or wrong. Do not judge intent or personality. Require textual evidence and consider healthy-reasoning cues.</x:v>
      </x:c>
      <x:c r="R457" s="13" t="str">
        <x:v>Stub: A claim relies on ambiguous evidence is interpreted asymmetrically to support a conclusion without adequate qualification.</x:v>
      </x:c>
      <x:c r="S457" s="13" t="str">
        <x:v>Stub: A claim discusses self-serving bias with caveats, balanced evidence, or no argumentative use of the pattern.</x:v>
      </x:c>
      <x:c r="T457" s="13" t="str">
        <x:v>Mild or ambiguous cue; do not classify without clear evidence span.</x:v>
      </x:c>
      <x:c r="U457" s="13" t="str">
        <x:v>Clear claim-level pattern with some argumentative impact.</x:v>
      </x:c>
      <x:c r="V457" s="13" t="str">
        <x:v>Strong pattern central to the conclusion and likely to materially distort reasoning.</x:v>
      </x:c>
      <x:c r="W457" s="13" t="str"/>
      <x:c r="X457" s="13" t="str">
        <x:v>gilovich_heuristics_biases</x:v>
      </x:c>
      <x:c r="Y457" s="13" t="str">
        <x:v>https://www.cambridge.org/core/books/heuristics-and-biases/3C30D3B05D2F190C3B8BE5E2531EFD24</x:v>
      </x:c>
      <x:c r="Z457" s="13" t="str">
        <x:v>Review before enabling. This workbook is a living taxonomy scaffold, not a validated scientific benchmark.</x:v>
      </x:c>
      <x:c r="AA457" s="13" t="str">
        <x:v>0.1.0-draft</x:v>
      </x:c>
      <x:c r="AB457" s="12" t="str">
        <x:f>IF(ISNUMBER(SEARCH("healthy",F457)),"healthy_reasoning_patterns",IF(ISNUMBER(SEARCH("statistical",F457)),"statistical_reasoning",IF(ISNUMBER(SEARCH("causal",F457)),"causal_reasoning",IF(ISNUMBER(SEARCH("social",F457)),"social_influence",IF(ISNUMBER(SEARCH("rhetoric",F457)),"rhetoric_discourse",IF(ISNUMBER(SEARCH("behavior",F457)),"behavioural_economics",IF(ISNUMBER(SEARCH("cognitive",F457)),"cognitive_biases",IF(J457="protective_pattern","healthy_reasoning_patterns",IF(L457="P0","core_mvp","extended_fallacies")))))))))</x:f>
        <x:v>cognitive_biases</x:v>
      </x:c>
      <x:c r="AC457" s="12" t="str">
        <x:f>IF(ISNUMBER(SEARCH("operational",J457)),"operational",IF(ISNUMBER(SEARCH("deprecated",J457)),"deprecated",IF(L457="P0","canonical","recognized_subtype")))</x:f>
        <x:v>operational</x:v>
      </x:c>
      <x:c r="AD457" s="12" t="str">
        <x:f>IF(AC457="canonical","high",IF(AC457="recognized_subtype","medium",IF(AC457="operational","operational_only","debated")))</x:f>
        <x:v>operational_only</x:v>
      </x:c>
      <x:c r="AE457" s="12" t="str">
        <x:f>IF(AC457="deprecated","deprecated",IF(M457="yes","active",IF(M457="review","review_required","backlog")))</x:f>
        <x:v>backlog</x:v>
      </x:c>
      <x:c r="AF457" s="12" t="str">
        <x:f>IF(OR(AE457="active",AE457="review_required"),"yes","no")</x:f>
        <x:v>no</x:v>
      </x:c>
      <x:c r="AG457" s="12" t="str">
        <x:f>IF(AND(AE457="active",M457="yes",NOT(ISNUMBER(SEARCH("healthy",AB457)))),"yes","no")</x:f>
        <x:v>no</x:v>
      </x:c>
      <x:c r="AH457" s="12" t="str">
        <x:f>IF(OR(H457="contextual",H457="dialogue",H457="discourse",I457="claim+context",I457="discourse_segment"),"yes","no")</x:f>
        <x:v>yes</x:v>
      </x:c>
      <x:c r="AI457" s="12" t="str">
        <x:f>IF(OR(AH457="yes",AD457="debated",AC457="operational"),"yes","no")</x:f>
        <x:v>yes</x:v>
      </x:c>
      <x:c r="AJ457" s="12" t="str">
        <x:f>IF(OR(AH457="yes",AC457="operational",AD457="debated"),"high",IF(AND(AG457="yes",L457="P0"),"medium","low"))</x:f>
        <x:v>high</x:v>
      </x:c>
      <x:c r="AK457" s="12" t="str">
        <x:f>IF(ISNUMBER(SEARCH("healthy",AB457)),"yes","no")</x:f>
        <x:v>no</x:v>
      </x:c>
      <x:c r="AL457" s="12" t="str">
        <x:f>IF(AG457="yes","yes","candidate_only")</x:f>
        <x:v>candidate_only</x:v>
      </x:c>
      <x:c r="AM457" s="12" t="str">
        <x:f>IF(OR(AC457="canonical",AG457="yes"),"yes","recommended")</x:f>
        <x:v>recommended</x:v>
      </x:c>
      <x:c r="AN457" s="12" t="str">
        <x:f>IF(AC457="deprecated","exclude",IF(AND(AG457="yes",AJ457="high"),"import_but_human_review_required",IF(AG457="yes","import_as_active","import_as_backlog")))</x:f>
        <x:v>import_as_backlog</x:v>
      </x:c>
      <x:c r="AO457" s="12" t="str">
        <x:f>IF(AND(AG457="yes",OR(P457="",Q457="",R457="",S457="")),"missing_required_mvp_fields",IF(AND(AC457="canonical",Y457=""),"missing_source_ref","ok"))</x:f>
        <x:v>ok</x:v>
      </x:c>
      <x:c r="AP457" s="12" t="str">
        <x:f>IF(AO457="ok","ready_for_codex_import","needs_review")</x:f>
        <x:v>ready_for_codex_import</x:v>
      </x:c>
      <x:c r="AQ457" s="12"/>
      <x:c r="AR457" s="12" t="str">
        <x:v>Added v2 operational fields. Review before classification activation.</x:v>
      </x:c>
    </x:row>
    <x:row r="458">
      <x:c r="A458" s="13" t="str">
        <x:v>illusory_correlation_interpretation_variant</x:v>
      </x:c>
      <x:c r="B458" s="13" t="str">
        <x:v>illusory_correlation</x:v>
      </x:c>
      <x:c r="C458" s="13" t="str">
        <x:v>Illusory correlation</x:v>
      </x:c>
      <x:c r="D458" s="13" t="str">
        <x:v>همبستگی موهوم</x:v>
      </x:c>
      <x:c r="E458" s="13" t="str">
        <x:v>Interpretation variant</x:v>
      </x:c>
      <x:c r="F458" s="13" t="str">
        <x:v>cognitive_biases_information_processing</x:v>
      </x:c>
      <x:c r="G458" s="13" t="str">
        <x:v>operational_variant</x:v>
      </x:c>
      <x:c r="H458" s="13" t="str">
        <x:v>contextual</x:v>
      </x:c>
      <x:c r="I458" s="13" t="str">
        <x:v>claim+context</x:v>
      </x:c>
      <x:c r="J458" s="13" t="str">
        <x:v>derived_operational_subtype</x:v>
      </x:c>
      <x:c r="K458" s="13" t="str">
        <x:v>derived_from_established_parent_review_required</x:v>
      </x:c>
      <x:c r="L458" s="13" t="str">
        <x:v>P2</x:v>
      </x:c>
      <x:c r="M458" s="13" t="str">
        <x:v>no</x:v>
      </x:c>
      <x:c r="N458" s="13" t="str">
        <x:v>Operational subtype under Illusory correlation: ambiguous evidence is interpreted asymmetrically. Parent definition: Perceiving an association where evidence is weak or absent.</x:v>
      </x:c>
      <x:c r="O458" s="13" t="str">
        <x:v>Look for: explicit claim-level evidence; parent-family cues for Illusory correlation; variant cue: ambiguous evidence is interpreted asymmetrically; avoid author-level inference.</x:v>
      </x:c>
      <x:c r="P458" s="13" t="str">
        <x:v>Exact evidence span in text plus claim-level reasoning link; for contextual/discourse entries, require surrounding context.</x:v>
      </x:c>
      <x:c r="Q458" s="13" t="str">
        <x:v>Do not label merely because topic is controversial, emotional, or wrong. Do not judge intent or personality. Require textual evidence and consider healthy-reasoning cues.</x:v>
      </x:c>
      <x:c r="R458" s="13" t="str">
        <x:v>Stub: A claim relies on ambiguous evidence is interpreted asymmetrically to support a conclusion without adequate qualification.</x:v>
      </x:c>
      <x:c r="S458" s="13" t="str">
        <x:v>Stub: A claim discusses illusory correlation with caveats, balanced evidence, or no argumentative use of the pattern.</x:v>
      </x:c>
      <x:c r="T458" s="13" t="str">
        <x:v>Mild or ambiguous cue; do not classify without clear evidence span.</x:v>
      </x:c>
      <x:c r="U458" s="13" t="str">
        <x:v>Clear claim-level pattern with some argumentative impact.</x:v>
      </x:c>
      <x:c r="V458" s="13" t="str">
        <x:v>Strong pattern central to the conclusion and likely to materially distort reasoning.</x:v>
      </x:c>
      <x:c r="W458" s="13" t="str">
        <x:v>cherry_picking; missing_counterevidence; evidence_grading</x:v>
      </x:c>
      <x:c r="X458" s="13" t="str">
        <x:v>kahneman_tversky_heuristics_1974</x:v>
      </x:c>
      <x:c r="Y458" s="13" t="str">
        <x:v>https://doi.org/10.1126/science.185.4157.1124</x:v>
      </x:c>
      <x:c r="Z458" s="13" t="str">
        <x:v>Review before enabling. This workbook is a living taxonomy scaffold, not a validated scientific benchmark.</x:v>
      </x:c>
      <x:c r="AA458" s="13" t="str">
        <x:v>0.1.0-draft</x:v>
      </x:c>
      <x:c r="AB458" s="12" t="str">
        <x:f>IF(ISNUMBER(SEARCH("healthy",F458)),"healthy_reasoning_patterns",IF(ISNUMBER(SEARCH("statistical",F458)),"statistical_reasoning",IF(ISNUMBER(SEARCH("causal",F458)),"causal_reasoning",IF(ISNUMBER(SEARCH("social",F458)),"social_influence",IF(ISNUMBER(SEARCH("rhetoric",F458)),"rhetoric_discourse",IF(ISNUMBER(SEARCH("behavior",F458)),"behavioural_economics",IF(ISNUMBER(SEARCH("cognitive",F458)),"cognitive_biases",IF(J458="protective_pattern","healthy_reasoning_patterns",IF(L458="P0","core_mvp","extended_fallacies")))))))))</x:f>
        <x:v>cognitive_biases</x:v>
      </x:c>
      <x:c r="AC458" s="12" t="str">
        <x:f>IF(ISNUMBER(SEARCH("operational",J458)),"operational",IF(ISNUMBER(SEARCH("deprecated",J458)),"deprecated",IF(L458="P0","canonical","recognized_subtype")))</x:f>
        <x:v>operational</x:v>
      </x:c>
      <x:c r="AD458" s="12" t="str">
        <x:f>IF(AC458="canonical","high",IF(AC458="recognized_subtype","medium",IF(AC458="operational","operational_only","debated")))</x:f>
        <x:v>operational_only</x:v>
      </x:c>
      <x:c r="AE458" s="12" t="str">
        <x:f>IF(AC458="deprecated","deprecated",IF(M458="yes","active",IF(M458="review","review_required","backlog")))</x:f>
        <x:v>backlog</x:v>
      </x:c>
      <x:c r="AF458" s="12" t="str">
        <x:f>IF(OR(AE458="active",AE458="review_required"),"yes","no")</x:f>
        <x:v>no</x:v>
      </x:c>
      <x:c r="AG458" s="12" t="str">
        <x:f>IF(AND(AE458="active",M458="yes",NOT(ISNUMBER(SEARCH("healthy",AB458)))),"yes","no")</x:f>
        <x:v>no</x:v>
      </x:c>
      <x:c r="AH458" s="12" t="str">
        <x:f>IF(OR(H458="contextual",H458="dialogue",H458="discourse",I458="claim+context",I458="discourse_segment"),"yes","no")</x:f>
        <x:v>yes</x:v>
      </x:c>
      <x:c r="AI458" s="12" t="str">
        <x:f>IF(OR(AH458="yes",AD458="debated",AC458="operational"),"yes","no")</x:f>
        <x:v>yes</x:v>
      </x:c>
      <x:c r="AJ458" s="12" t="str">
        <x:f>IF(OR(AH458="yes",AC458="operational",AD458="debated"),"high",IF(AND(AG458="yes",L458="P0"),"medium","low"))</x:f>
        <x:v>high</x:v>
      </x:c>
      <x:c r="AK458" s="12" t="str">
        <x:f>IF(ISNUMBER(SEARCH("healthy",AB458)),"yes","no")</x:f>
        <x:v>no</x:v>
      </x:c>
      <x:c r="AL458" s="12" t="str">
        <x:f>IF(AG458="yes","yes","candidate_only")</x:f>
        <x:v>candidate_only</x:v>
      </x:c>
      <x:c r="AM458" s="12" t="str">
        <x:f>IF(OR(AC458="canonical",AG458="yes"),"yes","recommended")</x:f>
        <x:v>recommended</x:v>
      </x:c>
      <x:c r="AN458" s="12" t="str">
        <x:f>IF(AC458="deprecated","exclude",IF(AND(AG458="yes",AJ458="high"),"import_but_human_review_required",IF(AG458="yes","import_as_active","import_as_backlog")))</x:f>
        <x:v>import_as_backlog</x:v>
      </x:c>
      <x:c r="AO458" s="12" t="str">
        <x:f>IF(AND(AG458="yes",OR(P458="",Q458="",R458="",S458="")),"missing_required_mvp_fields",IF(AND(AC458="canonical",Y458=""),"missing_source_ref","ok"))</x:f>
        <x:v>ok</x:v>
      </x:c>
      <x:c r="AP458" s="12" t="str">
        <x:f>IF(AO458="ok","ready_for_codex_import","needs_review")</x:f>
        <x:v>ready_for_codex_import</x:v>
      </x:c>
      <x:c r="AQ458" s="12"/>
      <x:c r="AR458" s="12" t="str">
        <x:v>Added v2 operational fields. Review before classification activation.</x:v>
      </x:c>
    </x:row>
    <x:row r="459">
      <x:c r="A459" s="13" t="str">
        <x:v>clustering_illusion_interpretation_variant</x:v>
      </x:c>
      <x:c r="B459" s="13" t="str">
        <x:v>clustering_illusion</x:v>
      </x:c>
      <x:c r="C459" s="13" t="str">
        <x:v>Clustering illusion</x:v>
      </x:c>
      <x:c r="D459" s="13" t="str">
        <x:v>توهم خوشه‌بندی</x:v>
      </x:c>
      <x:c r="E459" s="13" t="str">
        <x:v>Interpretation variant</x:v>
      </x:c>
      <x:c r="F459" s="13" t="str">
        <x:v>cognitive_biases_information_processing</x:v>
      </x:c>
      <x:c r="G459" s="13" t="str">
        <x:v>operational_variant</x:v>
      </x:c>
      <x:c r="H459" s="13" t="str">
        <x:v>contextual</x:v>
      </x:c>
      <x:c r="I459" s="13" t="str">
        <x:v>claim+context</x:v>
      </x:c>
      <x:c r="J459" s="13" t="str">
        <x:v>derived_operational_subtype</x:v>
      </x:c>
      <x:c r="K459" s="13" t="str">
        <x:v>derived_from_established_parent_review_required</x:v>
      </x:c>
      <x:c r="L459" s="13" t="str">
        <x:v>P2</x:v>
      </x:c>
      <x:c r="M459" s="13" t="str">
        <x:v>no</x:v>
      </x:c>
      <x:c r="N459" s="13" t="str">
        <x:v>Operational subtype under Clustering illusion: ambiguous evidence is interpreted asymmetrically. Parent definition: Seeing meaningful clusters in random sequences.</x:v>
      </x:c>
      <x:c r="O459" s="13" t="str">
        <x:v>Look for: explicit claim-level evidence; parent-family cues for Clustering illusion; variant cue: ambiguous evidence is interpreted asymmetrically; avoid author-level inference.</x:v>
      </x:c>
      <x:c r="P459" s="13" t="str">
        <x:v>Exact evidence span in text plus claim-level reasoning link; for contextual/discourse entries, require surrounding context.</x:v>
      </x:c>
      <x:c r="Q459" s="13" t="str">
        <x:v>Do not label merely because topic is controversial, emotional, or wrong. Do not judge intent or personality. Require textual evidence and consider healthy-reasoning cues.</x:v>
      </x:c>
      <x:c r="R459" s="13" t="str">
        <x:v>Stub: A claim relies on ambiguous evidence is interpreted asymmetrically to support a conclusion without adequate qualification.</x:v>
      </x:c>
      <x:c r="S459" s="13" t="str">
        <x:v>Stub: A claim discusses clustering illusion with caveats, balanced evidence, or no argumentative use of the pattern.</x:v>
      </x:c>
      <x:c r="T459" s="13" t="str">
        <x:v>Mild or ambiguous cue; do not classify without clear evidence span.</x:v>
      </x:c>
      <x:c r="U459" s="13" t="str">
        <x:v>Clear claim-level pattern with some argumentative impact.</x:v>
      </x:c>
      <x:c r="V459" s="13" t="str">
        <x:v>Strong pattern central to the conclusion and likely to materially distort reasoning.</x:v>
      </x:c>
      <x:c r="W459" s="13" t="str"/>
      <x:c r="X459" s="13" t="str">
        <x:v>kahneman_tversky_heuristics_1974</x:v>
      </x:c>
      <x:c r="Y459" s="13" t="str">
        <x:v>https://doi.org/10.1126/science.185.4157.1124</x:v>
      </x:c>
      <x:c r="Z459" s="13" t="str">
        <x:v>Review before enabling. This workbook is a living taxonomy scaffold, not a validated scientific benchmark.</x:v>
      </x:c>
      <x:c r="AA459" s="13" t="str">
        <x:v>0.1.0-draft</x:v>
      </x:c>
      <x:c r="AB459" s="12" t="str">
        <x:f>IF(ISNUMBER(SEARCH("healthy",F459)),"healthy_reasoning_patterns",IF(ISNUMBER(SEARCH("statistical",F459)),"statistical_reasoning",IF(ISNUMBER(SEARCH("causal",F459)),"causal_reasoning",IF(ISNUMBER(SEARCH("social",F459)),"social_influence",IF(ISNUMBER(SEARCH("rhetoric",F459)),"rhetoric_discourse",IF(ISNUMBER(SEARCH("behavior",F459)),"behavioural_economics",IF(ISNUMBER(SEARCH("cognitive",F459)),"cognitive_biases",IF(J459="protective_pattern","healthy_reasoning_patterns",IF(L459="P0","core_mvp","extended_fallacies")))))))))</x:f>
        <x:v>cognitive_biases</x:v>
      </x:c>
      <x:c r="AC459" s="12" t="str">
        <x:f>IF(ISNUMBER(SEARCH("operational",J459)),"operational",IF(ISNUMBER(SEARCH("deprecated",J459)),"deprecated",IF(L459="P0","canonical","recognized_subtype")))</x:f>
        <x:v>operational</x:v>
      </x:c>
      <x:c r="AD459" s="12" t="str">
        <x:f>IF(AC459="canonical","high",IF(AC459="recognized_subtype","medium",IF(AC459="operational","operational_only","debated")))</x:f>
        <x:v>operational_only</x:v>
      </x:c>
      <x:c r="AE459" s="12" t="str">
        <x:f>IF(AC459="deprecated","deprecated",IF(M459="yes","active",IF(M459="review","review_required","backlog")))</x:f>
        <x:v>backlog</x:v>
      </x:c>
      <x:c r="AF459" s="12" t="str">
        <x:f>IF(OR(AE459="active",AE459="review_required"),"yes","no")</x:f>
        <x:v>no</x:v>
      </x:c>
      <x:c r="AG459" s="12" t="str">
        <x:f>IF(AND(AE459="active",M459="yes",NOT(ISNUMBER(SEARCH("healthy",AB459)))),"yes","no")</x:f>
        <x:v>no</x:v>
      </x:c>
      <x:c r="AH459" s="12" t="str">
        <x:f>IF(OR(H459="contextual",H459="dialogue",H459="discourse",I459="claim+context",I459="discourse_segment"),"yes","no")</x:f>
        <x:v>yes</x:v>
      </x:c>
      <x:c r="AI459" s="12" t="str">
        <x:f>IF(OR(AH459="yes",AD459="debated",AC459="operational"),"yes","no")</x:f>
        <x:v>yes</x:v>
      </x:c>
      <x:c r="AJ459" s="12" t="str">
        <x:f>IF(OR(AH459="yes",AC459="operational",AD459="debated"),"high",IF(AND(AG459="yes",L459="P0"),"medium","low"))</x:f>
        <x:v>high</x:v>
      </x:c>
      <x:c r="AK459" s="12" t="str">
        <x:f>IF(ISNUMBER(SEARCH("healthy",AB459)),"yes","no")</x:f>
        <x:v>no</x:v>
      </x:c>
      <x:c r="AL459" s="12" t="str">
        <x:f>IF(AG459="yes","yes","candidate_only")</x:f>
        <x:v>candidate_only</x:v>
      </x:c>
      <x:c r="AM459" s="12" t="str">
        <x:f>IF(OR(AC459="canonical",AG459="yes"),"yes","recommended")</x:f>
        <x:v>recommended</x:v>
      </x:c>
      <x:c r="AN459" s="12" t="str">
        <x:f>IF(AC459="deprecated","exclude",IF(AND(AG459="yes",AJ459="high"),"import_but_human_review_required",IF(AG459="yes","import_as_active","import_as_backlog")))</x:f>
        <x:v>import_as_backlog</x:v>
      </x:c>
      <x:c r="AO459" s="12" t="str">
        <x:f>IF(AND(AG459="yes",OR(P459="",Q459="",R459="",S459="")),"missing_required_mvp_fields",IF(AND(AC459="canonical",Y459=""),"missing_source_ref","ok"))</x:f>
        <x:v>ok</x:v>
      </x:c>
      <x:c r="AP459" s="12" t="str">
        <x:f>IF(AO459="ok","ready_for_codex_import","needs_review")</x:f>
        <x:v>ready_for_codex_import</x:v>
      </x:c>
      <x:c r="AQ459" s="12"/>
      <x:c r="AR459" s="12" t="str">
        <x:v>Added v2 operational fields. Review before classification activation.</x:v>
      </x:c>
    </x:row>
    <x:row r="460">
      <x:c r="A460" s="13" t="str">
        <x:v>recency_bias_interpretation_variant</x:v>
      </x:c>
      <x:c r="B460" s="13" t="str">
        <x:v>recency_bias</x:v>
      </x:c>
      <x:c r="C460" s="13" t="str">
        <x:v>Recency bias</x:v>
      </x:c>
      <x:c r="D460" s="13" t="str">
        <x:v>سوگیری تازگی</x:v>
      </x:c>
      <x:c r="E460" s="13" t="str">
        <x:v>Interpretation variant</x:v>
      </x:c>
      <x:c r="F460" s="13" t="str">
        <x:v>cognitive_biases_information_processing</x:v>
      </x:c>
      <x:c r="G460" s="13" t="str">
        <x:v>operational_variant</x:v>
      </x:c>
      <x:c r="H460" s="13" t="str">
        <x:v>contextual</x:v>
      </x:c>
      <x:c r="I460" s="13" t="str">
        <x:v>claim+context</x:v>
      </x:c>
      <x:c r="J460" s="13" t="str">
        <x:v>derived_operational_subtype</x:v>
      </x:c>
      <x:c r="K460" s="13" t="str">
        <x:v>derived_from_established_parent_review_required</x:v>
      </x:c>
      <x:c r="L460" s="13" t="str">
        <x:v>P2</x:v>
      </x:c>
      <x:c r="M460" s="13" t="str">
        <x:v>no</x:v>
      </x:c>
      <x:c r="N460" s="13" t="str">
        <x:v>Operational subtype under Recency bias: ambiguous evidence is interpreted asymmetrically. Parent definition: Overweighting the most recent information.</x:v>
      </x:c>
      <x:c r="O460" s="13" t="str">
        <x:v>Look for: explicit claim-level evidence; parent-family cues for Recency bias; variant cue: ambiguous evidence is interpreted asymmetrically; avoid author-level inference.</x:v>
      </x:c>
      <x:c r="P460" s="13" t="str">
        <x:v>Exact evidence span in text plus claim-level reasoning link; for contextual/discourse entries, require surrounding context.</x:v>
      </x:c>
      <x:c r="Q460" s="13" t="str">
        <x:v>Do not label merely because topic is controversial, emotional, or wrong. Do not judge intent or personality. Require textual evidence and consider healthy-reasoning cues.</x:v>
      </x:c>
      <x:c r="R460" s="13" t="str">
        <x:v>Stub: A claim relies on ambiguous evidence is interpreted asymmetrically to support a conclusion without adequate qualification.</x:v>
      </x:c>
      <x:c r="S460" s="13" t="str">
        <x:v>Stub: A claim discusses recency bias with caveats, balanced evidence, or no argumentative use of the pattern.</x:v>
      </x:c>
      <x:c r="T460" s="13" t="str">
        <x:v>Mild or ambiguous cue; do not classify without clear evidence span.</x:v>
      </x:c>
      <x:c r="U460" s="13" t="str">
        <x:v>Clear claim-level pattern with some argumentative impact.</x:v>
      </x:c>
      <x:c r="V460" s="13" t="str">
        <x:v>Strong pattern central to the conclusion and likely to materially distort reasoning.</x:v>
      </x:c>
      <x:c r="W460" s="13" t="str"/>
      <x:c r="X460" s="13" t="str">
        <x:v>gilovich_heuristics_biases</x:v>
      </x:c>
      <x:c r="Y460" s="13" t="str">
        <x:v>https://www.cambridge.org/core/books/heuristics-and-biases/3C30D3B05D2F190C3B8BE5E2531EFD24</x:v>
      </x:c>
      <x:c r="Z460" s="13" t="str">
        <x:v>Review before enabling. This workbook is a living taxonomy scaffold, not a validated scientific benchmark.</x:v>
      </x:c>
      <x:c r="AA460" s="13" t="str">
        <x:v>0.1.0-draft</x:v>
      </x:c>
      <x:c r="AB460" s="12" t="str">
        <x:f>IF(ISNUMBER(SEARCH("healthy",F460)),"healthy_reasoning_patterns",IF(ISNUMBER(SEARCH("statistical",F460)),"statistical_reasoning",IF(ISNUMBER(SEARCH("causal",F460)),"causal_reasoning",IF(ISNUMBER(SEARCH("social",F460)),"social_influence",IF(ISNUMBER(SEARCH("rhetoric",F460)),"rhetoric_discourse",IF(ISNUMBER(SEARCH("behavior",F460)),"behavioural_economics",IF(ISNUMBER(SEARCH("cognitive",F460)),"cognitive_biases",IF(J460="protective_pattern","healthy_reasoning_patterns",IF(L460="P0","core_mvp","extended_fallacies")))))))))</x:f>
        <x:v>cognitive_biases</x:v>
      </x:c>
      <x:c r="AC460" s="12" t="str">
        <x:f>IF(ISNUMBER(SEARCH("operational",J460)),"operational",IF(ISNUMBER(SEARCH("deprecated",J460)),"deprecated",IF(L460="P0","canonical","recognized_subtype")))</x:f>
        <x:v>operational</x:v>
      </x:c>
      <x:c r="AD460" s="12" t="str">
        <x:f>IF(AC460="canonical","high",IF(AC460="recognized_subtype","medium",IF(AC460="operational","operational_only","debated")))</x:f>
        <x:v>operational_only</x:v>
      </x:c>
      <x:c r="AE460" s="12" t="str">
        <x:f>IF(AC460="deprecated","deprecated",IF(M460="yes","active",IF(M460="review","review_required","backlog")))</x:f>
        <x:v>backlog</x:v>
      </x:c>
      <x:c r="AF460" s="12" t="str">
        <x:f>IF(OR(AE460="active",AE460="review_required"),"yes","no")</x:f>
        <x:v>no</x:v>
      </x:c>
      <x:c r="AG460" s="12" t="str">
        <x:f>IF(AND(AE460="active",M460="yes",NOT(ISNUMBER(SEARCH("healthy",AB460)))),"yes","no")</x:f>
        <x:v>no</x:v>
      </x:c>
      <x:c r="AH460" s="12" t="str">
        <x:f>IF(OR(H460="contextual",H460="dialogue",H460="discourse",I460="claim+context",I460="discourse_segment"),"yes","no")</x:f>
        <x:v>yes</x:v>
      </x:c>
      <x:c r="AI460" s="12" t="str">
        <x:f>IF(OR(AH460="yes",AD460="debated",AC460="operational"),"yes","no")</x:f>
        <x:v>yes</x:v>
      </x:c>
      <x:c r="AJ460" s="12" t="str">
        <x:f>IF(OR(AH460="yes",AC460="operational",AD460="debated"),"high",IF(AND(AG460="yes",L460="P0"),"medium","low"))</x:f>
        <x:v>high</x:v>
      </x:c>
      <x:c r="AK460" s="12" t="str">
        <x:f>IF(ISNUMBER(SEARCH("healthy",AB460)),"yes","no")</x:f>
        <x:v>no</x:v>
      </x:c>
      <x:c r="AL460" s="12" t="str">
        <x:f>IF(AG460="yes","yes","candidate_only")</x:f>
        <x:v>candidate_only</x:v>
      </x:c>
      <x:c r="AM460" s="12" t="str">
        <x:f>IF(OR(AC460="canonical",AG460="yes"),"yes","recommended")</x:f>
        <x:v>recommended</x:v>
      </x:c>
      <x:c r="AN460" s="12" t="str">
        <x:f>IF(AC460="deprecated","exclude",IF(AND(AG460="yes",AJ460="high"),"import_but_human_review_required",IF(AG460="yes","import_as_active","import_as_backlog")))</x:f>
        <x:v>import_as_backlog</x:v>
      </x:c>
      <x:c r="AO460" s="12" t="str">
        <x:f>IF(AND(AG460="yes",OR(P460="",Q460="",R460="",S460="")),"missing_required_mvp_fields",IF(AND(AC460="canonical",Y460=""),"missing_source_ref","ok"))</x:f>
        <x:v>ok</x:v>
      </x:c>
      <x:c r="AP460" s="12" t="str">
        <x:f>IF(AO460="ok","ready_for_codex_import","needs_review")</x:f>
        <x:v>ready_for_codex_import</x:v>
      </x:c>
      <x:c r="AQ460" s="12"/>
      <x:c r="AR460" s="12" t="str">
        <x:v>Added v2 operational fields. Review before classification activation.</x:v>
      </x:c>
    </x:row>
    <x:row r="461">
      <x:c r="A461" s="13" t="str">
        <x:v>primacy_effect_interpretation_variant</x:v>
      </x:c>
      <x:c r="B461" s="13" t="str">
        <x:v>primacy_effect</x:v>
      </x:c>
      <x:c r="C461" s="13" t="str">
        <x:v>Primacy effect</x:v>
      </x:c>
      <x:c r="D461" s="13" t="str">
        <x:v>اثر تقدم</x:v>
      </x:c>
      <x:c r="E461" s="13" t="str">
        <x:v>Interpretation variant</x:v>
      </x:c>
      <x:c r="F461" s="13" t="str">
        <x:v>cognitive_biases_information_processing</x:v>
      </x:c>
      <x:c r="G461" s="13" t="str">
        <x:v>operational_variant</x:v>
      </x:c>
      <x:c r="H461" s="13" t="str">
        <x:v>contextual</x:v>
      </x:c>
      <x:c r="I461" s="13" t="str">
        <x:v>claim+context</x:v>
      </x:c>
      <x:c r="J461" s="13" t="str">
        <x:v>derived_operational_subtype</x:v>
      </x:c>
      <x:c r="K461" s="13" t="str">
        <x:v>derived_from_established_parent_review_required</x:v>
      </x:c>
      <x:c r="L461" s="13" t="str">
        <x:v>P2</x:v>
      </x:c>
      <x:c r="M461" s="13" t="str">
        <x:v>no</x:v>
      </x:c>
      <x:c r="N461" s="13" t="str">
        <x:v>Operational subtype under Primacy effect: ambiguous evidence is interpreted asymmetrically. Parent definition: Overweighting information encountered first.</x:v>
      </x:c>
      <x:c r="O461" s="13" t="str">
        <x:v>Look for: explicit claim-level evidence; parent-family cues for Primacy effect; variant cue: ambiguous evidence is interpreted asymmetrically; avoid author-level inference.</x:v>
      </x:c>
      <x:c r="P461" s="13" t="str">
        <x:v>Exact evidence span in text plus claim-level reasoning link; for contextual/discourse entries, require surrounding context.</x:v>
      </x:c>
      <x:c r="Q461" s="13" t="str">
        <x:v>Do not label merely because topic is controversial, emotional, or wrong. Do not judge intent or personality. Require textual evidence and consider healthy-reasoning cues.</x:v>
      </x:c>
      <x:c r="R461" s="13" t="str">
        <x:v>Stub: A claim relies on ambiguous evidence is interpreted asymmetrically to support a conclusion without adequate qualification.</x:v>
      </x:c>
      <x:c r="S461" s="13" t="str">
        <x:v>Stub: A claim discusses primacy effect with caveats, balanced evidence, or no argumentative use of the pattern.</x:v>
      </x:c>
      <x:c r="T461" s="13" t="str">
        <x:v>Mild or ambiguous cue; do not classify without clear evidence span.</x:v>
      </x:c>
      <x:c r="U461" s="13" t="str">
        <x:v>Clear claim-level pattern with some argumentative impact.</x:v>
      </x:c>
      <x:c r="V461" s="13" t="str">
        <x:v>Strong pattern central to the conclusion and likely to materially distort reasoning.</x:v>
      </x:c>
      <x:c r="W461" s="13" t="str"/>
      <x:c r="X461" s="13" t="str">
        <x:v>gilovich_heuristics_biases</x:v>
      </x:c>
      <x:c r="Y461" s="13" t="str">
        <x:v>https://www.cambridge.org/core/books/heuristics-and-biases/3C30D3B05D2F190C3B8BE5E2531EFD24</x:v>
      </x:c>
      <x:c r="Z461" s="13" t="str">
        <x:v>Review before enabling. This workbook is a living taxonomy scaffold, not a validated scientific benchmark.</x:v>
      </x:c>
      <x:c r="AA461" s="13" t="str">
        <x:v>0.1.0-draft</x:v>
      </x:c>
      <x:c r="AB461" s="12" t="str">
        <x:f>IF(ISNUMBER(SEARCH("healthy",F461)),"healthy_reasoning_patterns",IF(ISNUMBER(SEARCH("statistical",F461)),"statistical_reasoning",IF(ISNUMBER(SEARCH("causal",F461)),"causal_reasoning",IF(ISNUMBER(SEARCH("social",F461)),"social_influence",IF(ISNUMBER(SEARCH("rhetoric",F461)),"rhetoric_discourse",IF(ISNUMBER(SEARCH("behavior",F461)),"behavioural_economics",IF(ISNUMBER(SEARCH("cognitive",F461)),"cognitive_biases",IF(J461="protective_pattern","healthy_reasoning_patterns",IF(L461="P0","core_mvp","extended_fallacies")))))))))</x:f>
        <x:v>cognitive_biases</x:v>
      </x:c>
      <x:c r="AC461" s="12" t="str">
        <x:f>IF(ISNUMBER(SEARCH("operational",J461)),"operational",IF(ISNUMBER(SEARCH("deprecated",J461)),"deprecated",IF(L461="P0","canonical","recognized_subtype")))</x:f>
        <x:v>operational</x:v>
      </x:c>
      <x:c r="AD461" s="12" t="str">
        <x:f>IF(AC461="canonical","high",IF(AC461="recognized_subtype","medium",IF(AC461="operational","operational_only","debated")))</x:f>
        <x:v>operational_only</x:v>
      </x:c>
      <x:c r="AE461" s="12" t="str">
        <x:f>IF(AC461="deprecated","deprecated",IF(M461="yes","active",IF(M461="review","review_required","backlog")))</x:f>
        <x:v>backlog</x:v>
      </x:c>
      <x:c r="AF461" s="12" t="str">
        <x:f>IF(OR(AE461="active",AE461="review_required"),"yes","no")</x:f>
        <x:v>no</x:v>
      </x:c>
      <x:c r="AG461" s="12" t="str">
        <x:f>IF(AND(AE461="active",M461="yes",NOT(ISNUMBER(SEARCH("healthy",AB461)))),"yes","no")</x:f>
        <x:v>no</x:v>
      </x:c>
      <x:c r="AH461" s="12" t="str">
        <x:f>IF(OR(H461="contextual",H461="dialogue",H461="discourse",I461="claim+context",I461="discourse_segment"),"yes","no")</x:f>
        <x:v>yes</x:v>
      </x:c>
      <x:c r="AI461" s="12" t="str">
        <x:f>IF(OR(AH461="yes",AD461="debated",AC461="operational"),"yes","no")</x:f>
        <x:v>yes</x:v>
      </x:c>
      <x:c r="AJ461" s="12" t="str">
        <x:f>IF(OR(AH461="yes",AC461="operational",AD461="debated"),"high",IF(AND(AG461="yes",L461="P0"),"medium","low"))</x:f>
        <x:v>high</x:v>
      </x:c>
      <x:c r="AK461" s="12" t="str">
        <x:f>IF(ISNUMBER(SEARCH("healthy",AB461)),"yes","no")</x:f>
        <x:v>no</x:v>
      </x:c>
      <x:c r="AL461" s="12" t="str">
        <x:f>IF(AG461="yes","yes","candidate_only")</x:f>
        <x:v>candidate_only</x:v>
      </x:c>
      <x:c r="AM461" s="12" t="str">
        <x:f>IF(OR(AC461="canonical",AG461="yes"),"yes","recommended")</x:f>
        <x:v>recommended</x:v>
      </x:c>
      <x:c r="AN461" s="12" t="str">
        <x:f>IF(AC461="deprecated","exclude",IF(AND(AG461="yes",AJ461="high"),"import_but_human_review_required",IF(AG461="yes","import_as_active","import_as_backlog")))</x:f>
        <x:v>import_as_backlog</x:v>
      </x:c>
      <x:c r="AO461" s="12" t="str">
        <x:f>IF(AND(AG461="yes",OR(P461="",Q461="",R461="",S461="")),"missing_required_mvp_fields",IF(AND(AC461="canonical",Y461=""),"missing_source_ref","ok"))</x:f>
        <x:v>ok</x:v>
      </x:c>
      <x:c r="AP461" s="12" t="str">
        <x:f>IF(AO461="ok","ready_for_codex_import","needs_review")</x:f>
        <x:v>ready_for_codex_import</x:v>
      </x:c>
      <x:c r="AQ461" s="12"/>
      <x:c r="AR461" s="12" t="str">
        <x:v>Added v2 operational fields. Review before classification activation.</x:v>
      </x:c>
    </x:row>
    <x:row r="462">
      <x:c r="A462" s="13" t="str">
        <x:v>memory_consistency_bias_interpretation_variant</x:v>
      </x:c>
      <x:c r="B462" s="13" t="str">
        <x:v>memory_consistency_bias</x:v>
      </x:c>
      <x:c r="C462" s="13" t="str">
        <x:v>Consistency bias</x:v>
      </x:c>
      <x:c r="D462" s="13" t="str">
        <x:v>سوگیری سازگاری حافظه</x:v>
      </x:c>
      <x:c r="E462" s="13" t="str">
        <x:v>Interpretation variant</x:v>
      </x:c>
      <x:c r="F462" s="13" t="str">
        <x:v>cognitive_biases_information_processing</x:v>
      </x:c>
      <x:c r="G462" s="13" t="str">
        <x:v>operational_variant</x:v>
      </x:c>
      <x:c r="H462" s="13" t="str">
        <x:v>contextual</x:v>
      </x:c>
      <x:c r="I462" s="13" t="str">
        <x:v>claim+context</x:v>
      </x:c>
      <x:c r="J462" s="13" t="str">
        <x:v>derived_operational_subtype</x:v>
      </x:c>
      <x:c r="K462" s="13" t="str">
        <x:v>derived_from_established_parent_review_required</x:v>
      </x:c>
      <x:c r="L462" s="13" t="str">
        <x:v>P2</x:v>
      </x:c>
      <x:c r="M462" s="13" t="str">
        <x:v>no</x:v>
      </x:c>
      <x:c r="N462" s="13" t="str">
        <x:v>Operational subtype under Consistency bias: ambiguous evidence is interpreted asymmetrically. Parent definition: Remembering past beliefs as more consistent with present beliefs.</x:v>
      </x:c>
      <x:c r="O462" s="13" t="str">
        <x:v>Look for: explicit claim-level evidence; parent-family cues for Consistency bias; variant cue: ambiguous evidence is interpreted asymmetrically; avoid author-level inference.</x:v>
      </x:c>
      <x:c r="P462" s="13" t="str">
        <x:v>Exact evidence span in text plus claim-level reasoning link; for contextual/discourse entries, require surrounding context.</x:v>
      </x:c>
      <x:c r="Q462" s="13" t="str">
        <x:v>Do not label merely because topic is controversial, emotional, or wrong. Do not judge intent or personality. Require textual evidence and consider healthy-reasoning cues.</x:v>
      </x:c>
      <x:c r="R462" s="13" t="str">
        <x:v>Stub: A claim relies on ambiguous evidence is interpreted asymmetrically to support a conclusion without adequate qualification.</x:v>
      </x:c>
      <x:c r="S462" s="13" t="str">
        <x:v>Stub: A claim discusses consistency bias with caveats, balanced evidence, or no argumentative use of the pattern.</x:v>
      </x:c>
      <x:c r="T462" s="13" t="str">
        <x:v>Mild or ambiguous cue; do not classify without clear evidence span.</x:v>
      </x:c>
      <x:c r="U462" s="13" t="str">
        <x:v>Clear claim-level pattern with some argumentative impact.</x:v>
      </x:c>
      <x:c r="V462" s="13" t="str">
        <x:v>Strong pattern central to the conclusion and likely to materially distort reasoning.</x:v>
      </x:c>
      <x:c r="W462" s="13" t="str"/>
      <x:c r="X462" s="13" t="str">
        <x:v>gilovich_heuristics_biases</x:v>
      </x:c>
      <x:c r="Y462" s="13" t="str">
        <x:v>https://www.cambridge.org/core/books/heuristics-and-biases/3C30D3B05D2F190C3B8BE5E2531EFD24</x:v>
      </x:c>
      <x:c r="Z462" s="13" t="str">
        <x:v>Review before enabling. This workbook is a living taxonomy scaffold, not a validated scientific benchmark.</x:v>
      </x:c>
      <x:c r="AA462" s="13" t="str">
        <x:v>0.1.0-draft</x:v>
      </x:c>
      <x:c r="AB462" s="12" t="str">
        <x:f>IF(ISNUMBER(SEARCH("healthy",F462)),"healthy_reasoning_patterns",IF(ISNUMBER(SEARCH("statistical",F462)),"statistical_reasoning",IF(ISNUMBER(SEARCH("causal",F462)),"causal_reasoning",IF(ISNUMBER(SEARCH("social",F462)),"social_influence",IF(ISNUMBER(SEARCH("rhetoric",F462)),"rhetoric_discourse",IF(ISNUMBER(SEARCH("behavior",F462)),"behavioural_economics",IF(ISNUMBER(SEARCH("cognitive",F462)),"cognitive_biases",IF(J462="protective_pattern","healthy_reasoning_patterns",IF(L462="P0","core_mvp","extended_fallacies")))))))))</x:f>
        <x:v>cognitive_biases</x:v>
      </x:c>
      <x:c r="AC462" s="12" t="str">
        <x:f>IF(ISNUMBER(SEARCH("operational",J462)),"operational",IF(ISNUMBER(SEARCH("deprecated",J462)),"deprecated",IF(L462="P0","canonical","recognized_subtype")))</x:f>
        <x:v>operational</x:v>
      </x:c>
      <x:c r="AD462" s="12" t="str">
        <x:f>IF(AC462="canonical","high",IF(AC462="recognized_subtype","medium",IF(AC462="operational","operational_only","debated")))</x:f>
        <x:v>operational_only</x:v>
      </x:c>
      <x:c r="AE462" s="12" t="str">
        <x:f>IF(AC462="deprecated","deprecated",IF(M462="yes","active",IF(M462="review","review_required","backlog")))</x:f>
        <x:v>backlog</x:v>
      </x:c>
      <x:c r="AF462" s="12" t="str">
        <x:f>IF(OR(AE462="active",AE462="review_required"),"yes","no")</x:f>
        <x:v>no</x:v>
      </x:c>
      <x:c r="AG462" s="12" t="str">
        <x:f>IF(AND(AE462="active",M462="yes",NOT(ISNUMBER(SEARCH("healthy",AB462)))),"yes","no")</x:f>
        <x:v>no</x:v>
      </x:c>
      <x:c r="AH462" s="12" t="str">
        <x:f>IF(OR(H462="contextual",H462="dialogue",H462="discourse",I462="claim+context",I462="discourse_segment"),"yes","no")</x:f>
        <x:v>yes</x:v>
      </x:c>
      <x:c r="AI462" s="12" t="str">
        <x:f>IF(OR(AH462="yes",AD462="debated",AC462="operational"),"yes","no")</x:f>
        <x:v>yes</x:v>
      </x:c>
      <x:c r="AJ462" s="12" t="str">
        <x:f>IF(OR(AH462="yes",AC462="operational",AD462="debated"),"high",IF(AND(AG462="yes",L462="P0"),"medium","low"))</x:f>
        <x:v>high</x:v>
      </x:c>
      <x:c r="AK462" s="12" t="str">
        <x:f>IF(ISNUMBER(SEARCH("healthy",AB462)),"yes","no")</x:f>
        <x:v>no</x:v>
      </x:c>
      <x:c r="AL462" s="12" t="str">
        <x:f>IF(AG462="yes","yes","candidate_only")</x:f>
        <x:v>candidate_only</x:v>
      </x:c>
      <x:c r="AM462" s="12" t="str">
        <x:f>IF(OR(AC462="canonical",AG462="yes"),"yes","recommended")</x:f>
        <x:v>recommended</x:v>
      </x:c>
      <x:c r="AN462" s="12" t="str">
        <x:f>IF(AC462="deprecated","exclude",IF(AND(AG462="yes",AJ462="high"),"import_but_human_review_required",IF(AG462="yes","import_as_active","import_as_backlog")))</x:f>
        <x:v>import_as_backlog</x:v>
      </x:c>
      <x:c r="AO462" s="12" t="str">
        <x:f>IF(AND(AG462="yes",OR(P462="",Q462="",R462="",S462="")),"missing_required_mvp_fields",IF(AND(AC462="canonical",Y462=""),"missing_source_ref","ok"))</x:f>
        <x:v>ok</x:v>
      </x:c>
      <x:c r="AP462" s="12" t="str">
        <x:f>IF(AO462="ok","ready_for_codex_import","needs_review")</x:f>
        <x:v>ready_for_codex_import</x:v>
      </x:c>
      <x:c r="AQ462" s="12"/>
      <x:c r="AR462" s="12" t="str">
        <x:v>Added v2 operational fields. Review before classification activation.</x:v>
      </x:c>
    </x:row>
    <x:row r="463">
      <x:c r="A463" s="13" t="str">
        <x:v>projection_bias_interpretation_variant</x:v>
      </x:c>
      <x:c r="B463" s="13" t="str">
        <x:v>projection_bias</x:v>
      </x:c>
      <x:c r="C463" s="13" t="str">
        <x:v>Projection bias</x:v>
      </x:c>
      <x:c r="D463" s="13" t="str">
        <x:v>سوگیری فرافکنی</x:v>
      </x:c>
      <x:c r="E463" s="13" t="str">
        <x:v>Interpretation variant</x:v>
      </x:c>
      <x:c r="F463" s="13" t="str">
        <x:v>cognitive_biases_information_processing</x:v>
      </x:c>
      <x:c r="G463" s="13" t="str">
        <x:v>operational_variant</x:v>
      </x:c>
      <x:c r="H463" s="13" t="str">
        <x:v>contextual</x:v>
      </x:c>
      <x:c r="I463" s="13" t="str">
        <x:v>claim+context</x:v>
      </x:c>
      <x:c r="J463" s="13" t="str">
        <x:v>derived_operational_subtype</x:v>
      </x:c>
      <x:c r="K463" s="13" t="str">
        <x:v>derived_from_established_parent_review_required</x:v>
      </x:c>
      <x:c r="L463" s="13" t="str">
        <x:v>P2</x:v>
      </x:c>
      <x:c r="M463" s="13" t="str">
        <x:v>no</x:v>
      </x:c>
      <x:c r="N463" s="13" t="str">
        <x:v>Operational subtype under Projection bias: ambiguous evidence is interpreted asymmetrically. Parent definition: Assuming future or others' preferences resemble current preferences.</x:v>
      </x:c>
      <x:c r="O463" s="13" t="str">
        <x:v>Look for: explicit claim-level evidence; parent-family cues for Projection bias; variant cue: ambiguous evidence is interpreted asymmetrically; avoid author-level inference.</x:v>
      </x:c>
      <x:c r="P463" s="13" t="str">
        <x:v>Exact evidence span in text plus claim-level reasoning link; for contextual/discourse entries, require surrounding context.</x:v>
      </x:c>
      <x:c r="Q463" s="13" t="str">
        <x:v>Do not label merely because topic is controversial, emotional, or wrong. Do not judge intent or personality. Require textual evidence and consider healthy-reasoning cues.</x:v>
      </x:c>
      <x:c r="R463" s="13" t="str">
        <x:v>Stub: A claim relies on ambiguous evidence is interpreted asymmetrically to support a conclusion without adequate qualification.</x:v>
      </x:c>
      <x:c r="S463" s="13" t="str">
        <x:v>Stub: A claim discusses projection bias with caveats, balanced evidence, or no argumentative use of the pattern.</x:v>
      </x:c>
      <x:c r="T463" s="13" t="str">
        <x:v>Mild or ambiguous cue; do not classify without clear evidence span.</x:v>
      </x:c>
      <x:c r="U463" s="13" t="str">
        <x:v>Clear claim-level pattern with some argumentative impact.</x:v>
      </x:c>
      <x:c r="V463" s="13" t="str">
        <x:v>Strong pattern central to the conclusion and likely to materially distort reasoning.</x:v>
      </x:c>
      <x:c r="W463" s="13" t="str"/>
      <x:c r="X463" s="13" t="str">
        <x:v>gilovich_heuristics_biases</x:v>
      </x:c>
      <x:c r="Y463" s="13" t="str">
        <x:v>https://www.cambridge.org/core/books/heuristics-and-biases/3C30D3B05D2F190C3B8BE5E2531EFD24</x:v>
      </x:c>
      <x:c r="Z463" s="13" t="str">
        <x:v>Review before enabling. This workbook is a living taxonomy scaffold, not a validated scientific benchmark.</x:v>
      </x:c>
      <x:c r="AA463" s="13" t="str">
        <x:v>0.1.0-draft</x:v>
      </x:c>
      <x:c r="AB463" s="12" t="str">
        <x:f>IF(ISNUMBER(SEARCH("healthy",F463)),"healthy_reasoning_patterns",IF(ISNUMBER(SEARCH("statistical",F463)),"statistical_reasoning",IF(ISNUMBER(SEARCH("causal",F463)),"causal_reasoning",IF(ISNUMBER(SEARCH("social",F463)),"social_influence",IF(ISNUMBER(SEARCH("rhetoric",F463)),"rhetoric_discourse",IF(ISNUMBER(SEARCH("behavior",F463)),"behavioural_economics",IF(ISNUMBER(SEARCH("cognitive",F463)),"cognitive_biases",IF(J463="protective_pattern","healthy_reasoning_patterns",IF(L463="P0","core_mvp","extended_fallacies")))))))))</x:f>
        <x:v>cognitive_biases</x:v>
      </x:c>
      <x:c r="AC463" s="12" t="str">
        <x:f>IF(ISNUMBER(SEARCH("operational",J463)),"operational",IF(ISNUMBER(SEARCH("deprecated",J463)),"deprecated",IF(L463="P0","canonical","recognized_subtype")))</x:f>
        <x:v>operational</x:v>
      </x:c>
      <x:c r="AD463" s="12" t="str">
        <x:f>IF(AC463="canonical","high",IF(AC463="recognized_subtype","medium",IF(AC463="operational","operational_only","debated")))</x:f>
        <x:v>operational_only</x:v>
      </x:c>
      <x:c r="AE463" s="12" t="str">
        <x:f>IF(AC463="deprecated","deprecated",IF(M463="yes","active",IF(M463="review","review_required","backlog")))</x:f>
        <x:v>backlog</x:v>
      </x:c>
      <x:c r="AF463" s="12" t="str">
        <x:f>IF(OR(AE463="active",AE463="review_required"),"yes","no")</x:f>
        <x:v>no</x:v>
      </x:c>
      <x:c r="AG463" s="12" t="str">
        <x:f>IF(AND(AE463="active",M463="yes",NOT(ISNUMBER(SEARCH("healthy",AB463)))),"yes","no")</x:f>
        <x:v>no</x:v>
      </x:c>
      <x:c r="AH463" s="12" t="str">
        <x:f>IF(OR(H463="contextual",H463="dialogue",H463="discourse",I463="claim+context",I463="discourse_segment"),"yes","no")</x:f>
        <x:v>yes</x:v>
      </x:c>
      <x:c r="AI463" s="12" t="str">
        <x:f>IF(OR(AH463="yes",AD463="debated",AC463="operational"),"yes","no")</x:f>
        <x:v>yes</x:v>
      </x:c>
      <x:c r="AJ463" s="12" t="str">
        <x:f>IF(OR(AH463="yes",AC463="operational",AD463="debated"),"high",IF(AND(AG463="yes",L463="P0"),"medium","low"))</x:f>
        <x:v>high</x:v>
      </x:c>
      <x:c r="AK463" s="12" t="str">
        <x:f>IF(ISNUMBER(SEARCH("healthy",AB463)),"yes","no")</x:f>
        <x:v>no</x:v>
      </x:c>
      <x:c r="AL463" s="12" t="str">
        <x:f>IF(AG463="yes","yes","candidate_only")</x:f>
        <x:v>candidate_only</x:v>
      </x:c>
      <x:c r="AM463" s="12" t="str">
        <x:f>IF(OR(AC463="canonical",AG463="yes"),"yes","recommended")</x:f>
        <x:v>recommended</x:v>
      </x:c>
      <x:c r="AN463" s="12" t="str">
        <x:f>IF(AC463="deprecated","exclude",IF(AND(AG463="yes",AJ463="high"),"import_but_human_review_required",IF(AG463="yes","import_as_active","import_as_backlog")))</x:f>
        <x:v>import_as_backlog</x:v>
      </x:c>
      <x:c r="AO463" s="12" t="str">
        <x:f>IF(AND(AG463="yes",OR(P463="",Q463="",R463="",S463="")),"missing_required_mvp_fields",IF(AND(AC463="canonical",Y463=""),"missing_source_ref","ok"))</x:f>
        <x:v>ok</x:v>
      </x:c>
      <x:c r="AP463" s="12" t="str">
        <x:f>IF(AO463="ok","ready_for_codex_import","needs_review")</x:f>
        <x:v>ready_for_codex_import</x:v>
      </x:c>
      <x:c r="AQ463" s="12"/>
      <x:c r="AR463" s="12" t="str">
        <x:v>Added v2 operational fields. Review before classification activation.</x:v>
      </x:c>
    </x:row>
    <x:row r="464">
      <x:c r="A464" s="13" t="str">
        <x:v>curse_of_knowledge_interpretation_variant</x:v>
      </x:c>
      <x:c r="B464" s="13" t="str">
        <x:v>curse_of_knowledge</x:v>
      </x:c>
      <x:c r="C464" s="13" t="str">
        <x:v>Curse of knowledge</x:v>
      </x:c>
      <x:c r="D464" s="13" t="str">
        <x:v>نفرین دانستن</x:v>
      </x:c>
      <x:c r="E464" s="13" t="str">
        <x:v>Interpretation variant</x:v>
      </x:c>
      <x:c r="F464" s="13" t="str">
        <x:v>cognitive_biases_information_processing</x:v>
      </x:c>
      <x:c r="G464" s="13" t="str">
        <x:v>operational_variant</x:v>
      </x:c>
      <x:c r="H464" s="13" t="str">
        <x:v>contextual</x:v>
      </x:c>
      <x:c r="I464" s="13" t="str">
        <x:v>claim+context</x:v>
      </x:c>
      <x:c r="J464" s="13" t="str">
        <x:v>derived_operational_subtype</x:v>
      </x:c>
      <x:c r="K464" s="13" t="str">
        <x:v>derived_from_established_parent_review_required</x:v>
      </x:c>
      <x:c r="L464" s="13" t="str">
        <x:v>P2</x:v>
      </x:c>
      <x:c r="M464" s="13" t="str">
        <x:v>no</x:v>
      </x:c>
      <x:c r="N464" s="13" t="str">
        <x:v>Operational subtype under Curse of knowledge: ambiguous evidence is interpreted asymmetrically. Parent definition: Failing to account for what others do not know.</x:v>
      </x:c>
      <x:c r="O464" s="13" t="str">
        <x:v>Look for: explicit claim-level evidence; parent-family cues for Curse of knowledge; variant cue: ambiguous evidence is interpreted asymmetrically; avoid author-level inference.</x:v>
      </x:c>
      <x:c r="P464" s="13" t="str">
        <x:v>Exact evidence span in text plus claim-level reasoning link; for contextual/discourse entries, require surrounding context.</x:v>
      </x:c>
      <x:c r="Q464" s="13" t="str">
        <x:v>Do not label merely because topic is controversial, emotional, or wrong. Do not judge intent or personality. Require textual evidence and consider healthy-reasoning cues.</x:v>
      </x:c>
      <x:c r="R464" s="13" t="str">
        <x:v>Stub: A claim relies on ambiguous evidence is interpreted asymmetrically to support a conclusion without adequate qualification.</x:v>
      </x:c>
      <x:c r="S464" s="13" t="str">
        <x:v>Stub: A claim discusses curse of knowledge with caveats, balanced evidence, or no argumentative use of the pattern.</x:v>
      </x:c>
      <x:c r="T464" s="13" t="str">
        <x:v>Mild or ambiguous cue; do not classify without clear evidence span.</x:v>
      </x:c>
      <x:c r="U464" s="13" t="str">
        <x:v>Clear claim-level pattern with some argumentative impact.</x:v>
      </x:c>
      <x:c r="V464" s="13" t="str">
        <x:v>Strong pattern central to the conclusion and likely to materially distort reasoning.</x:v>
      </x:c>
      <x:c r="W464" s="13" t="str"/>
      <x:c r="X464" s="13" t="str">
        <x:v>stanovich_dual_process</x:v>
      </x:c>
      <x:c r="Y464" s="13" t="str">
        <x:v>https://global.oup.com/academic/product/rationality-and-the-reflective-mind-9780195341140</x:v>
      </x:c>
      <x:c r="Z464" s="13" t="str">
        <x:v>Review before enabling. This workbook is a living taxonomy scaffold, not a validated scientific benchmark.</x:v>
      </x:c>
      <x:c r="AA464" s="13" t="str">
        <x:v>0.1.0-draft</x:v>
      </x:c>
      <x:c r="AB464" s="12" t="str">
        <x:f>IF(ISNUMBER(SEARCH("healthy",F464)),"healthy_reasoning_patterns",IF(ISNUMBER(SEARCH("statistical",F464)),"statistical_reasoning",IF(ISNUMBER(SEARCH("causal",F464)),"causal_reasoning",IF(ISNUMBER(SEARCH("social",F464)),"social_influence",IF(ISNUMBER(SEARCH("rhetoric",F464)),"rhetoric_discourse",IF(ISNUMBER(SEARCH("behavior",F464)),"behavioural_economics",IF(ISNUMBER(SEARCH("cognitive",F464)),"cognitive_biases",IF(J464="protective_pattern","healthy_reasoning_patterns",IF(L464="P0","core_mvp","extended_fallacies")))))))))</x:f>
        <x:v>cognitive_biases</x:v>
      </x:c>
      <x:c r="AC464" s="12" t="str">
        <x:f>IF(ISNUMBER(SEARCH("operational",J464)),"operational",IF(ISNUMBER(SEARCH("deprecated",J464)),"deprecated",IF(L464="P0","canonical","recognized_subtype")))</x:f>
        <x:v>operational</x:v>
      </x:c>
      <x:c r="AD464" s="12" t="str">
        <x:f>IF(AC464="canonical","high",IF(AC464="recognized_subtype","medium",IF(AC464="operational","operational_only","debated")))</x:f>
        <x:v>operational_only</x:v>
      </x:c>
      <x:c r="AE464" s="12" t="str">
        <x:f>IF(AC464="deprecated","deprecated",IF(M464="yes","active",IF(M464="review","review_required","backlog")))</x:f>
        <x:v>backlog</x:v>
      </x:c>
      <x:c r="AF464" s="12" t="str">
        <x:f>IF(OR(AE464="active",AE464="review_required"),"yes","no")</x:f>
        <x:v>no</x:v>
      </x:c>
      <x:c r="AG464" s="12" t="str">
        <x:f>IF(AND(AE464="active",M464="yes",NOT(ISNUMBER(SEARCH("healthy",AB464)))),"yes","no")</x:f>
        <x:v>no</x:v>
      </x:c>
      <x:c r="AH464" s="12" t="str">
        <x:f>IF(OR(H464="contextual",H464="dialogue",H464="discourse",I464="claim+context",I464="discourse_segment"),"yes","no")</x:f>
        <x:v>yes</x:v>
      </x:c>
      <x:c r="AI464" s="12" t="str">
        <x:f>IF(OR(AH464="yes",AD464="debated",AC464="operational"),"yes","no")</x:f>
        <x:v>yes</x:v>
      </x:c>
      <x:c r="AJ464" s="12" t="str">
        <x:f>IF(OR(AH464="yes",AC464="operational",AD464="debated"),"high",IF(AND(AG464="yes",L464="P0"),"medium","low"))</x:f>
        <x:v>high</x:v>
      </x:c>
      <x:c r="AK464" s="12" t="str">
        <x:f>IF(ISNUMBER(SEARCH("healthy",AB464)),"yes","no")</x:f>
        <x:v>no</x:v>
      </x:c>
      <x:c r="AL464" s="12" t="str">
        <x:f>IF(AG464="yes","yes","candidate_only")</x:f>
        <x:v>candidate_only</x:v>
      </x:c>
      <x:c r="AM464" s="12" t="str">
        <x:f>IF(OR(AC464="canonical",AG464="yes"),"yes","recommended")</x:f>
        <x:v>recommended</x:v>
      </x:c>
      <x:c r="AN464" s="12" t="str">
        <x:f>IF(AC464="deprecated","exclude",IF(AND(AG464="yes",AJ464="high"),"import_but_human_review_required",IF(AG464="yes","import_as_active","import_as_backlog")))</x:f>
        <x:v>import_as_backlog</x:v>
      </x:c>
      <x:c r="AO464" s="12" t="str">
        <x:f>IF(AND(AG464="yes",OR(P464="",Q464="",R464="",S464="")),"missing_required_mvp_fields",IF(AND(AC464="canonical",Y464=""),"missing_source_ref","ok"))</x:f>
        <x:v>ok</x:v>
      </x:c>
      <x:c r="AP464" s="12" t="str">
        <x:f>IF(AO464="ok","ready_for_codex_import","needs_review")</x:f>
        <x:v>ready_for_codex_import</x:v>
      </x:c>
      <x:c r="AQ464" s="12"/>
      <x:c r="AR464" s="12" t="str">
        <x:v>Added v2 operational fields. Review before classification activation.</x:v>
      </x:c>
    </x:row>
    <x:row r="465">
      <x:c r="A465" s="13" t="str">
        <x:v>ambiguity_effect_interpretation_variant</x:v>
      </x:c>
      <x:c r="B465" s="13" t="str">
        <x:v>ambiguity_effect</x:v>
      </x:c>
      <x:c r="C465" s="13" t="str">
        <x:v>Ambiguity effect</x:v>
      </x:c>
      <x:c r="D465" s="13" t="str">
        <x:v>گریز از ابهام</x:v>
      </x:c>
      <x:c r="E465" s="13" t="str">
        <x:v>Interpretation variant</x:v>
      </x:c>
      <x:c r="F465" s="13" t="str">
        <x:v>cognitive_biases_information_processing</x:v>
      </x:c>
      <x:c r="G465" s="13" t="str">
        <x:v>operational_variant</x:v>
      </x:c>
      <x:c r="H465" s="13" t="str">
        <x:v>contextual</x:v>
      </x:c>
      <x:c r="I465" s="13" t="str">
        <x:v>claim+context</x:v>
      </x:c>
      <x:c r="J465" s="13" t="str">
        <x:v>derived_operational_subtype</x:v>
      </x:c>
      <x:c r="K465" s="13" t="str">
        <x:v>derived_from_established_parent_review_required</x:v>
      </x:c>
      <x:c r="L465" s="13" t="str">
        <x:v>P2</x:v>
      </x:c>
      <x:c r="M465" s="13" t="str">
        <x:v>no</x:v>
      </x:c>
      <x:c r="N465" s="13" t="str">
        <x:v>Operational subtype under Ambiguity effect: ambiguous evidence is interpreted asymmetrically. Parent definition: Avoiding options with unknown probabilities, even when alternatives are not better.</x:v>
      </x:c>
      <x:c r="O465" s="13" t="str">
        <x:v>Look for: explicit claim-level evidence; parent-family cues for Ambiguity effect; variant cue: ambiguous evidence is interpreted asymmetrically; avoid author-level inference.</x:v>
      </x:c>
      <x:c r="P465" s="13" t="str">
        <x:v>Exact evidence span in text plus claim-level reasoning link; for contextual/discourse entries, require surrounding context.</x:v>
      </x:c>
      <x:c r="Q465" s="13" t="str">
        <x:v>Do not label merely because topic is controversial, emotional, or wrong. Do not judge intent or personality. Require textual evidence and consider healthy-reasoning cues.</x:v>
      </x:c>
      <x:c r="R465" s="13" t="str">
        <x:v>Stub: A claim relies on ambiguous evidence is interpreted asymmetrically to support a conclusion without adequate qualification.</x:v>
      </x:c>
      <x:c r="S465" s="13" t="str">
        <x:v>Stub: A claim discusses ambiguity effect with caveats, balanced evidence, or no argumentative use of the pattern.</x:v>
      </x:c>
      <x:c r="T465" s="13" t="str">
        <x:v>Mild or ambiguous cue; do not classify without clear evidence span.</x:v>
      </x:c>
      <x:c r="U465" s="13" t="str">
        <x:v>Clear claim-level pattern with some argumentative impact.</x:v>
      </x:c>
      <x:c r="V465" s="13" t="str">
        <x:v>Strong pattern central to the conclusion and likely to materially distort reasoning.</x:v>
      </x:c>
      <x:c r="W465" s="13" t="str"/>
      <x:c r="X465" s="13" t="str">
        <x:v>kahneman_tversky_prospect_1979</x:v>
      </x:c>
      <x:c r="Y465" s="13" t="str">
        <x:v>https://doi.org/10.2307/1914185</x:v>
      </x:c>
      <x:c r="Z465" s="13" t="str">
        <x:v>Review before enabling. This workbook is a living taxonomy scaffold, not a validated scientific benchmark.</x:v>
      </x:c>
      <x:c r="AA465" s="13" t="str">
        <x:v>0.1.0-draft</x:v>
      </x:c>
      <x:c r="AB465" s="12" t="str">
        <x:f>IF(ISNUMBER(SEARCH("healthy",F465)),"healthy_reasoning_patterns",IF(ISNUMBER(SEARCH("statistical",F465)),"statistical_reasoning",IF(ISNUMBER(SEARCH("causal",F465)),"causal_reasoning",IF(ISNUMBER(SEARCH("social",F465)),"social_influence",IF(ISNUMBER(SEARCH("rhetoric",F465)),"rhetoric_discourse",IF(ISNUMBER(SEARCH("behavior",F465)),"behavioural_economics",IF(ISNUMBER(SEARCH("cognitive",F465)),"cognitive_biases",IF(J465="protective_pattern","healthy_reasoning_patterns",IF(L465="P0","core_mvp","extended_fallacies")))))))))</x:f>
        <x:v>cognitive_biases</x:v>
      </x:c>
      <x:c r="AC465" s="12" t="str">
        <x:f>IF(ISNUMBER(SEARCH("operational",J465)),"operational",IF(ISNUMBER(SEARCH("deprecated",J465)),"deprecated",IF(L465="P0","canonical","recognized_subtype")))</x:f>
        <x:v>operational</x:v>
      </x:c>
      <x:c r="AD465" s="12" t="str">
        <x:f>IF(AC465="canonical","high",IF(AC465="recognized_subtype","medium",IF(AC465="operational","operational_only","debated")))</x:f>
        <x:v>operational_only</x:v>
      </x:c>
      <x:c r="AE465" s="12" t="str">
        <x:f>IF(AC465="deprecated","deprecated",IF(M465="yes","active",IF(M465="review","review_required","backlog")))</x:f>
        <x:v>backlog</x:v>
      </x:c>
      <x:c r="AF465" s="12" t="str">
        <x:f>IF(OR(AE465="active",AE465="review_required"),"yes","no")</x:f>
        <x:v>no</x:v>
      </x:c>
      <x:c r="AG465" s="12" t="str">
        <x:f>IF(AND(AE465="active",M465="yes",NOT(ISNUMBER(SEARCH("healthy",AB465)))),"yes","no")</x:f>
        <x:v>no</x:v>
      </x:c>
      <x:c r="AH465" s="12" t="str">
        <x:f>IF(OR(H465="contextual",H465="dialogue",H465="discourse",I465="claim+context",I465="discourse_segment"),"yes","no")</x:f>
        <x:v>yes</x:v>
      </x:c>
      <x:c r="AI465" s="12" t="str">
        <x:f>IF(OR(AH465="yes",AD465="debated",AC465="operational"),"yes","no")</x:f>
        <x:v>yes</x:v>
      </x:c>
      <x:c r="AJ465" s="12" t="str">
        <x:f>IF(OR(AH465="yes",AC465="operational",AD465="debated"),"high",IF(AND(AG465="yes",L465="P0"),"medium","low"))</x:f>
        <x:v>high</x:v>
      </x:c>
      <x:c r="AK465" s="12" t="str">
        <x:f>IF(ISNUMBER(SEARCH("healthy",AB465)),"yes","no")</x:f>
        <x:v>no</x:v>
      </x:c>
      <x:c r="AL465" s="12" t="str">
        <x:f>IF(AG465="yes","yes","candidate_only")</x:f>
        <x:v>candidate_only</x:v>
      </x:c>
      <x:c r="AM465" s="12" t="str">
        <x:f>IF(OR(AC465="canonical",AG465="yes"),"yes","recommended")</x:f>
        <x:v>recommended</x:v>
      </x:c>
      <x:c r="AN465" s="12" t="str">
        <x:f>IF(AC465="deprecated","exclude",IF(AND(AG465="yes",AJ465="high"),"import_but_human_review_required",IF(AG465="yes","import_as_active","import_as_backlog")))</x:f>
        <x:v>import_as_backlog</x:v>
      </x:c>
      <x:c r="AO465" s="12" t="str">
        <x:f>IF(AND(AG465="yes",OR(P465="",Q465="",R465="",S465="")),"missing_required_mvp_fields",IF(AND(AC465="canonical",Y465=""),"missing_source_ref","ok"))</x:f>
        <x:v>ok</x:v>
      </x:c>
      <x:c r="AP465" s="12" t="str">
        <x:f>IF(AO465="ok","ready_for_codex_import","needs_review")</x:f>
        <x:v>ready_for_codex_import</x:v>
      </x:c>
      <x:c r="AQ465" s="12"/>
      <x:c r="AR465" s="12" t="str">
        <x:v>Added v2 operational fields. Review before classification activation.</x:v>
      </x:c>
    </x:row>
    <x:row r="466">
      <x:c r="A466" s="13" t="str">
        <x:v>confirmation_bias_memory_salience_variant</x:v>
      </x:c>
      <x:c r="B466" s="13" t="str">
        <x:v>confirmation_bias</x:v>
      </x:c>
      <x:c r="C466" s="13" t="str">
        <x:v>Confirmation bias</x:v>
      </x:c>
      <x:c r="D466" s="13" t="str">
        <x:v>سوگیری تأییدی</x:v>
      </x:c>
      <x:c r="E466" s="13" t="str">
        <x:v>Memory/salience variant</x:v>
      </x:c>
      <x:c r="F466" s="13" t="str">
        <x:v>cognitive_biases_information_processing</x:v>
      </x:c>
      <x:c r="G466" s="13" t="str">
        <x:v>operational_variant</x:v>
      </x:c>
      <x:c r="H466" s="13" t="str">
        <x:v>contextual</x:v>
      </x:c>
      <x:c r="I466" s="13" t="str">
        <x:v>claim+context</x:v>
      </x:c>
      <x:c r="J466" s="13" t="str">
        <x:v>derived_operational_subtype</x:v>
      </x:c>
      <x:c r="K466" s="13" t="str">
        <x:v>derived_from_established_parent_review_required</x:v>
      </x:c>
      <x:c r="L466" s="13" t="str">
        <x:v>P3</x:v>
      </x:c>
      <x:c r="M466" s="13" t="str">
        <x:v>no</x:v>
      </x:c>
      <x:c r="N466" s="13" t="str">
        <x:v>Operational subtype under Confirmation bias: salient or remembered cases are overweighted. Parent definition: Searching for or interpreting information in ways that support prior beliefs.</x:v>
      </x:c>
      <x:c r="O466" s="13" t="str">
        <x:v>Look for: explicit claim-level evidence; parent-family cues for Confirmation bias; variant cue: salient or remembered cases are overweighted; avoid author-level inference.</x:v>
      </x:c>
      <x:c r="P466" s="13" t="str">
        <x:v>Exact evidence span in text plus claim-level reasoning link; for contextual/discourse entries, require surrounding context.</x:v>
      </x:c>
      <x:c r="Q466" s="13" t="str">
        <x:v>Do not label merely because topic is controversial, emotional, or wrong. Do not judge intent or personality. Require textual evidence and consider healthy-reasoning cues.</x:v>
      </x:c>
      <x:c r="R466" s="13" t="str">
        <x:v>Stub: A claim relies on salient or remembered cases are overweighted to support a conclusion without adequate qualification.</x:v>
      </x:c>
      <x:c r="S466" s="13" t="str">
        <x:v>Stub: A claim discusses confirmation bias with caveats, balanced evidence, or no argumentative use of the pattern.</x:v>
      </x:c>
      <x:c r="T466" s="13" t="str">
        <x:v>Mild or ambiguous cue; do not classify without clear evidence span.</x:v>
      </x:c>
      <x:c r="U466" s="13" t="str">
        <x:v>Clear claim-level pattern with some argumentative impact.</x:v>
      </x:c>
      <x:c r="V466" s="13" t="str">
        <x:v>Strong pattern central to the conclusion and likely to materially distort reasoning.</x:v>
      </x:c>
      <x:c r="W466" s="13" t="str"/>
      <x:c r="X466" s="13" t="str">
        <x:v>nickerson_confirmation_1998</x:v>
      </x:c>
      <x:c r="Y466" s="13" t="str">
        <x:v>https://doi.org/10.1037/1089-2680.2.2.175</x:v>
      </x:c>
      <x:c r="Z466" s="13" t="str">
        <x:v>Review before enabling. This workbook is a living taxonomy scaffold, not a validated scientific benchmark.</x:v>
      </x:c>
      <x:c r="AA466" s="13" t="str">
        <x:v>0.1.0-draft</x:v>
      </x:c>
      <x:c r="AB466" s="12" t="str">
        <x:f>IF(ISNUMBER(SEARCH("healthy",F466)),"healthy_reasoning_patterns",IF(ISNUMBER(SEARCH("statistical",F466)),"statistical_reasoning",IF(ISNUMBER(SEARCH("causal",F466)),"causal_reasoning",IF(ISNUMBER(SEARCH("social",F466)),"social_influence",IF(ISNUMBER(SEARCH("rhetoric",F466)),"rhetoric_discourse",IF(ISNUMBER(SEARCH("behavior",F466)),"behavioural_economics",IF(ISNUMBER(SEARCH("cognitive",F466)),"cognitive_biases",IF(J466="protective_pattern","healthy_reasoning_patterns",IF(L466="P0","core_mvp","extended_fallacies")))))))))</x:f>
        <x:v>cognitive_biases</x:v>
      </x:c>
      <x:c r="AC466" s="12" t="str">
        <x:f>IF(ISNUMBER(SEARCH("operational",J466)),"operational",IF(ISNUMBER(SEARCH("deprecated",J466)),"deprecated",IF(L466="P0","canonical","recognized_subtype")))</x:f>
        <x:v>operational</x:v>
      </x:c>
      <x:c r="AD466" s="12" t="str">
        <x:f>IF(AC466="canonical","high",IF(AC466="recognized_subtype","medium",IF(AC466="operational","operational_only","debated")))</x:f>
        <x:v>operational_only</x:v>
      </x:c>
      <x:c r="AE466" s="12" t="str">
        <x:f>IF(AC466="deprecated","deprecated",IF(M466="yes","active",IF(M466="review","review_required","backlog")))</x:f>
        <x:v>backlog</x:v>
      </x:c>
      <x:c r="AF466" s="12" t="str">
        <x:f>IF(OR(AE466="active",AE466="review_required"),"yes","no")</x:f>
        <x:v>no</x:v>
      </x:c>
      <x:c r="AG466" s="12" t="str">
        <x:f>IF(AND(AE466="active",M466="yes",NOT(ISNUMBER(SEARCH("healthy",AB466)))),"yes","no")</x:f>
        <x:v>no</x:v>
      </x:c>
      <x:c r="AH466" s="12" t="str">
        <x:f>IF(OR(H466="contextual",H466="dialogue",H466="discourse",I466="claim+context",I466="discourse_segment"),"yes","no")</x:f>
        <x:v>yes</x:v>
      </x:c>
      <x:c r="AI466" s="12" t="str">
        <x:f>IF(OR(AH466="yes",AD466="debated",AC466="operational"),"yes","no")</x:f>
        <x:v>yes</x:v>
      </x:c>
      <x:c r="AJ466" s="12" t="str">
        <x:f>IF(OR(AH466="yes",AC466="operational",AD466="debated"),"high",IF(AND(AG466="yes",L466="P0"),"medium","low"))</x:f>
        <x:v>high</x:v>
      </x:c>
      <x:c r="AK466" s="12" t="str">
        <x:f>IF(ISNUMBER(SEARCH("healthy",AB466)),"yes","no")</x:f>
        <x:v>no</x:v>
      </x:c>
      <x:c r="AL466" s="12" t="str">
        <x:f>IF(AG466="yes","yes","candidate_only")</x:f>
        <x:v>candidate_only</x:v>
      </x:c>
      <x:c r="AM466" s="12" t="str">
        <x:f>IF(OR(AC466="canonical",AG466="yes"),"yes","recommended")</x:f>
        <x:v>recommended</x:v>
      </x:c>
      <x:c r="AN466" s="12" t="str">
        <x:f>IF(AC466="deprecated","exclude",IF(AND(AG466="yes",AJ466="high"),"import_but_human_review_required",IF(AG466="yes","import_as_active","import_as_backlog")))</x:f>
        <x:v>import_as_backlog</x:v>
      </x:c>
      <x:c r="AO466" s="12" t="str">
        <x:f>IF(AND(AG466="yes",OR(P466="",Q466="",R466="",S466="")),"missing_required_mvp_fields",IF(AND(AC466="canonical",Y466=""),"missing_source_ref","ok"))</x:f>
        <x:v>ok</x:v>
      </x:c>
      <x:c r="AP466" s="12" t="str">
        <x:f>IF(AO466="ok","ready_for_codex_import","needs_review")</x:f>
        <x:v>ready_for_codex_import</x:v>
      </x:c>
      <x:c r="AQ466" s="12"/>
      <x:c r="AR466" s="12" t="str">
        <x:v>Added v2 operational fields. Review before classification activation.</x:v>
      </x:c>
    </x:row>
    <x:row r="467">
      <x:c r="A467" s="13" t="str">
        <x:v>myside_bias_memory_salience_variant</x:v>
      </x:c>
      <x:c r="B467" s="13" t="str">
        <x:v>myside_bias</x:v>
      </x:c>
      <x:c r="C467" s="13" t="str">
        <x:v>Myside bias</x:v>
      </x:c>
      <x:c r="D467" s="13" t="str">
        <x:v>سوگیری سمت خود</x:v>
      </x:c>
      <x:c r="E467" s="13" t="str">
        <x:v>Memory/salience variant</x:v>
      </x:c>
      <x:c r="F467" s="13" t="str">
        <x:v>cognitive_biases_information_processing</x:v>
      </x:c>
      <x:c r="G467" s="13" t="str">
        <x:v>operational_variant</x:v>
      </x:c>
      <x:c r="H467" s="13" t="str">
        <x:v>contextual</x:v>
      </x:c>
      <x:c r="I467" s="13" t="str">
        <x:v>claim+context</x:v>
      </x:c>
      <x:c r="J467" s="13" t="str">
        <x:v>derived_operational_subtype</x:v>
      </x:c>
      <x:c r="K467" s="13" t="str">
        <x:v>derived_from_established_parent_review_required</x:v>
      </x:c>
      <x:c r="L467" s="13" t="str">
        <x:v>P3</x:v>
      </x:c>
      <x:c r="M467" s="13" t="str">
        <x:v>no</x:v>
      </x:c>
      <x:c r="N467" s="13" t="str">
        <x:v>Operational subtype under Myside bias: salient or remembered cases are overweighted. Parent definition: Evaluating evidence differently depending on whether it supports one's side.</x:v>
      </x:c>
      <x:c r="O467" s="13" t="str">
        <x:v>Look for: explicit claim-level evidence; parent-family cues for Myside bias; variant cue: salient or remembered cases are overweighted; avoid author-level inference.</x:v>
      </x:c>
      <x:c r="P467" s="13" t="str">
        <x:v>Exact evidence span in text plus claim-level reasoning link; for contextual/discourse entries, require surrounding context.</x:v>
      </x:c>
      <x:c r="Q467" s="13" t="str">
        <x:v>Do not label merely because topic is controversial, emotional, or wrong. Do not judge intent or personality. Require textual evidence and consider healthy-reasoning cues.</x:v>
      </x:c>
      <x:c r="R467" s="13" t="str">
        <x:v>Stub: A claim relies on salient or remembered cases are overweighted to support a conclusion without adequate qualification.</x:v>
      </x:c>
      <x:c r="S467" s="13" t="str">
        <x:v>Stub: A claim discusses myside bias with caveats, balanced evidence, or no argumentative use of the pattern.</x:v>
      </x:c>
      <x:c r="T467" s="13" t="str">
        <x:v>Mild or ambiguous cue; do not classify without clear evidence span.</x:v>
      </x:c>
      <x:c r="U467" s="13" t="str">
        <x:v>Clear claim-level pattern with some argumentative impact.</x:v>
      </x:c>
      <x:c r="V467" s="13" t="str">
        <x:v>Strong pattern central to the conclusion and likely to materially distort reasoning.</x:v>
      </x:c>
      <x:c r="W467" s="13" t="str">
        <x:v>cherry_picking; missing_counterevidence; evidence_grading</x:v>
      </x:c>
      <x:c r="X467" s="13" t="str">
        <x:v>nickerson_confirmation_1998</x:v>
      </x:c>
      <x:c r="Y467" s="13" t="str">
        <x:v>https://doi.org/10.1037/1089-2680.2.2.175</x:v>
      </x:c>
      <x:c r="Z467" s="13" t="str">
        <x:v>Review before enabling. This workbook is a living taxonomy scaffold, not a validated scientific benchmark.</x:v>
      </x:c>
      <x:c r="AA467" s="13" t="str">
        <x:v>0.1.0-draft</x:v>
      </x:c>
      <x:c r="AB467" s="12" t="str">
        <x:f>IF(ISNUMBER(SEARCH("healthy",F467)),"healthy_reasoning_patterns",IF(ISNUMBER(SEARCH("statistical",F467)),"statistical_reasoning",IF(ISNUMBER(SEARCH("causal",F467)),"causal_reasoning",IF(ISNUMBER(SEARCH("social",F467)),"social_influence",IF(ISNUMBER(SEARCH("rhetoric",F467)),"rhetoric_discourse",IF(ISNUMBER(SEARCH("behavior",F467)),"behavioural_economics",IF(ISNUMBER(SEARCH("cognitive",F467)),"cognitive_biases",IF(J467="protective_pattern","healthy_reasoning_patterns",IF(L467="P0","core_mvp","extended_fallacies")))))))))</x:f>
        <x:v>cognitive_biases</x:v>
      </x:c>
      <x:c r="AC467" s="12" t="str">
        <x:f>IF(ISNUMBER(SEARCH("operational",J467)),"operational",IF(ISNUMBER(SEARCH("deprecated",J467)),"deprecated",IF(L467="P0","canonical","recognized_subtype")))</x:f>
        <x:v>operational</x:v>
      </x:c>
      <x:c r="AD467" s="12" t="str">
        <x:f>IF(AC467="canonical","high",IF(AC467="recognized_subtype","medium",IF(AC467="operational","operational_only","debated")))</x:f>
        <x:v>operational_only</x:v>
      </x:c>
      <x:c r="AE467" s="12" t="str">
        <x:f>IF(AC467="deprecated","deprecated",IF(M467="yes","active",IF(M467="review","review_required","backlog")))</x:f>
        <x:v>backlog</x:v>
      </x:c>
      <x:c r="AF467" s="12" t="str">
        <x:f>IF(OR(AE467="active",AE467="review_required"),"yes","no")</x:f>
        <x:v>no</x:v>
      </x:c>
      <x:c r="AG467" s="12" t="str">
        <x:f>IF(AND(AE467="active",M467="yes",NOT(ISNUMBER(SEARCH("healthy",AB467)))),"yes","no")</x:f>
        <x:v>no</x:v>
      </x:c>
      <x:c r="AH467" s="12" t="str">
        <x:f>IF(OR(H467="contextual",H467="dialogue",H467="discourse",I467="claim+context",I467="discourse_segment"),"yes","no")</x:f>
        <x:v>yes</x:v>
      </x:c>
      <x:c r="AI467" s="12" t="str">
        <x:f>IF(OR(AH467="yes",AD467="debated",AC467="operational"),"yes","no")</x:f>
        <x:v>yes</x:v>
      </x:c>
      <x:c r="AJ467" s="12" t="str">
        <x:f>IF(OR(AH467="yes",AC467="operational",AD467="debated"),"high",IF(AND(AG467="yes",L467="P0"),"medium","low"))</x:f>
        <x:v>high</x:v>
      </x:c>
      <x:c r="AK467" s="12" t="str">
        <x:f>IF(ISNUMBER(SEARCH("healthy",AB467)),"yes","no")</x:f>
        <x:v>no</x:v>
      </x:c>
      <x:c r="AL467" s="12" t="str">
        <x:f>IF(AG467="yes","yes","candidate_only")</x:f>
        <x:v>candidate_only</x:v>
      </x:c>
      <x:c r="AM467" s="12" t="str">
        <x:f>IF(OR(AC467="canonical",AG467="yes"),"yes","recommended")</x:f>
        <x:v>recommended</x:v>
      </x:c>
      <x:c r="AN467" s="12" t="str">
        <x:f>IF(AC467="deprecated","exclude",IF(AND(AG467="yes",AJ467="high"),"import_but_human_review_required",IF(AG467="yes","import_as_active","import_as_backlog")))</x:f>
        <x:v>import_as_backlog</x:v>
      </x:c>
      <x:c r="AO467" s="12" t="str">
        <x:f>IF(AND(AG467="yes",OR(P467="",Q467="",R467="",S467="")),"missing_required_mvp_fields",IF(AND(AC467="canonical",Y467=""),"missing_source_ref","ok"))</x:f>
        <x:v>ok</x:v>
      </x:c>
      <x:c r="AP467" s="12" t="str">
        <x:f>IF(AO467="ok","ready_for_codex_import","needs_review")</x:f>
        <x:v>ready_for_codex_import</x:v>
      </x:c>
      <x:c r="AQ467" s="12"/>
      <x:c r="AR467" s="12" t="str">
        <x:v>Added v2 operational fields. Review before classification activation.</x:v>
      </x:c>
    </x:row>
    <x:row r="468">
      <x:c r="A468" s="13" t="str">
        <x:v>belief_bias_memory_salience_variant</x:v>
      </x:c>
      <x:c r="B468" s="13" t="str">
        <x:v>belief_bias</x:v>
      </x:c>
      <x:c r="C468" s="13" t="str">
        <x:v>Belief bias</x:v>
      </x:c>
      <x:c r="D468" s="13" t="str">
        <x:v>سوگیری باور</x:v>
      </x:c>
      <x:c r="E468" s="13" t="str">
        <x:v>Memory/salience variant</x:v>
      </x:c>
      <x:c r="F468" s="13" t="str">
        <x:v>cognitive_biases_information_processing</x:v>
      </x:c>
      <x:c r="G468" s="13" t="str">
        <x:v>operational_variant</x:v>
      </x:c>
      <x:c r="H468" s="13" t="str">
        <x:v>structural</x:v>
      </x:c>
      <x:c r="I468" s="13" t="str">
        <x:v>claim</x:v>
      </x:c>
      <x:c r="J468" s="13" t="str">
        <x:v>derived_operational_subtype</x:v>
      </x:c>
      <x:c r="K468" s="13" t="str">
        <x:v>derived_from_established_parent_review_required</x:v>
      </x:c>
      <x:c r="L468" s="13" t="str">
        <x:v>P3</x:v>
      </x:c>
      <x:c r="M468" s="13" t="str">
        <x:v>no</x:v>
      </x:c>
      <x:c r="N468" s="13" t="str">
        <x:v>Operational subtype under Belief bias: salient or remembered cases are overweighted. Parent definition: Judging logical strength by conclusion believability rather than validity.</x:v>
      </x:c>
      <x:c r="O468" s="13" t="str">
        <x:v>Look for: explicit claim-level evidence; parent-family cues for Belief bias; variant cue: salient or remembered cases are overweighted; avoid author-level inference.</x:v>
      </x:c>
      <x:c r="P468" s="13" t="str">
        <x:v>Exact evidence span in text plus claim-level reasoning link; for contextual/discourse entries, require surrounding context.</x:v>
      </x:c>
      <x:c r="Q468" s="13" t="str">
        <x:v>Do not label merely because topic is controversial, emotional, or wrong. Do not judge intent or personality. Require textual evidence and consider healthy-reasoning cues.</x:v>
      </x:c>
      <x:c r="R468" s="13" t="str">
        <x:v>Stub: A claim relies on salient or remembered cases are overweighted to support a conclusion without adequate qualification.</x:v>
      </x:c>
      <x:c r="S468" s="13" t="str">
        <x:v>Stub: A claim discusses belief bias with caveats, balanced evidence, or no argumentative use of the pattern.</x:v>
      </x:c>
      <x:c r="T468" s="13" t="str">
        <x:v>Mild or ambiguous cue; do not classify without clear evidence span.</x:v>
      </x:c>
      <x:c r="U468" s="13" t="str">
        <x:v>Clear claim-level pattern with some argumentative impact.</x:v>
      </x:c>
      <x:c r="V468" s="13" t="str">
        <x:v>Strong pattern central to the conclusion and likely to materially distort reasoning.</x:v>
      </x:c>
      <x:c r="W468" s="13" t="str"/>
      <x:c r="X468" s="13" t="str">
        <x:v>stanovich_dual_process</x:v>
      </x:c>
      <x:c r="Y468" s="13" t="str">
        <x:v>https://global.oup.com/academic/product/rationality-and-the-reflective-mind-9780195341140</x:v>
      </x:c>
      <x:c r="Z468" s="13" t="str">
        <x:v>Review before enabling. This workbook is a living taxonomy scaffold, not a validated scientific benchmark.</x:v>
      </x:c>
      <x:c r="AA468" s="13" t="str">
        <x:v>0.1.0-draft</x:v>
      </x:c>
      <x:c r="AB468" s="12" t="str">
        <x:f>IF(ISNUMBER(SEARCH("healthy",F468)),"healthy_reasoning_patterns",IF(ISNUMBER(SEARCH("statistical",F468)),"statistical_reasoning",IF(ISNUMBER(SEARCH("causal",F468)),"causal_reasoning",IF(ISNUMBER(SEARCH("social",F468)),"social_influence",IF(ISNUMBER(SEARCH("rhetoric",F468)),"rhetoric_discourse",IF(ISNUMBER(SEARCH("behavior",F468)),"behavioural_economics",IF(ISNUMBER(SEARCH("cognitive",F468)),"cognitive_biases",IF(J468="protective_pattern","healthy_reasoning_patterns",IF(L468="P0","core_mvp","extended_fallacies")))))))))</x:f>
        <x:v>cognitive_biases</x:v>
      </x:c>
      <x:c r="AC468" s="12" t="str">
        <x:f>IF(ISNUMBER(SEARCH("operational",J468)),"operational",IF(ISNUMBER(SEARCH("deprecated",J468)),"deprecated",IF(L468="P0","canonical","recognized_subtype")))</x:f>
        <x:v>operational</x:v>
      </x:c>
      <x:c r="AD468" s="12" t="str">
        <x:f>IF(AC468="canonical","high",IF(AC468="recognized_subtype","medium",IF(AC468="operational","operational_only","debated")))</x:f>
        <x:v>operational_only</x:v>
      </x:c>
      <x:c r="AE468" s="12" t="str">
        <x:f>IF(AC468="deprecated","deprecated",IF(M468="yes","active",IF(M468="review","review_required","backlog")))</x:f>
        <x:v>backlog</x:v>
      </x:c>
      <x:c r="AF468" s="12" t="str">
        <x:f>IF(OR(AE468="active",AE468="review_required"),"yes","no")</x:f>
        <x:v>no</x:v>
      </x:c>
      <x:c r="AG468" s="12" t="str">
        <x:f>IF(AND(AE468="active",M468="yes",NOT(ISNUMBER(SEARCH("healthy",AB468)))),"yes","no")</x:f>
        <x:v>no</x:v>
      </x:c>
      <x:c r="AH468" s="12" t="str">
        <x:f>IF(OR(H468="contextual",H468="dialogue",H468="discourse",I468="claim+context",I468="discourse_segment"),"yes","no")</x:f>
        <x:v>no</x:v>
      </x:c>
      <x:c r="AI468" s="12" t="str">
        <x:f>IF(OR(AH468="yes",AD468="debated",AC468="operational"),"yes","no")</x:f>
        <x:v>yes</x:v>
      </x:c>
      <x:c r="AJ468" s="12" t="str">
        <x:f>IF(OR(AH468="yes",AC468="operational",AD468="debated"),"high",IF(AND(AG468="yes",L468="P0"),"medium","low"))</x:f>
        <x:v>high</x:v>
      </x:c>
      <x:c r="AK468" s="12" t="str">
        <x:f>IF(ISNUMBER(SEARCH("healthy",AB468)),"yes","no")</x:f>
        <x:v>no</x:v>
      </x:c>
      <x:c r="AL468" s="12" t="str">
        <x:f>IF(AG468="yes","yes","candidate_only")</x:f>
        <x:v>candidate_only</x:v>
      </x:c>
      <x:c r="AM468" s="12" t="str">
        <x:f>IF(OR(AC468="canonical",AG468="yes"),"yes","recommended")</x:f>
        <x:v>recommended</x:v>
      </x:c>
      <x:c r="AN468" s="12" t="str">
        <x:f>IF(AC468="deprecated","exclude",IF(AND(AG468="yes",AJ468="high"),"import_but_human_review_required",IF(AG468="yes","import_as_active","import_as_backlog")))</x:f>
        <x:v>import_as_backlog</x:v>
      </x:c>
      <x:c r="AO468" s="12" t="str">
        <x:f>IF(AND(AG468="yes",OR(P468="",Q468="",R468="",S468="")),"missing_required_mvp_fields",IF(AND(AC468="canonical",Y468=""),"missing_source_ref","ok"))</x:f>
        <x:v>ok</x:v>
      </x:c>
      <x:c r="AP468" s="12" t="str">
        <x:f>IF(AO468="ok","ready_for_codex_import","needs_review")</x:f>
        <x:v>ready_for_codex_import</x:v>
      </x:c>
      <x:c r="AQ468" s="12"/>
      <x:c r="AR468" s="12" t="str">
        <x:v>Added v2 operational fields. Review before classification activation.</x:v>
      </x:c>
    </x:row>
    <x:row r="469">
      <x:c r="A469" s="13" t="str">
        <x:v>anchoring_bias_memory_salience_variant</x:v>
      </x:c>
      <x:c r="B469" s="13" t="str">
        <x:v>anchoring_bias</x:v>
      </x:c>
      <x:c r="C469" s="13" t="str">
        <x:v>Anchoring bias</x:v>
      </x:c>
      <x:c r="D469" s="13" t="str">
        <x:v>سوگیری لنگری</x:v>
      </x:c>
      <x:c r="E469" s="13" t="str">
        <x:v>Memory/salience variant</x:v>
      </x:c>
      <x:c r="F469" s="13" t="str">
        <x:v>cognitive_biases_information_processing</x:v>
      </x:c>
      <x:c r="G469" s="13" t="str">
        <x:v>operational_variant</x:v>
      </x:c>
      <x:c r="H469" s="13" t="str">
        <x:v>contextual</x:v>
      </x:c>
      <x:c r="I469" s="13" t="str">
        <x:v>claim+context</x:v>
      </x:c>
      <x:c r="J469" s="13" t="str">
        <x:v>derived_operational_subtype</x:v>
      </x:c>
      <x:c r="K469" s="13" t="str">
        <x:v>derived_from_established_parent_review_required</x:v>
      </x:c>
      <x:c r="L469" s="13" t="str">
        <x:v>P3</x:v>
      </x:c>
      <x:c r="M469" s="13" t="str">
        <x:v>no</x:v>
      </x:c>
      <x:c r="N469" s="13" t="str">
        <x:v>Operational subtype under Anchoring bias: salient or remembered cases are overweighted. Parent definition: Relying too heavily on an initial value or frame when judging.</x:v>
      </x:c>
      <x:c r="O469" s="13" t="str">
        <x:v>Look for: explicit claim-level evidence; parent-family cues for Anchoring bias; variant cue: salient or remembered cases are overweighted; avoid author-level inference.</x:v>
      </x:c>
      <x:c r="P469" s="13" t="str">
        <x:v>Exact evidence span in text plus claim-level reasoning link; for contextual/discourse entries, require surrounding context.</x:v>
      </x:c>
      <x:c r="Q469" s="13" t="str">
        <x:v>Do not label merely because topic is controversial, emotional, or wrong. Do not judge intent or personality. Require textual evidence and consider healthy-reasoning cues.</x:v>
      </x:c>
      <x:c r="R469" s="13" t="str">
        <x:v>Stub: A claim relies on salient or remembered cases are overweighted to support a conclusion without adequate qualification.</x:v>
      </x:c>
      <x:c r="S469" s="13" t="str">
        <x:v>Stub: A claim discusses anchoring bias with caveats, balanced evidence, or no argumentative use of the pattern.</x:v>
      </x:c>
      <x:c r="T469" s="13" t="str">
        <x:v>Mild or ambiguous cue; do not classify without clear evidence span.</x:v>
      </x:c>
      <x:c r="U469" s="13" t="str">
        <x:v>Clear claim-level pattern with some argumentative impact.</x:v>
      </x:c>
      <x:c r="V469" s="13" t="str">
        <x:v>Strong pattern central to the conclusion and likely to materially distort reasoning.</x:v>
      </x:c>
      <x:c r="W469" s="13" t="str"/>
      <x:c r="X469" s="13" t="str">
        <x:v>kahneman_tversky_heuristics_1974</x:v>
      </x:c>
      <x:c r="Y469" s="13" t="str">
        <x:v>https://doi.org/10.1126/science.185.4157.1124</x:v>
      </x:c>
      <x:c r="Z469" s="13" t="str">
        <x:v>Review before enabling. This workbook is a living taxonomy scaffold, not a validated scientific benchmark.</x:v>
      </x:c>
      <x:c r="AA469" s="13" t="str">
        <x:v>0.1.0-draft</x:v>
      </x:c>
      <x:c r="AB469" s="12" t="str">
        <x:f>IF(ISNUMBER(SEARCH("healthy",F469)),"healthy_reasoning_patterns",IF(ISNUMBER(SEARCH("statistical",F469)),"statistical_reasoning",IF(ISNUMBER(SEARCH("causal",F469)),"causal_reasoning",IF(ISNUMBER(SEARCH("social",F469)),"social_influence",IF(ISNUMBER(SEARCH("rhetoric",F469)),"rhetoric_discourse",IF(ISNUMBER(SEARCH("behavior",F469)),"behavioural_economics",IF(ISNUMBER(SEARCH("cognitive",F469)),"cognitive_biases",IF(J469="protective_pattern","healthy_reasoning_patterns",IF(L469="P0","core_mvp","extended_fallacies")))))))))</x:f>
        <x:v>cognitive_biases</x:v>
      </x:c>
      <x:c r="AC469" s="12" t="str">
        <x:f>IF(ISNUMBER(SEARCH("operational",J469)),"operational",IF(ISNUMBER(SEARCH("deprecated",J469)),"deprecated",IF(L469="P0","canonical","recognized_subtype")))</x:f>
        <x:v>operational</x:v>
      </x:c>
      <x:c r="AD469" s="12" t="str">
        <x:f>IF(AC469="canonical","high",IF(AC469="recognized_subtype","medium",IF(AC469="operational","operational_only","debated")))</x:f>
        <x:v>operational_only</x:v>
      </x:c>
      <x:c r="AE469" s="12" t="str">
        <x:f>IF(AC469="deprecated","deprecated",IF(M469="yes","active",IF(M469="review","review_required","backlog")))</x:f>
        <x:v>backlog</x:v>
      </x:c>
      <x:c r="AF469" s="12" t="str">
        <x:f>IF(OR(AE469="active",AE469="review_required"),"yes","no")</x:f>
        <x:v>no</x:v>
      </x:c>
      <x:c r="AG469" s="12" t="str">
        <x:f>IF(AND(AE469="active",M469="yes",NOT(ISNUMBER(SEARCH("healthy",AB469)))),"yes","no")</x:f>
        <x:v>no</x:v>
      </x:c>
      <x:c r="AH469" s="12" t="str">
        <x:f>IF(OR(H469="contextual",H469="dialogue",H469="discourse",I469="claim+context",I469="discourse_segment"),"yes","no")</x:f>
        <x:v>yes</x:v>
      </x:c>
      <x:c r="AI469" s="12" t="str">
        <x:f>IF(OR(AH469="yes",AD469="debated",AC469="operational"),"yes","no")</x:f>
        <x:v>yes</x:v>
      </x:c>
      <x:c r="AJ469" s="12" t="str">
        <x:f>IF(OR(AH469="yes",AC469="operational",AD469="debated"),"high",IF(AND(AG469="yes",L469="P0"),"medium","low"))</x:f>
        <x:v>high</x:v>
      </x:c>
      <x:c r="AK469" s="12" t="str">
        <x:f>IF(ISNUMBER(SEARCH("healthy",AB469)),"yes","no")</x:f>
        <x:v>no</x:v>
      </x:c>
      <x:c r="AL469" s="12" t="str">
        <x:f>IF(AG469="yes","yes","candidate_only")</x:f>
        <x:v>candidate_only</x:v>
      </x:c>
      <x:c r="AM469" s="12" t="str">
        <x:f>IF(OR(AC469="canonical",AG469="yes"),"yes","recommended")</x:f>
        <x:v>recommended</x:v>
      </x:c>
      <x:c r="AN469" s="12" t="str">
        <x:f>IF(AC469="deprecated","exclude",IF(AND(AG469="yes",AJ469="high"),"import_but_human_review_required",IF(AG469="yes","import_as_active","import_as_backlog")))</x:f>
        <x:v>import_as_backlog</x:v>
      </x:c>
      <x:c r="AO469" s="12" t="str">
        <x:f>IF(AND(AG469="yes",OR(P469="",Q469="",R469="",S469="")),"missing_required_mvp_fields",IF(AND(AC469="canonical",Y469=""),"missing_source_ref","ok"))</x:f>
        <x:v>ok</x:v>
      </x:c>
      <x:c r="AP469" s="12" t="str">
        <x:f>IF(AO469="ok","ready_for_codex_import","needs_review")</x:f>
        <x:v>ready_for_codex_import</x:v>
      </x:c>
      <x:c r="AQ469" s="12"/>
      <x:c r="AR469" s="12" t="str">
        <x:v>Added v2 operational fields. Review before classification activation.</x:v>
      </x:c>
    </x:row>
    <x:row r="470">
      <x:c r="A470" s="13" t="str">
        <x:v>availability_heuristic_memory_salience_variant</x:v>
      </x:c>
      <x:c r="B470" s="13" t="str">
        <x:v>availability_heuristic</x:v>
      </x:c>
      <x:c r="C470" s="13" t="str">
        <x:v>Availability heuristic</x:v>
      </x:c>
      <x:c r="D470" s="13" t="str">
        <x:v>قضاوت بر اساس در دسترس بودن</x:v>
      </x:c>
      <x:c r="E470" s="13" t="str">
        <x:v>Memory/salience variant</x:v>
      </x:c>
      <x:c r="F470" s="13" t="str">
        <x:v>cognitive_biases_information_processing</x:v>
      </x:c>
      <x:c r="G470" s="13" t="str">
        <x:v>operational_variant</x:v>
      </x:c>
      <x:c r="H470" s="13" t="str">
        <x:v>contextual</x:v>
      </x:c>
      <x:c r="I470" s="13" t="str">
        <x:v>claim+context</x:v>
      </x:c>
      <x:c r="J470" s="13" t="str">
        <x:v>derived_operational_subtype</x:v>
      </x:c>
      <x:c r="K470" s="13" t="str">
        <x:v>derived_from_established_parent_review_required</x:v>
      </x:c>
      <x:c r="L470" s="13" t="str">
        <x:v>P3</x:v>
      </x:c>
      <x:c r="M470" s="13" t="str">
        <x:v>no</x:v>
      </x:c>
      <x:c r="N470" s="13" t="str">
        <x:v>Operational subtype under Availability heuristic: salient or remembered cases are overweighted. Parent definition: Judging frequency or likelihood by how easily examples come to mind.</x:v>
      </x:c>
      <x:c r="O470" s="13" t="str">
        <x:v>Look for: explicit claim-level evidence; parent-family cues for Availability heuristic; variant cue: salient or remembered cases are overweighted; avoid author-level inference.</x:v>
      </x:c>
      <x:c r="P470" s="13" t="str">
        <x:v>Exact evidence span in text plus claim-level reasoning link; for contextual/discourse entries, require surrounding context.</x:v>
      </x:c>
      <x:c r="Q470" s="13" t="str">
        <x:v>Do not label merely because topic is controversial, emotional, or wrong. Do not judge intent or personality. Require textual evidence and consider healthy-reasoning cues.</x:v>
      </x:c>
      <x:c r="R470" s="13" t="str">
        <x:v>Stub: A claim relies on salient or remembered cases are overweighted to support a conclusion without adequate qualification.</x:v>
      </x:c>
      <x:c r="S470" s="13" t="str">
        <x:v>Stub: A claim discusses availability heuristic with caveats, balanced evidence, or no argumentative use of the pattern.</x:v>
      </x:c>
      <x:c r="T470" s="13" t="str">
        <x:v>Mild or ambiguous cue; do not classify without clear evidence span.</x:v>
      </x:c>
      <x:c r="U470" s="13" t="str">
        <x:v>Clear claim-level pattern with some argumentative impact.</x:v>
      </x:c>
      <x:c r="V470" s="13" t="str">
        <x:v>Strong pattern central to the conclusion and likely to materially distort reasoning.</x:v>
      </x:c>
      <x:c r="W470" s="13" t="str"/>
      <x:c r="X470" s="13" t="str">
        <x:v>kahneman_tversky_heuristics_1974</x:v>
      </x:c>
      <x:c r="Y470" s="13" t="str">
        <x:v>https://doi.org/10.1126/science.185.4157.1124</x:v>
      </x:c>
      <x:c r="Z470" s="13" t="str">
        <x:v>Review before enabling. This workbook is a living taxonomy scaffold, not a validated scientific benchmark.</x:v>
      </x:c>
      <x:c r="AA470" s="13" t="str">
        <x:v>0.1.0-draft</x:v>
      </x:c>
      <x:c r="AB470" s="12" t="str">
        <x:f>IF(ISNUMBER(SEARCH("healthy",F470)),"healthy_reasoning_patterns",IF(ISNUMBER(SEARCH("statistical",F470)),"statistical_reasoning",IF(ISNUMBER(SEARCH("causal",F470)),"causal_reasoning",IF(ISNUMBER(SEARCH("social",F470)),"social_influence",IF(ISNUMBER(SEARCH("rhetoric",F470)),"rhetoric_discourse",IF(ISNUMBER(SEARCH("behavior",F470)),"behavioural_economics",IF(ISNUMBER(SEARCH("cognitive",F470)),"cognitive_biases",IF(J470="protective_pattern","healthy_reasoning_patterns",IF(L470="P0","core_mvp","extended_fallacies")))))))))</x:f>
        <x:v>cognitive_biases</x:v>
      </x:c>
      <x:c r="AC470" s="12" t="str">
        <x:f>IF(ISNUMBER(SEARCH("operational",J470)),"operational",IF(ISNUMBER(SEARCH("deprecated",J470)),"deprecated",IF(L470="P0","canonical","recognized_subtype")))</x:f>
        <x:v>operational</x:v>
      </x:c>
      <x:c r="AD470" s="12" t="str">
        <x:f>IF(AC470="canonical","high",IF(AC470="recognized_subtype","medium",IF(AC470="operational","operational_only","debated")))</x:f>
        <x:v>operational_only</x:v>
      </x:c>
      <x:c r="AE470" s="12" t="str">
        <x:f>IF(AC470="deprecated","deprecated",IF(M470="yes","active",IF(M470="review","review_required","backlog")))</x:f>
        <x:v>backlog</x:v>
      </x:c>
      <x:c r="AF470" s="12" t="str">
        <x:f>IF(OR(AE470="active",AE470="review_required"),"yes","no")</x:f>
        <x:v>no</x:v>
      </x:c>
      <x:c r="AG470" s="12" t="str">
        <x:f>IF(AND(AE470="active",M470="yes",NOT(ISNUMBER(SEARCH("healthy",AB470)))),"yes","no")</x:f>
        <x:v>no</x:v>
      </x:c>
      <x:c r="AH470" s="12" t="str">
        <x:f>IF(OR(H470="contextual",H470="dialogue",H470="discourse",I470="claim+context",I470="discourse_segment"),"yes","no")</x:f>
        <x:v>yes</x:v>
      </x:c>
      <x:c r="AI470" s="12" t="str">
        <x:f>IF(OR(AH470="yes",AD470="debated",AC470="operational"),"yes","no")</x:f>
        <x:v>yes</x:v>
      </x:c>
      <x:c r="AJ470" s="12" t="str">
        <x:f>IF(OR(AH470="yes",AC470="operational",AD470="debated"),"high",IF(AND(AG470="yes",L470="P0"),"medium","low"))</x:f>
        <x:v>high</x:v>
      </x:c>
      <x:c r="AK470" s="12" t="str">
        <x:f>IF(ISNUMBER(SEARCH("healthy",AB470)),"yes","no")</x:f>
        <x:v>no</x:v>
      </x:c>
      <x:c r="AL470" s="12" t="str">
        <x:f>IF(AG470="yes","yes","candidate_only")</x:f>
        <x:v>candidate_only</x:v>
      </x:c>
      <x:c r="AM470" s="12" t="str">
        <x:f>IF(OR(AC470="canonical",AG470="yes"),"yes","recommended")</x:f>
        <x:v>recommended</x:v>
      </x:c>
      <x:c r="AN470" s="12" t="str">
        <x:f>IF(AC470="deprecated","exclude",IF(AND(AG470="yes",AJ470="high"),"import_but_human_review_required",IF(AG470="yes","import_as_active","import_as_backlog")))</x:f>
        <x:v>import_as_backlog</x:v>
      </x:c>
      <x:c r="AO470" s="12" t="str">
        <x:f>IF(AND(AG470="yes",OR(P470="",Q470="",R470="",S470="")),"missing_required_mvp_fields",IF(AND(AC470="canonical",Y470=""),"missing_source_ref","ok"))</x:f>
        <x:v>ok</x:v>
      </x:c>
      <x:c r="AP470" s="12" t="str">
        <x:f>IF(AO470="ok","ready_for_codex_import","needs_review")</x:f>
        <x:v>ready_for_codex_import</x:v>
      </x:c>
      <x:c r="AQ470" s="12"/>
      <x:c r="AR470" s="12" t="str">
        <x:v>Added v2 operational fields. Review before classification activation.</x:v>
      </x:c>
    </x:row>
    <x:row r="471">
      <x:c r="A471" s="13" t="str">
        <x:v>representativeness_heuristic_memory_salience_variant</x:v>
      </x:c>
      <x:c r="B471" s="13" t="str">
        <x:v>representativeness_heuristic</x:v>
      </x:c>
      <x:c r="C471" s="13" t="str">
        <x:v>Representativeness heuristic</x:v>
      </x:c>
      <x:c r="D471" s="13" t="str">
        <x:v>نمایندگی‌گرایی</x:v>
      </x:c>
      <x:c r="E471" s="13" t="str">
        <x:v>Memory/salience variant</x:v>
      </x:c>
      <x:c r="F471" s="13" t="str">
        <x:v>cognitive_biases_information_processing</x:v>
      </x:c>
      <x:c r="G471" s="13" t="str">
        <x:v>operational_variant</x:v>
      </x:c>
      <x:c r="H471" s="13" t="str">
        <x:v>contextual</x:v>
      </x:c>
      <x:c r="I471" s="13" t="str">
        <x:v>claim+context</x:v>
      </x:c>
      <x:c r="J471" s="13" t="str">
        <x:v>derived_operational_subtype</x:v>
      </x:c>
      <x:c r="K471" s="13" t="str">
        <x:v>derived_from_established_parent_review_required</x:v>
      </x:c>
      <x:c r="L471" s="13" t="str">
        <x:v>P3</x:v>
      </x:c>
      <x:c r="M471" s="13" t="str">
        <x:v>no</x:v>
      </x:c>
      <x:c r="N471" s="13" t="str">
        <x:v>Operational subtype under Representativeness heuristic: salient or remembered cases are overweighted. Parent definition: Judging likelihood by similarity to a stereotype or prototype.</x:v>
      </x:c>
      <x:c r="O471" s="13" t="str">
        <x:v>Look for: explicit claim-level evidence; parent-family cues for Representativeness heuristic; variant cue: salient or remembered cases are overweighted; avoid author-level inference.</x:v>
      </x:c>
      <x:c r="P471" s="13" t="str">
        <x:v>Exact evidence span in text plus claim-level reasoning link; for contextual/discourse entries, require surrounding context.</x:v>
      </x:c>
      <x:c r="Q471" s="13" t="str">
        <x:v>Do not label merely because topic is controversial, emotional, or wrong. Do not judge intent or personality. Require textual evidence and consider healthy-reasoning cues.</x:v>
      </x:c>
      <x:c r="R471" s="13" t="str">
        <x:v>Stub: A claim relies on salient or remembered cases are overweighted to support a conclusion without adequate qualification.</x:v>
      </x:c>
      <x:c r="S471" s="13" t="str">
        <x:v>Stub: A claim discusses representativeness heuristic with caveats, balanced evidence, or no argumentative use of the pattern.</x:v>
      </x:c>
      <x:c r="T471" s="13" t="str">
        <x:v>Mild or ambiguous cue; do not classify without clear evidence span.</x:v>
      </x:c>
      <x:c r="U471" s="13" t="str">
        <x:v>Clear claim-level pattern with some argumentative impact.</x:v>
      </x:c>
      <x:c r="V471" s="13" t="str">
        <x:v>Strong pattern central to the conclusion and likely to materially distort reasoning.</x:v>
      </x:c>
      <x:c r="W471" s="13" t="str"/>
      <x:c r="X471" s="13" t="str">
        <x:v>kahneman_tversky_heuristics_1974</x:v>
      </x:c>
      <x:c r="Y471" s="13" t="str">
        <x:v>https://doi.org/10.1126/science.185.4157.1124</x:v>
      </x:c>
      <x:c r="Z471" s="13" t="str">
        <x:v>Review before enabling. This workbook is a living taxonomy scaffold, not a validated scientific benchmark.</x:v>
      </x:c>
      <x:c r="AA471" s="13" t="str">
        <x:v>0.1.0-draft</x:v>
      </x:c>
      <x:c r="AB471" s="12" t="str">
        <x:f>IF(ISNUMBER(SEARCH("healthy",F471)),"healthy_reasoning_patterns",IF(ISNUMBER(SEARCH("statistical",F471)),"statistical_reasoning",IF(ISNUMBER(SEARCH("causal",F471)),"causal_reasoning",IF(ISNUMBER(SEARCH("social",F471)),"social_influence",IF(ISNUMBER(SEARCH("rhetoric",F471)),"rhetoric_discourse",IF(ISNUMBER(SEARCH("behavior",F471)),"behavioural_economics",IF(ISNUMBER(SEARCH("cognitive",F471)),"cognitive_biases",IF(J471="protective_pattern","healthy_reasoning_patterns",IF(L471="P0","core_mvp","extended_fallacies")))))))))</x:f>
        <x:v>cognitive_biases</x:v>
      </x:c>
      <x:c r="AC471" s="12" t="str">
        <x:f>IF(ISNUMBER(SEARCH("operational",J471)),"operational",IF(ISNUMBER(SEARCH("deprecated",J471)),"deprecated",IF(L471="P0","canonical","recognized_subtype")))</x:f>
        <x:v>operational</x:v>
      </x:c>
      <x:c r="AD471" s="12" t="str">
        <x:f>IF(AC471="canonical","high",IF(AC471="recognized_subtype","medium",IF(AC471="operational","operational_only","debated")))</x:f>
        <x:v>operational_only</x:v>
      </x:c>
      <x:c r="AE471" s="12" t="str">
        <x:f>IF(AC471="deprecated","deprecated",IF(M471="yes","active",IF(M471="review","review_required","backlog")))</x:f>
        <x:v>backlog</x:v>
      </x:c>
      <x:c r="AF471" s="12" t="str">
        <x:f>IF(OR(AE471="active",AE471="review_required"),"yes","no")</x:f>
        <x:v>no</x:v>
      </x:c>
      <x:c r="AG471" s="12" t="str">
        <x:f>IF(AND(AE471="active",M471="yes",NOT(ISNUMBER(SEARCH("healthy",AB471)))),"yes","no")</x:f>
        <x:v>no</x:v>
      </x:c>
      <x:c r="AH471" s="12" t="str">
        <x:f>IF(OR(H471="contextual",H471="dialogue",H471="discourse",I471="claim+context",I471="discourse_segment"),"yes","no")</x:f>
        <x:v>yes</x:v>
      </x:c>
      <x:c r="AI471" s="12" t="str">
        <x:f>IF(OR(AH471="yes",AD471="debated",AC471="operational"),"yes","no")</x:f>
        <x:v>yes</x:v>
      </x:c>
      <x:c r="AJ471" s="12" t="str">
        <x:f>IF(OR(AH471="yes",AC471="operational",AD471="debated"),"high",IF(AND(AG471="yes",L471="P0"),"medium","low"))</x:f>
        <x:v>high</x:v>
      </x:c>
      <x:c r="AK471" s="12" t="str">
        <x:f>IF(ISNUMBER(SEARCH("healthy",AB471)),"yes","no")</x:f>
        <x:v>no</x:v>
      </x:c>
      <x:c r="AL471" s="12" t="str">
        <x:f>IF(AG471="yes","yes","candidate_only")</x:f>
        <x:v>candidate_only</x:v>
      </x:c>
      <x:c r="AM471" s="12" t="str">
        <x:f>IF(OR(AC471="canonical",AG471="yes"),"yes","recommended")</x:f>
        <x:v>recommended</x:v>
      </x:c>
      <x:c r="AN471" s="12" t="str">
        <x:f>IF(AC471="deprecated","exclude",IF(AND(AG471="yes",AJ471="high"),"import_but_human_review_required",IF(AG471="yes","import_as_active","import_as_backlog")))</x:f>
        <x:v>import_as_backlog</x:v>
      </x:c>
      <x:c r="AO471" s="12" t="str">
        <x:f>IF(AND(AG471="yes",OR(P471="",Q471="",R471="",S471="")),"missing_required_mvp_fields",IF(AND(AC471="canonical",Y471=""),"missing_source_ref","ok"))</x:f>
        <x:v>ok</x:v>
      </x:c>
      <x:c r="AP471" s="12" t="str">
        <x:f>IF(AO471="ok","ready_for_codex_import","needs_review")</x:f>
        <x:v>ready_for_codex_import</x:v>
      </x:c>
      <x:c r="AQ471" s="12"/>
      <x:c r="AR471" s="12" t="str">
        <x:v>Added v2 operational fields. Review before classification activation.</x:v>
      </x:c>
    </x:row>
    <x:row r="472">
      <x:c r="A472" s="13" t="str">
        <x:v>framing_effect_memory_salience_variant</x:v>
      </x:c>
      <x:c r="B472" s="13" t="str">
        <x:v>framing_effect</x:v>
      </x:c>
      <x:c r="C472" s="13" t="str">
        <x:v>Framing effect</x:v>
      </x:c>
      <x:c r="D472" s="13" t="str">
        <x:v>اثر چارچوب‌بندی</x:v>
      </x:c>
      <x:c r="E472" s="13" t="str">
        <x:v>Memory/salience variant</x:v>
      </x:c>
      <x:c r="F472" s="13" t="str">
        <x:v>cognitive_biases_information_processing</x:v>
      </x:c>
      <x:c r="G472" s="13" t="str">
        <x:v>operational_variant</x:v>
      </x:c>
      <x:c r="H472" s="13" t="str">
        <x:v>discourse</x:v>
      </x:c>
      <x:c r="I472" s="13" t="str">
        <x:v>discourse_segment</x:v>
      </x:c>
      <x:c r="J472" s="13" t="str">
        <x:v>derived_operational_subtype</x:v>
      </x:c>
      <x:c r="K472" s="13" t="str">
        <x:v>derived_from_established_parent_review_required</x:v>
      </x:c>
      <x:c r="L472" s="13" t="str">
        <x:v>P3</x:v>
      </x:c>
      <x:c r="M472" s="13" t="str">
        <x:v>no</x:v>
      </x:c>
      <x:c r="N472" s="13" t="str">
        <x:v>Operational subtype under Framing effect: salient or remembered cases are overweighted. Parent definition: Different presentations of equivalent information lead to different judgments.</x:v>
      </x:c>
      <x:c r="O472" s="13" t="str">
        <x:v>Look for: explicit claim-level evidence; parent-family cues for Framing effect; variant cue: salient or remembered cases are overweighted; avoid author-level inference.</x:v>
      </x:c>
      <x:c r="P472" s="13" t="str">
        <x:v>Exact evidence span in text plus claim-level reasoning link; for contextual/discourse entries, require surrounding context.</x:v>
      </x:c>
      <x:c r="Q472" s="13" t="str">
        <x:v>Do not label merely because topic is controversial, emotional, or wrong. Do not judge intent or personality. Require textual evidence and consider healthy-reasoning cues.</x:v>
      </x:c>
      <x:c r="R472" s="13" t="str">
        <x:v>Stub: A claim relies on salient or remembered cases are overweighted to support a conclusion without adequate qualification.</x:v>
      </x:c>
      <x:c r="S472" s="13" t="str">
        <x:v>Stub: A claim discusses framing effect with caveats, balanced evidence, or no argumentative use of the pattern.</x:v>
      </x:c>
      <x:c r="T472" s="13" t="str">
        <x:v>Mild or ambiguous cue; do not classify without clear evidence span.</x:v>
      </x:c>
      <x:c r="U472" s="13" t="str">
        <x:v>Clear claim-level pattern with some argumentative impact.</x:v>
      </x:c>
      <x:c r="V472" s="13" t="str">
        <x:v>Strong pattern central to the conclusion and likely to materially distort reasoning.</x:v>
      </x:c>
      <x:c r="W472" s="13" t="str"/>
      <x:c r="X472" s="13" t="str">
        <x:v>tversky_kahneman_framing_1981</x:v>
      </x:c>
      <x:c r="Y472" s="13" t="str">
        <x:v>https://doi.org/10.1126/science.7455683</x:v>
      </x:c>
      <x:c r="Z472" s="13" t="str">
        <x:v>Review before enabling. This workbook is a living taxonomy scaffold, not a validated scientific benchmark.</x:v>
      </x:c>
      <x:c r="AA472" s="13" t="str">
        <x:v>0.1.0-draft</x:v>
      </x:c>
      <x:c r="AB472" s="12" t="str">
        <x:f>IF(ISNUMBER(SEARCH("healthy",F472)),"healthy_reasoning_patterns",IF(ISNUMBER(SEARCH("statistical",F472)),"statistical_reasoning",IF(ISNUMBER(SEARCH("causal",F472)),"causal_reasoning",IF(ISNUMBER(SEARCH("social",F472)),"social_influence",IF(ISNUMBER(SEARCH("rhetoric",F472)),"rhetoric_discourse",IF(ISNUMBER(SEARCH("behavior",F472)),"behavioural_economics",IF(ISNUMBER(SEARCH("cognitive",F472)),"cognitive_biases",IF(J472="protective_pattern","healthy_reasoning_patterns",IF(L472="P0","core_mvp","extended_fallacies")))))))))</x:f>
        <x:v>cognitive_biases</x:v>
      </x:c>
      <x:c r="AC472" s="12" t="str">
        <x:f>IF(ISNUMBER(SEARCH("operational",J472)),"operational",IF(ISNUMBER(SEARCH("deprecated",J472)),"deprecated",IF(L472="P0","canonical","recognized_subtype")))</x:f>
        <x:v>operational</x:v>
      </x:c>
      <x:c r="AD472" s="12" t="str">
        <x:f>IF(AC472="canonical","high",IF(AC472="recognized_subtype","medium",IF(AC472="operational","operational_only","debated")))</x:f>
        <x:v>operational_only</x:v>
      </x:c>
      <x:c r="AE472" s="12" t="str">
        <x:f>IF(AC472="deprecated","deprecated",IF(M472="yes","active",IF(M472="review","review_required","backlog")))</x:f>
        <x:v>backlog</x:v>
      </x:c>
      <x:c r="AF472" s="12" t="str">
        <x:f>IF(OR(AE472="active",AE472="review_required"),"yes","no")</x:f>
        <x:v>no</x:v>
      </x:c>
      <x:c r="AG472" s="12" t="str">
        <x:f>IF(AND(AE472="active",M472="yes",NOT(ISNUMBER(SEARCH("healthy",AB472)))),"yes","no")</x:f>
        <x:v>no</x:v>
      </x:c>
      <x:c r="AH472" s="12" t="str">
        <x:f>IF(OR(H472="contextual",H472="dialogue",H472="discourse",I472="claim+context",I472="discourse_segment"),"yes","no")</x:f>
        <x:v>yes</x:v>
      </x:c>
      <x:c r="AI472" s="12" t="str">
        <x:f>IF(OR(AH472="yes",AD472="debated",AC472="operational"),"yes","no")</x:f>
        <x:v>yes</x:v>
      </x:c>
      <x:c r="AJ472" s="12" t="str">
        <x:f>IF(OR(AH472="yes",AC472="operational",AD472="debated"),"high",IF(AND(AG472="yes",L472="P0"),"medium","low"))</x:f>
        <x:v>high</x:v>
      </x:c>
      <x:c r="AK472" s="12" t="str">
        <x:f>IF(ISNUMBER(SEARCH("healthy",AB472)),"yes","no")</x:f>
        <x:v>no</x:v>
      </x:c>
      <x:c r="AL472" s="12" t="str">
        <x:f>IF(AG472="yes","yes","candidate_only")</x:f>
        <x:v>candidate_only</x:v>
      </x:c>
      <x:c r="AM472" s="12" t="str">
        <x:f>IF(OR(AC472="canonical",AG472="yes"),"yes","recommended")</x:f>
        <x:v>recommended</x:v>
      </x:c>
      <x:c r="AN472" s="12" t="str">
        <x:f>IF(AC472="deprecated","exclude",IF(AND(AG472="yes",AJ472="high"),"import_but_human_review_required",IF(AG472="yes","import_as_active","import_as_backlog")))</x:f>
        <x:v>import_as_backlog</x:v>
      </x:c>
      <x:c r="AO472" s="12" t="str">
        <x:f>IF(AND(AG472="yes",OR(P472="",Q472="",R472="",S472="")),"missing_required_mvp_fields",IF(AND(AC472="canonical",Y472=""),"missing_source_ref","ok"))</x:f>
        <x:v>ok</x:v>
      </x:c>
      <x:c r="AP472" s="12" t="str">
        <x:f>IF(AO472="ok","ready_for_codex_import","needs_review")</x:f>
        <x:v>ready_for_codex_import</x:v>
      </x:c>
      <x:c r="AQ472" s="12"/>
      <x:c r="AR472" s="12" t="str">
        <x:v>Added v2 operational fields. Review before classification activation.</x:v>
      </x:c>
    </x:row>
    <x:row r="473">
      <x:c r="A473" s="13" t="str">
        <x:v>hindsight_bias_memory_salience_variant</x:v>
      </x:c>
      <x:c r="B473" s="13" t="str">
        <x:v>hindsight_bias</x:v>
      </x:c>
      <x:c r="C473" s="13" t="str">
        <x:v>Hindsight bias</x:v>
      </x:c>
      <x:c r="D473" s="13" t="str">
        <x:v>سوگیری پس‌نگری</x:v>
      </x:c>
      <x:c r="E473" s="13" t="str">
        <x:v>Memory/salience variant</x:v>
      </x:c>
      <x:c r="F473" s="13" t="str">
        <x:v>cognitive_biases_information_processing</x:v>
      </x:c>
      <x:c r="G473" s="13" t="str">
        <x:v>operational_variant</x:v>
      </x:c>
      <x:c r="H473" s="13" t="str">
        <x:v>contextual</x:v>
      </x:c>
      <x:c r="I473" s="13" t="str">
        <x:v>claim+context</x:v>
      </x:c>
      <x:c r="J473" s="13" t="str">
        <x:v>derived_operational_subtype</x:v>
      </x:c>
      <x:c r="K473" s="13" t="str">
        <x:v>derived_from_established_parent_review_required</x:v>
      </x:c>
      <x:c r="L473" s="13" t="str">
        <x:v>P3</x:v>
      </x:c>
      <x:c r="M473" s="13" t="str">
        <x:v>no</x:v>
      </x:c>
      <x:c r="N473" s="13" t="str">
        <x:v>Operational subtype under Hindsight bias: salient or remembered cases are overweighted. Parent definition: Seeing past events as more predictable after knowing the outcome.</x:v>
      </x:c>
      <x:c r="O473" s="13" t="str">
        <x:v>Look for: explicit claim-level evidence; parent-family cues for Hindsight bias; variant cue: salient or remembered cases are overweighted; avoid author-level inference.</x:v>
      </x:c>
      <x:c r="P473" s="13" t="str">
        <x:v>Exact evidence span in text plus claim-level reasoning link; for contextual/discourse entries, require surrounding context.</x:v>
      </x:c>
      <x:c r="Q473" s="13" t="str">
        <x:v>Do not label merely because topic is controversial, emotional, or wrong. Do not judge intent or personality. Require textual evidence and consider healthy-reasoning cues.</x:v>
      </x:c>
      <x:c r="R473" s="13" t="str">
        <x:v>Stub: A claim relies on salient or remembered cases are overweighted to support a conclusion without adequate qualification.</x:v>
      </x:c>
      <x:c r="S473" s="13" t="str">
        <x:v>Stub: A claim discusses hindsight bias with caveats, balanced evidence, or no argumentative use of the pattern.</x:v>
      </x:c>
      <x:c r="T473" s="13" t="str">
        <x:v>Mild or ambiguous cue; do not classify without clear evidence span.</x:v>
      </x:c>
      <x:c r="U473" s="13" t="str">
        <x:v>Clear claim-level pattern with some argumentative impact.</x:v>
      </x:c>
      <x:c r="V473" s="13" t="str">
        <x:v>Strong pattern central to the conclusion and likely to materially distort reasoning.</x:v>
      </x:c>
      <x:c r="W473" s="13" t="str"/>
      <x:c r="X473" s="13" t="str">
        <x:v>gilovich_heuristics_biases</x:v>
      </x:c>
      <x:c r="Y473" s="13" t="str">
        <x:v>https://www.cambridge.org/core/books/heuristics-and-biases/3C30D3B05D2F190C3B8BE5E2531EFD24</x:v>
      </x:c>
      <x:c r="Z473" s="13" t="str">
        <x:v>Review before enabling. This workbook is a living taxonomy scaffold, not a validated scientific benchmark.</x:v>
      </x:c>
      <x:c r="AA473" s="13" t="str">
        <x:v>0.1.0-draft</x:v>
      </x:c>
      <x:c r="AB473" s="12" t="str">
        <x:f>IF(ISNUMBER(SEARCH("healthy",F473)),"healthy_reasoning_patterns",IF(ISNUMBER(SEARCH("statistical",F473)),"statistical_reasoning",IF(ISNUMBER(SEARCH("causal",F473)),"causal_reasoning",IF(ISNUMBER(SEARCH("social",F473)),"social_influence",IF(ISNUMBER(SEARCH("rhetoric",F473)),"rhetoric_discourse",IF(ISNUMBER(SEARCH("behavior",F473)),"behavioural_economics",IF(ISNUMBER(SEARCH("cognitive",F473)),"cognitive_biases",IF(J473="protective_pattern","healthy_reasoning_patterns",IF(L473="P0","core_mvp","extended_fallacies")))))))))</x:f>
        <x:v>cognitive_biases</x:v>
      </x:c>
      <x:c r="AC473" s="12" t="str">
        <x:f>IF(ISNUMBER(SEARCH("operational",J473)),"operational",IF(ISNUMBER(SEARCH("deprecated",J473)),"deprecated",IF(L473="P0","canonical","recognized_subtype")))</x:f>
        <x:v>operational</x:v>
      </x:c>
      <x:c r="AD473" s="12" t="str">
        <x:f>IF(AC473="canonical","high",IF(AC473="recognized_subtype","medium",IF(AC473="operational","operational_only","debated")))</x:f>
        <x:v>operational_only</x:v>
      </x:c>
      <x:c r="AE473" s="12" t="str">
        <x:f>IF(AC473="deprecated","deprecated",IF(M473="yes","active",IF(M473="review","review_required","backlog")))</x:f>
        <x:v>backlog</x:v>
      </x:c>
      <x:c r="AF473" s="12" t="str">
        <x:f>IF(OR(AE473="active",AE473="review_required"),"yes","no")</x:f>
        <x:v>no</x:v>
      </x:c>
      <x:c r="AG473" s="12" t="str">
        <x:f>IF(AND(AE473="active",M473="yes",NOT(ISNUMBER(SEARCH("healthy",AB473)))),"yes","no")</x:f>
        <x:v>no</x:v>
      </x:c>
      <x:c r="AH473" s="12" t="str">
        <x:f>IF(OR(H473="contextual",H473="dialogue",H473="discourse",I473="claim+context",I473="discourse_segment"),"yes","no")</x:f>
        <x:v>yes</x:v>
      </x:c>
      <x:c r="AI473" s="12" t="str">
        <x:f>IF(OR(AH473="yes",AD473="debated",AC473="operational"),"yes","no")</x:f>
        <x:v>yes</x:v>
      </x:c>
      <x:c r="AJ473" s="12" t="str">
        <x:f>IF(OR(AH473="yes",AC473="operational",AD473="debated"),"high",IF(AND(AG473="yes",L473="P0"),"medium","low"))</x:f>
        <x:v>high</x:v>
      </x:c>
      <x:c r="AK473" s="12" t="str">
        <x:f>IF(ISNUMBER(SEARCH("healthy",AB473)),"yes","no")</x:f>
        <x:v>no</x:v>
      </x:c>
      <x:c r="AL473" s="12" t="str">
        <x:f>IF(AG473="yes","yes","candidate_only")</x:f>
        <x:v>candidate_only</x:v>
      </x:c>
      <x:c r="AM473" s="12" t="str">
        <x:f>IF(OR(AC473="canonical",AG473="yes"),"yes","recommended")</x:f>
        <x:v>recommended</x:v>
      </x:c>
      <x:c r="AN473" s="12" t="str">
        <x:f>IF(AC473="deprecated","exclude",IF(AND(AG473="yes",AJ473="high"),"import_but_human_review_required",IF(AG473="yes","import_as_active","import_as_backlog")))</x:f>
        <x:v>import_as_backlog</x:v>
      </x:c>
      <x:c r="AO473" s="12" t="str">
        <x:f>IF(AND(AG473="yes",OR(P473="",Q473="",R473="",S473="")),"missing_required_mvp_fields",IF(AND(AC473="canonical",Y473=""),"missing_source_ref","ok"))</x:f>
        <x:v>ok</x:v>
      </x:c>
      <x:c r="AP473" s="12" t="str">
        <x:f>IF(AO473="ok","ready_for_codex_import","needs_review")</x:f>
        <x:v>ready_for_codex_import</x:v>
      </x:c>
      <x:c r="AQ473" s="12"/>
      <x:c r="AR473" s="12" t="str">
        <x:v>Added v2 operational fields. Review before classification activation.</x:v>
      </x:c>
    </x:row>
    <x:row r="474">
      <x:c r="A474" s="13" t="str">
        <x:v>outcome_bias_memory_salience_variant</x:v>
      </x:c>
      <x:c r="B474" s="13" t="str">
        <x:v>outcome_bias</x:v>
      </x:c>
      <x:c r="C474" s="13" t="str">
        <x:v>Outcome bias</x:v>
      </x:c>
      <x:c r="D474" s="13" t="str">
        <x:v>سوگیری نتیجه</x:v>
      </x:c>
      <x:c r="E474" s="13" t="str">
        <x:v>Memory/salience variant</x:v>
      </x:c>
      <x:c r="F474" s="13" t="str">
        <x:v>cognitive_biases_information_processing</x:v>
      </x:c>
      <x:c r="G474" s="13" t="str">
        <x:v>operational_variant</x:v>
      </x:c>
      <x:c r="H474" s="13" t="str">
        <x:v>contextual</x:v>
      </x:c>
      <x:c r="I474" s="13" t="str">
        <x:v>claim+context</x:v>
      </x:c>
      <x:c r="J474" s="13" t="str">
        <x:v>derived_operational_subtype</x:v>
      </x:c>
      <x:c r="K474" s="13" t="str">
        <x:v>derived_from_established_parent_review_required</x:v>
      </x:c>
      <x:c r="L474" s="13" t="str">
        <x:v>P3</x:v>
      </x:c>
      <x:c r="M474" s="13" t="str">
        <x:v>no</x:v>
      </x:c>
      <x:c r="N474" s="13" t="str">
        <x:v>Operational subtype under Outcome bias: salient or remembered cases are overweighted. Parent definition: Judging a decision by its outcome rather than information available at the time.</x:v>
      </x:c>
      <x:c r="O474" s="13" t="str">
        <x:v>Look for: explicit claim-level evidence; parent-family cues for Outcome bias; variant cue: salient or remembered cases are overweighted; avoid author-level inference.</x:v>
      </x:c>
      <x:c r="P474" s="13" t="str">
        <x:v>Exact evidence span in text plus claim-level reasoning link; for contextual/discourse entries, require surrounding context.</x:v>
      </x:c>
      <x:c r="Q474" s="13" t="str">
        <x:v>Do not label merely because topic is controversial, emotional, or wrong. Do not judge intent or personality. Require textual evidence and consider healthy-reasoning cues.</x:v>
      </x:c>
      <x:c r="R474" s="13" t="str">
        <x:v>Stub: A claim relies on salient or remembered cases are overweighted to support a conclusion without adequate qualification.</x:v>
      </x:c>
      <x:c r="S474" s="13" t="str">
        <x:v>Stub: A claim discusses outcome bias with caveats, balanced evidence, or no argumentative use of the pattern.</x:v>
      </x:c>
      <x:c r="T474" s="13" t="str">
        <x:v>Mild or ambiguous cue; do not classify without clear evidence span.</x:v>
      </x:c>
      <x:c r="U474" s="13" t="str">
        <x:v>Clear claim-level pattern with some argumentative impact.</x:v>
      </x:c>
      <x:c r="V474" s="13" t="str">
        <x:v>Strong pattern central to the conclusion and likely to materially distort reasoning.</x:v>
      </x:c>
      <x:c r="W474" s="13" t="str"/>
      <x:c r="X474" s="13" t="str">
        <x:v>gilovich_heuristics_biases</x:v>
      </x:c>
      <x:c r="Y474" s="13" t="str">
        <x:v>https://www.cambridge.org/core/books/heuristics-and-biases/3C30D3B05D2F190C3B8BE5E2531EFD24</x:v>
      </x:c>
      <x:c r="Z474" s="13" t="str">
        <x:v>Review before enabling. This workbook is a living taxonomy scaffold, not a validated scientific benchmark.</x:v>
      </x:c>
      <x:c r="AA474" s="13" t="str">
        <x:v>0.1.0-draft</x:v>
      </x:c>
      <x:c r="AB474" s="12" t="str">
        <x:f>IF(ISNUMBER(SEARCH("healthy",F474)),"healthy_reasoning_patterns",IF(ISNUMBER(SEARCH("statistical",F474)),"statistical_reasoning",IF(ISNUMBER(SEARCH("causal",F474)),"causal_reasoning",IF(ISNUMBER(SEARCH("social",F474)),"social_influence",IF(ISNUMBER(SEARCH("rhetoric",F474)),"rhetoric_discourse",IF(ISNUMBER(SEARCH("behavior",F474)),"behavioural_economics",IF(ISNUMBER(SEARCH("cognitive",F474)),"cognitive_biases",IF(J474="protective_pattern","healthy_reasoning_patterns",IF(L474="P0","core_mvp","extended_fallacies")))))))))</x:f>
        <x:v>cognitive_biases</x:v>
      </x:c>
      <x:c r="AC474" s="12" t="str">
        <x:f>IF(ISNUMBER(SEARCH("operational",J474)),"operational",IF(ISNUMBER(SEARCH("deprecated",J474)),"deprecated",IF(L474="P0","canonical","recognized_subtype")))</x:f>
        <x:v>operational</x:v>
      </x:c>
      <x:c r="AD474" s="12" t="str">
        <x:f>IF(AC474="canonical","high",IF(AC474="recognized_subtype","medium",IF(AC474="operational","operational_only","debated")))</x:f>
        <x:v>operational_only</x:v>
      </x:c>
      <x:c r="AE474" s="12" t="str">
        <x:f>IF(AC474="deprecated","deprecated",IF(M474="yes","active",IF(M474="review","review_required","backlog")))</x:f>
        <x:v>backlog</x:v>
      </x:c>
      <x:c r="AF474" s="12" t="str">
        <x:f>IF(OR(AE474="active",AE474="review_required"),"yes","no")</x:f>
        <x:v>no</x:v>
      </x:c>
      <x:c r="AG474" s="12" t="str">
        <x:f>IF(AND(AE474="active",M474="yes",NOT(ISNUMBER(SEARCH("healthy",AB474)))),"yes","no")</x:f>
        <x:v>no</x:v>
      </x:c>
      <x:c r="AH474" s="12" t="str">
        <x:f>IF(OR(H474="contextual",H474="dialogue",H474="discourse",I474="claim+context",I474="discourse_segment"),"yes","no")</x:f>
        <x:v>yes</x:v>
      </x:c>
      <x:c r="AI474" s="12" t="str">
        <x:f>IF(OR(AH474="yes",AD474="debated",AC474="operational"),"yes","no")</x:f>
        <x:v>yes</x:v>
      </x:c>
      <x:c r="AJ474" s="12" t="str">
        <x:f>IF(OR(AH474="yes",AC474="operational",AD474="debated"),"high",IF(AND(AG474="yes",L474="P0"),"medium","low"))</x:f>
        <x:v>high</x:v>
      </x:c>
      <x:c r="AK474" s="12" t="str">
        <x:f>IF(ISNUMBER(SEARCH("healthy",AB474)),"yes","no")</x:f>
        <x:v>no</x:v>
      </x:c>
      <x:c r="AL474" s="12" t="str">
        <x:f>IF(AG474="yes","yes","candidate_only")</x:f>
        <x:v>candidate_only</x:v>
      </x:c>
      <x:c r="AM474" s="12" t="str">
        <x:f>IF(OR(AC474="canonical",AG474="yes"),"yes","recommended")</x:f>
        <x:v>recommended</x:v>
      </x:c>
      <x:c r="AN474" s="12" t="str">
        <x:f>IF(AC474="deprecated","exclude",IF(AND(AG474="yes",AJ474="high"),"import_but_human_review_required",IF(AG474="yes","import_as_active","import_as_backlog")))</x:f>
        <x:v>import_as_backlog</x:v>
      </x:c>
      <x:c r="AO474" s="12" t="str">
        <x:f>IF(AND(AG474="yes",OR(P474="",Q474="",R474="",S474="")),"missing_required_mvp_fields",IF(AND(AC474="canonical",Y474=""),"missing_source_ref","ok"))</x:f>
        <x:v>ok</x:v>
      </x:c>
      <x:c r="AP474" s="12" t="str">
        <x:f>IF(AO474="ok","ready_for_codex_import","needs_review")</x:f>
        <x:v>ready_for_codex_import</x:v>
      </x:c>
      <x:c r="AQ474" s="12"/>
      <x:c r="AR474" s="12" t="str">
        <x:v>Added v2 operational fields. Review before classification activation.</x:v>
      </x:c>
    </x:row>
    <x:row r="475">
      <x:c r="A475" s="13" t="str">
        <x:v>overconfidence_bias_memory_salience_variant</x:v>
      </x:c>
      <x:c r="B475" s="13" t="str">
        <x:v>overconfidence_bias</x:v>
      </x:c>
      <x:c r="C475" s="13" t="str">
        <x:v>Overconfidence bias</x:v>
      </x:c>
      <x:c r="D475" s="13" t="str">
        <x:v>اعتماد به نفس بیش از حد</x:v>
      </x:c>
      <x:c r="E475" s="13" t="str">
        <x:v>Memory/salience variant</x:v>
      </x:c>
      <x:c r="F475" s="13" t="str">
        <x:v>cognitive_biases_information_processing</x:v>
      </x:c>
      <x:c r="G475" s="13" t="str">
        <x:v>operational_variant</x:v>
      </x:c>
      <x:c r="H475" s="13" t="str">
        <x:v>contextual</x:v>
      </x:c>
      <x:c r="I475" s="13" t="str">
        <x:v>claim+context</x:v>
      </x:c>
      <x:c r="J475" s="13" t="str">
        <x:v>derived_operational_subtype</x:v>
      </x:c>
      <x:c r="K475" s="13" t="str">
        <x:v>derived_from_established_parent_review_required</x:v>
      </x:c>
      <x:c r="L475" s="13" t="str">
        <x:v>P3</x:v>
      </x:c>
      <x:c r="M475" s="13" t="str">
        <x:v>no</x:v>
      </x:c>
      <x:c r="N475" s="13" t="str">
        <x:v>Operational subtype under Overconfidence bias: salient or remembered cases are overweighted. Parent definition: Expressing confidence beyond the strength of evidence.</x:v>
      </x:c>
      <x:c r="O475" s="13" t="str">
        <x:v>Look for: explicit claim-level evidence; parent-family cues for Overconfidence bias; variant cue: salient or remembered cases are overweighted; avoid author-level inference.</x:v>
      </x:c>
      <x:c r="P475" s="13" t="str">
        <x:v>Exact evidence span in text plus claim-level reasoning link; for contextual/discourse entries, require surrounding context.</x:v>
      </x:c>
      <x:c r="Q475" s="13" t="str">
        <x:v>Do not label merely because topic is controversial, emotional, or wrong. Do not judge intent or personality. Require textual evidence and consider healthy-reasoning cues.</x:v>
      </x:c>
      <x:c r="R475" s="13" t="str">
        <x:v>Stub: A claim relies on salient or remembered cases are overweighted to support a conclusion without adequate qualification.</x:v>
      </x:c>
      <x:c r="S475" s="13" t="str">
        <x:v>Stub: A claim discusses overconfidence bias with caveats, balanced evidence, or no argumentative use of the pattern.</x:v>
      </x:c>
      <x:c r="T475" s="13" t="str">
        <x:v>Mild or ambiguous cue; do not classify without clear evidence span.</x:v>
      </x:c>
      <x:c r="U475" s="13" t="str">
        <x:v>Clear claim-level pattern with some argumentative impact.</x:v>
      </x:c>
      <x:c r="V475" s="13" t="str">
        <x:v>Strong pattern central to the conclusion and likely to materially distort reasoning.</x:v>
      </x:c>
      <x:c r="W475" s="13" t="str">
        <x:v>cherry_picking; missing_counterevidence; evidence_grading</x:v>
      </x:c>
      <x:c r="X475" s="13" t="str">
        <x:v>stanovich_dual_process</x:v>
      </x:c>
      <x:c r="Y475" s="13" t="str">
        <x:v>https://global.oup.com/academic/product/rationality-and-the-reflective-mind-9780195341140</x:v>
      </x:c>
      <x:c r="Z475" s="13" t="str">
        <x:v>Review before enabling. This workbook is a living taxonomy scaffold, not a validated scientific benchmark.</x:v>
      </x:c>
      <x:c r="AA475" s="13" t="str">
        <x:v>0.1.0-draft</x:v>
      </x:c>
      <x:c r="AB475" s="12" t="str">
        <x:f>IF(ISNUMBER(SEARCH("healthy",F475)),"healthy_reasoning_patterns",IF(ISNUMBER(SEARCH("statistical",F475)),"statistical_reasoning",IF(ISNUMBER(SEARCH("causal",F475)),"causal_reasoning",IF(ISNUMBER(SEARCH("social",F475)),"social_influence",IF(ISNUMBER(SEARCH("rhetoric",F475)),"rhetoric_discourse",IF(ISNUMBER(SEARCH("behavior",F475)),"behavioural_economics",IF(ISNUMBER(SEARCH("cognitive",F475)),"cognitive_biases",IF(J475="protective_pattern","healthy_reasoning_patterns",IF(L475="P0","core_mvp","extended_fallacies")))))))))</x:f>
        <x:v>cognitive_biases</x:v>
      </x:c>
      <x:c r="AC475" s="12" t="str">
        <x:f>IF(ISNUMBER(SEARCH("operational",J475)),"operational",IF(ISNUMBER(SEARCH("deprecated",J475)),"deprecated",IF(L475="P0","canonical","recognized_subtype")))</x:f>
        <x:v>operational</x:v>
      </x:c>
      <x:c r="AD475" s="12" t="str">
        <x:f>IF(AC475="canonical","high",IF(AC475="recognized_subtype","medium",IF(AC475="operational","operational_only","debated")))</x:f>
        <x:v>operational_only</x:v>
      </x:c>
      <x:c r="AE475" s="12" t="str">
        <x:f>IF(AC475="deprecated","deprecated",IF(M475="yes","active",IF(M475="review","review_required","backlog")))</x:f>
        <x:v>backlog</x:v>
      </x:c>
      <x:c r="AF475" s="12" t="str">
        <x:f>IF(OR(AE475="active",AE475="review_required"),"yes","no")</x:f>
        <x:v>no</x:v>
      </x:c>
      <x:c r="AG475" s="12" t="str">
        <x:f>IF(AND(AE475="active",M475="yes",NOT(ISNUMBER(SEARCH("healthy",AB475)))),"yes","no")</x:f>
        <x:v>no</x:v>
      </x:c>
      <x:c r="AH475" s="12" t="str">
        <x:f>IF(OR(H475="contextual",H475="dialogue",H475="discourse",I475="claim+context",I475="discourse_segment"),"yes","no")</x:f>
        <x:v>yes</x:v>
      </x:c>
      <x:c r="AI475" s="12" t="str">
        <x:f>IF(OR(AH475="yes",AD475="debated",AC475="operational"),"yes","no")</x:f>
        <x:v>yes</x:v>
      </x:c>
      <x:c r="AJ475" s="12" t="str">
        <x:f>IF(OR(AH475="yes",AC475="operational",AD475="debated"),"high",IF(AND(AG475="yes",L475="P0"),"medium","low"))</x:f>
        <x:v>high</x:v>
      </x:c>
      <x:c r="AK475" s="12" t="str">
        <x:f>IF(ISNUMBER(SEARCH("healthy",AB475)),"yes","no")</x:f>
        <x:v>no</x:v>
      </x:c>
      <x:c r="AL475" s="12" t="str">
        <x:f>IF(AG475="yes","yes","candidate_only")</x:f>
        <x:v>candidate_only</x:v>
      </x:c>
      <x:c r="AM475" s="12" t="str">
        <x:f>IF(OR(AC475="canonical",AG475="yes"),"yes","recommended")</x:f>
        <x:v>recommended</x:v>
      </x:c>
      <x:c r="AN475" s="12" t="str">
        <x:f>IF(AC475="deprecated","exclude",IF(AND(AG475="yes",AJ475="high"),"import_but_human_review_required",IF(AG475="yes","import_as_active","import_as_backlog")))</x:f>
        <x:v>import_as_backlog</x:v>
      </x:c>
      <x:c r="AO475" s="12" t="str">
        <x:f>IF(AND(AG475="yes",OR(P475="",Q475="",R475="",S475="")),"missing_required_mvp_fields",IF(AND(AC475="canonical",Y475=""),"missing_source_ref","ok"))</x:f>
        <x:v>ok</x:v>
      </x:c>
      <x:c r="AP475" s="12" t="str">
        <x:f>IF(AO475="ok","ready_for_codex_import","needs_review")</x:f>
        <x:v>ready_for_codex_import</x:v>
      </x:c>
      <x:c r="AQ475" s="12"/>
      <x:c r="AR475" s="12" t="str">
        <x:v>Added v2 operational fields. Review before classification activation.</x:v>
      </x:c>
    </x:row>
    <x:row r="476">
      <x:c r="A476" s="13" t="str">
        <x:v>optimism_bias_memory_salience_variant</x:v>
      </x:c>
      <x:c r="B476" s="13" t="str">
        <x:v>optimism_bias</x:v>
      </x:c>
      <x:c r="C476" s="13" t="str">
        <x:v>Optimism bias</x:v>
      </x:c>
      <x:c r="D476" s="13" t="str">
        <x:v>خوش‌بینی افراطی</x:v>
      </x:c>
      <x:c r="E476" s="13" t="str">
        <x:v>Memory/salience variant</x:v>
      </x:c>
      <x:c r="F476" s="13" t="str">
        <x:v>cognitive_biases_information_processing</x:v>
      </x:c>
      <x:c r="G476" s="13" t="str">
        <x:v>operational_variant</x:v>
      </x:c>
      <x:c r="H476" s="13" t="str">
        <x:v>contextual</x:v>
      </x:c>
      <x:c r="I476" s="13" t="str">
        <x:v>claim+context</x:v>
      </x:c>
      <x:c r="J476" s="13" t="str">
        <x:v>derived_operational_subtype</x:v>
      </x:c>
      <x:c r="K476" s="13" t="str">
        <x:v>derived_from_established_parent_review_required</x:v>
      </x:c>
      <x:c r="L476" s="13" t="str">
        <x:v>P3</x:v>
      </x:c>
      <x:c r="M476" s="13" t="str">
        <x:v>no</x:v>
      </x:c>
      <x:c r="N476" s="13" t="str">
        <x:v>Operational subtype under Optimism bias: salient or remembered cases are overweighted. Parent definition: Underestimating risks or overestimating favorable outcomes.</x:v>
      </x:c>
      <x:c r="O476" s="13" t="str">
        <x:v>Look for: explicit claim-level evidence; parent-family cues for Optimism bias; variant cue: salient or remembered cases are overweighted; avoid author-level inference.</x:v>
      </x:c>
      <x:c r="P476" s="13" t="str">
        <x:v>Exact evidence span in text plus claim-level reasoning link; for contextual/discourse entries, require surrounding context.</x:v>
      </x:c>
      <x:c r="Q476" s="13" t="str">
        <x:v>Do not label merely because topic is controversial, emotional, or wrong. Do not judge intent or personality. Require textual evidence and consider healthy-reasoning cues.</x:v>
      </x:c>
      <x:c r="R476" s="13" t="str">
        <x:v>Stub: A claim relies on salient or remembered cases are overweighted to support a conclusion without adequate qualification.</x:v>
      </x:c>
      <x:c r="S476" s="13" t="str">
        <x:v>Stub: A claim discusses optimism bias with caveats, balanced evidence, or no argumentative use of the pattern.</x:v>
      </x:c>
      <x:c r="T476" s="13" t="str">
        <x:v>Mild or ambiguous cue; do not classify without clear evidence span.</x:v>
      </x:c>
      <x:c r="U476" s="13" t="str">
        <x:v>Clear claim-level pattern with some argumentative impact.</x:v>
      </x:c>
      <x:c r="V476" s="13" t="str">
        <x:v>Strong pattern central to the conclusion and likely to materially distort reasoning.</x:v>
      </x:c>
      <x:c r="W476" s="13" t="str"/>
      <x:c r="X476" s="13" t="str">
        <x:v>gilovich_heuristics_biases</x:v>
      </x:c>
      <x:c r="Y476" s="13" t="str">
        <x:v>https://www.cambridge.org/core/books/heuristics-and-biases/3C30D3B05D2F190C3B8BE5E2531EFD24</x:v>
      </x:c>
      <x:c r="Z476" s="13" t="str">
        <x:v>Review before enabling. This workbook is a living taxonomy scaffold, not a validated scientific benchmark.</x:v>
      </x:c>
      <x:c r="AA476" s="13" t="str">
        <x:v>0.1.0-draft</x:v>
      </x:c>
      <x:c r="AB476" s="12" t="str">
        <x:f>IF(ISNUMBER(SEARCH("healthy",F476)),"healthy_reasoning_patterns",IF(ISNUMBER(SEARCH("statistical",F476)),"statistical_reasoning",IF(ISNUMBER(SEARCH("causal",F476)),"causal_reasoning",IF(ISNUMBER(SEARCH("social",F476)),"social_influence",IF(ISNUMBER(SEARCH("rhetoric",F476)),"rhetoric_discourse",IF(ISNUMBER(SEARCH("behavior",F476)),"behavioural_economics",IF(ISNUMBER(SEARCH("cognitive",F476)),"cognitive_biases",IF(J476="protective_pattern","healthy_reasoning_patterns",IF(L476="P0","core_mvp","extended_fallacies")))))))))</x:f>
        <x:v>cognitive_biases</x:v>
      </x:c>
      <x:c r="AC476" s="12" t="str">
        <x:f>IF(ISNUMBER(SEARCH("operational",J476)),"operational",IF(ISNUMBER(SEARCH("deprecated",J476)),"deprecated",IF(L476="P0","canonical","recognized_subtype")))</x:f>
        <x:v>operational</x:v>
      </x:c>
      <x:c r="AD476" s="12" t="str">
        <x:f>IF(AC476="canonical","high",IF(AC476="recognized_subtype","medium",IF(AC476="operational","operational_only","debated")))</x:f>
        <x:v>operational_only</x:v>
      </x:c>
      <x:c r="AE476" s="12" t="str">
        <x:f>IF(AC476="deprecated","deprecated",IF(M476="yes","active",IF(M476="review","review_required","backlog")))</x:f>
        <x:v>backlog</x:v>
      </x:c>
      <x:c r="AF476" s="12" t="str">
        <x:f>IF(OR(AE476="active",AE476="review_required"),"yes","no")</x:f>
        <x:v>no</x:v>
      </x:c>
      <x:c r="AG476" s="12" t="str">
        <x:f>IF(AND(AE476="active",M476="yes",NOT(ISNUMBER(SEARCH("healthy",AB476)))),"yes","no")</x:f>
        <x:v>no</x:v>
      </x:c>
      <x:c r="AH476" s="12" t="str">
        <x:f>IF(OR(H476="contextual",H476="dialogue",H476="discourse",I476="claim+context",I476="discourse_segment"),"yes","no")</x:f>
        <x:v>yes</x:v>
      </x:c>
      <x:c r="AI476" s="12" t="str">
        <x:f>IF(OR(AH476="yes",AD476="debated",AC476="operational"),"yes","no")</x:f>
        <x:v>yes</x:v>
      </x:c>
      <x:c r="AJ476" s="12" t="str">
        <x:f>IF(OR(AH476="yes",AC476="operational",AD476="debated"),"high",IF(AND(AG476="yes",L476="P0"),"medium","low"))</x:f>
        <x:v>high</x:v>
      </x:c>
      <x:c r="AK476" s="12" t="str">
        <x:f>IF(ISNUMBER(SEARCH("healthy",AB476)),"yes","no")</x:f>
        <x:v>no</x:v>
      </x:c>
      <x:c r="AL476" s="12" t="str">
        <x:f>IF(AG476="yes","yes","candidate_only")</x:f>
        <x:v>candidate_only</x:v>
      </x:c>
      <x:c r="AM476" s="12" t="str">
        <x:f>IF(OR(AC476="canonical",AG476="yes"),"yes","recommended")</x:f>
        <x:v>recommended</x:v>
      </x:c>
      <x:c r="AN476" s="12" t="str">
        <x:f>IF(AC476="deprecated","exclude",IF(AND(AG476="yes",AJ476="high"),"import_but_human_review_required",IF(AG476="yes","import_as_active","import_as_backlog")))</x:f>
        <x:v>import_as_backlog</x:v>
      </x:c>
      <x:c r="AO476" s="12" t="str">
        <x:f>IF(AND(AG476="yes",OR(P476="",Q476="",R476="",S476="")),"missing_required_mvp_fields",IF(AND(AC476="canonical",Y476=""),"missing_source_ref","ok"))</x:f>
        <x:v>ok</x:v>
      </x:c>
      <x:c r="AP476" s="12" t="str">
        <x:f>IF(AO476="ok","ready_for_codex_import","needs_review")</x:f>
        <x:v>ready_for_codex_import</x:v>
      </x:c>
      <x:c r="AQ476" s="12"/>
      <x:c r="AR476" s="12" t="str">
        <x:v>Added v2 operational fields. Review before classification activation.</x:v>
      </x:c>
    </x:row>
    <x:row r="477">
      <x:c r="A477" s="13" t="str">
        <x:v>pessimism_bias_memory_salience_variant</x:v>
      </x:c>
      <x:c r="B477" s="13" t="str">
        <x:v>pessimism_bias</x:v>
      </x:c>
      <x:c r="C477" s="13" t="str">
        <x:v>Pessimism bias</x:v>
      </x:c>
      <x:c r="D477" s="13" t="str">
        <x:v>بدبینی افراطی</x:v>
      </x:c>
      <x:c r="E477" s="13" t="str">
        <x:v>Memory/salience variant</x:v>
      </x:c>
      <x:c r="F477" s="13" t="str">
        <x:v>cognitive_biases_information_processing</x:v>
      </x:c>
      <x:c r="G477" s="13" t="str">
        <x:v>operational_variant</x:v>
      </x:c>
      <x:c r="H477" s="13" t="str">
        <x:v>contextual</x:v>
      </x:c>
      <x:c r="I477" s="13" t="str">
        <x:v>claim+context</x:v>
      </x:c>
      <x:c r="J477" s="13" t="str">
        <x:v>derived_operational_subtype</x:v>
      </x:c>
      <x:c r="K477" s="13" t="str">
        <x:v>derived_from_established_parent_review_required</x:v>
      </x:c>
      <x:c r="L477" s="13" t="str">
        <x:v>P3</x:v>
      </x:c>
      <x:c r="M477" s="13" t="str">
        <x:v>no</x:v>
      </x:c>
      <x:c r="N477" s="13" t="str">
        <x:v>Operational subtype under Pessimism bias: salient or remembered cases are overweighted. Parent definition: Overestimating risks or negative outcomes without sufficient support.</x:v>
      </x:c>
      <x:c r="O477" s="13" t="str">
        <x:v>Look for: explicit claim-level evidence; parent-family cues for Pessimism bias; variant cue: salient or remembered cases are overweighted; avoid author-level inference.</x:v>
      </x:c>
      <x:c r="P477" s="13" t="str">
        <x:v>Exact evidence span in text plus claim-level reasoning link; for contextual/discourse entries, require surrounding context.</x:v>
      </x:c>
      <x:c r="Q477" s="13" t="str">
        <x:v>Do not label merely because topic is controversial, emotional, or wrong. Do not judge intent or personality. Require textual evidence and consider healthy-reasoning cues.</x:v>
      </x:c>
      <x:c r="R477" s="13" t="str">
        <x:v>Stub: A claim relies on salient or remembered cases are overweighted to support a conclusion without adequate qualification.</x:v>
      </x:c>
      <x:c r="S477" s="13" t="str">
        <x:v>Stub: A claim discusses pessimism bias with caveats, balanced evidence, or no argumentative use of the pattern.</x:v>
      </x:c>
      <x:c r="T477" s="13" t="str">
        <x:v>Mild or ambiguous cue; do not classify without clear evidence span.</x:v>
      </x:c>
      <x:c r="U477" s="13" t="str">
        <x:v>Clear claim-level pattern with some argumentative impact.</x:v>
      </x:c>
      <x:c r="V477" s="13" t="str">
        <x:v>Strong pattern central to the conclusion and likely to materially distort reasoning.</x:v>
      </x:c>
      <x:c r="W477" s="13" t="str"/>
      <x:c r="X477" s="13" t="str">
        <x:v>gilovich_heuristics_biases</x:v>
      </x:c>
      <x:c r="Y477" s="13" t="str">
        <x:v>https://www.cambridge.org/core/books/heuristics-and-biases/3C30D3B05D2F190C3B8BE5E2531EFD24</x:v>
      </x:c>
      <x:c r="Z477" s="13" t="str">
        <x:v>Review before enabling. This workbook is a living taxonomy scaffold, not a validated scientific benchmark.</x:v>
      </x:c>
      <x:c r="AA477" s="13" t="str">
        <x:v>0.1.0-draft</x:v>
      </x:c>
      <x:c r="AB477" s="12" t="str">
        <x:f>IF(ISNUMBER(SEARCH("healthy",F477)),"healthy_reasoning_patterns",IF(ISNUMBER(SEARCH("statistical",F477)),"statistical_reasoning",IF(ISNUMBER(SEARCH("causal",F477)),"causal_reasoning",IF(ISNUMBER(SEARCH("social",F477)),"social_influence",IF(ISNUMBER(SEARCH("rhetoric",F477)),"rhetoric_discourse",IF(ISNUMBER(SEARCH("behavior",F477)),"behavioural_economics",IF(ISNUMBER(SEARCH("cognitive",F477)),"cognitive_biases",IF(J477="protective_pattern","healthy_reasoning_patterns",IF(L477="P0","core_mvp","extended_fallacies")))))))))</x:f>
        <x:v>cognitive_biases</x:v>
      </x:c>
      <x:c r="AC477" s="12" t="str">
        <x:f>IF(ISNUMBER(SEARCH("operational",J477)),"operational",IF(ISNUMBER(SEARCH("deprecated",J477)),"deprecated",IF(L477="P0","canonical","recognized_subtype")))</x:f>
        <x:v>operational</x:v>
      </x:c>
      <x:c r="AD477" s="12" t="str">
        <x:f>IF(AC477="canonical","high",IF(AC477="recognized_subtype","medium",IF(AC477="operational","operational_only","debated")))</x:f>
        <x:v>operational_only</x:v>
      </x:c>
      <x:c r="AE477" s="12" t="str">
        <x:f>IF(AC477="deprecated","deprecated",IF(M477="yes","active",IF(M477="review","review_required","backlog")))</x:f>
        <x:v>backlog</x:v>
      </x:c>
      <x:c r="AF477" s="12" t="str">
        <x:f>IF(OR(AE477="active",AE477="review_required"),"yes","no")</x:f>
        <x:v>no</x:v>
      </x:c>
      <x:c r="AG477" s="12" t="str">
        <x:f>IF(AND(AE477="active",M477="yes",NOT(ISNUMBER(SEARCH("healthy",AB477)))),"yes","no")</x:f>
        <x:v>no</x:v>
      </x:c>
      <x:c r="AH477" s="12" t="str">
        <x:f>IF(OR(H477="contextual",H477="dialogue",H477="discourse",I477="claim+context",I477="discourse_segment"),"yes","no")</x:f>
        <x:v>yes</x:v>
      </x:c>
      <x:c r="AI477" s="12" t="str">
        <x:f>IF(OR(AH477="yes",AD477="debated",AC477="operational"),"yes","no")</x:f>
        <x:v>yes</x:v>
      </x:c>
      <x:c r="AJ477" s="12" t="str">
        <x:f>IF(OR(AH477="yes",AC477="operational",AD477="debated"),"high",IF(AND(AG477="yes",L477="P0"),"medium","low"))</x:f>
        <x:v>high</x:v>
      </x:c>
      <x:c r="AK477" s="12" t="str">
        <x:f>IF(ISNUMBER(SEARCH("healthy",AB477)),"yes","no")</x:f>
        <x:v>no</x:v>
      </x:c>
      <x:c r="AL477" s="12" t="str">
        <x:f>IF(AG477="yes","yes","candidate_only")</x:f>
        <x:v>candidate_only</x:v>
      </x:c>
      <x:c r="AM477" s="12" t="str">
        <x:f>IF(OR(AC477="canonical",AG477="yes"),"yes","recommended")</x:f>
        <x:v>recommended</x:v>
      </x:c>
      <x:c r="AN477" s="12" t="str">
        <x:f>IF(AC477="deprecated","exclude",IF(AND(AG477="yes",AJ477="high"),"import_but_human_review_required",IF(AG477="yes","import_as_active","import_as_backlog")))</x:f>
        <x:v>import_as_backlog</x:v>
      </x:c>
      <x:c r="AO477" s="12" t="str">
        <x:f>IF(AND(AG477="yes",OR(P477="",Q477="",R477="",S477="")),"missing_required_mvp_fields",IF(AND(AC477="canonical",Y477=""),"missing_source_ref","ok"))</x:f>
        <x:v>ok</x:v>
      </x:c>
      <x:c r="AP477" s="12" t="str">
        <x:f>IF(AO477="ok","ready_for_codex_import","needs_review")</x:f>
        <x:v>ready_for_codex_import</x:v>
      </x:c>
      <x:c r="AQ477" s="12"/>
      <x:c r="AR477" s="12" t="str">
        <x:v>Added v2 operational fields. Review before classification activation.</x:v>
      </x:c>
    </x:row>
    <x:row r="478">
      <x:c r="A478" s="13" t="str">
        <x:v>negativity_bias_memory_salience_variant</x:v>
      </x:c>
      <x:c r="B478" s="13" t="str">
        <x:v>negativity_bias</x:v>
      </x:c>
      <x:c r="C478" s="13" t="str">
        <x:v>Negativity bias</x:v>
      </x:c>
      <x:c r="D478" s="13" t="str">
        <x:v>سوگیری منفی‌نگری</x:v>
      </x:c>
      <x:c r="E478" s="13" t="str">
        <x:v>Memory/salience variant</x:v>
      </x:c>
      <x:c r="F478" s="13" t="str">
        <x:v>cognitive_biases_information_processing</x:v>
      </x:c>
      <x:c r="G478" s="13" t="str">
        <x:v>operational_variant</x:v>
      </x:c>
      <x:c r="H478" s="13" t="str">
        <x:v>contextual</x:v>
      </x:c>
      <x:c r="I478" s="13" t="str">
        <x:v>claim+context</x:v>
      </x:c>
      <x:c r="J478" s="13" t="str">
        <x:v>derived_operational_subtype</x:v>
      </x:c>
      <x:c r="K478" s="13" t="str">
        <x:v>derived_from_established_parent_review_required</x:v>
      </x:c>
      <x:c r="L478" s="13" t="str">
        <x:v>P3</x:v>
      </x:c>
      <x:c r="M478" s="13" t="str">
        <x:v>no</x:v>
      </x:c>
      <x:c r="N478" s="13" t="str">
        <x:v>Operational subtype under Negativity bias: salient or remembered cases are overweighted. Parent definition: Giving negative information disproportionate weight.</x:v>
      </x:c>
      <x:c r="O478" s="13" t="str">
        <x:v>Look for: explicit claim-level evidence; parent-family cues for Negativity bias; variant cue: salient or remembered cases are overweighted; avoid author-level inference.</x:v>
      </x:c>
      <x:c r="P478" s="13" t="str">
        <x:v>Exact evidence span in text plus claim-level reasoning link; for contextual/discourse entries, require surrounding context.</x:v>
      </x:c>
      <x:c r="Q478" s="13" t="str">
        <x:v>Do not label merely because topic is controversial, emotional, or wrong. Do not judge intent or personality. Require textual evidence and consider healthy-reasoning cues.</x:v>
      </x:c>
      <x:c r="R478" s="13" t="str">
        <x:v>Stub: A claim relies on salient or remembered cases are overweighted to support a conclusion without adequate qualification.</x:v>
      </x:c>
      <x:c r="S478" s="13" t="str">
        <x:v>Stub: A claim discusses negativity bias with caveats, balanced evidence, or no argumentative use of the pattern.</x:v>
      </x:c>
      <x:c r="T478" s="13" t="str">
        <x:v>Mild or ambiguous cue; do not classify without clear evidence span.</x:v>
      </x:c>
      <x:c r="U478" s="13" t="str">
        <x:v>Clear claim-level pattern with some argumentative impact.</x:v>
      </x:c>
      <x:c r="V478" s="13" t="str">
        <x:v>Strong pattern central to the conclusion and likely to materially distort reasoning.</x:v>
      </x:c>
      <x:c r="W478" s="13" t="str"/>
      <x:c r="X478" s="13" t="str">
        <x:v>gilovich_heuristics_biases</x:v>
      </x:c>
      <x:c r="Y478" s="13" t="str">
        <x:v>https://www.cambridge.org/core/books/heuristics-and-biases/3C30D3B05D2F190C3B8BE5E2531EFD24</x:v>
      </x:c>
      <x:c r="Z478" s="13" t="str">
        <x:v>Review before enabling. This workbook is a living taxonomy scaffold, not a validated scientific benchmark.</x:v>
      </x:c>
      <x:c r="AA478" s="13" t="str">
        <x:v>0.1.0-draft</x:v>
      </x:c>
      <x:c r="AB478" s="12" t="str">
        <x:f>IF(ISNUMBER(SEARCH("healthy",F478)),"healthy_reasoning_patterns",IF(ISNUMBER(SEARCH("statistical",F478)),"statistical_reasoning",IF(ISNUMBER(SEARCH("causal",F478)),"causal_reasoning",IF(ISNUMBER(SEARCH("social",F478)),"social_influence",IF(ISNUMBER(SEARCH("rhetoric",F478)),"rhetoric_discourse",IF(ISNUMBER(SEARCH("behavior",F478)),"behavioural_economics",IF(ISNUMBER(SEARCH("cognitive",F478)),"cognitive_biases",IF(J478="protective_pattern","healthy_reasoning_patterns",IF(L478="P0","core_mvp","extended_fallacies")))))))))</x:f>
        <x:v>cognitive_biases</x:v>
      </x:c>
      <x:c r="AC478" s="12" t="str">
        <x:f>IF(ISNUMBER(SEARCH("operational",J478)),"operational",IF(ISNUMBER(SEARCH("deprecated",J478)),"deprecated",IF(L478="P0","canonical","recognized_subtype")))</x:f>
        <x:v>operational</x:v>
      </x:c>
      <x:c r="AD478" s="12" t="str">
        <x:f>IF(AC478="canonical","high",IF(AC478="recognized_subtype","medium",IF(AC478="operational","operational_only","debated")))</x:f>
        <x:v>operational_only</x:v>
      </x:c>
      <x:c r="AE478" s="12" t="str">
        <x:f>IF(AC478="deprecated","deprecated",IF(M478="yes","active",IF(M478="review","review_required","backlog")))</x:f>
        <x:v>backlog</x:v>
      </x:c>
      <x:c r="AF478" s="12" t="str">
        <x:f>IF(OR(AE478="active",AE478="review_required"),"yes","no")</x:f>
        <x:v>no</x:v>
      </x:c>
      <x:c r="AG478" s="12" t="str">
        <x:f>IF(AND(AE478="active",M478="yes",NOT(ISNUMBER(SEARCH("healthy",AB478)))),"yes","no")</x:f>
        <x:v>no</x:v>
      </x:c>
      <x:c r="AH478" s="12" t="str">
        <x:f>IF(OR(H478="contextual",H478="dialogue",H478="discourse",I478="claim+context",I478="discourse_segment"),"yes","no")</x:f>
        <x:v>yes</x:v>
      </x:c>
      <x:c r="AI478" s="12" t="str">
        <x:f>IF(OR(AH478="yes",AD478="debated",AC478="operational"),"yes","no")</x:f>
        <x:v>yes</x:v>
      </x:c>
      <x:c r="AJ478" s="12" t="str">
        <x:f>IF(OR(AH478="yes",AC478="operational",AD478="debated"),"high",IF(AND(AG478="yes",L478="P0"),"medium","low"))</x:f>
        <x:v>high</x:v>
      </x:c>
      <x:c r="AK478" s="12" t="str">
        <x:f>IF(ISNUMBER(SEARCH("healthy",AB478)),"yes","no")</x:f>
        <x:v>no</x:v>
      </x:c>
      <x:c r="AL478" s="12" t="str">
        <x:f>IF(AG478="yes","yes","candidate_only")</x:f>
        <x:v>candidate_only</x:v>
      </x:c>
      <x:c r="AM478" s="12" t="str">
        <x:f>IF(OR(AC478="canonical",AG478="yes"),"yes","recommended")</x:f>
        <x:v>recommended</x:v>
      </x:c>
      <x:c r="AN478" s="12" t="str">
        <x:f>IF(AC478="deprecated","exclude",IF(AND(AG478="yes",AJ478="high"),"import_but_human_review_required",IF(AG478="yes","import_as_active","import_as_backlog")))</x:f>
        <x:v>import_as_backlog</x:v>
      </x:c>
      <x:c r="AO478" s="12" t="str">
        <x:f>IF(AND(AG478="yes",OR(P478="",Q478="",R478="",S478="")),"missing_required_mvp_fields",IF(AND(AC478="canonical",Y478=""),"missing_source_ref","ok"))</x:f>
        <x:v>ok</x:v>
      </x:c>
      <x:c r="AP478" s="12" t="str">
        <x:f>IF(AO478="ok","ready_for_codex_import","needs_review")</x:f>
        <x:v>ready_for_codex_import</x:v>
      </x:c>
      <x:c r="AQ478" s="12"/>
      <x:c r="AR478" s="12" t="str">
        <x:v>Added v2 operational fields. Review before classification activation.</x:v>
      </x:c>
    </x:row>
    <x:row r="479">
      <x:c r="A479" s="13" t="str">
        <x:v>salience_bias_memory_salience_variant</x:v>
      </x:c>
      <x:c r="B479" s="13" t="str">
        <x:v>salience_bias</x:v>
      </x:c>
      <x:c r="C479" s="13" t="str">
        <x:v>Salience bias</x:v>
      </x:c>
      <x:c r="D479" s="13" t="str">
        <x:v>سوگیری برجستگی</x:v>
      </x:c>
      <x:c r="E479" s="13" t="str">
        <x:v>Memory/salience variant</x:v>
      </x:c>
      <x:c r="F479" s="13" t="str">
        <x:v>cognitive_biases_information_processing</x:v>
      </x:c>
      <x:c r="G479" s="13" t="str">
        <x:v>operational_variant</x:v>
      </x:c>
      <x:c r="H479" s="13" t="str">
        <x:v>contextual</x:v>
      </x:c>
      <x:c r="I479" s="13" t="str">
        <x:v>claim+context</x:v>
      </x:c>
      <x:c r="J479" s="13" t="str">
        <x:v>derived_operational_subtype</x:v>
      </x:c>
      <x:c r="K479" s="13" t="str">
        <x:v>derived_from_established_parent_review_required</x:v>
      </x:c>
      <x:c r="L479" s="13" t="str">
        <x:v>P3</x:v>
      </x:c>
      <x:c r="M479" s="13" t="str">
        <x:v>no</x:v>
      </x:c>
      <x:c r="N479" s="13" t="str">
        <x:v>Operational subtype under Salience bias: salient or remembered cases are overweighted. Parent definition: Overweighting vivid or prominent features.</x:v>
      </x:c>
      <x:c r="O479" s="13" t="str">
        <x:v>Look for: explicit claim-level evidence; parent-family cues for Salience bias; variant cue: salient or remembered cases are overweighted; avoid author-level inference.</x:v>
      </x:c>
      <x:c r="P479" s="13" t="str">
        <x:v>Exact evidence span in text plus claim-level reasoning link; for contextual/discourse entries, require surrounding context.</x:v>
      </x:c>
      <x:c r="Q479" s="13" t="str">
        <x:v>Do not label merely because topic is controversial, emotional, or wrong. Do not judge intent or personality. Require textual evidence and consider healthy-reasoning cues.</x:v>
      </x:c>
      <x:c r="R479" s="13" t="str">
        <x:v>Stub: A claim relies on salient or remembered cases are overweighted to support a conclusion without adequate qualification.</x:v>
      </x:c>
      <x:c r="S479" s="13" t="str">
        <x:v>Stub: A claim discusses salience bias with caveats, balanced evidence, or no argumentative use of the pattern.</x:v>
      </x:c>
      <x:c r="T479" s="13" t="str">
        <x:v>Mild or ambiguous cue; do not classify without clear evidence span.</x:v>
      </x:c>
      <x:c r="U479" s="13" t="str">
        <x:v>Clear claim-level pattern with some argumentative impact.</x:v>
      </x:c>
      <x:c r="V479" s="13" t="str">
        <x:v>Strong pattern central to the conclusion and likely to materially distort reasoning.</x:v>
      </x:c>
      <x:c r="W479" s="13" t="str"/>
      <x:c r="X479" s="13" t="str">
        <x:v>kahneman_tversky_heuristics_1974</x:v>
      </x:c>
      <x:c r="Y479" s="13" t="str">
        <x:v>https://doi.org/10.1126/science.185.4157.1124</x:v>
      </x:c>
      <x:c r="Z479" s="13" t="str">
        <x:v>Review before enabling. This workbook is a living taxonomy scaffold, not a validated scientific benchmark.</x:v>
      </x:c>
      <x:c r="AA479" s="13" t="str">
        <x:v>0.1.0-draft</x:v>
      </x:c>
      <x:c r="AB479" s="12" t="str">
        <x:f>IF(ISNUMBER(SEARCH("healthy",F479)),"healthy_reasoning_patterns",IF(ISNUMBER(SEARCH("statistical",F479)),"statistical_reasoning",IF(ISNUMBER(SEARCH("causal",F479)),"causal_reasoning",IF(ISNUMBER(SEARCH("social",F479)),"social_influence",IF(ISNUMBER(SEARCH("rhetoric",F479)),"rhetoric_discourse",IF(ISNUMBER(SEARCH("behavior",F479)),"behavioural_economics",IF(ISNUMBER(SEARCH("cognitive",F479)),"cognitive_biases",IF(J479="protective_pattern","healthy_reasoning_patterns",IF(L479="P0","core_mvp","extended_fallacies")))))))))</x:f>
        <x:v>cognitive_biases</x:v>
      </x:c>
      <x:c r="AC479" s="12" t="str">
        <x:f>IF(ISNUMBER(SEARCH("operational",J479)),"operational",IF(ISNUMBER(SEARCH("deprecated",J479)),"deprecated",IF(L479="P0","canonical","recognized_subtype")))</x:f>
        <x:v>operational</x:v>
      </x:c>
      <x:c r="AD479" s="12" t="str">
        <x:f>IF(AC479="canonical","high",IF(AC479="recognized_subtype","medium",IF(AC479="operational","operational_only","debated")))</x:f>
        <x:v>operational_only</x:v>
      </x:c>
      <x:c r="AE479" s="12" t="str">
        <x:f>IF(AC479="deprecated","deprecated",IF(M479="yes","active",IF(M479="review","review_required","backlog")))</x:f>
        <x:v>backlog</x:v>
      </x:c>
      <x:c r="AF479" s="12" t="str">
        <x:f>IF(OR(AE479="active",AE479="review_required"),"yes","no")</x:f>
        <x:v>no</x:v>
      </x:c>
      <x:c r="AG479" s="12" t="str">
        <x:f>IF(AND(AE479="active",M479="yes",NOT(ISNUMBER(SEARCH("healthy",AB479)))),"yes","no")</x:f>
        <x:v>no</x:v>
      </x:c>
      <x:c r="AH479" s="12" t="str">
        <x:f>IF(OR(H479="contextual",H479="dialogue",H479="discourse",I479="claim+context",I479="discourse_segment"),"yes","no")</x:f>
        <x:v>yes</x:v>
      </x:c>
      <x:c r="AI479" s="12" t="str">
        <x:f>IF(OR(AH479="yes",AD479="debated",AC479="operational"),"yes","no")</x:f>
        <x:v>yes</x:v>
      </x:c>
      <x:c r="AJ479" s="12" t="str">
        <x:f>IF(OR(AH479="yes",AC479="operational",AD479="debated"),"high",IF(AND(AG479="yes",L479="P0"),"medium","low"))</x:f>
        <x:v>high</x:v>
      </x:c>
      <x:c r="AK479" s="12" t="str">
        <x:f>IF(ISNUMBER(SEARCH("healthy",AB479)),"yes","no")</x:f>
        <x:v>no</x:v>
      </x:c>
      <x:c r="AL479" s="12" t="str">
        <x:f>IF(AG479="yes","yes","candidate_only")</x:f>
        <x:v>candidate_only</x:v>
      </x:c>
      <x:c r="AM479" s="12" t="str">
        <x:f>IF(OR(AC479="canonical",AG479="yes"),"yes","recommended")</x:f>
        <x:v>recommended</x:v>
      </x:c>
      <x:c r="AN479" s="12" t="str">
        <x:f>IF(AC479="deprecated","exclude",IF(AND(AG479="yes",AJ479="high"),"import_but_human_review_required",IF(AG479="yes","import_as_active","import_as_backlog")))</x:f>
        <x:v>import_as_backlog</x:v>
      </x:c>
      <x:c r="AO479" s="12" t="str">
        <x:f>IF(AND(AG479="yes",OR(P479="",Q479="",R479="",S479="")),"missing_required_mvp_fields",IF(AND(AC479="canonical",Y479=""),"missing_source_ref","ok"))</x:f>
        <x:v>ok</x:v>
      </x:c>
      <x:c r="AP479" s="12" t="str">
        <x:f>IF(AO479="ok","ready_for_codex_import","needs_review")</x:f>
        <x:v>ready_for_codex_import</x:v>
      </x:c>
      <x:c r="AQ479" s="12"/>
      <x:c r="AR479" s="12" t="str">
        <x:v>Added v2 operational fields. Review before classification activation.</x:v>
      </x:c>
    </x:row>
    <x:row r="480">
      <x:c r="A480" s="13" t="str">
        <x:v>attentional_bias_memory_salience_variant</x:v>
      </x:c>
      <x:c r="B480" s="13" t="str">
        <x:v>attentional_bias</x:v>
      </x:c>
      <x:c r="C480" s="13" t="str">
        <x:v>Attentional bias</x:v>
      </x:c>
      <x:c r="D480" s="13" t="str">
        <x:v>سوگیری توجه</x:v>
      </x:c>
      <x:c r="E480" s="13" t="str">
        <x:v>Memory/salience variant</x:v>
      </x:c>
      <x:c r="F480" s="13" t="str">
        <x:v>cognitive_biases_information_processing</x:v>
      </x:c>
      <x:c r="G480" s="13" t="str">
        <x:v>operational_variant</x:v>
      </x:c>
      <x:c r="H480" s="13" t="str">
        <x:v>contextual</x:v>
      </x:c>
      <x:c r="I480" s="13" t="str">
        <x:v>claim+context</x:v>
      </x:c>
      <x:c r="J480" s="13" t="str">
        <x:v>derived_operational_subtype</x:v>
      </x:c>
      <x:c r="K480" s="13" t="str">
        <x:v>derived_from_established_parent_review_required</x:v>
      </x:c>
      <x:c r="L480" s="13" t="str">
        <x:v>P3</x:v>
      </x:c>
      <x:c r="M480" s="13" t="str">
        <x:v>no</x:v>
      </x:c>
      <x:c r="N480" s="13" t="str">
        <x:v>Operational subtype under Attentional bias: salient or remembered cases are overweighted. Parent definition: Attention is disproportionately drawn to certain types of information.</x:v>
      </x:c>
      <x:c r="O480" s="13" t="str">
        <x:v>Look for: explicit claim-level evidence; parent-family cues for Attentional bias; variant cue: salient or remembered cases are overweighted; avoid author-level inference.</x:v>
      </x:c>
      <x:c r="P480" s="13" t="str">
        <x:v>Exact evidence span in text plus claim-level reasoning link; for contextual/discourse entries, require surrounding context.</x:v>
      </x:c>
      <x:c r="Q480" s="13" t="str">
        <x:v>Do not label merely because topic is controversial, emotional, or wrong. Do not judge intent or personality. Require textual evidence and consider healthy-reasoning cues.</x:v>
      </x:c>
      <x:c r="R480" s="13" t="str">
        <x:v>Stub: A claim relies on salient or remembered cases are overweighted to support a conclusion without adequate qualification.</x:v>
      </x:c>
      <x:c r="S480" s="13" t="str">
        <x:v>Stub: A claim discusses attentional bias with caveats, balanced evidence, or no argumentative use of the pattern.</x:v>
      </x:c>
      <x:c r="T480" s="13" t="str">
        <x:v>Mild or ambiguous cue; do not classify without clear evidence span.</x:v>
      </x:c>
      <x:c r="U480" s="13" t="str">
        <x:v>Clear claim-level pattern with some argumentative impact.</x:v>
      </x:c>
      <x:c r="V480" s="13" t="str">
        <x:v>Strong pattern central to the conclusion and likely to materially distort reasoning.</x:v>
      </x:c>
      <x:c r="W480" s="13" t="str"/>
      <x:c r="X480" s="13" t="str">
        <x:v>gilovich_heuristics_biases</x:v>
      </x:c>
      <x:c r="Y480" s="13" t="str">
        <x:v>https://www.cambridge.org/core/books/heuristics-and-biases/3C30D3B05D2F190C3B8BE5E2531EFD24</x:v>
      </x:c>
      <x:c r="Z480" s="13" t="str">
        <x:v>Review before enabling. This workbook is a living taxonomy scaffold, not a validated scientific benchmark.</x:v>
      </x:c>
      <x:c r="AA480" s="13" t="str">
        <x:v>0.1.0-draft</x:v>
      </x:c>
      <x:c r="AB480" s="12" t="str">
        <x:f>IF(ISNUMBER(SEARCH("healthy",F480)),"healthy_reasoning_patterns",IF(ISNUMBER(SEARCH("statistical",F480)),"statistical_reasoning",IF(ISNUMBER(SEARCH("causal",F480)),"causal_reasoning",IF(ISNUMBER(SEARCH("social",F480)),"social_influence",IF(ISNUMBER(SEARCH("rhetoric",F480)),"rhetoric_discourse",IF(ISNUMBER(SEARCH("behavior",F480)),"behavioural_economics",IF(ISNUMBER(SEARCH("cognitive",F480)),"cognitive_biases",IF(J480="protective_pattern","healthy_reasoning_patterns",IF(L480="P0","core_mvp","extended_fallacies")))))))))</x:f>
        <x:v>cognitive_biases</x:v>
      </x:c>
      <x:c r="AC480" s="12" t="str">
        <x:f>IF(ISNUMBER(SEARCH("operational",J480)),"operational",IF(ISNUMBER(SEARCH("deprecated",J480)),"deprecated",IF(L480="P0","canonical","recognized_subtype")))</x:f>
        <x:v>operational</x:v>
      </x:c>
      <x:c r="AD480" s="12" t="str">
        <x:f>IF(AC480="canonical","high",IF(AC480="recognized_subtype","medium",IF(AC480="operational","operational_only","debated")))</x:f>
        <x:v>operational_only</x:v>
      </x:c>
      <x:c r="AE480" s="12" t="str">
        <x:f>IF(AC480="deprecated","deprecated",IF(M480="yes","active",IF(M480="review","review_required","backlog")))</x:f>
        <x:v>backlog</x:v>
      </x:c>
      <x:c r="AF480" s="12" t="str">
        <x:f>IF(OR(AE480="active",AE480="review_required"),"yes","no")</x:f>
        <x:v>no</x:v>
      </x:c>
      <x:c r="AG480" s="12" t="str">
        <x:f>IF(AND(AE480="active",M480="yes",NOT(ISNUMBER(SEARCH("healthy",AB480)))),"yes","no")</x:f>
        <x:v>no</x:v>
      </x:c>
      <x:c r="AH480" s="12" t="str">
        <x:f>IF(OR(H480="contextual",H480="dialogue",H480="discourse",I480="claim+context",I480="discourse_segment"),"yes","no")</x:f>
        <x:v>yes</x:v>
      </x:c>
      <x:c r="AI480" s="12" t="str">
        <x:f>IF(OR(AH480="yes",AD480="debated",AC480="operational"),"yes","no")</x:f>
        <x:v>yes</x:v>
      </x:c>
      <x:c r="AJ480" s="12" t="str">
        <x:f>IF(OR(AH480="yes",AC480="operational",AD480="debated"),"high",IF(AND(AG480="yes",L480="P0"),"medium","low"))</x:f>
        <x:v>high</x:v>
      </x:c>
      <x:c r="AK480" s="12" t="str">
        <x:f>IF(ISNUMBER(SEARCH("healthy",AB480)),"yes","no")</x:f>
        <x:v>no</x:v>
      </x:c>
      <x:c r="AL480" s="12" t="str">
        <x:f>IF(AG480="yes","yes","candidate_only")</x:f>
        <x:v>candidate_only</x:v>
      </x:c>
      <x:c r="AM480" s="12" t="str">
        <x:f>IF(OR(AC480="canonical",AG480="yes"),"yes","recommended")</x:f>
        <x:v>recommended</x:v>
      </x:c>
      <x:c r="AN480" s="12" t="str">
        <x:f>IF(AC480="deprecated","exclude",IF(AND(AG480="yes",AJ480="high"),"import_but_human_review_required",IF(AG480="yes","import_as_active","import_as_backlog")))</x:f>
        <x:v>import_as_backlog</x:v>
      </x:c>
      <x:c r="AO480" s="12" t="str">
        <x:f>IF(AND(AG480="yes",OR(P480="",Q480="",R480="",S480="")),"missing_required_mvp_fields",IF(AND(AC480="canonical",Y480=""),"missing_source_ref","ok"))</x:f>
        <x:v>ok</x:v>
      </x:c>
      <x:c r="AP480" s="12" t="str">
        <x:f>IF(AO480="ok","ready_for_codex_import","needs_review")</x:f>
        <x:v>ready_for_codex_import</x:v>
      </x:c>
      <x:c r="AQ480" s="12"/>
      <x:c r="AR480" s="12" t="str">
        <x:v>Added v2 operational fields. Review before classification activation.</x:v>
      </x:c>
    </x:row>
    <x:row r="481">
      <x:c r="A481" s="13" t="str">
        <x:v>halo_effect_memory_salience_variant</x:v>
      </x:c>
      <x:c r="B481" s="13" t="str">
        <x:v>halo_effect</x:v>
      </x:c>
      <x:c r="C481" s="13" t="str">
        <x:v>Halo effect</x:v>
      </x:c>
      <x:c r="D481" s="13" t="str">
        <x:v>اثر هاله‌ای</x:v>
      </x:c>
      <x:c r="E481" s="13" t="str">
        <x:v>Memory/salience variant</x:v>
      </x:c>
      <x:c r="F481" s="13" t="str">
        <x:v>cognitive_biases_information_processing</x:v>
      </x:c>
      <x:c r="G481" s="13" t="str">
        <x:v>operational_variant</x:v>
      </x:c>
      <x:c r="H481" s="13" t="str">
        <x:v>contextual</x:v>
      </x:c>
      <x:c r="I481" s="13" t="str">
        <x:v>claim+context</x:v>
      </x:c>
      <x:c r="J481" s="13" t="str">
        <x:v>derived_operational_subtype</x:v>
      </x:c>
      <x:c r="K481" s="13" t="str">
        <x:v>derived_from_established_parent_review_required</x:v>
      </x:c>
      <x:c r="L481" s="13" t="str">
        <x:v>P3</x:v>
      </x:c>
      <x:c r="M481" s="13" t="str">
        <x:v>no</x:v>
      </x:c>
      <x:c r="N481" s="13" t="str">
        <x:v>Operational subtype under Halo effect: salient or remembered cases are overweighted. Parent definition: Letting one positive feature color unrelated judgments.</x:v>
      </x:c>
      <x:c r="O481" s="13" t="str">
        <x:v>Look for: explicit claim-level evidence; parent-family cues for Halo effect; variant cue: salient or remembered cases are overweighted; avoid author-level inference.</x:v>
      </x:c>
      <x:c r="P481" s="13" t="str">
        <x:v>Exact evidence span in text plus claim-level reasoning link; for contextual/discourse entries, require surrounding context.</x:v>
      </x:c>
      <x:c r="Q481" s="13" t="str">
        <x:v>Do not label merely because topic is controversial, emotional, or wrong. Do not judge intent or personality. Require textual evidence and consider healthy-reasoning cues.</x:v>
      </x:c>
      <x:c r="R481" s="13" t="str">
        <x:v>Stub: A claim relies on salient or remembered cases are overweighted to support a conclusion without adequate qualification.</x:v>
      </x:c>
      <x:c r="S481" s="13" t="str">
        <x:v>Stub: A claim discusses halo effect with caveats, balanced evidence, or no argumentative use of the pattern.</x:v>
      </x:c>
      <x:c r="T481" s="13" t="str">
        <x:v>Mild or ambiguous cue; do not classify without clear evidence span.</x:v>
      </x:c>
      <x:c r="U481" s="13" t="str">
        <x:v>Clear claim-level pattern with some argumentative impact.</x:v>
      </x:c>
      <x:c r="V481" s="13" t="str">
        <x:v>Strong pattern central to the conclusion and likely to materially distort reasoning.</x:v>
      </x:c>
      <x:c r="W481" s="13" t="str"/>
      <x:c r="X481" s="13" t="str">
        <x:v>gilovich_heuristics_biases</x:v>
      </x:c>
      <x:c r="Y481" s="13" t="str">
        <x:v>https://www.cambridge.org/core/books/heuristics-and-biases/3C30D3B05D2F190C3B8BE5E2531EFD24</x:v>
      </x:c>
      <x:c r="Z481" s="13" t="str">
        <x:v>Review before enabling. This workbook is a living taxonomy scaffold, not a validated scientific benchmark.</x:v>
      </x:c>
      <x:c r="AA481" s="13" t="str">
        <x:v>0.1.0-draft</x:v>
      </x:c>
      <x:c r="AB481" s="12" t="str">
        <x:f>IF(ISNUMBER(SEARCH("healthy",F481)),"healthy_reasoning_patterns",IF(ISNUMBER(SEARCH("statistical",F481)),"statistical_reasoning",IF(ISNUMBER(SEARCH("causal",F481)),"causal_reasoning",IF(ISNUMBER(SEARCH("social",F481)),"social_influence",IF(ISNUMBER(SEARCH("rhetoric",F481)),"rhetoric_discourse",IF(ISNUMBER(SEARCH("behavior",F481)),"behavioural_economics",IF(ISNUMBER(SEARCH("cognitive",F481)),"cognitive_biases",IF(J481="protective_pattern","healthy_reasoning_patterns",IF(L481="P0","core_mvp","extended_fallacies")))))))))</x:f>
        <x:v>cognitive_biases</x:v>
      </x:c>
      <x:c r="AC481" s="12" t="str">
        <x:f>IF(ISNUMBER(SEARCH("operational",J481)),"operational",IF(ISNUMBER(SEARCH("deprecated",J481)),"deprecated",IF(L481="P0","canonical","recognized_subtype")))</x:f>
        <x:v>operational</x:v>
      </x:c>
      <x:c r="AD481" s="12" t="str">
        <x:f>IF(AC481="canonical","high",IF(AC481="recognized_subtype","medium",IF(AC481="operational","operational_only","debated")))</x:f>
        <x:v>operational_only</x:v>
      </x:c>
      <x:c r="AE481" s="12" t="str">
        <x:f>IF(AC481="deprecated","deprecated",IF(M481="yes","active",IF(M481="review","review_required","backlog")))</x:f>
        <x:v>backlog</x:v>
      </x:c>
      <x:c r="AF481" s="12" t="str">
        <x:f>IF(OR(AE481="active",AE481="review_required"),"yes","no")</x:f>
        <x:v>no</x:v>
      </x:c>
      <x:c r="AG481" s="12" t="str">
        <x:f>IF(AND(AE481="active",M481="yes",NOT(ISNUMBER(SEARCH("healthy",AB481)))),"yes","no")</x:f>
        <x:v>no</x:v>
      </x:c>
      <x:c r="AH481" s="12" t="str">
        <x:f>IF(OR(H481="contextual",H481="dialogue",H481="discourse",I481="claim+context",I481="discourse_segment"),"yes","no")</x:f>
        <x:v>yes</x:v>
      </x:c>
      <x:c r="AI481" s="12" t="str">
        <x:f>IF(OR(AH481="yes",AD481="debated",AC481="operational"),"yes","no")</x:f>
        <x:v>yes</x:v>
      </x:c>
      <x:c r="AJ481" s="12" t="str">
        <x:f>IF(OR(AH481="yes",AC481="operational",AD481="debated"),"high",IF(AND(AG481="yes",L481="P0"),"medium","low"))</x:f>
        <x:v>high</x:v>
      </x:c>
      <x:c r="AK481" s="12" t="str">
        <x:f>IF(ISNUMBER(SEARCH("healthy",AB481)),"yes","no")</x:f>
        <x:v>no</x:v>
      </x:c>
      <x:c r="AL481" s="12" t="str">
        <x:f>IF(AG481="yes","yes","candidate_only")</x:f>
        <x:v>candidate_only</x:v>
      </x:c>
      <x:c r="AM481" s="12" t="str">
        <x:f>IF(OR(AC481="canonical",AG481="yes"),"yes","recommended")</x:f>
        <x:v>recommended</x:v>
      </x:c>
      <x:c r="AN481" s="12" t="str">
        <x:f>IF(AC481="deprecated","exclude",IF(AND(AG481="yes",AJ481="high"),"import_but_human_review_required",IF(AG481="yes","import_as_active","import_as_backlog")))</x:f>
        <x:v>import_as_backlog</x:v>
      </x:c>
      <x:c r="AO481" s="12" t="str">
        <x:f>IF(AND(AG481="yes",OR(P481="",Q481="",R481="",S481="")),"missing_required_mvp_fields",IF(AND(AC481="canonical",Y481=""),"missing_source_ref","ok"))</x:f>
        <x:v>ok</x:v>
      </x:c>
      <x:c r="AP481" s="12" t="str">
        <x:f>IF(AO481="ok","ready_for_codex_import","needs_review")</x:f>
        <x:v>ready_for_codex_import</x:v>
      </x:c>
      <x:c r="AQ481" s="12"/>
      <x:c r="AR481" s="12" t="str">
        <x:v>Added v2 operational fields. Review before classification activation.</x:v>
      </x:c>
    </x:row>
    <x:row r="482">
      <x:c r="A482" s="13" t="str">
        <x:v>horns_effect_memory_salience_variant</x:v>
      </x:c>
      <x:c r="B482" s="13" t="str">
        <x:v>horns_effect</x:v>
      </x:c>
      <x:c r="C482" s="13" t="str">
        <x:v>Horns effect</x:v>
      </x:c>
      <x:c r="D482" s="13" t="str">
        <x:v>اثر شاخ</x:v>
      </x:c>
      <x:c r="E482" s="13" t="str">
        <x:v>Memory/salience variant</x:v>
      </x:c>
      <x:c r="F482" s="13" t="str">
        <x:v>cognitive_biases_information_processing</x:v>
      </x:c>
      <x:c r="G482" s="13" t="str">
        <x:v>operational_variant</x:v>
      </x:c>
      <x:c r="H482" s="13" t="str">
        <x:v>contextual</x:v>
      </x:c>
      <x:c r="I482" s="13" t="str">
        <x:v>claim+context</x:v>
      </x:c>
      <x:c r="J482" s="13" t="str">
        <x:v>derived_operational_subtype</x:v>
      </x:c>
      <x:c r="K482" s="13" t="str">
        <x:v>derived_from_established_parent_review_required</x:v>
      </x:c>
      <x:c r="L482" s="13" t="str">
        <x:v>P3</x:v>
      </x:c>
      <x:c r="M482" s="13" t="str">
        <x:v>no</x:v>
      </x:c>
      <x:c r="N482" s="13" t="str">
        <x:v>Operational subtype under Horns effect: salient or remembered cases are overweighted. Parent definition: Letting one negative feature color unrelated judgments.</x:v>
      </x:c>
      <x:c r="O482" s="13" t="str">
        <x:v>Look for: explicit claim-level evidence; parent-family cues for Horns effect; variant cue: salient or remembered cases are overweighted; avoid author-level inference.</x:v>
      </x:c>
      <x:c r="P482" s="13" t="str">
        <x:v>Exact evidence span in text plus claim-level reasoning link; for contextual/discourse entries, require surrounding context.</x:v>
      </x:c>
      <x:c r="Q482" s="13" t="str">
        <x:v>Do not label merely because topic is controversial, emotional, or wrong. Do not judge intent or personality. Require textual evidence and consider healthy-reasoning cues.</x:v>
      </x:c>
      <x:c r="R482" s="13" t="str">
        <x:v>Stub: A claim relies on salient or remembered cases are overweighted to support a conclusion without adequate qualification.</x:v>
      </x:c>
      <x:c r="S482" s="13" t="str">
        <x:v>Stub: A claim discusses horns effect with caveats, balanced evidence, or no argumentative use of the pattern.</x:v>
      </x:c>
      <x:c r="T482" s="13" t="str">
        <x:v>Mild or ambiguous cue; do not classify without clear evidence span.</x:v>
      </x:c>
      <x:c r="U482" s="13" t="str">
        <x:v>Clear claim-level pattern with some argumentative impact.</x:v>
      </x:c>
      <x:c r="V482" s="13" t="str">
        <x:v>Strong pattern central to the conclusion and likely to materially distort reasoning.</x:v>
      </x:c>
      <x:c r="W482" s="13" t="str"/>
      <x:c r="X482" s="13" t="str">
        <x:v>gilovich_heuristics_biases</x:v>
      </x:c>
      <x:c r="Y482" s="13" t="str">
        <x:v>https://www.cambridge.org/core/books/heuristics-and-biases/3C30D3B05D2F190C3B8BE5E2531EFD24</x:v>
      </x:c>
      <x:c r="Z482" s="13" t="str">
        <x:v>Review before enabling. This workbook is a living taxonomy scaffold, not a validated scientific benchmark.</x:v>
      </x:c>
      <x:c r="AA482" s="13" t="str">
        <x:v>0.1.0-draft</x:v>
      </x:c>
      <x:c r="AB482" s="12" t="str">
        <x:f>IF(ISNUMBER(SEARCH("healthy",F482)),"healthy_reasoning_patterns",IF(ISNUMBER(SEARCH("statistical",F482)),"statistical_reasoning",IF(ISNUMBER(SEARCH("causal",F482)),"causal_reasoning",IF(ISNUMBER(SEARCH("social",F482)),"social_influence",IF(ISNUMBER(SEARCH("rhetoric",F482)),"rhetoric_discourse",IF(ISNUMBER(SEARCH("behavior",F482)),"behavioural_economics",IF(ISNUMBER(SEARCH("cognitive",F482)),"cognitive_biases",IF(J482="protective_pattern","healthy_reasoning_patterns",IF(L482="P0","core_mvp","extended_fallacies")))))))))</x:f>
        <x:v>cognitive_biases</x:v>
      </x:c>
      <x:c r="AC482" s="12" t="str">
        <x:f>IF(ISNUMBER(SEARCH("operational",J482)),"operational",IF(ISNUMBER(SEARCH("deprecated",J482)),"deprecated",IF(L482="P0","canonical","recognized_subtype")))</x:f>
        <x:v>operational</x:v>
      </x:c>
      <x:c r="AD482" s="12" t="str">
        <x:f>IF(AC482="canonical","high",IF(AC482="recognized_subtype","medium",IF(AC482="operational","operational_only","debated")))</x:f>
        <x:v>operational_only</x:v>
      </x:c>
      <x:c r="AE482" s="12" t="str">
        <x:f>IF(AC482="deprecated","deprecated",IF(M482="yes","active",IF(M482="review","review_required","backlog")))</x:f>
        <x:v>backlog</x:v>
      </x:c>
      <x:c r="AF482" s="12" t="str">
        <x:f>IF(OR(AE482="active",AE482="review_required"),"yes","no")</x:f>
        <x:v>no</x:v>
      </x:c>
      <x:c r="AG482" s="12" t="str">
        <x:f>IF(AND(AE482="active",M482="yes",NOT(ISNUMBER(SEARCH("healthy",AB482)))),"yes","no")</x:f>
        <x:v>no</x:v>
      </x:c>
      <x:c r="AH482" s="12" t="str">
        <x:f>IF(OR(H482="contextual",H482="dialogue",H482="discourse",I482="claim+context",I482="discourse_segment"),"yes","no")</x:f>
        <x:v>yes</x:v>
      </x:c>
      <x:c r="AI482" s="12" t="str">
        <x:f>IF(OR(AH482="yes",AD482="debated",AC482="operational"),"yes","no")</x:f>
        <x:v>yes</x:v>
      </x:c>
      <x:c r="AJ482" s="12" t="str">
        <x:f>IF(OR(AH482="yes",AC482="operational",AD482="debated"),"high",IF(AND(AG482="yes",L482="P0"),"medium","low"))</x:f>
        <x:v>high</x:v>
      </x:c>
      <x:c r="AK482" s="12" t="str">
        <x:f>IF(ISNUMBER(SEARCH("healthy",AB482)),"yes","no")</x:f>
        <x:v>no</x:v>
      </x:c>
      <x:c r="AL482" s="12" t="str">
        <x:f>IF(AG482="yes","yes","candidate_only")</x:f>
        <x:v>candidate_only</x:v>
      </x:c>
      <x:c r="AM482" s="12" t="str">
        <x:f>IF(OR(AC482="canonical",AG482="yes"),"yes","recommended")</x:f>
        <x:v>recommended</x:v>
      </x:c>
      <x:c r="AN482" s="12" t="str">
        <x:f>IF(AC482="deprecated","exclude",IF(AND(AG482="yes",AJ482="high"),"import_but_human_review_required",IF(AG482="yes","import_as_active","import_as_backlog")))</x:f>
        <x:v>import_as_backlog</x:v>
      </x:c>
      <x:c r="AO482" s="12" t="str">
        <x:f>IF(AND(AG482="yes",OR(P482="",Q482="",R482="",S482="")),"missing_required_mvp_fields",IF(AND(AC482="canonical",Y482=""),"missing_source_ref","ok"))</x:f>
        <x:v>ok</x:v>
      </x:c>
      <x:c r="AP482" s="12" t="str">
        <x:f>IF(AO482="ok","ready_for_codex_import","needs_review")</x:f>
        <x:v>ready_for_codex_import</x:v>
      </x:c>
      <x:c r="AQ482" s="12"/>
      <x:c r="AR482" s="12" t="str">
        <x:v>Added v2 operational fields. Review before classification activation.</x:v>
      </x:c>
    </x:row>
    <x:row r="483">
      <x:c r="A483" s="13" t="str">
        <x:v>fundamental_attribution_error_memory_salience_variant</x:v>
      </x:c>
      <x:c r="B483" s="13" t="str">
        <x:v>fundamental_attribution_error</x:v>
      </x:c>
      <x:c r="C483" s="13" t="str">
        <x:v>Fundamental attribution error</x:v>
      </x:c>
      <x:c r="D483" s="13" t="str">
        <x:v>خطای اسناد بنیادی</x:v>
      </x:c>
      <x:c r="E483" s="13" t="str">
        <x:v>Memory/salience variant</x:v>
      </x:c>
      <x:c r="F483" s="13" t="str">
        <x:v>cognitive_biases_information_processing</x:v>
      </x:c>
      <x:c r="G483" s="13" t="str">
        <x:v>operational_variant</x:v>
      </x:c>
      <x:c r="H483" s="13" t="str">
        <x:v>contextual</x:v>
      </x:c>
      <x:c r="I483" s="13" t="str">
        <x:v>claim+context</x:v>
      </x:c>
      <x:c r="J483" s="13" t="str">
        <x:v>derived_operational_subtype</x:v>
      </x:c>
      <x:c r="K483" s="13" t="str">
        <x:v>derived_from_established_parent_review_required</x:v>
      </x:c>
      <x:c r="L483" s="13" t="str">
        <x:v>P3</x:v>
      </x:c>
      <x:c r="M483" s="13" t="str">
        <x:v>no</x:v>
      </x:c>
      <x:c r="N483" s="13" t="str">
        <x:v>Operational subtype under Fundamental attribution error: salient or remembered cases are overweighted. Parent definition: Overemphasizing dispositional explanations and underweighting situational context.</x:v>
      </x:c>
      <x:c r="O483" s="13" t="str">
        <x:v>Look for: explicit claim-level evidence; parent-family cues for Fundamental attribution error; variant cue: salient or remembered cases are overweighted; avoid author-level inference.</x:v>
      </x:c>
      <x:c r="P483" s="13" t="str">
        <x:v>Exact evidence span in text plus claim-level reasoning link; for contextual/discourse entries, require surrounding context.</x:v>
      </x:c>
      <x:c r="Q483" s="13" t="str">
        <x:v>Do not label merely because topic is controversial, emotional, or wrong. Do not judge intent or personality. Require textual evidence and consider healthy-reasoning cues.</x:v>
      </x:c>
      <x:c r="R483" s="13" t="str">
        <x:v>Stub: A claim relies on salient or remembered cases are overweighted to support a conclusion without adequate qualification.</x:v>
      </x:c>
      <x:c r="S483" s="13" t="str">
        <x:v>Stub: A claim discusses fundamental attribution error with caveats, balanced evidence, or no argumentative use of the pattern.</x:v>
      </x:c>
      <x:c r="T483" s="13" t="str">
        <x:v>Mild or ambiguous cue; do not classify without clear evidence span.</x:v>
      </x:c>
      <x:c r="U483" s="13" t="str">
        <x:v>Clear claim-level pattern with some argumentative impact.</x:v>
      </x:c>
      <x:c r="V483" s="13" t="str">
        <x:v>Strong pattern central to the conclusion and likely to materially distort reasoning.</x:v>
      </x:c>
      <x:c r="W483" s="13" t="str"/>
      <x:c r="X483" s="13" t="str">
        <x:v>gilovich_heuristics_biases</x:v>
      </x:c>
      <x:c r="Y483" s="13" t="str">
        <x:v>https://www.cambridge.org/core/books/heuristics-and-biases/3C30D3B05D2F190C3B8BE5E2531EFD24</x:v>
      </x:c>
      <x:c r="Z483" s="13" t="str">
        <x:v>Review before enabling. This workbook is a living taxonomy scaffold, not a validated scientific benchmark.</x:v>
      </x:c>
      <x:c r="AA483" s="13" t="str">
        <x:v>0.1.0-draft</x:v>
      </x:c>
      <x:c r="AB483" s="12" t="str">
        <x:f>IF(ISNUMBER(SEARCH("healthy",F483)),"healthy_reasoning_patterns",IF(ISNUMBER(SEARCH("statistical",F483)),"statistical_reasoning",IF(ISNUMBER(SEARCH("causal",F483)),"causal_reasoning",IF(ISNUMBER(SEARCH("social",F483)),"social_influence",IF(ISNUMBER(SEARCH("rhetoric",F483)),"rhetoric_discourse",IF(ISNUMBER(SEARCH("behavior",F483)),"behavioural_economics",IF(ISNUMBER(SEARCH("cognitive",F483)),"cognitive_biases",IF(J483="protective_pattern","healthy_reasoning_patterns",IF(L483="P0","core_mvp","extended_fallacies")))))))))</x:f>
        <x:v>cognitive_biases</x:v>
      </x:c>
      <x:c r="AC483" s="12" t="str">
        <x:f>IF(ISNUMBER(SEARCH("operational",J483)),"operational",IF(ISNUMBER(SEARCH("deprecated",J483)),"deprecated",IF(L483="P0","canonical","recognized_subtype")))</x:f>
        <x:v>operational</x:v>
      </x:c>
      <x:c r="AD483" s="12" t="str">
        <x:f>IF(AC483="canonical","high",IF(AC483="recognized_subtype","medium",IF(AC483="operational","operational_only","debated")))</x:f>
        <x:v>operational_only</x:v>
      </x:c>
      <x:c r="AE483" s="12" t="str">
        <x:f>IF(AC483="deprecated","deprecated",IF(M483="yes","active",IF(M483="review","review_required","backlog")))</x:f>
        <x:v>backlog</x:v>
      </x:c>
      <x:c r="AF483" s="12" t="str">
        <x:f>IF(OR(AE483="active",AE483="review_required"),"yes","no")</x:f>
        <x:v>no</x:v>
      </x:c>
      <x:c r="AG483" s="12" t="str">
        <x:f>IF(AND(AE483="active",M483="yes",NOT(ISNUMBER(SEARCH("healthy",AB483)))),"yes","no")</x:f>
        <x:v>no</x:v>
      </x:c>
      <x:c r="AH483" s="12" t="str">
        <x:f>IF(OR(H483="contextual",H483="dialogue",H483="discourse",I483="claim+context",I483="discourse_segment"),"yes","no")</x:f>
        <x:v>yes</x:v>
      </x:c>
      <x:c r="AI483" s="12" t="str">
        <x:f>IF(OR(AH483="yes",AD483="debated",AC483="operational"),"yes","no")</x:f>
        <x:v>yes</x:v>
      </x:c>
      <x:c r="AJ483" s="12" t="str">
        <x:f>IF(OR(AH483="yes",AC483="operational",AD483="debated"),"high",IF(AND(AG483="yes",L483="P0"),"medium","low"))</x:f>
        <x:v>high</x:v>
      </x:c>
      <x:c r="AK483" s="12" t="str">
        <x:f>IF(ISNUMBER(SEARCH("healthy",AB483)),"yes","no")</x:f>
        <x:v>no</x:v>
      </x:c>
      <x:c r="AL483" s="12" t="str">
        <x:f>IF(AG483="yes","yes","candidate_only")</x:f>
        <x:v>candidate_only</x:v>
      </x:c>
      <x:c r="AM483" s="12" t="str">
        <x:f>IF(OR(AC483="canonical",AG483="yes"),"yes","recommended")</x:f>
        <x:v>recommended</x:v>
      </x:c>
      <x:c r="AN483" s="12" t="str">
        <x:f>IF(AC483="deprecated","exclude",IF(AND(AG483="yes",AJ483="high"),"import_but_human_review_required",IF(AG483="yes","import_as_active","import_as_backlog")))</x:f>
        <x:v>import_as_backlog</x:v>
      </x:c>
      <x:c r="AO483" s="12" t="str">
        <x:f>IF(AND(AG483="yes",OR(P483="",Q483="",R483="",S483="")),"missing_required_mvp_fields",IF(AND(AC483="canonical",Y483=""),"missing_source_ref","ok"))</x:f>
        <x:v>ok</x:v>
      </x:c>
      <x:c r="AP483" s="12" t="str">
        <x:f>IF(AO483="ok","ready_for_codex_import","needs_review")</x:f>
        <x:v>ready_for_codex_import</x:v>
      </x:c>
      <x:c r="AQ483" s="12"/>
      <x:c r="AR483" s="12" t="str">
        <x:v>Added v2 operational fields. Review before classification activation.</x:v>
      </x:c>
    </x:row>
    <x:row r="484">
      <x:c r="A484" s="13" t="str">
        <x:v>actor_observer_bias_memory_salience_variant</x:v>
      </x:c>
      <x:c r="B484" s="13" t="str">
        <x:v>actor_observer_bias</x:v>
      </x:c>
      <x:c r="C484" s="13" t="str">
        <x:v>Actor-observer bias</x:v>
      </x:c>
      <x:c r="D484" s="13" t="str">
        <x:v>سوگیری کنشگر-ناظر</x:v>
      </x:c>
      <x:c r="E484" s="13" t="str">
        <x:v>Memory/salience variant</x:v>
      </x:c>
      <x:c r="F484" s="13" t="str">
        <x:v>cognitive_biases_information_processing</x:v>
      </x:c>
      <x:c r="G484" s="13" t="str">
        <x:v>operational_variant</x:v>
      </x:c>
      <x:c r="H484" s="13" t="str">
        <x:v>contextual</x:v>
      </x:c>
      <x:c r="I484" s="13" t="str">
        <x:v>claim+context</x:v>
      </x:c>
      <x:c r="J484" s="13" t="str">
        <x:v>derived_operational_subtype</x:v>
      </x:c>
      <x:c r="K484" s="13" t="str">
        <x:v>derived_from_established_parent_review_required</x:v>
      </x:c>
      <x:c r="L484" s="13" t="str">
        <x:v>P3</x:v>
      </x:c>
      <x:c r="M484" s="13" t="str">
        <x:v>no</x:v>
      </x:c>
      <x:c r="N484" s="13" t="str">
        <x:v>Operational subtype under Actor-observer bias: salient or remembered cases are overweighted. Parent definition: Explaining one's own behavior situationally and others' behavior dispositionally.</x:v>
      </x:c>
      <x:c r="O484" s="13" t="str">
        <x:v>Look for: explicit claim-level evidence; parent-family cues for Actor-observer bias; variant cue: salient or remembered cases are overweighted; avoid author-level inference.</x:v>
      </x:c>
      <x:c r="P484" s="13" t="str">
        <x:v>Exact evidence span in text plus claim-level reasoning link; for contextual/discourse entries, require surrounding context.</x:v>
      </x:c>
      <x:c r="Q484" s="13" t="str">
        <x:v>Do not label merely because topic is controversial, emotional, or wrong. Do not judge intent or personality. Require textual evidence and consider healthy-reasoning cues.</x:v>
      </x:c>
      <x:c r="R484" s="13" t="str">
        <x:v>Stub: A claim relies on salient or remembered cases are overweighted to support a conclusion without adequate qualification.</x:v>
      </x:c>
      <x:c r="S484" s="13" t="str">
        <x:v>Stub: A claim discusses actor-observer bias with caveats, balanced evidence, or no argumentative use of the pattern.</x:v>
      </x:c>
      <x:c r="T484" s="13" t="str">
        <x:v>Mild or ambiguous cue; do not classify without clear evidence span.</x:v>
      </x:c>
      <x:c r="U484" s="13" t="str">
        <x:v>Clear claim-level pattern with some argumentative impact.</x:v>
      </x:c>
      <x:c r="V484" s="13" t="str">
        <x:v>Strong pattern central to the conclusion and likely to materially distort reasoning.</x:v>
      </x:c>
      <x:c r="W484" s="13" t="str"/>
      <x:c r="X484" s="13" t="str">
        <x:v>gilovich_heuristics_biases</x:v>
      </x:c>
      <x:c r="Y484" s="13" t="str">
        <x:v>https://www.cambridge.org/core/books/heuristics-and-biases/3C30D3B05D2F190C3B8BE5E2531EFD24</x:v>
      </x:c>
      <x:c r="Z484" s="13" t="str">
        <x:v>Review before enabling. This workbook is a living taxonomy scaffold, not a validated scientific benchmark.</x:v>
      </x:c>
      <x:c r="AA484" s="13" t="str">
        <x:v>0.1.0-draft</x:v>
      </x:c>
      <x:c r="AB484" s="12" t="str">
        <x:f>IF(ISNUMBER(SEARCH("healthy",F484)),"healthy_reasoning_patterns",IF(ISNUMBER(SEARCH("statistical",F484)),"statistical_reasoning",IF(ISNUMBER(SEARCH("causal",F484)),"causal_reasoning",IF(ISNUMBER(SEARCH("social",F484)),"social_influence",IF(ISNUMBER(SEARCH("rhetoric",F484)),"rhetoric_discourse",IF(ISNUMBER(SEARCH("behavior",F484)),"behavioural_economics",IF(ISNUMBER(SEARCH("cognitive",F484)),"cognitive_biases",IF(J484="protective_pattern","healthy_reasoning_patterns",IF(L484="P0","core_mvp","extended_fallacies")))))))))</x:f>
        <x:v>cognitive_biases</x:v>
      </x:c>
      <x:c r="AC484" s="12" t="str">
        <x:f>IF(ISNUMBER(SEARCH("operational",J484)),"operational",IF(ISNUMBER(SEARCH("deprecated",J484)),"deprecated",IF(L484="P0","canonical","recognized_subtype")))</x:f>
        <x:v>operational</x:v>
      </x:c>
      <x:c r="AD484" s="12" t="str">
        <x:f>IF(AC484="canonical","high",IF(AC484="recognized_subtype","medium",IF(AC484="operational","operational_only","debated")))</x:f>
        <x:v>operational_only</x:v>
      </x:c>
      <x:c r="AE484" s="12" t="str">
        <x:f>IF(AC484="deprecated","deprecated",IF(M484="yes","active",IF(M484="review","review_required","backlog")))</x:f>
        <x:v>backlog</x:v>
      </x:c>
      <x:c r="AF484" s="12" t="str">
        <x:f>IF(OR(AE484="active",AE484="review_required"),"yes","no")</x:f>
        <x:v>no</x:v>
      </x:c>
      <x:c r="AG484" s="12" t="str">
        <x:f>IF(AND(AE484="active",M484="yes",NOT(ISNUMBER(SEARCH("healthy",AB484)))),"yes","no")</x:f>
        <x:v>no</x:v>
      </x:c>
      <x:c r="AH484" s="12" t="str">
        <x:f>IF(OR(H484="contextual",H484="dialogue",H484="discourse",I484="claim+context",I484="discourse_segment"),"yes","no")</x:f>
        <x:v>yes</x:v>
      </x:c>
      <x:c r="AI484" s="12" t="str">
        <x:f>IF(OR(AH484="yes",AD484="debated",AC484="operational"),"yes","no")</x:f>
        <x:v>yes</x:v>
      </x:c>
      <x:c r="AJ484" s="12" t="str">
        <x:f>IF(OR(AH484="yes",AC484="operational",AD484="debated"),"high",IF(AND(AG484="yes",L484="P0"),"medium","low"))</x:f>
        <x:v>high</x:v>
      </x:c>
      <x:c r="AK484" s="12" t="str">
        <x:f>IF(ISNUMBER(SEARCH("healthy",AB484)),"yes","no")</x:f>
        <x:v>no</x:v>
      </x:c>
      <x:c r="AL484" s="12" t="str">
        <x:f>IF(AG484="yes","yes","candidate_only")</x:f>
        <x:v>candidate_only</x:v>
      </x:c>
      <x:c r="AM484" s="12" t="str">
        <x:f>IF(OR(AC484="canonical",AG484="yes"),"yes","recommended")</x:f>
        <x:v>recommended</x:v>
      </x:c>
      <x:c r="AN484" s="12" t="str">
        <x:f>IF(AC484="deprecated","exclude",IF(AND(AG484="yes",AJ484="high"),"import_but_human_review_required",IF(AG484="yes","import_as_active","import_as_backlog")))</x:f>
        <x:v>import_as_backlog</x:v>
      </x:c>
      <x:c r="AO484" s="12" t="str">
        <x:f>IF(AND(AG484="yes",OR(P484="",Q484="",R484="",S484="")),"missing_required_mvp_fields",IF(AND(AC484="canonical",Y484=""),"missing_source_ref","ok"))</x:f>
        <x:v>ok</x:v>
      </x:c>
      <x:c r="AP484" s="12" t="str">
        <x:f>IF(AO484="ok","ready_for_codex_import","needs_review")</x:f>
        <x:v>ready_for_codex_import</x:v>
      </x:c>
      <x:c r="AQ484" s="12"/>
      <x:c r="AR484" s="12" t="str">
        <x:v>Added v2 operational fields. Review before classification activation.</x:v>
      </x:c>
    </x:row>
    <x:row r="485">
      <x:c r="A485" s="13" t="str">
        <x:v>self_serving_bias_memory_salience_variant</x:v>
      </x:c>
      <x:c r="B485" s="13" t="str">
        <x:v>self_serving_bias</x:v>
      </x:c>
      <x:c r="C485" s="13" t="str">
        <x:v>Self-serving bias</x:v>
      </x:c>
      <x:c r="D485" s="13" t="str">
        <x:v>سوگیری خودخدمتی</x:v>
      </x:c>
      <x:c r="E485" s="13" t="str">
        <x:v>Memory/salience variant</x:v>
      </x:c>
      <x:c r="F485" s="13" t="str">
        <x:v>cognitive_biases_information_processing</x:v>
      </x:c>
      <x:c r="G485" s="13" t="str">
        <x:v>operational_variant</x:v>
      </x:c>
      <x:c r="H485" s="13" t="str">
        <x:v>contextual</x:v>
      </x:c>
      <x:c r="I485" s="13" t="str">
        <x:v>claim+context</x:v>
      </x:c>
      <x:c r="J485" s="13" t="str">
        <x:v>derived_operational_subtype</x:v>
      </x:c>
      <x:c r="K485" s="13" t="str">
        <x:v>derived_from_established_parent_review_required</x:v>
      </x:c>
      <x:c r="L485" s="13" t="str">
        <x:v>P3</x:v>
      </x:c>
      <x:c r="M485" s="13" t="str">
        <x:v>no</x:v>
      </x:c>
      <x:c r="N485" s="13" t="str">
        <x:v>Operational subtype under Self-serving bias: salient or remembered cases are overweighted. Parent definition: Attributing successes internally and failures externally.</x:v>
      </x:c>
      <x:c r="O485" s="13" t="str">
        <x:v>Look for: explicit claim-level evidence; parent-family cues for Self-serving bias; variant cue: salient or remembered cases are overweighted; avoid author-level inference.</x:v>
      </x:c>
      <x:c r="P485" s="13" t="str">
        <x:v>Exact evidence span in text plus claim-level reasoning link; for contextual/discourse entries, require surrounding context.</x:v>
      </x:c>
      <x:c r="Q485" s="13" t="str">
        <x:v>Do not label merely because topic is controversial, emotional, or wrong. Do not judge intent or personality. Require textual evidence and consider healthy-reasoning cues.</x:v>
      </x:c>
      <x:c r="R485" s="13" t="str">
        <x:v>Stub: A claim relies on salient or remembered cases are overweighted to support a conclusion without adequate qualification.</x:v>
      </x:c>
      <x:c r="S485" s="13" t="str">
        <x:v>Stub: A claim discusses self-serving bias with caveats, balanced evidence, or no argumentative use of the pattern.</x:v>
      </x:c>
      <x:c r="T485" s="13" t="str">
        <x:v>Mild or ambiguous cue; do not classify without clear evidence span.</x:v>
      </x:c>
      <x:c r="U485" s="13" t="str">
        <x:v>Clear claim-level pattern with some argumentative impact.</x:v>
      </x:c>
      <x:c r="V485" s="13" t="str">
        <x:v>Strong pattern central to the conclusion and likely to materially distort reasoning.</x:v>
      </x:c>
      <x:c r="W485" s="13" t="str"/>
      <x:c r="X485" s="13" t="str">
        <x:v>gilovich_heuristics_biases</x:v>
      </x:c>
      <x:c r="Y485" s="13" t="str">
        <x:v>https://www.cambridge.org/core/books/heuristics-and-biases/3C30D3B05D2F190C3B8BE5E2531EFD24</x:v>
      </x:c>
      <x:c r="Z485" s="13" t="str">
        <x:v>Review before enabling. This workbook is a living taxonomy scaffold, not a validated scientific benchmark.</x:v>
      </x:c>
      <x:c r="AA485" s="13" t="str">
        <x:v>0.1.0-draft</x:v>
      </x:c>
      <x:c r="AB485" s="12" t="str">
        <x:f>IF(ISNUMBER(SEARCH("healthy",F485)),"healthy_reasoning_patterns",IF(ISNUMBER(SEARCH("statistical",F485)),"statistical_reasoning",IF(ISNUMBER(SEARCH("causal",F485)),"causal_reasoning",IF(ISNUMBER(SEARCH("social",F485)),"social_influence",IF(ISNUMBER(SEARCH("rhetoric",F485)),"rhetoric_discourse",IF(ISNUMBER(SEARCH("behavior",F485)),"behavioural_economics",IF(ISNUMBER(SEARCH("cognitive",F485)),"cognitive_biases",IF(J485="protective_pattern","healthy_reasoning_patterns",IF(L485="P0","core_mvp","extended_fallacies")))))))))</x:f>
        <x:v>cognitive_biases</x:v>
      </x:c>
      <x:c r="AC485" s="12" t="str">
        <x:f>IF(ISNUMBER(SEARCH("operational",J485)),"operational",IF(ISNUMBER(SEARCH("deprecated",J485)),"deprecated",IF(L485="P0","canonical","recognized_subtype")))</x:f>
        <x:v>operational</x:v>
      </x:c>
      <x:c r="AD485" s="12" t="str">
        <x:f>IF(AC485="canonical","high",IF(AC485="recognized_subtype","medium",IF(AC485="operational","operational_only","debated")))</x:f>
        <x:v>operational_only</x:v>
      </x:c>
      <x:c r="AE485" s="12" t="str">
        <x:f>IF(AC485="deprecated","deprecated",IF(M485="yes","active",IF(M485="review","review_required","backlog")))</x:f>
        <x:v>backlog</x:v>
      </x:c>
      <x:c r="AF485" s="12" t="str">
        <x:f>IF(OR(AE485="active",AE485="review_required"),"yes","no")</x:f>
        <x:v>no</x:v>
      </x:c>
      <x:c r="AG485" s="12" t="str">
        <x:f>IF(AND(AE485="active",M485="yes",NOT(ISNUMBER(SEARCH("healthy",AB485)))),"yes","no")</x:f>
        <x:v>no</x:v>
      </x:c>
      <x:c r="AH485" s="12" t="str">
        <x:f>IF(OR(H485="contextual",H485="dialogue",H485="discourse",I485="claim+context",I485="discourse_segment"),"yes","no")</x:f>
        <x:v>yes</x:v>
      </x:c>
      <x:c r="AI485" s="12" t="str">
        <x:f>IF(OR(AH485="yes",AD485="debated",AC485="operational"),"yes","no")</x:f>
        <x:v>yes</x:v>
      </x:c>
      <x:c r="AJ485" s="12" t="str">
        <x:f>IF(OR(AH485="yes",AC485="operational",AD485="debated"),"high",IF(AND(AG485="yes",L485="P0"),"medium","low"))</x:f>
        <x:v>high</x:v>
      </x:c>
      <x:c r="AK485" s="12" t="str">
        <x:f>IF(ISNUMBER(SEARCH("healthy",AB485)),"yes","no")</x:f>
        <x:v>no</x:v>
      </x:c>
      <x:c r="AL485" s="12" t="str">
        <x:f>IF(AG485="yes","yes","candidate_only")</x:f>
        <x:v>candidate_only</x:v>
      </x:c>
      <x:c r="AM485" s="12" t="str">
        <x:f>IF(OR(AC485="canonical",AG485="yes"),"yes","recommended")</x:f>
        <x:v>recommended</x:v>
      </x:c>
      <x:c r="AN485" s="12" t="str">
        <x:f>IF(AC485="deprecated","exclude",IF(AND(AG485="yes",AJ485="high"),"import_but_human_review_required",IF(AG485="yes","import_as_active","import_as_backlog")))</x:f>
        <x:v>import_as_backlog</x:v>
      </x:c>
      <x:c r="AO485" s="12" t="str">
        <x:f>IF(AND(AG485="yes",OR(P485="",Q485="",R485="",S485="")),"missing_required_mvp_fields",IF(AND(AC485="canonical",Y485=""),"missing_source_ref","ok"))</x:f>
        <x:v>ok</x:v>
      </x:c>
      <x:c r="AP485" s="12" t="str">
        <x:f>IF(AO485="ok","ready_for_codex_import","needs_review")</x:f>
        <x:v>ready_for_codex_import</x:v>
      </x:c>
      <x:c r="AQ485" s="12"/>
      <x:c r="AR485" s="12" t="str">
        <x:v>Added v2 operational fields. Review before classification activation.</x:v>
      </x:c>
    </x:row>
    <x:row r="486">
      <x:c r="A486" s="13" t="str">
        <x:v>illusory_correlation_memory_salience_variant</x:v>
      </x:c>
      <x:c r="B486" s="13" t="str">
        <x:v>illusory_correlation</x:v>
      </x:c>
      <x:c r="C486" s="13" t="str">
        <x:v>Illusory correlation</x:v>
      </x:c>
      <x:c r="D486" s="13" t="str">
        <x:v>همبستگی موهوم</x:v>
      </x:c>
      <x:c r="E486" s="13" t="str">
        <x:v>Memory/salience variant</x:v>
      </x:c>
      <x:c r="F486" s="13" t="str">
        <x:v>cognitive_biases_information_processing</x:v>
      </x:c>
      <x:c r="G486" s="13" t="str">
        <x:v>operational_variant</x:v>
      </x:c>
      <x:c r="H486" s="13" t="str">
        <x:v>contextual</x:v>
      </x:c>
      <x:c r="I486" s="13" t="str">
        <x:v>claim+context</x:v>
      </x:c>
      <x:c r="J486" s="13" t="str">
        <x:v>derived_operational_subtype</x:v>
      </x:c>
      <x:c r="K486" s="13" t="str">
        <x:v>derived_from_established_parent_review_required</x:v>
      </x:c>
      <x:c r="L486" s="13" t="str">
        <x:v>P3</x:v>
      </x:c>
      <x:c r="M486" s="13" t="str">
        <x:v>no</x:v>
      </x:c>
      <x:c r="N486" s="13" t="str">
        <x:v>Operational subtype under Illusory correlation: salient or remembered cases are overweighted. Parent definition: Perceiving an association where evidence is weak or absent.</x:v>
      </x:c>
      <x:c r="O486" s="13" t="str">
        <x:v>Look for: explicit claim-level evidence; parent-family cues for Illusory correlation; variant cue: salient or remembered cases are overweighted; avoid author-level inference.</x:v>
      </x:c>
      <x:c r="P486" s="13" t="str">
        <x:v>Exact evidence span in text plus claim-level reasoning link; for contextual/discourse entries, require surrounding context.</x:v>
      </x:c>
      <x:c r="Q486" s="13" t="str">
        <x:v>Do not label merely because topic is controversial, emotional, or wrong. Do not judge intent or personality. Require textual evidence and consider healthy-reasoning cues.</x:v>
      </x:c>
      <x:c r="R486" s="13" t="str">
        <x:v>Stub: A claim relies on salient or remembered cases are overweighted to support a conclusion without adequate qualification.</x:v>
      </x:c>
      <x:c r="S486" s="13" t="str">
        <x:v>Stub: A claim discusses illusory correlation with caveats, balanced evidence, or no argumentative use of the pattern.</x:v>
      </x:c>
      <x:c r="T486" s="13" t="str">
        <x:v>Mild or ambiguous cue; do not classify without clear evidence span.</x:v>
      </x:c>
      <x:c r="U486" s="13" t="str">
        <x:v>Clear claim-level pattern with some argumentative impact.</x:v>
      </x:c>
      <x:c r="V486" s="13" t="str">
        <x:v>Strong pattern central to the conclusion and likely to materially distort reasoning.</x:v>
      </x:c>
      <x:c r="W486" s="13" t="str">
        <x:v>cherry_picking; missing_counterevidence; evidence_grading</x:v>
      </x:c>
      <x:c r="X486" s="13" t="str">
        <x:v>kahneman_tversky_heuristics_1974</x:v>
      </x:c>
      <x:c r="Y486" s="13" t="str">
        <x:v>https://doi.org/10.1126/science.185.4157.1124</x:v>
      </x:c>
      <x:c r="Z486" s="13" t="str">
        <x:v>Review before enabling. This workbook is a living taxonomy scaffold, not a validated scientific benchmark.</x:v>
      </x:c>
      <x:c r="AA486" s="13" t="str">
        <x:v>0.1.0-draft</x:v>
      </x:c>
      <x:c r="AB486" s="12" t="str">
        <x:f>IF(ISNUMBER(SEARCH("healthy",F486)),"healthy_reasoning_patterns",IF(ISNUMBER(SEARCH("statistical",F486)),"statistical_reasoning",IF(ISNUMBER(SEARCH("causal",F486)),"causal_reasoning",IF(ISNUMBER(SEARCH("social",F486)),"social_influence",IF(ISNUMBER(SEARCH("rhetoric",F486)),"rhetoric_discourse",IF(ISNUMBER(SEARCH("behavior",F486)),"behavioural_economics",IF(ISNUMBER(SEARCH("cognitive",F486)),"cognitive_biases",IF(J486="protective_pattern","healthy_reasoning_patterns",IF(L486="P0","core_mvp","extended_fallacies")))))))))</x:f>
        <x:v>cognitive_biases</x:v>
      </x:c>
      <x:c r="AC486" s="12" t="str">
        <x:f>IF(ISNUMBER(SEARCH("operational",J486)),"operational",IF(ISNUMBER(SEARCH("deprecated",J486)),"deprecated",IF(L486="P0","canonical","recognized_subtype")))</x:f>
        <x:v>operational</x:v>
      </x:c>
      <x:c r="AD486" s="12" t="str">
        <x:f>IF(AC486="canonical","high",IF(AC486="recognized_subtype","medium",IF(AC486="operational","operational_only","debated")))</x:f>
        <x:v>operational_only</x:v>
      </x:c>
      <x:c r="AE486" s="12" t="str">
        <x:f>IF(AC486="deprecated","deprecated",IF(M486="yes","active",IF(M486="review","review_required","backlog")))</x:f>
        <x:v>backlog</x:v>
      </x:c>
      <x:c r="AF486" s="12" t="str">
        <x:f>IF(OR(AE486="active",AE486="review_required"),"yes","no")</x:f>
        <x:v>no</x:v>
      </x:c>
      <x:c r="AG486" s="12" t="str">
        <x:f>IF(AND(AE486="active",M486="yes",NOT(ISNUMBER(SEARCH("healthy",AB486)))),"yes","no")</x:f>
        <x:v>no</x:v>
      </x:c>
      <x:c r="AH486" s="12" t="str">
        <x:f>IF(OR(H486="contextual",H486="dialogue",H486="discourse",I486="claim+context",I486="discourse_segment"),"yes","no")</x:f>
        <x:v>yes</x:v>
      </x:c>
      <x:c r="AI486" s="12" t="str">
        <x:f>IF(OR(AH486="yes",AD486="debated",AC486="operational"),"yes","no")</x:f>
        <x:v>yes</x:v>
      </x:c>
      <x:c r="AJ486" s="12" t="str">
        <x:f>IF(OR(AH486="yes",AC486="operational",AD486="debated"),"high",IF(AND(AG486="yes",L486="P0"),"medium","low"))</x:f>
        <x:v>high</x:v>
      </x:c>
      <x:c r="AK486" s="12" t="str">
        <x:f>IF(ISNUMBER(SEARCH("healthy",AB486)),"yes","no")</x:f>
        <x:v>no</x:v>
      </x:c>
      <x:c r="AL486" s="12" t="str">
        <x:f>IF(AG486="yes","yes","candidate_only")</x:f>
        <x:v>candidate_only</x:v>
      </x:c>
      <x:c r="AM486" s="12" t="str">
        <x:f>IF(OR(AC486="canonical",AG486="yes"),"yes","recommended")</x:f>
        <x:v>recommended</x:v>
      </x:c>
      <x:c r="AN486" s="12" t="str">
        <x:f>IF(AC486="deprecated","exclude",IF(AND(AG486="yes",AJ486="high"),"import_but_human_review_required",IF(AG486="yes","import_as_active","import_as_backlog")))</x:f>
        <x:v>import_as_backlog</x:v>
      </x:c>
      <x:c r="AO486" s="12" t="str">
        <x:f>IF(AND(AG486="yes",OR(P486="",Q486="",R486="",S486="")),"missing_required_mvp_fields",IF(AND(AC486="canonical",Y486=""),"missing_source_ref","ok"))</x:f>
        <x:v>ok</x:v>
      </x:c>
      <x:c r="AP486" s="12" t="str">
        <x:f>IF(AO486="ok","ready_for_codex_import","needs_review")</x:f>
        <x:v>ready_for_codex_import</x:v>
      </x:c>
      <x:c r="AQ486" s="12"/>
      <x:c r="AR486" s="12" t="str">
        <x:v>Added v2 operational fields. Review before classification activation.</x:v>
      </x:c>
    </x:row>
    <x:row r="487">
      <x:c r="A487" s="13" t="str">
        <x:v>clustering_illusion_memory_salience_variant</x:v>
      </x:c>
      <x:c r="B487" s="13" t="str">
        <x:v>clustering_illusion</x:v>
      </x:c>
      <x:c r="C487" s="13" t="str">
        <x:v>Clustering illusion</x:v>
      </x:c>
      <x:c r="D487" s="13" t="str">
        <x:v>توهم خوشه‌بندی</x:v>
      </x:c>
      <x:c r="E487" s="13" t="str">
        <x:v>Memory/salience variant</x:v>
      </x:c>
      <x:c r="F487" s="13" t="str">
        <x:v>cognitive_biases_information_processing</x:v>
      </x:c>
      <x:c r="G487" s="13" t="str">
        <x:v>operational_variant</x:v>
      </x:c>
      <x:c r="H487" s="13" t="str">
        <x:v>contextual</x:v>
      </x:c>
      <x:c r="I487" s="13" t="str">
        <x:v>claim+context</x:v>
      </x:c>
      <x:c r="J487" s="13" t="str">
        <x:v>derived_operational_subtype</x:v>
      </x:c>
      <x:c r="K487" s="13" t="str">
        <x:v>derived_from_established_parent_review_required</x:v>
      </x:c>
      <x:c r="L487" s="13" t="str">
        <x:v>P3</x:v>
      </x:c>
      <x:c r="M487" s="13" t="str">
        <x:v>no</x:v>
      </x:c>
      <x:c r="N487" s="13" t="str">
        <x:v>Operational subtype under Clustering illusion: salient or remembered cases are overweighted. Parent definition: Seeing meaningful clusters in random sequences.</x:v>
      </x:c>
      <x:c r="O487" s="13" t="str">
        <x:v>Look for: explicit claim-level evidence; parent-family cues for Clustering illusion; variant cue: salient or remembered cases are overweighted; avoid author-level inference.</x:v>
      </x:c>
      <x:c r="P487" s="13" t="str">
        <x:v>Exact evidence span in text plus claim-level reasoning link; for contextual/discourse entries, require surrounding context.</x:v>
      </x:c>
      <x:c r="Q487" s="13" t="str">
        <x:v>Do not label merely because topic is controversial, emotional, or wrong. Do not judge intent or personality. Require textual evidence and consider healthy-reasoning cues.</x:v>
      </x:c>
      <x:c r="R487" s="13" t="str">
        <x:v>Stub: A claim relies on salient or remembered cases are overweighted to support a conclusion without adequate qualification.</x:v>
      </x:c>
      <x:c r="S487" s="13" t="str">
        <x:v>Stub: A claim discusses clustering illusion with caveats, balanced evidence, or no argumentative use of the pattern.</x:v>
      </x:c>
      <x:c r="T487" s="13" t="str">
        <x:v>Mild or ambiguous cue; do not classify without clear evidence span.</x:v>
      </x:c>
      <x:c r="U487" s="13" t="str">
        <x:v>Clear claim-level pattern with some argumentative impact.</x:v>
      </x:c>
      <x:c r="V487" s="13" t="str">
        <x:v>Strong pattern central to the conclusion and likely to materially distort reasoning.</x:v>
      </x:c>
      <x:c r="W487" s="13" t="str"/>
      <x:c r="X487" s="13" t="str">
        <x:v>kahneman_tversky_heuristics_1974</x:v>
      </x:c>
      <x:c r="Y487" s="13" t="str">
        <x:v>https://doi.org/10.1126/science.185.4157.1124</x:v>
      </x:c>
      <x:c r="Z487" s="13" t="str">
        <x:v>Review before enabling. This workbook is a living taxonomy scaffold, not a validated scientific benchmark.</x:v>
      </x:c>
      <x:c r="AA487" s="13" t="str">
        <x:v>0.1.0-draft</x:v>
      </x:c>
      <x:c r="AB487" s="12" t="str">
        <x:f>IF(ISNUMBER(SEARCH("healthy",F487)),"healthy_reasoning_patterns",IF(ISNUMBER(SEARCH("statistical",F487)),"statistical_reasoning",IF(ISNUMBER(SEARCH("causal",F487)),"causal_reasoning",IF(ISNUMBER(SEARCH("social",F487)),"social_influence",IF(ISNUMBER(SEARCH("rhetoric",F487)),"rhetoric_discourse",IF(ISNUMBER(SEARCH("behavior",F487)),"behavioural_economics",IF(ISNUMBER(SEARCH("cognitive",F487)),"cognitive_biases",IF(J487="protective_pattern","healthy_reasoning_patterns",IF(L487="P0","core_mvp","extended_fallacies")))))))))</x:f>
        <x:v>cognitive_biases</x:v>
      </x:c>
      <x:c r="AC487" s="12" t="str">
        <x:f>IF(ISNUMBER(SEARCH("operational",J487)),"operational",IF(ISNUMBER(SEARCH("deprecated",J487)),"deprecated",IF(L487="P0","canonical","recognized_subtype")))</x:f>
        <x:v>operational</x:v>
      </x:c>
      <x:c r="AD487" s="12" t="str">
        <x:f>IF(AC487="canonical","high",IF(AC487="recognized_subtype","medium",IF(AC487="operational","operational_only","debated")))</x:f>
        <x:v>operational_only</x:v>
      </x:c>
      <x:c r="AE487" s="12" t="str">
        <x:f>IF(AC487="deprecated","deprecated",IF(M487="yes","active",IF(M487="review","review_required","backlog")))</x:f>
        <x:v>backlog</x:v>
      </x:c>
      <x:c r="AF487" s="12" t="str">
        <x:f>IF(OR(AE487="active",AE487="review_required"),"yes","no")</x:f>
        <x:v>no</x:v>
      </x:c>
      <x:c r="AG487" s="12" t="str">
        <x:f>IF(AND(AE487="active",M487="yes",NOT(ISNUMBER(SEARCH("healthy",AB487)))),"yes","no")</x:f>
        <x:v>no</x:v>
      </x:c>
      <x:c r="AH487" s="12" t="str">
        <x:f>IF(OR(H487="contextual",H487="dialogue",H487="discourse",I487="claim+context",I487="discourse_segment"),"yes","no")</x:f>
        <x:v>yes</x:v>
      </x:c>
      <x:c r="AI487" s="12" t="str">
        <x:f>IF(OR(AH487="yes",AD487="debated",AC487="operational"),"yes","no")</x:f>
        <x:v>yes</x:v>
      </x:c>
      <x:c r="AJ487" s="12" t="str">
        <x:f>IF(OR(AH487="yes",AC487="operational",AD487="debated"),"high",IF(AND(AG487="yes",L487="P0"),"medium","low"))</x:f>
        <x:v>high</x:v>
      </x:c>
      <x:c r="AK487" s="12" t="str">
        <x:f>IF(ISNUMBER(SEARCH("healthy",AB487)),"yes","no")</x:f>
        <x:v>no</x:v>
      </x:c>
      <x:c r="AL487" s="12" t="str">
        <x:f>IF(AG487="yes","yes","candidate_only")</x:f>
        <x:v>candidate_only</x:v>
      </x:c>
      <x:c r="AM487" s="12" t="str">
        <x:f>IF(OR(AC487="canonical",AG487="yes"),"yes","recommended")</x:f>
        <x:v>recommended</x:v>
      </x:c>
      <x:c r="AN487" s="12" t="str">
        <x:f>IF(AC487="deprecated","exclude",IF(AND(AG487="yes",AJ487="high"),"import_but_human_review_required",IF(AG487="yes","import_as_active","import_as_backlog")))</x:f>
        <x:v>import_as_backlog</x:v>
      </x:c>
      <x:c r="AO487" s="12" t="str">
        <x:f>IF(AND(AG487="yes",OR(P487="",Q487="",R487="",S487="")),"missing_required_mvp_fields",IF(AND(AC487="canonical",Y487=""),"missing_source_ref","ok"))</x:f>
        <x:v>ok</x:v>
      </x:c>
      <x:c r="AP487" s="12" t="str">
        <x:f>IF(AO487="ok","ready_for_codex_import","needs_review")</x:f>
        <x:v>ready_for_codex_import</x:v>
      </x:c>
      <x:c r="AQ487" s="12"/>
      <x:c r="AR487" s="12" t="str">
        <x:v>Added v2 operational fields. Review before classification activation.</x:v>
      </x:c>
    </x:row>
    <x:row r="488">
      <x:c r="A488" s="13" t="str">
        <x:v>recency_bias_memory_salience_variant</x:v>
      </x:c>
      <x:c r="B488" s="13" t="str">
        <x:v>recency_bias</x:v>
      </x:c>
      <x:c r="C488" s="13" t="str">
        <x:v>Recency bias</x:v>
      </x:c>
      <x:c r="D488" s="13" t="str">
        <x:v>سوگیری تازگی</x:v>
      </x:c>
      <x:c r="E488" s="13" t="str">
        <x:v>Memory/salience variant</x:v>
      </x:c>
      <x:c r="F488" s="13" t="str">
        <x:v>cognitive_biases_information_processing</x:v>
      </x:c>
      <x:c r="G488" s="13" t="str">
        <x:v>operational_variant</x:v>
      </x:c>
      <x:c r="H488" s="13" t="str">
        <x:v>contextual</x:v>
      </x:c>
      <x:c r="I488" s="13" t="str">
        <x:v>claim+context</x:v>
      </x:c>
      <x:c r="J488" s="13" t="str">
        <x:v>derived_operational_subtype</x:v>
      </x:c>
      <x:c r="K488" s="13" t="str">
        <x:v>derived_from_established_parent_review_required</x:v>
      </x:c>
      <x:c r="L488" s="13" t="str">
        <x:v>P3</x:v>
      </x:c>
      <x:c r="M488" s="13" t="str">
        <x:v>no</x:v>
      </x:c>
      <x:c r="N488" s="13" t="str">
        <x:v>Operational subtype under Recency bias: salient or remembered cases are overweighted. Parent definition: Overweighting the most recent information.</x:v>
      </x:c>
      <x:c r="O488" s="13" t="str">
        <x:v>Look for: explicit claim-level evidence; parent-family cues for Recency bias; variant cue: salient or remembered cases are overweighted; avoid author-level inference.</x:v>
      </x:c>
      <x:c r="P488" s="13" t="str">
        <x:v>Exact evidence span in text plus claim-level reasoning link; for contextual/discourse entries, require surrounding context.</x:v>
      </x:c>
      <x:c r="Q488" s="13" t="str">
        <x:v>Do not label merely because topic is controversial, emotional, or wrong. Do not judge intent or personality. Require textual evidence and consider healthy-reasoning cues.</x:v>
      </x:c>
      <x:c r="R488" s="13" t="str">
        <x:v>Stub: A claim relies on salient or remembered cases are overweighted to support a conclusion without adequate qualification.</x:v>
      </x:c>
      <x:c r="S488" s="13" t="str">
        <x:v>Stub: A claim discusses recency bias with caveats, balanced evidence, or no argumentative use of the pattern.</x:v>
      </x:c>
      <x:c r="T488" s="13" t="str">
        <x:v>Mild or ambiguous cue; do not classify without clear evidence span.</x:v>
      </x:c>
      <x:c r="U488" s="13" t="str">
        <x:v>Clear claim-level pattern with some argumentative impact.</x:v>
      </x:c>
      <x:c r="V488" s="13" t="str">
        <x:v>Strong pattern central to the conclusion and likely to materially distort reasoning.</x:v>
      </x:c>
      <x:c r="W488" s="13" t="str"/>
      <x:c r="X488" s="13" t="str">
        <x:v>gilovich_heuristics_biases</x:v>
      </x:c>
      <x:c r="Y488" s="13" t="str">
        <x:v>https://www.cambridge.org/core/books/heuristics-and-biases/3C30D3B05D2F190C3B8BE5E2531EFD24</x:v>
      </x:c>
      <x:c r="Z488" s="13" t="str">
        <x:v>Review before enabling. This workbook is a living taxonomy scaffold, not a validated scientific benchmark.</x:v>
      </x:c>
      <x:c r="AA488" s="13" t="str">
        <x:v>0.1.0-draft</x:v>
      </x:c>
      <x:c r="AB488" s="12" t="str">
        <x:f>IF(ISNUMBER(SEARCH("healthy",F488)),"healthy_reasoning_patterns",IF(ISNUMBER(SEARCH("statistical",F488)),"statistical_reasoning",IF(ISNUMBER(SEARCH("causal",F488)),"causal_reasoning",IF(ISNUMBER(SEARCH("social",F488)),"social_influence",IF(ISNUMBER(SEARCH("rhetoric",F488)),"rhetoric_discourse",IF(ISNUMBER(SEARCH("behavior",F488)),"behavioural_economics",IF(ISNUMBER(SEARCH("cognitive",F488)),"cognitive_biases",IF(J488="protective_pattern","healthy_reasoning_patterns",IF(L488="P0","core_mvp","extended_fallacies")))))))))</x:f>
        <x:v>cognitive_biases</x:v>
      </x:c>
      <x:c r="AC488" s="12" t="str">
        <x:f>IF(ISNUMBER(SEARCH("operational",J488)),"operational",IF(ISNUMBER(SEARCH("deprecated",J488)),"deprecated",IF(L488="P0","canonical","recognized_subtype")))</x:f>
        <x:v>operational</x:v>
      </x:c>
      <x:c r="AD488" s="12" t="str">
        <x:f>IF(AC488="canonical","high",IF(AC488="recognized_subtype","medium",IF(AC488="operational","operational_only","debated")))</x:f>
        <x:v>operational_only</x:v>
      </x:c>
      <x:c r="AE488" s="12" t="str">
        <x:f>IF(AC488="deprecated","deprecated",IF(M488="yes","active",IF(M488="review","review_required","backlog")))</x:f>
        <x:v>backlog</x:v>
      </x:c>
      <x:c r="AF488" s="12" t="str">
        <x:f>IF(OR(AE488="active",AE488="review_required"),"yes","no")</x:f>
        <x:v>no</x:v>
      </x:c>
      <x:c r="AG488" s="12" t="str">
        <x:f>IF(AND(AE488="active",M488="yes",NOT(ISNUMBER(SEARCH("healthy",AB488)))),"yes","no")</x:f>
        <x:v>no</x:v>
      </x:c>
      <x:c r="AH488" s="12" t="str">
        <x:f>IF(OR(H488="contextual",H488="dialogue",H488="discourse",I488="claim+context",I488="discourse_segment"),"yes","no")</x:f>
        <x:v>yes</x:v>
      </x:c>
      <x:c r="AI488" s="12" t="str">
        <x:f>IF(OR(AH488="yes",AD488="debated",AC488="operational"),"yes","no")</x:f>
        <x:v>yes</x:v>
      </x:c>
      <x:c r="AJ488" s="12" t="str">
        <x:f>IF(OR(AH488="yes",AC488="operational",AD488="debated"),"high",IF(AND(AG488="yes",L488="P0"),"medium","low"))</x:f>
        <x:v>high</x:v>
      </x:c>
      <x:c r="AK488" s="12" t="str">
        <x:f>IF(ISNUMBER(SEARCH("healthy",AB488)),"yes","no")</x:f>
        <x:v>no</x:v>
      </x:c>
      <x:c r="AL488" s="12" t="str">
        <x:f>IF(AG488="yes","yes","candidate_only")</x:f>
        <x:v>candidate_only</x:v>
      </x:c>
      <x:c r="AM488" s="12" t="str">
        <x:f>IF(OR(AC488="canonical",AG488="yes"),"yes","recommended")</x:f>
        <x:v>recommended</x:v>
      </x:c>
      <x:c r="AN488" s="12" t="str">
        <x:f>IF(AC488="deprecated","exclude",IF(AND(AG488="yes",AJ488="high"),"import_but_human_review_required",IF(AG488="yes","import_as_active","import_as_backlog")))</x:f>
        <x:v>import_as_backlog</x:v>
      </x:c>
      <x:c r="AO488" s="12" t="str">
        <x:f>IF(AND(AG488="yes",OR(P488="",Q488="",R488="",S488="")),"missing_required_mvp_fields",IF(AND(AC488="canonical",Y488=""),"missing_source_ref","ok"))</x:f>
        <x:v>ok</x:v>
      </x:c>
      <x:c r="AP488" s="12" t="str">
        <x:f>IF(AO488="ok","ready_for_codex_import","needs_review")</x:f>
        <x:v>ready_for_codex_import</x:v>
      </x:c>
      <x:c r="AQ488" s="12"/>
      <x:c r="AR488" s="12" t="str">
        <x:v>Added v2 operational fields. Review before classification activation.</x:v>
      </x:c>
    </x:row>
    <x:row r="489">
      <x:c r="A489" s="13" t="str">
        <x:v>primacy_effect_memory_salience_variant</x:v>
      </x:c>
      <x:c r="B489" s="13" t="str">
        <x:v>primacy_effect</x:v>
      </x:c>
      <x:c r="C489" s="13" t="str">
        <x:v>Primacy effect</x:v>
      </x:c>
      <x:c r="D489" s="13" t="str">
        <x:v>اثر تقدم</x:v>
      </x:c>
      <x:c r="E489" s="13" t="str">
        <x:v>Memory/salience variant</x:v>
      </x:c>
      <x:c r="F489" s="13" t="str">
        <x:v>cognitive_biases_information_processing</x:v>
      </x:c>
      <x:c r="G489" s="13" t="str">
        <x:v>operational_variant</x:v>
      </x:c>
      <x:c r="H489" s="13" t="str">
        <x:v>contextual</x:v>
      </x:c>
      <x:c r="I489" s="13" t="str">
        <x:v>claim+context</x:v>
      </x:c>
      <x:c r="J489" s="13" t="str">
        <x:v>derived_operational_subtype</x:v>
      </x:c>
      <x:c r="K489" s="13" t="str">
        <x:v>derived_from_established_parent_review_required</x:v>
      </x:c>
      <x:c r="L489" s="13" t="str">
        <x:v>P3</x:v>
      </x:c>
      <x:c r="M489" s="13" t="str">
        <x:v>no</x:v>
      </x:c>
      <x:c r="N489" s="13" t="str">
        <x:v>Operational subtype under Primacy effect: salient or remembered cases are overweighted. Parent definition: Overweighting information encountered first.</x:v>
      </x:c>
      <x:c r="O489" s="13" t="str">
        <x:v>Look for: explicit claim-level evidence; parent-family cues for Primacy effect; variant cue: salient or remembered cases are overweighted; avoid author-level inference.</x:v>
      </x:c>
      <x:c r="P489" s="13" t="str">
        <x:v>Exact evidence span in text plus claim-level reasoning link; for contextual/discourse entries, require surrounding context.</x:v>
      </x:c>
      <x:c r="Q489" s="13" t="str">
        <x:v>Do not label merely because topic is controversial, emotional, or wrong. Do not judge intent or personality. Require textual evidence and consider healthy-reasoning cues.</x:v>
      </x:c>
      <x:c r="R489" s="13" t="str">
        <x:v>Stub: A claim relies on salient or remembered cases are overweighted to support a conclusion without adequate qualification.</x:v>
      </x:c>
      <x:c r="S489" s="13" t="str">
        <x:v>Stub: A claim discusses primacy effect with caveats, balanced evidence, or no argumentative use of the pattern.</x:v>
      </x:c>
      <x:c r="T489" s="13" t="str">
        <x:v>Mild or ambiguous cue; do not classify without clear evidence span.</x:v>
      </x:c>
      <x:c r="U489" s="13" t="str">
        <x:v>Clear claim-level pattern with some argumentative impact.</x:v>
      </x:c>
      <x:c r="V489" s="13" t="str">
        <x:v>Strong pattern central to the conclusion and likely to materially distort reasoning.</x:v>
      </x:c>
      <x:c r="W489" s="13" t="str"/>
      <x:c r="X489" s="13" t="str">
        <x:v>gilovich_heuristics_biases</x:v>
      </x:c>
      <x:c r="Y489" s="13" t="str">
        <x:v>https://www.cambridge.org/core/books/heuristics-and-biases/3C30D3B05D2F190C3B8BE5E2531EFD24</x:v>
      </x:c>
      <x:c r="Z489" s="13" t="str">
        <x:v>Review before enabling. This workbook is a living taxonomy scaffold, not a validated scientific benchmark.</x:v>
      </x:c>
      <x:c r="AA489" s="13" t="str">
        <x:v>0.1.0-draft</x:v>
      </x:c>
      <x:c r="AB489" s="12" t="str">
        <x:f>IF(ISNUMBER(SEARCH("healthy",F489)),"healthy_reasoning_patterns",IF(ISNUMBER(SEARCH("statistical",F489)),"statistical_reasoning",IF(ISNUMBER(SEARCH("causal",F489)),"causal_reasoning",IF(ISNUMBER(SEARCH("social",F489)),"social_influence",IF(ISNUMBER(SEARCH("rhetoric",F489)),"rhetoric_discourse",IF(ISNUMBER(SEARCH("behavior",F489)),"behavioural_economics",IF(ISNUMBER(SEARCH("cognitive",F489)),"cognitive_biases",IF(J489="protective_pattern","healthy_reasoning_patterns",IF(L489="P0","core_mvp","extended_fallacies")))))))))</x:f>
        <x:v>cognitive_biases</x:v>
      </x:c>
      <x:c r="AC489" s="12" t="str">
        <x:f>IF(ISNUMBER(SEARCH("operational",J489)),"operational",IF(ISNUMBER(SEARCH("deprecated",J489)),"deprecated",IF(L489="P0","canonical","recognized_subtype")))</x:f>
        <x:v>operational</x:v>
      </x:c>
      <x:c r="AD489" s="12" t="str">
        <x:f>IF(AC489="canonical","high",IF(AC489="recognized_subtype","medium",IF(AC489="operational","operational_only","debated")))</x:f>
        <x:v>operational_only</x:v>
      </x:c>
      <x:c r="AE489" s="12" t="str">
        <x:f>IF(AC489="deprecated","deprecated",IF(M489="yes","active",IF(M489="review","review_required","backlog")))</x:f>
        <x:v>backlog</x:v>
      </x:c>
      <x:c r="AF489" s="12" t="str">
        <x:f>IF(OR(AE489="active",AE489="review_required"),"yes","no")</x:f>
        <x:v>no</x:v>
      </x:c>
      <x:c r="AG489" s="12" t="str">
        <x:f>IF(AND(AE489="active",M489="yes",NOT(ISNUMBER(SEARCH("healthy",AB489)))),"yes","no")</x:f>
        <x:v>no</x:v>
      </x:c>
      <x:c r="AH489" s="12" t="str">
        <x:f>IF(OR(H489="contextual",H489="dialogue",H489="discourse",I489="claim+context",I489="discourse_segment"),"yes","no")</x:f>
        <x:v>yes</x:v>
      </x:c>
      <x:c r="AI489" s="12" t="str">
        <x:f>IF(OR(AH489="yes",AD489="debated",AC489="operational"),"yes","no")</x:f>
        <x:v>yes</x:v>
      </x:c>
      <x:c r="AJ489" s="12" t="str">
        <x:f>IF(OR(AH489="yes",AC489="operational",AD489="debated"),"high",IF(AND(AG489="yes",L489="P0"),"medium","low"))</x:f>
        <x:v>high</x:v>
      </x:c>
      <x:c r="AK489" s="12" t="str">
        <x:f>IF(ISNUMBER(SEARCH("healthy",AB489)),"yes","no")</x:f>
        <x:v>no</x:v>
      </x:c>
      <x:c r="AL489" s="12" t="str">
        <x:f>IF(AG489="yes","yes","candidate_only")</x:f>
        <x:v>candidate_only</x:v>
      </x:c>
      <x:c r="AM489" s="12" t="str">
        <x:f>IF(OR(AC489="canonical",AG489="yes"),"yes","recommended")</x:f>
        <x:v>recommended</x:v>
      </x:c>
      <x:c r="AN489" s="12" t="str">
        <x:f>IF(AC489="deprecated","exclude",IF(AND(AG489="yes",AJ489="high"),"import_but_human_review_required",IF(AG489="yes","import_as_active","import_as_backlog")))</x:f>
        <x:v>import_as_backlog</x:v>
      </x:c>
      <x:c r="AO489" s="12" t="str">
        <x:f>IF(AND(AG489="yes",OR(P489="",Q489="",R489="",S489="")),"missing_required_mvp_fields",IF(AND(AC489="canonical",Y489=""),"missing_source_ref","ok"))</x:f>
        <x:v>ok</x:v>
      </x:c>
      <x:c r="AP489" s="12" t="str">
        <x:f>IF(AO489="ok","ready_for_codex_import","needs_review")</x:f>
        <x:v>ready_for_codex_import</x:v>
      </x:c>
      <x:c r="AQ489" s="12"/>
      <x:c r="AR489" s="12" t="str">
        <x:v>Added v2 operational fields. Review before classification activation.</x:v>
      </x:c>
    </x:row>
    <x:row r="490">
      <x:c r="A490" s="13" t="str">
        <x:v>memory_consistency_bias_memory_salience_variant</x:v>
      </x:c>
      <x:c r="B490" s="13" t="str">
        <x:v>memory_consistency_bias</x:v>
      </x:c>
      <x:c r="C490" s="13" t="str">
        <x:v>Consistency bias</x:v>
      </x:c>
      <x:c r="D490" s="13" t="str">
        <x:v>سوگیری سازگاری حافظه</x:v>
      </x:c>
      <x:c r="E490" s="13" t="str">
        <x:v>Memory/salience variant</x:v>
      </x:c>
      <x:c r="F490" s="13" t="str">
        <x:v>cognitive_biases_information_processing</x:v>
      </x:c>
      <x:c r="G490" s="13" t="str">
        <x:v>operational_variant</x:v>
      </x:c>
      <x:c r="H490" s="13" t="str">
        <x:v>contextual</x:v>
      </x:c>
      <x:c r="I490" s="13" t="str">
        <x:v>claim+context</x:v>
      </x:c>
      <x:c r="J490" s="13" t="str">
        <x:v>derived_operational_subtype</x:v>
      </x:c>
      <x:c r="K490" s="13" t="str">
        <x:v>derived_from_established_parent_review_required</x:v>
      </x:c>
      <x:c r="L490" s="13" t="str">
        <x:v>P3</x:v>
      </x:c>
      <x:c r="M490" s="13" t="str">
        <x:v>no</x:v>
      </x:c>
      <x:c r="N490" s="13" t="str">
        <x:v>Operational subtype under Consistency bias: salient or remembered cases are overweighted. Parent definition: Remembering past beliefs as more consistent with present beliefs.</x:v>
      </x:c>
      <x:c r="O490" s="13" t="str">
        <x:v>Look for: explicit claim-level evidence; parent-family cues for Consistency bias; variant cue: salient or remembered cases are overweighted; avoid author-level inference.</x:v>
      </x:c>
      <x:c r="P490" s="13" t="str">
        <x:v>Exact evidence span in text plus claim-level reasoning link; for contextual/discourse entries, require surrounding context.</x:v>
      </x:c>
      <x:c r="Q490" s="13" t="str">
        <x:v>Do not label merely because topic is controversial, emotional, or wrong. Do not judge intent or personality. Require textual evidence and consider healthy-reasoning cues.</x:v>
      </x:c>
      <x:c r="R490" s="13" t="str">
        <x:v>Stub: A claim relies on salient or remembered cases are overweighted to support a conclusion without adequate qualification.</x:v>
      </x:c>
      <x:c r="S490" s="13" t="str">
        <x:v>Stub: A claim discusses consistency bias with caveats, balanced evidence, or no argumentative use of the pattern.</x:v>
      </x:c>
      <x:c r="T490" s="13" t="str">
        <x:v>Mild or ambiguous cue; do not classify without clear evidence span.</x:v>
      </x:c>
      <x:c r="U490" s="13" t="str">
        <x:v>Clear claim-level pattern with some argumentative impact.</x:v>
      </x:c>
      <x:c r="V490" s="13" t="str">
        <x:v>Strong pattern central to the conclusion and likely to materially distort reasoning.</x:v>
      </x:c>
      <x:c r="W490" s="13" t="str"/>
      <x:c r="X490" s="13" t="str">
        <x:v>gilovich_heuristics_biases</x:v>
      </x:c>
      <x:c r="Y490" s="13" t="str">
        <x:v>https://www.cambridge.org/core/books/heuristics-and-biases/3C30D3B05D2F190C3B8BE5E2531EFD24</x:v>
      </x:c>
      <x:c r="Z490" s="13" t="str">
        <x:v>Review before enabling. This workbook is a living taxonomy scaffold, not a validated scientific benchmark.</x:v>
      </x:c>
      <x:c r="AA490" s="13" t="str">
        <x:v>0.1.0-draft</x:v>
      </x:c>
      <x:c r="AB490" s="12" t="str">
        <x:f>IF(ISNUMBER(SEARCH("healthy",F490)),"healthy_reasoning_patterns",IF(ISNUMBER(SEARCH("statistical",F490)),"statistical_reasoning",IF(ISNUMBER(SEARCH("causal",F490)),"causal_reasoning",IF(ISNUMBER(SEARCH("social",F490)),"social_influence",IF(ISNUMBER(SEARCH("rhetoric",F490)),"rhetoric_discourse",IF(ISNUMBER(SEARCH("behavior",F490)),"behavioural_economics",IF(ISNUMBER(SEARCH("cognitive",F490)),"cognitive_biases",IF(J490="protective_pattern","healthy_reasoning_patterns",IF(L490="P0","core_mvp","extended_fallacies")))))))))</x:f>
        <x:v>cognitive_biases</x:v>
      </x:c>
      <x:c r="AC490" s="12" t="str">
        <x:f>IF(ISNUMBER(SEARCH("operational",J490)),"operational",IF(ISNUMBER(SEARCH("deprecated",J490)),"deprecated",IF(L490="P0","canonical","recognized_subtype")))</x:f>
        <x:v>operational</x:v>
      </x:c>
      <x:c r="AD490" s="12" t="str">
        <x:f>IF(AC490="canonical","high",IF(AC490="recognized_subtype","medium",IF(AC490="operational","operational_only","debated")))</x:f>
        <x:v>operational_only</x:v>
      </x:c>
      <x:c r="AE490" s="12" t="str">
        <x:f>IF(AC490="deprecated","deprecated",IF(M490="yes","active",IF(M490="review","review_required","backlog")))</x:f>
        <x:v>backlog</x:v>
      </x:c>
      <x:c r="AF490" s="12" t="str">
        <x:f>IF(OR(AE490="active",AE490="review_required"),"yes","no")</x:f>
        <x:v>no</x:v>
      </x:c>
      <x:c r="AG490" s="12" t="str">
        <x:f>IF(AND(AE490="active",M490="yes",NOT(ISNUMBER(SEARCH("healthy",AB490)))),"yes","no")</x:f>
        <x:v>no</x:v>
      </x:c>
      <x:c r="AH490" s="12" t="str">
        <x:f>IF(OR(H490="contextual",H490="dialogue",H490="discourse",I490="claim+context",I490="discourse_segment"),"yes","no")</x:f>
        <x:v>yes</x:v>
      </x:c>
      <x:c r="AI490" s="12" t="str">
        <x:f>IF(OR(AH490="yes",AD490="debated",AC490="operational"),"yes","no")</x:f>
        <x:v>yes</x:v>
      </x:c>
      <x:c r="AJ490" s="12" t="str">
        <x:f>IF(OR(AH490="yes",AC490="operational",AD490="debated"),"high",IF(AND(AG490="yes",L490="P0"),"medium","low"))</x:f>
        <x:v>high</x:v>
      </x:c>
      <x:c r="AK490" s="12" t="str">
        <x:f>IF(ISNUMBER(SEARCH("healthy",AB490)),"yes","no")</x:f>
        <x:v>no</x:v>
      </x:c>
      <x:c r="AL490" s="12" t="str">
        <x:f>IF(AG490="yes","yes","candidate_only")</x:f>
        <x:v>candidate_only</x:v>
      </x:c>
      <x:c r="AM490" s="12" t="str">
        <x:f>IF(OR(AC490="canonical",AG490="yes"),"yes","recommended")</x:f>
        <x:v>recommended</x:v>
      </x:c>
      <x:c r="AN490" s="12" t="str">
        <x:f>IF(AC490="deprecated","exclude",IF(AND(AG490="yes",AJ490="high"),"import_but_human_review_required",IF(AG490="yes","import_as_active","import_as_backlog")))</x:f>
        <x:v>import_as_backlog</x:v>
      </x:c>
      <x:c r="AO490" s="12" t="str">
        <x:f>IF(AND(AG490="yes",OR(P490="",Q490="",R490="",S490="")),"missing_required_mvp_fields",IF(AND(AC490="canonical",Y490=""),"missing_source_ref","ok"))</x:f>
        <x:v>ok</x:v>
      </x:c>
      <x:c r="AP490" s="12" t="str">
        <x:f>IF(AO490="ok","ready_for_codex_import","needs_review")</x:f>
        <x:v>ready_for_codex_import</x:v>
      </x:c>
      <x:c r="AQ490" s="12"/>
      <x:c r="AR490" s="12" t="str">
        <x:v>Added v2 operational fields. Review before classification activation.</x:v>
      </x:c>
    </x:row>
    <x:row r="491">
      <x:c r="A491" s="13" t="str">
        <x:v>projection_bias_memory_salience_variant</x:v>
      </x:c>
      <x:c r="B491" s="13" t="str">
        <x:v>projection_bias</x:v>
      </x:c>
      <x:c r="C491" s="13" t="str">
        <x:v>Projection bias</x:v>
      </x:c>
      <x:c r="D491" s="13" t="str">
        <x:v>سوگیری فرافکنی</x:v>
      </x:c>
      <x:c r="E491" s="13" t="str">
        <x:v>Memory/salience variant</x:v>
      </x:c>
      <x:c r="F491" s="13" t="str">
        <x:v>cognitive_biases_information_processing</x:v>
      </x:c>
      <x:c r="G491" s="13" t="str">
        <x:v>operational_variant</x:v>
      </x:c>
      <x:c r="H491" s="13" t="str">
        <x:v>contextual</x:v>
      </x:c>
      <x:c r="I491" s="13" t="str">
        <x:v>claim+context</x:v>
      </x:c>
      <x:c r="J491" s="13" t="str">
        <x:v>derived_operational_subtype</x:v>
      </x:c>
      <x:c r="K491" s="13" t="str">
        <x:v>derived_from_established_parent_review_required</x:v>
      </x:c>
      <x:c r="L491" s="13" t="str">
        <x:v>P3</x:v>
      </x:c>
      <x:c r="M491" s="13" t="str">
        <x:v>no</x:v>
      </x:c>
      <x:c r="N491" s="13" t="str">
        <x:v>Operational subtype under Projection bias: salient or remembered cases are overweighted. Parent definition: Assuming future or others' preferences resemble current preferences.</x:v>
      </x:c>
      <x:c r="O491" s="13" t="str">
        <x:v>Look for: explicit claim-level evidence; parent-family cues for Projection bias; variant cue: salient or remembered cases are overweighted; avoid author-level inference.</x:v>
      </x:c>
      <x:c r="P491" s="13" t="str">
        <x:v>Exact evidence span in text plus claim-level reasoning link; for contextual/discourse entries, require surrounding context.</x:v>
      </x:c>
      <x:c r="Q491" s="13" t="str">
        <x:v>Do not label merely because topic is controversial, emotional, or wrong. Do not judge intent or personality. Require textual evidence and consider healthy-reasoning cues.</x:v>
      </x:c>
      <x:c r="R491" s="13" t="str">
        <x:v>Stub: A claim relies on salient or remembered cases are overweighted to support a conclusion without adequate qualification.</x:v>
      </x:c>
      <x:c r="S491" s="13" t="str">
        <x:v>Stub: A claim discusses projection bias with caveats, balanced evidence, or no argumentative use of the pattern.</x:v>
      </x:c>
      <x:c r="T491" s="13" t="str">
        <x:v>Mild or ambiguous cue; do not classify without clear evidence span.</x:v>
      </x:c>
      <x:c r="U491" s="13" t="str">
        <x:v>Clear claim-level pattern with some argumentative impact.</x:v>
      </x:c>
      <x:c r="V491" s="13" t="str">
        <x:v>Strong pattern central to the conclusion and likely to materially distort reasoning.</x:v>
      </x:c>
      <x:c r="W491" s="13" t="str"/>
      <x:c r="X491" s="13" t="str">
        <x:v>gilovich_heuristics_biases</x:v>
      </x:c>
      <x:c r="Y491" s="13" t="str">
        <x:v>https://www.cambridge.org/core/books/heuristics-and-biases/3C30D3B05D2F190C3B8BE5E2531EFD24</x:v>
      </x:c>
      <x:c r="Z491" s="13" t="str">
        <x:v>Review before enabling. This workbook is a living taxonomy scaffold, not a validated scientific benchmark.</x:v>
      </x:c>
      <x:c r="AA491" s="13" t="str">
        <x:v>0.1.0-draft</x:v>
      </x:c>
      <x:c r="AB491" s="12" t="str">
        <x:f>IF(ISNUMBER(SEARCH("healthy",F491)),"healthy_reasoning_patterns",IF(ISNUMBER(SEARCH("statistical",F491)),"statistical_reasoning",IF(ISNUMBER(SEARCH("causal",F491)),"causal_reasoning",IF(ISNUMBER(SEARCH("social",F491)),"social_influence",IF(ISNUMBER(SEARCH("rhetoric",F491)),"rhetoric_discourse",IF(ISNUMBER(SEARCH("behavior",F491)),"behavioural_economics",IF(ISNUMBER(SEARCH("cognitive",F491)),"cognitive_biases",IF(J491="protective_pattern","healthy_reasoning_patterns",IF(L491="P0","core_mvp","extended_fallacies")))))))))</x:f>
        <x:v>cognitive_biases</x:v>
      </x:c>
      <x:c r="AC491" s="12" t="str">
        <x:f>IF(ISNUMBER(SEARCH("operational",J491)),"operational",IF(ISNUMBER(SEARCH("deprecated",J491)),"deprecated",IF(L491="P0","canonical","recognized_subtype")))</x:f>
        <x:v>operational</x:v>
      </x:c>
      <x:c r="AD491" s="12" t="str">
        <x:f>IF(AC491="canonical","high",IF(AC491="recognized_subtype","medium",IF(AC491="operational","operational_only","debated")))</x:f>
        <x:v>operational_only</x:v>
      </x:c>
      <x:c r="AE491" s="12" t="str">
        <x:f>IF(AC491="deprecated","deprecated",IF(M491="yes","active",IF(M491="review","review_required","backlog")))</x:f>
        <x:v>backlog</x:v>
      </x:c>
      <x:c r="AF491" s="12" t="str">
        <x:f>IF(OR(AE491="active",AE491="review_required"),"yes","no")</x:f>
        <x:v>no</x:v>
      </x:c>
      <x:c r="AG491" s="12" t="str">
        <x:f>IF(AND(AE491="active",M491="yes",NOT(ISNUMBER(SEARCH("healthy",AB491)))),"yes","no")</x:f>
        <x:v>no</x:v>
      </x:c>
      <x:c r="AH491" s="12" t="str">
        <x:f>IF(OR(H491="contextual",H491="dialogue",H491="discourse",I491="claim+context",I491="discourse_segment"),"yes","no")</x:f>
        <x:v>yes</x:v>
      </x:c>
      <x:c r="AI491" s="12" t="str">
        <x:f>IF(OR(AH491="yes",AD491="debated",AC491="operational"),"yes","no")</x:f>
        <x:v>yes</x:v>
      </x:c>
      <x:c r="AJ491" s="12" t="str">
        <x:f>IF(OR(AH491="yes",AC491="operational",AD491="debated"),"high",IF(AND(AG491="yes",L491="P0"),"medium","low"))</x:f>
        <x:v>high</x:v>
      </x:c>
      <x:c r="AK491" s="12" t="str">
        <x:f>IF(ISNUMBER(SEARCH("healthy",AB491)),"yes","no")</x:f>
        <x:v>no</x:v>
      </x:c>
      <x:c r="AL491" s="12" t="str">
        <x:f>IF(AG491="yes","yes","candidate_only")</x:f>
        <x:v>candidate_only</x:v>
      </x:c>
      <x:c r="AM491" s="12" t="str">
        <x:f>IF(OR(AC491="canonical",AG491="yes"),"yes","recommended")</x:f>
        <x:v>recommended</x:v>
      </x:c>
      <x:c r="AN491" s="12" t="str">
        <x:f>IF(AC491="deprecated","exclude",IF(AND(AG491="yes",AJ491="high"),"import_but_human_review_required",IF(AG491="yes","import_as_active","import_as_backlog")))</x:f>
        <x:v>import_as_backlog</x:v>
      </x:c>
      <x:c r="AO491" s="12" t="str">
        <x:f>IF(AND(AG491="yes",OR(P491="",Q491="",R491="",S491="")),"missing_required_mvp_fields",IF(AND(AC491="canonical",Y491=""),"missing_source_ref","ok"))</x:f>
        <x:v>ok</x:v>
      </x:c>
      <x:c r="AP491" s="12" t="str">
        <x:f>IF(AO491="ok","ready_for_codex_import","needs_review")</x:f>
        <x:v>ready_for_codex_import</x:v>
      </x:c>
      <x:c r="AQ491" s="12"/>
      <x:c r="AR491" s="12" t="str">
        <x:v>Added v2 operational fields. Review before classification activation.</x:v>
      </x:c>
    </x:row>
    <x:row r="492">
      <x:c r="A492" s="13" t="str">
        <x:v>curse_of_knowledge_memory_salience_variant</x:v>
      </x:c>
      <x:c r="B492" s="13" t="str">
        <x:v>curse_of_knowledge</x:v>
      </x:c>
      <x:c r="C492" s="13" t="str">
        <x:v>Curse of knowledge</x:v>
      </x:c>
      <x:c r="D492" s="13" t="str">
        <x:v>نفرین دانستن</x:v>
      </x:c>
      <x:c r="E492" s="13" t="str">
        <x:v>Memory/salience variant</x:v>
      </x:c>
      <x:c r="F492" s="13" t="str">
        <x:v>cognitive_biases_information_processing</x:v>
      </x:c>
      <x:c r="G492" s="13" t="str">
        <x:v>operational_variant</x:v>
      </x:c>
      <x:c r="H492" s="13" t="str">
        <x:v>contextual</x:v>
      </x:c>
      <x:c r="I492" s="13" t="str">
        <x:v>claim+context</x:v>
      </x:c>
      <x:c r="J492" s="13" t="str">
        <x:v>derived_operational_subtype</x:v>
      </x:c>
      <x:c r="K492" s="13" t="str">
        <x:v>derived_from_established_parent_review_required</x:v>
      </x:c>
      <x:c r="L492" s="13" t="str">
        <x:v>P3</x:v>
      </x:c>
      <x:c r="M492" s="13" t="str">
        <x:v>no</x:v>
      </x:c>
      <x:c r="N492" s="13" t="str">
        <x:v>Operational subtype under Curse of knowledge: salient or remembered cases are overweighted. Parent definition: Failing to account for what others do not know.</x:v>
      </x:c>
      <x:c r="O492" s="13" t="str">
        <x:v>Look for: explicit claim-level evidence; parent-family cues for Curse of knowledge; variant cue: salient or remembered cases are overweighted; avoid author-level inference.</x:v>
      </x:c>
      <x:c r="P492" s="13" t="str">
        <x:v>Exact evidence span in text plus claim-level reasoning link; for contextual/discourse entries, require surrounding context.</x:v>
      </x:c>
      <x:c r="Q492" s="13" t="str">
        <x:v>Do not label merely because topic is controversial, emotional, or wrong. Do not judge intent or personality. Require textual evidence and consider healthy-reasoning cues.</x:v>
      </x:c>
      <x:c r="R492" s="13" t="str">
        <x:v>Stub: A claim relies on salient or remembered cases are overweighted to support a conclusion without adequate qualification.</x:v>
      </x:c>
      <x:c r="S492" s="13" t="str">
        <x:v>Stub: A claim discusses curse of knowledge with caveats, balanced evidence, or no argumentative use of the pattern.</x:v>
      </x:c>
      <x:c r="T492" s="13" t="str">
        <x:v>Mild or ambiguous cue; do not classify without clear evidence span.</x:v>
      </x:c>
      <x:c r="U492" s="13" t="str">
        <x:v>Clear claim-level pattern with some argumentative impact.</x:v>
      </x:c>
      <x:c r="V492" s="13" t="str">
        <x:v>Strong pattern central to the conclusion and likely to materially distort reasoning.</x:v>
      </x:c>
      <x:c r="W492" s="13" t="str"/>
      <x:c r="X492" s="13" t="str">
        <x:v>stanovich_dual_process</x:v>
      </x:c>
      <x:c r="Y492" s="13" t="str">
        <x:v>https://global.oup.com/academic/product/rationality-and-the-reflective-mind-9780195341140</x:v>
      </x:c>
      <x:c r="Z492" s="13" t="str">
        <x:v>Review before enabling. This workbook is a living taxonomy scaffold, not a validated scientific benchmark.</x:v>
      </x:c>
      <x:c r="AA492" s="13" t="str">
        <x:v>0.1.0-draft</x:v>
      </x:c>
      <x:c r="AB492" s="12" t="str">
        <x:f>IF(ISNUMBER(SEARCH("healthy",F492)),"healthy_reasoning_patterns",IF(ISNUMBER(SEARCH("statistical",F492)),"statistical_reasoning",IF(ISNUMBER(SEARCH("causal",F492)),"causal_reasoning",IF(ISNUMBER(SEARCH("social",F492)),"social_influence",IF(ISNUMBER(SEARCH("rhetoric",F492)),"rhetoric_discourse",IF(ISNUMBER(SEARCH("behavior",F492)),"behavioural_economics",IF(ISNUMBER(SEARCH("cognitive",F492)),"cognitive_biases",IF(J492="protective_pattern","healthy_reasoning_patterns",IF(L492="P0","core_mvp","extended_fallacies")))))))))</x:f>
        <x:v>cognitive_biases</x:v>
      </x:c>
      <x:c r="AC492" s="12" t="str">
        <x:f>IF(ISNUMBER(SEARCH("operational",J492)),"operational",IF(ISNUMBER(SEARCH("deprecated",J492)),"deprecated",IF(L492="P0","canonical","recognized_subtype")))</x:f>
        <x:v>operational</x:v>
      </x:c>
      <x:c r="AD492" s="12" t="str">
        <x:f>IF(AC492="canonical","high",IF(AC492="recognized_subtype","medium",IF(AC492="operational","operational_only","debated")))</x:f>
        <x:v>operational_only</x:v>
      </x:c>
      <x:c r="AE492" s="12" t="str">
        <x:f>IF(AC492="deprecated","deprecated",IF(M492="yes","active",IF(M492="review","review_required","backlog")))</x:f>
        <x:v>backlog</x:v>
      </x:c>
      <x:c r="AF492" s="12" t="str">
        <x:f>IF(OR(AE492="active",AE492="review_required"),"yes","no")</x:f>
        <x:v>no</x:v>
      </x:c>
      <x:c r="AG492" s="12" t="str">
        <x:f>IF(AND(AE492="active",M492="yes",NOT(ISNUMBER(SEARCH("healthy",AB492)))),"yes","no")</x:f>
        <x:v>no</x:v>
      </x:c>
      <x:c r="AH492" s="12" t="str">
        <x:f>IF(OR(H492="contextual",H492="dialogue",H492="discourse",I492="claim+context",I492="discourse_segment"),"yes","no")</x:f>
        <x:v>yes</x:v>
      </x:c>
      <x:c r="AI492" s="12" t="str">
        <x:f>IF(OR(AH492="yes",AD492="debated",AC492="operational"),"yes","no")</x:f>
        <x:v>yes</x:v>
      </x:c>
      <x:c r="AJ492" s="12" t="str">
        <x:f>IF(OR(AH492="yes",AC492="operational",AD492="debated"),"high",IF(AND(AG492="yes",L492="P0"),"medium","low"))</x:f>
        <x:v>high</x:v>
      </x:c>
      <x:c r="AK492" s="12" t="str">
        <x:f>IF(ISNUMBER(SEARCH("healthy",AB492)),"yes","no")</x:f>
        <x:v>no</x:v>
      </x:c>
      <x:c r="AL492" s="12" t="str">
        <x:f>IF(AG492="yes","yes","candidate_only")</x:f>
        <x:v>candidate_only</x:v>
      </x:c>
      <x:c r="AM492" s="12" t="str">
        <x:f>IF(OR(AC492="canonical",AG492="yes"),"yes","recommended")</x:f>
        <x:v>recommended</x:v>
      </x:c>
      <x:c r="AN492" s="12" t="str">
        <x:f>IF(AC492="deprecated","exclude",IF(AND(AG492="yes",AJ492="high"),"import_but_human_review_required",IF(AG492="yes","import_as_active","import_as_backlog")))</x:f>
        <x:v>import_as_backlog</x:v>
      </x:c>
      <x:c r="AO492" s="12" t="str">
        <x:f>IF(AND(AG492="yes",OR(P492="",Q492="",R492="",S492="")),"missing_required_mvp_fields",IF(AND(AC492="canonical",Y492=""),"missing_source_ref","ok"))</x:f>
        <x:v>ok</x:v>
      </x:c>
      <x:c r="AP492" s="12" t="str">
        <x:f>IF(AO492="ok","ready_for_codex_import","needs_review")</x:f>
        <x:v>ready_for_codex_import</x:v>
      </x:c>
      <x:c r="AQ492" s="12"/>
      <x:c r="AR492" s="12" t="str">
        <x:v>Added v2 operational fields. Review before classification activation.</x:v>
      </x:c>
    </x:row>
    <x:row r="493">
      <x:c r="A493" s="13" t="str">
        <x:v>ambiguity_effect_memory_salience_variant</x:v>
      </x:c>
      <x:c r="B493" s="13" t="str">
        <x:v>ambiguity_effect</x:v>
      </x:c>
      <x:c r="C493" s="13" t="str">
        <x:v>Ambiguity effect</x:v>
      </x:c>
      <x:c r="D493" s="13" t="str">
        <x:v>گریز از ابهام</x:v>
      </x:c>
      <x:c r="E493" s="13" t="str">
        <x:v>Memory/salience variant</x:v>
      </x:c>
      <x:c r="F493" s="13" t="str">
        <x:v>cognitive_biases_information_processing</x:v>
      </x:c>
      <x:c r="G493" s="13" t="str">
        <x:v>operational_variant</x:v>
      </x:c>
      <x:c r="H493" s="13" t="str">
        <x:v>contextual</x:v>
      </x:c>
      <x:c r="I493" s="13" t="str">
        <x:v>claim+context</x:v>
      </x:c>
      <x:c r="J493" s="13" t="str">
        <x:v>derived_operational_subtype</x:v>
      </x:c>
      <x:c r="K493" s="13" t="str">
        <x:v>derived_from_established_parent_review_required</x:v>
      </x:c>
      <x:c r="L493" s="13" t="str">
        <x:v>P3</x:v>
      </x:c>
      <x:c r="M493" s="13" t="str">
        <x:v>no</x:v>
      </x:c>
      <x:c r="N493" s="13" t="str">
        <x:v>Operational subtype under Ambiguity effect: salient or remembered cases are overweighted. Parent definition: Avoiding options with unknown probabilities, even when alternatives are not better.</x:v>
      </x:c>
      <x:c r="O493" s="13" t="str">
        <x:v>Look for: explicit claim-level evidence; parent-family cues for Ambiguity effect; variant cue: salient or remembered cases are overweighted; avoid author-level inference.</x:v>
      </x:c>
      <x:c r="P493" s="13" t="str">
        <x:v>Exact evidence span in text plus claim-level reasoning link; for contextual/discourse entries, require surrounding context.</x:v>
      </x:c>
      <x:c r="Q493" s="13" t="str">
        <x:v>Do not label merely because topic is controversial, emotional, or wrong. Do not judge intent or personality. Require textual evidence and consider healthy-reasoning cues.</x:v>
      </x:c>
      <x:c r="R493" s="13" t="str">
        <x:v>Stub: A claim relies on salient or remembered cases are overweighted to support a conclusion without adequate qualification.</x:v>
      </x:c>
      <x:c r="S493" s="13" t="str">
        <x:v>Stub: A claim discusses ambiguity effect with caveats, balanced evidence, or no argumentative use of the pattern.</x:v>
      </x:c>
      <x:c r="T493" s="13" t="str">
        <x:v>Mild or ambiguous cue; do not classify without clear evidence span.</x:v>
      </x:c>
      <x:c r="U493" s="13" t="str">
        <x:v>Clear claim-level pattern with some argumentative impact.</x:v>
      </x:c>
      <x:c r="V493" s="13" t="str">
        <x:v>Strong pattern central to the conclusion and likely to materially distort reasoning.</x:v>
      </x:c>
      <x:c r="W493" s="13" t="str"/>
      <x:c r="X493" s="13" t="str">
        <x:v>kahneman_tversky_prospect_1979</x:v>
      </x:c>
      <x:c r="Y493" s="13" t="str">
        <x:v>https://doi.org/10.2307/1914185</x:v>
      </x:c>
      <x:c r="Z493" s="13" t="str">
        <x:v>Review before enabling. This workbook is a living taxonomy scaffold, not a validated scientific benchmark.</x:v>
      </x:c>
      <x:c r="AA493" s="13" t="str">
        <x:v>0.1.0-draft</x:v>
      </x:c>
      <x:c r="AB493" s="12" t="str">
        <x:f>IF(ISNUMBER(SEARCH("healthy",F493)),"healthy_reasoning_patterns",IF(ISNUMBER(SEARCH("statistical",F493)),"statistical_reasoning",IF(ISNUMBER(SEARCH("causal",F493)),"causal_reasoning",IF(ISNUMBER(SEARCH("social",F493)),"social_influence",IF(ISNUMBER(SEARCH("rhetoric",F493)),"rhetoric_discourse",IF(ISNUMBER(SEARCH("behavior",F493)),"behavioural_economics",IF(ISNUMBER(SEARCH("cognitive",F493)),"cognitive_biases",IF(J493="protective_pattern","healthy_reasoning_patterns",IF(L493="P0","core_mvp","extended_fallacies")))))))))</x:f>
        <x:v>cognitive_biases</x:v>
      </x:c>
      <x:c r="AC493" s="12" t="str">
        <x:f>IF(ISNUMBER(SEARCH("operational",J493)),"operational",IF(ISNUMBER(SEARCH("deprecated",J493)),"deprecated",IF(L493="P0","canonical","recognized_subtype")))</x:f>
        <x:v>operational</x:v>
      </x:c>
      <x:c r="AD493" s="12" t="str">
        <x:f>IF(AC493="canonical","high",IF(AC493="recognized_subtype","medium",IF(AC493="operational","operational_only","debated")))</x:f>
        <x:v>operational_only</x:v>
      </x:c>
      <x:c r="AE493" s="12" t="str">
        <x:f>IF(AC493="deprecated","deprecated",IF(M493="yes","active",IF(M493="review","review_required","backlog")))</x:f>
        <x:v>backlog</x:v>
      </x:c>
      <x:c r="AF493" s="12" t="str">
        <x:f>IF(OR(AE493="active",AE493="review_required"),"yes","no")</x:f>
        <x:v>no</x:v>
      </x:c>
      <x:c r="AG493" s="12" t="str">
        <x:f>IF(AND(AE493="active",M493="yes",NOT(ISNUMBER(SEARCH("healthy",AB493)))),"yes","no")</x:f>
        <x:v>no</x:v>
      </x:c>
      <x:c r="AH493" s="12" t="str">
        <x:f>IF(OR(H493="contextual",H493="dialogue",H493="discourse",I493="claim+context",I493="discourse_segment"),"yes","no")</x:f>
        <x:v>yes</x:v>
      </x:c>
      <x:c r="AI493" s="12" t="str">
        <x:f>IF(OR(AH493="yes",AD493="debated",AC493="operational"),"yes","no")</x:f>
        <x:v>yes</x:v>
      </x:c>
      <x:c r="AJ493" s="12" t="str">
        <x:f>IF(OR(AH493="yes",AC493="operational",AD493="debated"),"high",IF(AND(AG493="yes",L493="P0"),"medium","low"))</x:f>
        <x:v>high</x:v>
      </x:c>
      <x:c r="AK493" s="12" t="str">
        <x:f>IF(ISNUMBER(SEARCH("healthy",AB493)),"yes","no")</x:f>
        <x:v>no</x:v>
      </x:c>
      <x:c r="AL493" s="12" t="str">
        <x:f>IF(AG493="yes","yes","candidate_only")</x:f>
        <x:v>candidate_only</x:v>
      </x:c>
      <x:c r="AM493" s="12" t="str">
        <x:f>IF(OR(AC493="canonical",AG493="yes"),"yes","recommended")</x:f>
        <x:v>recommended</x:v>
      </x:c>
      <x:c r="AN493" s="12" t="str">
        <x:f>IF(AC493="deprecated","exclude",IF(AND(AG493="yes",AJ493="high"),"import_but_human_review_required",IF(AG493="yes","import_as_active","import_as_backlog")))</x:f>
        <x:v>import_as_backlog</x:v>
      </x:c>
      <x:c r="AO493" s="12" t="str">
        <x:f>IF(AND(AG493="yes",OR(P493="",Q493="",R493="",S493="")),"missing_required_mvp_fields",IF(AND(AC493="canonical",Y493=""),"missing_source_ref","ok"))</x:f>
        <x:v>ok</x:v>
      </x:c>
      <x:c r="AP493" s="12" t="str">
        <x:f>IF(AO493="ok","ready_for_codex_import","needs_review")</x:f>
        <x:v>ready_for_codex_import</x:v>
      </x:c>
      <x:c r="AQ493" s="12"/>
      <x:c r="AR493" s="12" t="str">
        <x:v>Added v2 operational fields. Review before classification activation.</x:v>
      </x:c>
    </x:row>
    <x:row r="494">
      <x:c r="A494" s="13" t="str">
        <x:v>confirmation_bias_confidence_expression_variant</x:v>
      </x:c>
      <x:c r="B494" s="13" t="str">
        <x:v>confirmation_bias</x:v>
      </x:c>
      <x:c r="C494" s="13" t="str">
        <x:v>Confirmation bias</x:v>
      </x:c>
      <x:c r="D494" s="13" t="str">
        <x:v>سوگیری تأییدی</x:v>
      </x:c>
      <x:c r="E494" s="13" t="str">
        <x:v>Confidence-expression variant</x:v>
      </x:c>
      <x:c r="F494" s="13" t="str">
        <x:v>cognitive_biases_information_processing</x:v>
      </x:c>
      <x:c r="G494" s="13" t="str">
        <x:v>operational_variant</x:v>
      </x:c>
      <x:c r="H494" s="13" t="str">
        <x:v>contextual</x:v>
      </x:c>
      <x:c r="I494" s="13" t="str">
        <x:v>claim+context</x:v>
      </x:c>
      <x:c r="J494" s="13" t="str">
        <x:v>derived_operational_subtype</x:v>
      </x:c>
      <x:c r="K494" s="13" t="str">
        <x:v>derived_from_established_parent_review_required</x:v>
      </x:c>
      <x:c r="L494" s="13" t="str">
        <x:v>P3</x:v>
      </x:c>
      <x:c r="M494" s="13" t="str">
        <x:v>no</x:v>
      </x:c>
      <x:c r="N494" s="13" t="str">
        <x:v>Operational subtype under Confirmation bias: language expresses confidence beyond support. Parent definition: Searching for or interpreting information in ways that support prior beliefs.</x:v>
      </x:c>
      <x:c r="O494" s="13" t="str">
        <x:v>Look for: explicit claim-level evidence; parent-family cues for Confirmation bias; variant cue: language expresses confidence beyond support; avoid author-level inference.</x:v>
      </x:c>
      <x:c r="P494" s="13" t="str">
        <x:v>Exact evidence span in text plus claim-level reasoning link; for contextual/discourse entries, require surrounding context.</x:v>
      </x:c>
      <x:c r="Q494" s="13" t="str">
        <x:v>Do not label merely because topic is controversial, emotional, or wrong. Do not judge intent or personality. Require textual evidence and consider healthy-reasoning cues.</x:v>
      </x:c>
      <x:c r="R494" s="13" t="str">
        <x:v>Stub: A claim relies on language expresses confidence beyond support to support a conclusion without adequate qualification.</x:v>
      </x:c>
      <x:c r="S494" s="13" t="str">
        <x:v>Stub: A claim discusses confirmation bias with caveats, balanced evidence, or no argumentative use of the pattern.</x:v>
      </x:c>
      <x:c r="T494" s="13" t="str">
        <x:v>Mild or ambiguous cue; do not classify without clear evidence span.</x:v>
      </x:c>
      <x:c r="U494" s="13" t="str">
        <x:v>Clear claim-level pattern with some argumentative impact.</x:v>
      </x:c>
      <x:c r="V494" s="13" t="str">
        <x:v>Strong pattern central to the conclusion and likely to materially distort reasoning.</x:v>
      </x:c>
      <x:c r="W494" s="13" t="str"/>
      <x:c r="X494" s="13" t="str">
        <x:v>nickerson_confirmation_1998</x:v>
      </x:c>
      <x:c r="Y494" s="13" t="str">
        <x:v>https://doi.org/10.1037/1089-2680.2.2.175</x:v>
      </x:c>
      <x:c r="Z494" s="13" t="str">
        <x:v>Review before enabling. This workbook is a living taxonomy scaffold, not a validated scientific benchmark.</x:v>
      </x:c>
      <x:c r="AA494" s="13" t="str">
        <x:v>0.1.0-draft</x:v>
      </x:c>
      <x:c r="AB494" s="12" t="str">
        <x:f>IF(ISNUMBER(SEARCH("healthy",F494)),"healthy_reasoning_patterns",IF(ISNUMBER(SEARCH("statistical",F494)),"statistical_reasoning",IF(ISNUMBER(SEARCH("causal",F494)),"causal_reasoning",IF(ISNUMBER(SEARCH("social",F494)),"social_influence",IF(ISNUMBER(SEARCH("rhetoric",F494)),"rhetoric_discourse",IF(ISNUMBER(SEARCH("behavior",F494)),"behavioural_economics",IF(ISNUMBER(SEARCH("cognitive",F494)),"cognitive_biases",IF(J494="protective_pattern","healthy_reasoning_patterns",IF(L494="P0","core_mvp","extended_fallacies")))))))))</x:f>
        <x:v>cognitive_biases</x:v>
      </x:c>
      <x:c r="AC494" s="12" t="str">
        <x:f>IF(ISNUMBER(SEARCH("operational",J494)),"operational",IF(ISNUMBER(SEARCH("deprecated",J494)),"deprecated",IF(L494="P0","canonical","recognized_subtype")))</x:f>
        <x:v>operational</x:v>
      </x:c>
      <x:c r="AD494" s="12" t="str">
        <x:f>IF(AC494="canonical","high",IF(AC494="recognized_subtype","medium",IF(AC494="operational","operational_only","debated")))</x:f>
        <x:v>operational_only</x:v>
      </x:c>
      <x:c r="AE494" s="12" t="str">
        <x:f>IF(AC494="deprecated","deprecated",IF(M494="yes","active",IF(M494="review","review_required","backlog")))</x:f>
        <x:v>backlog</x:v>
      </x:c>
      <x:c r="AF494" s="12" t="str">
        <x:f>IF(OR(AE494="active",AE494="review_required"),"yes","no")</x:f>
        <x:v>no</x:v>
      </x:c>
      <x:c r="AG494" s="12" t="str">
        <x:f>IF(AND(AE494="active",M494="yes",NOT(ISNUMBER(SEARCH("healthy",AB494)))),"yes","no")</x:f>
        <x:v>no</x:v>
      </x:c>
      <x:c r="AH494" s="12" t="str">
        <x:f>IF(OR(H494="contextual",H494="dialogue",H494="discourse",I494="claim+context",I494="discourse_segment"),"yes","no")</x:f>
        <x:v>yes</x:v>
      </x:c>
      <x:c r="AI494" s="12" t="str">
        <x:f>IF(OR(AH494="yes",AD494="debated",AC494="operational"),"yes","no")</x:f>
        <x:v>yes</x:v>
      </x:c>
      <x:c r="AJ494" s="12" t="str">
        <x:f>IF(OR(AH494="yes",AC494="operational",AD494="debated"),"high",IF(AND(AG494="yes",L494="P0"),"medium","low"))</x:f>
        <x:v>high</x:v>
      </x:c>
      <x:c r="AK494" s="12" t="str">
        <x:f>IF(ISNUMBER(SEARCH("healthy",AB494)),"yes","no")</x:f>
        <x:v>no</x:v>
      </x:c>
      <x:c r="AL494" s="12" t="str">
        <x:f>IF(AG494="yes","yes","candidate_only")</x:f>
        <x:v>candidate_only</x:v>
      </x:c>
      <x:c r="AM494" s="12" t="str">
        <x:f>IF(OR(AC494="canonical",AG494="yes"),"yes","recommended")</x:f>
        <x:v>recommended</x:v>
      </x:c>
      <x:c r="AN494" s="12" t="str">
        <x:f>IF(AC494="deprecated","exclude",IF(AND(AG494="yes",AJ494="high"),"import_but_human_review_required",IF(AG494="yes","import_as_active","import_as_backlog")))</x:f>
        <x:v>import_as_backlog</x:v>
      </x:c>
      <x:c r="AO494" s="12" t="str">
        <x:f>IF(AND(AG494="yes",OR(P494="",Q494="",R494="",S494="")),"missing_required_mvp_fields",IF(AND(AC494="canonical",Y494=""),"missing_source_ref","ok"))</x:f>
        <x:v>ok</x:v>
      </x:c>
      <x:c r="AP494" s="12" t="str">
        <x:f>IF(AO494="ok","ready_for_codex_import","needs_review")</x:f>
        <x:v>ready_for_codex_import</x:v>
      </x:c>
      <x:c r="AQ494" s="12"/>
      <x:c r="AR494" s="12" t="str">
        <x:v>Added v2 operational fields. Review before classification activation.</x:v>
      </x:c>
    </x:row>
    <x:row r="495">
      <x:c r="A495" s="13" t="str">
        <x:v>myside_bias_confidence_expression_variant</x:v>
      </x:c>
      <x:c r="B495" s="13" t="str">
        <x:v>myside_bias</x:v>
      </x:c>
      <x:c r="C495" s="13" t="str">
        <x:v>Myside bias</x:v>
      </x:c>
      <x:c r="D495" s="13" t="str">
        <x:v>سوگیری سمت خود</x:v>
      </x:c>
      <x:c r="E495" s="13" t="str">
        <x:v>Confidence-expression variant</x:v>
      </x:c>
      <x:c r="F495" s="13" t="str">
        <x:v>cognitive_biases_information_processing</x:v>
      </x:c>
      <x:c r="G495" s="13" t="str">
        <x:v>operational_variant</x:v>
      </x:c>
      <x:c r="H495" s="13" t="str">
        <x:v>contextual</x:v>
      </x:c>
      <x:c r="I495" s="13" t="str">
        <x:v>claim+context</x:v>
      </x:c>
      <x:c r="J495" s="13" t="str">
        <x:v>derived_operational_subtype</x:v>
      </x:c>
      <x:c r="K495" s="13" t="str">
        <x:v>derived_from_established_parent_review_required</x:v>
      </x:c>
      <x:c r="L495" s="13" t="str">
        <x:v>P3</x:v>
      </x:c>
      <x:c r="M495" s="13" t="str">
        <x:v>no</x:v>
      </x:c>
      <x:c r="N495" s="13" t="str">
        <x:v>Operational subtype under Myside bias: language expresses confidence beyond support. Parent definition: Evaluating evidence differently depending on whether it supports one's side.</x:v>
      </x:c>
      <x:c r="O495" s="13" t="str">
        <x:v>Look for: explicit claim-level evidence; parent-family cues for Myside bias; variant cue: language expresses confidence beyond support; avoid author-level inference.</x:v>
      </x:c>
      <x:c r="P495" s="13" t="str">
        <x:v>Exact evidence span in text plus claim-level reasoning link; for contextual/discourse entries, require surrounding context.</x:v>
      </x:c>
      <x:c r="Q495" s="13" t="str">
        <x:v>Do not label merely because topic is controversial, emotional, or wrong. Do not judge intent or personality. Require textual evidence and consider healthy-reasoning cues.</x:v>
      </x:c>
      <x:c r="R495" s="13" t="str">
        <x:v>Stub: A claim relies on language expresses confidence beyond support to support a conclusion without adequate qualification.</x:v>
      </x:c>
      <x:c r="S495" s="13" t="str">
        <x:v>Stub: A claim discusses myside bias with caveats, balanced evidence, or no argumentative use of the pattern.</x:v>
      </x:c>
      <x:c r="T495" s="13" t="str">
        <x:v>Mild or ambiguous cue; do not classify without clear evidence span.</x:v>
      </x:c>
      <x:c r="U495" s="13" t="str">
        <x:v>Clear claim-level pattern with some argumentative impact.</x:v>
      </x:c>
      <x:c r="V495" s="13" t="str">
        <x:v>Strong pattern central to the conclusion and likely to materially distort reasoning.</x:v>
      </x:c>
      <x:c r="W495" s="13" t="str">
        <x:v>cherry_picking; missing_counterevidence; evidence_grading</x:v>
      </x:c>
      <x:c r="X495" s="13" t="str">
        <x:v>nickerson_confirmation_1998</x:v>
      </x:c>
      <x:c r="Y495" s="13" t="str">
        <x:v>https://doi.org/10.1037/1089-2680.2.2.175</x:v>
      </x:c>
      <x:c r="Z495" s="13" t="str">
        <x:v>Review before enabling. This workbook is a living taxonomy scaffold, not a validated scientific benchmark.</x:v>
      </x:c>
      <x:c r="AA495" s="13" t="str">
        <x:v>0.1.0-draft</x:v>
      </x:c>
      <x:c r="AB495" s="12" t="str">
        <x:f>IF(ISNUMBER(SEARCH("healthy",F495)),"healthy_reasoning_patterns",IF(ISNUMBER(SEARCH("statistical",F495)),"statistical_reasoning",IF(ISNUMBER(SEARCH("causal",F495)),"causal_reasoning",IF(ISNUMBER(SEARCH("social",F495)),"social_influence",IF(ISNUMBER(SEARCH("rhetoric",F495)),"rhetoric_discourse",IF(ISNUMBER(SEARCH("behavior",F495)),"behavioural_economics",IF(ISNUMBER(SEARCH("cognitive",F495)),"cognitive_biases",IF(J495="protective_pattern","healthy_reasoning_patterns",IF(L495="P0","core_mvp","extended_fallacies")))))))))</x:f>
        <x:v>cognitive_biases</x:v>
      </x:c>
      <x:c r="AC495" s="12" t="str">
        <x:f>IF(ISNUMBER(SEARCH("operational",J495)),"operational",IF(ISNUMBER(SEARCH("deprecated",J495)),"deprecated",IF(L495="P0","canonical","recognized_subtype")))</x:f>
        <x:v>operational</x:v>
      </x:c>
      <x:c r="AD495" s="12" t="str">
        <x:f>IF(AC495="canonical","high",IF(AC495="recognized_subtype","medium",IF(AC495="operational","operational_only","debated")))</x:f>
        <x:v>operational_only</x:v>
      </x:c>
      <x:c r="AE495" s="12" t="str">
        <x:f>IF(AC495="deprecated","deprecated",IF(M495="yes","active",IF(M495="review","review_required","backlog")))</x:f>
        <x:v>backlog</x:v>
      </x:c>
      <x:c r="AF495" s="12" t="str">
        <x:f>IF(OR(AE495="active",AE495="review_required"),"yes","no")</x:f>
        <x:v>no</x:v>
      </x:c>
      <x:c r="AG495" s="12" t="str">
        <x:f>IF(AND(AE495="active",M495="yes",NOT(ISNUMBER(SEARCH("healthy",AB495)))),"yes","no")</x:f>
        <x:v>no</x:v>
      </x:c>
      <x:c r="AH495" s="12" t="str">
        <x:f>IF(OR(H495="contextual",H495="dialogue",H495="discourse",I495="claim+context",I495="discourse_segment"),"yes","no")</x:f>
        <x:v>yes</x:v>
      </x:c>
      <x:c r="AI495" s="12" t="str">
        <x:f>IF(OR(AH495="yes",AD495="debated",AC495="operational"),"yes","no")</x:f>
        <x:v>yes</x:v>
      </x:c>
      <x:c r="AJ495" s="12" t="str">
        <x:f>IF(OR(AH495="yes",AC495="operational",AD495="debated"),"high",IF(AND(AG495="yes",L495="P0"),"medium","low"))</x:f>
        <x:v>high</x:v>
      </x:c>
      <x:c r="AK495" s="12" t="str">
        <x:f>IF(ISNUMBER(SEARCH("healthy",AB495)),"yes","no")</x:f>
        <x:v>no</x:v>
      </x:c>
      <x:c r="AL495" s="12" t="str">
        <x:f>IF(AG495="yes","yes","candidate_only")</x:f>
        <x:v>candidate_only</x:v>
      </x:c>
      <x:c r="AM495" s="12" t="str">
        <x:f>IF(OR(AC495="canonical",AG495="yes"),"yes","recommended")</x:f>
        <x:v>recommended</x:v>
      </x:c>
      <x:c r="AN495" s="12" t="str">
        <x:f>IF(AC495="deprecated","exclude",IF(AND(AG495="yes",AJ495="high"),"import_but_human_review_required",IF(AG495="yes","import_as_active","import_as_backlog")))</x:f>
        <x:v>import_as_backlog</x:v>
      </x:c>
      <x:c r="AO495" s="12" t="str">
        <x:f>IF(AND(AG495="yes",OR(P495="",Q495="",R495="",S495="")),"missing_required_mvp_fields",IF(AND(AC495="canonical",Y495=""),"missing_source_ref","ok"))</x:f>
        <x:v>ok</x:v>
      </x:c>
      <x:c r="AP495" s="12" t="str">
        <x:f>IF(AO495="ok","ready_for_codex_import","needs_review")</x:f>
        <x:v>ready_for_codex_import</x:v>
      </x:c>
      <x:c r="AQ495" s="12"/>
      <x:c r="AR495" s="12" t="str">
        <x:v>Added v2 operational fields. Review before classification activation.</x:v>
      </x:c>
    </x:row>
    <x:row r="496">
      <x:c r="A496" s="13" t="str">
        <x:v>belief_bias_confidence_expression_variant</x:v>
      </x:c>
      <x:c r="B496" s="13" t="str">
        <x:v>belief_bias</x:v>
      </x:c>
      <x:c r="C496" s="13" t="str">
        <x:v>Belief bias</x:v>
      </x:c>
      <x:c r="D496" s="13" t="str">
        <x:v>سوگیری باور</x:v>
      </x:c>
      <x:c r="E496" s="13" t="str">
        <x:v>Confidence-expression variant</x:v>
      </x:c>
      <x:c r="F496" s="13" t="str">
        <x:v>cognitive_biases_information_processing</x:v>
      </x:c>
      <x:c r="G496" s="13" t="str">
        <x:v>operational_variant</x:v>
      </x:c>
      <x:c r="H496" s="13" t="str">
        <x:v>structural</x:v>
      </x:c>
      <x:c r="I496" s="13" t="str">
        <x:v>claim</x:v>
      </x:c>
      <x:c r="J496" s="13" t="str">
        <x:v>derived_operational_subtype</x:v>
      </x:c>
      <x:c r="K496" s="13" t="str">
        <x:v>derived_from_established_parent_review_required</x:v>
      </x:c>
      <x:c r="L496" s="13" t="str">
        <x:v>P3</x:v>
      </x:c>
      <x:c r="M496" s="13" t="str">
        <x:v>no</x:v>
      </x:c>
      <x:c r="N496" s="13" t="str">
        <x:v>Operational subtype under Belief bias: language expresses confidence beyond support. Parent definition: Judging logical strength by conclusion believability rather than validity.</x:v>
      </x:c>
      <x:c r="O496" s="13" t="str">
        <x:v>Look for: explicit claim-level evidence; parent-family cues for Belief bias; variant cue: language expresses confidence beyond support; avoid author-level inference.</x:v>
      </x:c>
      <x:c r="P496" s="13" t="str">
        <x:v>Exact evidence span in text plus claim-level reasoning link; for contextual/discourse entries, require surrounding context.</x:v>
      </x:c>
      <x:c r="Q496" s="13" t="str">
        <x:v>Do not label merely because topic is controversial, emotional, or wrong. Do not judge intent or personality. Require textual evidence and consider healthy-reasoning cues.</x:v>
      </x:c>
      <x:c r="R496" s="13" t="str">
        <x:v>Stub: A claim relies on language expresses confidence beyond support to support a conclusion without adequate qualification.</x:v>
      </x:c>
      <x:c r="S496" s="13" t="str">
        <x:v>Stub: A claim discusses belief bias with caveats, balanced evidence, or no argumentative use of the pattern.</x:v>
      </x:c>
      <x:c r="T496" s="13" t="str">
        <x:v>Mild or ambiguous cue; do not classify without clear evidence span.</x:v>
      </x:c>
      <x:c r="U496" s="13" t="str">
        <x:v>Clear claim-level pattern with some argumentative impact.</x:v>
      </x:c>
      <x:c r="V496" s="13" t="str">
        <x:v>Strong pattern central to the conclusion and likely to materially distort reasoning.</x:v>
      </x:c>
      <x:c r="W496" s="13" t="str"/>
      <x:c r="X496" s="13" t="str">
        <x:v>stanovich_dual_process</x:v>
      </x:c>
      <x:c r="Y496" s="13" t="str">
        <x:v>https://global.oup.com/academic/product/rationality-and-the-reflective-mind-9780195341140</x:v>
      </x:c>
      <x:c r="Z496" s="13" t="str">
        <x:v>Review before enabling. This workbook is a living taxonomy scaffold, not a validated scientific benchmark.</x:v>
      </x:c>
      <x:c r="AA496" s="13" t="str">
        <x:v>0.1.0-draft</x:v>
      </x:c>
      <x:c r="AB496" s="12" t="str">
        <x:f>IF(ISNUMBER(SEARCH("healthy",F496)),"healthy_reasoning_patterns",IF(ISNUMBER(SEARCH("statistical",F496)),"statistical_reasoning",IF(ISNUMBER(SEARCH("causal",F496)),"causal_reasoning",IF(ISNUMBER(SEARCH("social",F496)),"social_influence",IF(ISNUMBER(SEARCH("rhetoric",F496)),"rhetoric_discourse",IF(ISNUMBER(SEARCH("behavior",F496)),"behavioural_economics",IF(ISNUMBER(SEARCH("cognitive",F496)),"cognitive_biases",IF(J496="protective_pattern","healthy_reasoning_patterns",IF(L496="P0","core_mvp","extended_fallacies")))))))))</x:f>
        <x:v>cognitive_biases</x:v>
      </x:c>
      <x:c r="AC496" s="12" t="str">
        <x:f>IF(ISNUMBER(SEARCH("operational",J496)),"operational",IF(ISNUMBER(SEARCH("deprecated",J496)),"deprecated",IF(L496="P0","canonical","recognized_subtype")))</x:f>
        <x:v>operational</x:v>
      </x:c>
      <x:c r="AD496" s="12" t="str">
        <x:f>IF(AC496="canonical","high",IF(AC496="recognized_subtype","medium",IF(AC496="operational","operational_only","debated")))</x:f>
        <x:v>operational_only</x:v>
      </x:c>
      <x:c r="AE496" s="12" t="str">
        <x:f>IF(AC496="deprecated","deprecated",IF(M496="yes","active",IF(M496="review","review_required","backlog")))</x:f>
        <x:v>backlog</x:v>
      </x:c>
      <x:c r="AF496" s="12" t="str">
        <x:f>IF(OR(AE496="active",AE496="review_required"),"yes","no")</x:f>
        <x:v>no</x:v>
      </x:c>
      <x:c r="AG496" s="12" t="str">
        <x:f>IF(AND(AE496="active",M496="yes",NOT(ISNUMBER(SEARCH("healthy",AB496)))),"yes","no")</x:f>
        <x:v>no</x:v>
      </x:c>
      <x:c r="AH496" s="12" t="str">
        <x:f>IF(OR(H496="contextual",H496="dialogue",H496="discourse",I496="claim+context",I496="discourse_segment"),"yes","no")</x:f>
        <x:v>no</x:v>
      </x:c>
      <x:c r="AI496" s="12" t="str">
        <x:f>IF(OR(AH496="yes",AD496="debated",AC496="operational"),"yes","no")</x:f>
        <x:v>yes</x:v>
      </x:c>
      <x:c r="AJ496" s="12" t="str">
        <x:f>IF(OR(AH496="yes",AC496="operational",AD496="debated"),"high",IF(AND(AG496="yes",L496="P0"),"medium","low"))</x:f>
        <x:v>high</x:v>
      </x:c>
      <x:c r="AK496" s="12" t="str">
        <x:f>IF(ISNUMBER(SEARCH("healthy",AB496)),"yes","no")</x:f>
        <x:v>no</x:v>
      </x:c>
      <x:c r="AL496" s="12" t="str">
        <x:f>IF(AG496="yes","yes","candidate_only")</x:f>
        <x:v>candidate_only</x:v>
      </x:c>
      <x:c r="AM496" s="12" t="str">
        <x:f>IF(OR(AC496="canonical",AG496="yes"),"yes","recommended")</x:f>
        <x:v>recommended</x:v>
      </x:c>
      <x:c r="AN496" s="12" t="str">
        <x:f>IF(AC496="deprecated","exclude",IF(AND(AG496="yes",AJ496="high"),"import_but_human_review_required",IF(AG496="yes","import_as_active","import_as_backlog")))</x:f>
        <x:v>import_as_backlog</x:v>
      </x:c>
      <x:c r="AO496" s="12" t="str">
        <x:f>IF(AND(AG496="yes",OR(P496="",Q496="",R496="",S496="")),"missing_required_mvp_fields",IF(AND(AC496="canonical",Y496=""),"missing_source_ref","ok"))</x:f>
        <x:v>ok</x:v>
      </x:c>
      <x:c r="AP496" s="12" t="str">
        <x:f>IF(AO496="ok","ready_for_codex_import","needs_review")</x:f>
        <x:v>ready_for_codex_import</x:v>
      </x:c>
      <x:c r="AQ496" s="12"/>
      <x:c r="AR496" s="12" t="str">
        <x:v>Added v2 operational fields. Review before classification activation.</x:v>
      </x:c>
    </x:row>
    <x:row r="497">
      <x:c r="A497" s="13" t="str">
        <x:v>anchoring_bias_confidence_expression_variant</x:v>
      </x:c>
      <x:c r="B497" s="13" t="str">
        <x:v>anchoring_bias</x:v>
      </x:c>
      <x:c r="C497" s="13" t="str">
        <x:v>Anchoring bias</x:v>
      </x:c>
      <x:c r="D497" s="13" t="str">
        <x:v>سوگیری لنگری</x:v>
      </x:c>
      <x:c r="E497" s="13" t="str">
        <x:v>Confidence-expression variant</x:v>
      </x:c>
      <x:c r="F497" s="13" t="str">
        <x:v>cognitive_biases_information_processing</x:v>
      </x:c>
      <x:c r="G497" s="13" t="str">
        <x:v>operational_variant</x:v>
      </x:c>
      <x:c r="H497" s="13" t="str">
        <x:v>contextual</x:v>
      </x:c>
      <x:c r="I497" s="13" t="str">
        <x:v>claim+context</x:v>
      </x:c>
      <x:c r="J497" s="13" t="str">
        <x:v>derived_operational_subtype</x:v>
      </x:c>
      <x:c r="K497" s="13" t="str">
        <x:v>derived_from_established_parent_review_required</x:v>
      </x:c>
      <x:c r="L497" s="13" t="str">
        <x:v>P3</x:v>
      </x:c>
      <x:c r="M497" s="13" t="str">
        <x:v>no</x:v>
      </x:c>
      <x:c r="N497" s="13" t="str">
        <x:v>Operational subtype under Anchoring bias: language expresses confidence beyond support. Parent definition: Relying too heavily on an initial value or frame when judging.</x:v>
      </x:c>
      <x:c r="O497" s="13" t="str">
        <x:v>Look for: explicit claim-level evidence; parent-family cues for Anchoring bias; variant cue: language expresses confidence beyond support; avoid author-level inference.</x:v>
      </x:c>
      <x:c r="P497" s="13" t="str">
        <x:v>Exact evidence span in text plus claim-level reasoning link; for contextual/discourse entries, require surrounding context.</x:v>
      </x:c>
      <x:c r="Q497" s="13" t="str">
        <x:v>Do not label merely because topic is controversial, emotional, or wrong. Do not judge intent or personality. Require textual evidence and consider healthy-reasoning cues.</x:v>
      </x:c>
      <x:c r="R497" s="13" t="str">
        <x:v>Stub: A claim relies on language expresses confidence beyond support to support a conclusion without adequate qualification.</x:v>
      </x:c>
      <x:c r="S497" s="13" t="str">
        <x:v>Stub: A claim discusses anchoring bias with caveats, balanced evidence, or no argumentative use of the pattern.</x:v>
      </x:c>
      <x:c r="T497" s="13" t="str">
        <x:v>Mild or ambiguous cue; do not classify without clear evidence span.</x:v>
      </x:c>
      <x:c r="U497" s="13" t="str">
        <x:v>Clear claim-level pattern with some argumentative impact.</x:v>
      </x:c>
      <x:c r="V497" s="13" t="str">
        <x:v>Strong pattern central to the conclusion and likely to materially distort reasoning.</x:v>
      </x:c>
      <x:c r="W497" s="13" t="str"/>
      <x:c r="X497" s="13" t="str">
        <x:v>kahneman_tversky_heuristics_1974</x:v>
      </x:c>
      <x:c r="Y497" s="13" t="str">
        <x:v>https://doi.org/10.1126/science.185.4157.1124</x:v>
      </x:c>
      <x:c r="Z497" s="13" t="str">
        <x:v>Review before enabling. This workbook is a living taxonomy scaffold, not a validated scientific benchmark.</x:v>
      </x:c>
      <x:c r="AA497" s="13" t="str">
        <x:v>0.1.0-draft</x:v>
      </x:c>
      <x:c r="AB497" s="12" t="str">
        <x:f>IF(ISNUMBER(SEARCH("healthy",F497)),"healthy_reasoning_patterns",IF(ISNUMBER(SEARCH("statistical",F497)),"statistical_reasoning",IF(ISNUMBER(SEARCH("causal",F497)),"causal_reasoning",IF(ISNUMBER(SEARCH("social",F497)),"social_influence",IF(ISNUMBER(SEARCH("rhetoric",F497)),"rhetoric_discourse",IF(ISNUMBER(SEARCH("behavior",F497)),"behavioural_economics",IF(ISNUMBER(SEARCH("cognitive",F497)),"cognitive_biases",IF(J497="protective_pattern","healthy_reasoning_patterns",IF(L497="P0","core_mvp","extended_fallacies")))))))))</x:f>
        <x:v>cognitive_biases</x:v>
      </x:c>
      <x:c r="AC497" s="12" t="str">
        <x:f>IF(ISNUMBER(SEARCH("operational",J497)),"operational",IF(ISNUMBER(SEARCH("deprecated",J497)),"deprecated",IF(L497="P0","canonical","recognized_subtype")))</x:f>
        <x:v>operational</x:v>
      </x:c>
      <x:c r="AD497" s="12" t="str">
        <x:f>IF(AC497="canonical","high",IF(AC497="recognized_subtype","medium",IF(AC497="operational","operational_only","debated")))</x:f>
        <x:v>operational_only</x:v>
      </x:c>
      <x:c r="AE497" s="12" t="str">
        <x:f>IF(AC497="deprecated","deprecated",IF(M497="yes","active",IF(M497="review","review_required","backlog")))</x:f>
        <x:v>backlog</x:v>
      </x:c>
      <x:c r="AF497" s="12" t="str">
        <x:f>IF(OR(AE497="active",AE497="review_required"),"yes","no")</x:f>
        <x:v>no</x:v>
      </x:c>
      <x:c r="AG497" s="12" t="str">
        <x:f>IF(AND(AE497="active",M497="yes",NOT(ISNUMBER(SEARCH("healthy",AB497)))),"yes","no")</x:f>
        <x:v>no</x:v>
      </x:c>
      <x:c r="AH497" s="12" t="str">
        <x:f>IF(OR(H497="contextual",H497="dialogue",H497="discourse",I497="claim+context",I497="discourse_segment"),"yes","no")</x:f>
        <x:v>yes</x:v>
      </x:c>
      <x:c r="AI497" s="12" t="str">
        <x:f>IF(OR(AH497="yes",AD497="debated",AC497="operational"),"yes","no")</x:f>
        <x:v>yes</x:v>
      </x:c>
      <x:c r="AJ497" s="12" t="str">
        <x:f>IF(OR(AH497="yes",AC497="operational",AD497="debated"),"high",IF(AND(AG497="yes",L497="P0"),"medium","low"))</x:f>
        <x:v>high</x:v>
      </x:c>
      <x:c r="AK497" s="12" t="str">
        <x:f>IF(ISNUMBER(SEARCH("healthy",AB497)),"yes","no")</x:f>
        <x:v>no</x:v>
      </x:c>
      <x:c r="AL497" s="12" t="str">
        <x:f>IF(AG497="yes","yes","candidate_only")</x:f>
        <x:v>candidate_only</x:v>
      </x:c>
      <x:c r="AM497" s="12" t="str">
        <x:f>IF(OR(AC497="canonical",AG497="yes"),"yes","recommended")</x:f>
        <x:v>recommended</x:v>
      </x:c>
      <x:c r="AN497" s="12" t="str">
        <x:f>IF(AC497="deprecated","exclude",IF(AND(AG497="yes",AJ497="high"),"import_but_human_review_required",IF(AG497="yes","import_as_active","import_as_backlog")))</x:f>
        <x:v>import_as_backlog</x:v>
      </x:c>
      <x:c r="AO497" s="12" t="str">
        <x:f>IF(AND(AG497="yes",OR(P497="",Q497="",R497="",S497="")),"missing_required_mvp_fields",IF(AND(AC497="canonical",Y497=""),"missing_source_ref","ok"))</x:f>
        <x:v>ok</x:v>
      </x:c>
      <x:c r="AP497" s="12" t="str">
        <x:f>IF(AO497="ok","ready_for_codex_import","needs_review")</x:f>
        <x:v>ready_for_codex_import</x:v>
      </x:c>
      <x:c r="AQ497" s="12"/>
      <x:c r="AR497" s="12" t="str">
        <x:v>Added v2 operational fields. Review before classification activation.</x:v>
      </x:c>
    </x:row>
    <x:row r="498">
      <x:c r="A498" s="13" t="str">
        <x:v>availability_heuristic_confidence_expression_variant</x:v>
      </x:c>
      <x:c r="B498" s="13" t="str">
        <x:v>availability_heuristic</x:v>
      </x:c>
      <x:c r="C498" s="13" t="str">
        <x:v>Availability heuristic</x:v>
      </x:c>
      <x:c r="D498" s="13" t="str">
        <x:v>قضاوت بر اساس در دسترس بودن</x:v>
      </x:c>
      <x:c r="E498" s="13" t="str">
        <x:v>Confidence-expression variant</x:v>
      </x:c>
      <x:c r="F498" s="13" t="str">
        <x:v>cognitive_biases_information_processing</x:v>
      </x:c>
      <x:c r="G498" s="13" t="str">
        <x:v>operational_variant</x:v>
      </x:c>
      <x:c r="H498" s="13" t="str">
        <x:v>contextual</x:v>
      </x:c>
      <x:c r="I498" s="13" t="str">
        <x:v>claim+context</x:v>
      </x:c>
      <x:c r="J498" s="13" t="str">
        <x:v>derived_operational_subtype</x:v>
      </x:c>
      <x:c r="K498" s="13" t="str">
        <x:v>derived_from_established_parent_review_required</x:v>
      </x:c>
      <x:c r="L498" s="13" t="str">
        <x:v>P3</x:v>
      </x:c>
      <x:c r="M498" s="13" t="str">
        <x:v>no</x:v>
      </x:c>
      <x:c r="N498" s="13" t="str">
        <x:v>Operational subtype under Availability heuristic: language expresses confidence beyond support. Parent definition: Judging frequency or likelihood by how easily examples come to mind.</x:v>
      </x:c>
      <x:c r="O498" s="13" t="str">
        <x:v>Look for: explicit claim-level evidence; parent-family cues for Availability heuristic; variant cue: language expresses confidence beyond support; avoid author-level inference.</x:v>
      </x:c>
      <x:c r="P498" s="13" t="str">
        <x:v>Exact evidence span in text plus claim-level reasoning link; for contextual/discourse entries, require surrounding context.</x:v>
      </x:c>
      <x:c r="Q498" s="13" t="str">
        <x:v>Do not label merely because topic is controversial, emotional, or wrong. Do not judge intent or personality. Require textual evidence and consider healthy-reasoning cues.</x:v>
      </x:c>
      <x:c r="R498" s="13" t="str">
        <x:v>Stub: A claim relies on language expresses confidence beyond support to support a conclusion without adequate qualification.</x:v>
      </x:c>
      <x:c r="S498" s="13" t="str">
        <x:v>Stub: A claim discusses availability heuristic with caveats, balanced evidence, or no argumentative use of the pattern.</x:v>
      </x:c>
      <x:c r="T498" s="13" t="str">
        <x:v>Mild or ambiguous cue; do not classify without clear evidence span.</x:v>
      </x:c>
      <x:c r="U498" s="13" t="str">
        <x:v>Clear claim-level pattern with some argumentative impact.</x:v>
      </x:c>
      <x:c r="V498" s="13" t="str">
        <x:v>Strong pattern central to the conclusion and likely to materially distort reasoning.</x:v>
      </x:c>
      <x:c r="W498" s="13" t="str"/>
      <x:c r="X498" s="13" t="str">
        <x:v>kahneman_tversky_heuristics_1974</x:v>
      </x:c>
      <x:c r="Y498" s="13" t="str">
        <x:v>https://doi.org/10.1126/science.185.4157.1124</x:v>
      </x:c>
      <x:c r="Z498" s="13" t="str">
        <x:v>Review before enabling. This workbook is a living taxonomy scaffold, not a validated scientific benchmark.</x:v>
      </x:c>
      <x:c r="AA498" s="13" t="str">
        <x:v>0.1.0-draft</x:v>
      </x:c>
      <x:c r="AB498" s="12" t="str">
        <x:f>IF(ISNUMBER(SEARCH("healthy",F498)),"healthy_reasoning_patterns",IF(ISNUMBER(SEARCH("statistical",F498)),"statistical_reasoning",IF(ISNUMBER(SEARCH("causal",F498)),"causal_reasoning",IF(ISNUMBER(SEARCH("social",F498)),"social_influence",IF(ISNUMBER(SEARCH("rhetoric",F498)),"rhetoric_discourse",IF(ISNUMBER(SEARCH("behavior",F498)),"behavioural_economics",IF(ISNUMBER(SEARCH("cognitive",F498)),"cognitive_biases",IF(J498="protective_pattern","healthy_reasoning_patterns",IF(L498="P0","core_mvp","extended_fallacies")))))))))</x:f>
        <x:v>cognitive_biases</x:v>
      </x:c>
      <x:c r="AC498" s="12" t="str">
        <x:f>IF(ISNUMBER(SEARCH("operational",J498)),"operational",IF(ISNUMBER(SEARCH("deprecated",J498)),"deprecated",IF(L498="P0","canonical","recognized_subtype")))</x:f>
        <x:v>operational</x:v>
      </x:c>
      <x:c r="AD498" s="12" t="str">
        <x:f>IF(AC498="canonical","high",IF(AC498="recognized_subtype","medium",IF(AC498="operational","operational_only","debated")))</x:f>
        <x:v>operational_only</x:v>
      </x:c>
      <x:c r="AE498" s="12" t="str">
        <x:f>IF(AC498="deprecated","deprecated",IF(M498="yes","active",IF(M498="review","review_required","backlog")))</x:f>
        <x:v>backlog</x:v>
      </x:c>
      <x:c r="AF498" s="12" t="str">
        <x:f>IF(OR(AE498="active",AE498="review_required"),"yes","no")</x:f>
        <x:v>no</x:v>
      </x:c>
      <x:c r="AG498" s="12" t="str">
        <x:f>IF(AND(AE498="active",M498="yes",NOT(ISNUMBER(SEARCH("healthy",AB498)))),"yes","no")</x:f>
        <x:v>no</x:v>
      </x:c>
      <x:c r="AH498" s="12" t="str">
        <x:f>IF(OR(H498="contextual",H498="dialogue",H498="discourse",I498="claim+context",I498="discourse_segment"),"yes","no")</x:f>
        <x:v>yes</x:v>
      </x:c>
      <x:c r="AI498" s="12" t="str">
        <x:f>IF(OR(AH498="yes",AD498="debated",AC498="operational"),"yes","no")</x:f>
        <x:v>yes</x:v>
      </x:c>
      <x:c r="AJ498" s="12" t="str">
        <x:f>IF(OR(AH498="yes",AC498="operational",AD498="debated"),"high",IF(AND(AG498="yes",L498="P0"),"medium","low"))</x:f>
        <x:v>high</x:v>
      </x:c>
      <x:c r="AK498" s="12" t="str">
        <x:f>IF(ISNUMBER(SEARCH("healthy",AB498)),"yes","no")</x:f>
        <x:v>no</x:v>
      </x:c>
      <x:c r="AL498" s="12" t="str">
        <x:f>IF(AG498="yes","yes","candidate_only")</x:f>
        <x:v>candidate_only</x:v>
      </x:c>
      <x:c r="AM498" s="12" t="str">
        <x:f>IF(OR(AC498="canonical",AG498="yes"),"yes","recommended")</x:f>
        <x:v>recommended</x:v>
      </x:c>
      <x:c r="AN498" s="12" t="str">
        <x:f>IF(AC498="deprecated","exclude",IF(AND(AG498="yes",AJ498="high"),"import_but_human_review_required",IF(AG498="yes","import_as_active","import_as_backlog")))</x:f>
        <x:v>import_as_backlog</x:v>
      </x:c>
      <x:c r="AO498" s="12" t="str">
        <x:f>IF(AND(AG498="yes",OR(P498="",Q498="",R498="",S498="")),"missing_required_mvp_fields",IF(AND(AC498="canonical",Y498=""),"missing_source_ref","ok"))</x:f>
        <x:v>ok</x:v>
      </x:c>
      <x:c r="AP498" s="12" t="str">
        <x:f>IF(AO498="ok","ready_for_codex_import","needs_review")</x:f>
        <x:v>ready_for_codex_import</x:v>
      </x:c>
      <x:c r="AQ498" s="12"/>
      <x:c r="AR498" s="12" t="str">
        <x:v>Added v2 operational fields. Review before classification activation.</x:v>
      </x:c>
    </x:row>
    <x:row r="499">
      <x:c r="A499" s="13" t="str">
        <x:v>representativeness_heuristic_confidence_expression_variant</x:v>
      </x:c>
      <x:c r="B499" s="13" t="str">
        <x:v>representativeness_heuristic</x:v>
      </x:c>
      <x:c r="C499" s="13" t="str">
        <x:v>Representativeness heuristic</x:v>
      </x:c>
      <x:c r="D499" s="13" t="str">
        <x:v>نمایندگی‌گرایی</x:v>
      </x:c>
      <x:c r="E499" s="13" t="str">
        <x:v>Confidence-expression variant</x:v>
      </x:c>
      <x:c r="F499" s="13" t="str">
        <x:v>cognitive_biases_information_processing</x:v>
      </x:c>
      <x:c r="G499" s="13" t="str">
        <x:v>operational_variant</x:v>
      </x:c>
      <x:c r="H499" s="13" t="str">
        <x:v>contextual</x:v>
      </x:c>
      <x:c r="I499" s="13" t="str">
        <x:v>claim+context</x:v>
      </x:c>
      <x:c r="J499" s="13" t="str">
        <x:v>derived_operational_subtype</x:v>
      </x:c>
      <x:c r="K499" s="13" t="str">
        <x:v>derived_from_established_parent_review_required</x:v>
      </x:c>
      <x:c r="L499" s="13" t="str">
        <x:v>P3</x:v>
      </x:c>
      <x:c r="M499" s="13" t="str">
        <x:v>no</x:v>
      </x:c>
      <x:c r="N499" s="13" t="str">
        <x:v>Operational subtype under Representativeness heuristic: language expresses confidence beyond support. Parent definition: Judging likelihood by similarity to a stereotype or prototype.</x:v>
      </x:c>
      <x:c r="O499" s="13" t="str">
        <x:v>Look for: explicit claim-level evidence; parent-family cues for Representativeness heuristic; variant cue: language expresses confidence beyond support; avoid author-level inference.</x:v>
      </x:c>
      <x:c r="P499" s="13" t="str">
        <x:v>Exact evidence span in text plus claim-level reasoning link; for contextual/discourse entries, require surrounding context.</x:v>
      </x:c>
      <x:c r="Q499" s="13" t="str">
        <x:v>Do not label merely because topic is controversial, emotional, or wrong. Do not judge intent or personality. Require textual evidence and consider healthy-reasoning cues.</x:v>
      </x:c>
      <x:c r="R499" s="13" t="str">
        <x:v>Stub: A claim relies on language expresses confidence beyond support to support a conclusion without adequate qualification.</x:v>
      </x:c>
      <x:c r="S499" s="13" t="str">
        <x:v>Stub: A claim discusses representativeness heuristic with caveats, balanced evidence, or no argumentative use of the pattern.</x:v>
      </x:c>
      <x:c r="T499" s="13" t="str">
        <x:v>Mild or ambiguous cue; do not classify without clear evidence span.</x:v>
      </x:c>
      <x:c r="U499" s="13" t="str">
        <x:v>Clear claim-level pattern with some argumentative impact.</x:v>
      </x:c>
      <x:c r="V499" s="13" t="str">
        <x:v>Strong pattern central to the conclusion and likely to materially distort reasoning.</x:v>
      </x:c>
      <x:c r="W499" s="13" t="str"/>
      <x:c r="X499" s="13" t="str">
        <x:v>kahneman_tversky_heuristics_1974</x:v>
      </x:c>
      <x:c r="Y499" s="13" t="str">
        <x:v>https://doi.org/10.1126/science.185.4157.1124</x:v>
      </x:c>
      <x:c r="Z499" s="13" t="str">
        <x:v>Review before enabling. This workbook is a living taxonomy scaffold, not a validated scientific benchmark.</x:v>
      </x:c>
      <x:c r="AA499" s="13" t="str">
        <x:v>0.1.0-draft</x:v>
      </x:c>
      <x:c r="AB499" s="12" t="str">
        <x:f>IF(ISNUMBER(SEARCH("healthy",F499)),"healthy_reasoning_patterns",IF(ISNUMBER(SEARCH("statistical",F499)),"statistical_reasoning",IF(ISNUMBER(SEARCH("causal",F499)),"causal_reasoning",IF(ISNUMBER(SEARCH("social",F499)),"social_influence",IF(ISNUMBER(SEARCH("rhetoric",F499)),"rhetoric_discourse",IF(ISNUMBER(SEARCH("behavior",F499)),"behavioural_economics",IF(ISNUMBER(SEARCH("cognitive",F499)),"cognitive_biases",IF(J499="protective_pattern","healthy_reasoning_patterns",IF(L499="P0","core_mvp","extended_fallacies")))))))))</x:f>
        <x:v>cognitive_biases</x:v>
      </x:c>
      <x:c r="AC499" s="12" t="str">
        <x:f>IF(ISNUMBER(SEARCH("operational",J499)),"operational",IF(ISNUMBER(SEARCH("deprecated",J499)),"deprecated",IF(L499="P0","canonical","recognized_subtype")))</x:f>
        <x:v>operational</x:v>
      </x:c>
      <x:c r="AD499" s="12" t="str">
        <x:f>IF(AC499="canonical","high",IF(AC499="recognized_subtype","medium",IF(AC499="operational","operational_only","debated")))</x:f>
        <x:v>operational_only</x:v>
      </x:c>
      <x:c r="AE499" s="12" t="str">
        <x:f>IF(AC499="deprecated","deprecated",IF(M499="yes","active",IF(M499="review","review_required","backlog")))</x:f>
        <x:v>backlog</x:v>
      </x:c>
      <x:c r="AF499" s="12" t="str">
        <x:f>IF(OR(AE499="active",AE499="review_required"),"yes","no")</x:f>
        <x:v>no</x:v>
      </x:c>
      <x:c r="AG499" s="12" t="str">
        <x:f>IF(AND(AE499="active",M499="yes",NOT(ISNUMBER(SEARCH("healthy",AB499)))),"yes","no")</x:f>
        <x:v>no</x:v>
      </x:c>
      <x:c r="AH499" s="12" t="str">
        <x:f>IF(OR(H499="contextual",H499="dialogue",H499="discourse",I499="claim+context",I499="discourse_segment"),"yes","no")</x:f>
        <x:v>yes</x:v>
      </x:c>
      <x:c r="AI499" s="12" t="str">
        <x:f>IF(OR(AH499="yes",AD499="debated",AC499="operational"),"yes","no")</x:f>
        <x:v>yes</x:v>
      </x:c>
      <x:c r="AJ499" s="12" t="str">
        <x:f>IF(OR(AH499="yes",AC499="operational",AD499="debated"),"high",IF(AND(AG499="yes",L499="P0"),"medium","low"))</x:f>
        <x:v>high</x:v>
      </x:c>
      <x:c r="AK499" s="12" t="str">
        <x:f>IF(ISNUMBER(SEARCH("healthy",AB499)),"yes","no")</x:f>
        <x:v>no</x:v>
      </x:c>
      <x:c r="AL499" s="12" t="str">
        <x:f>IF(AG499="yes","yes","candidate_only")</x:f>
        <x:v>candidate_only</x:v>
      </x:c>
      <x:c r="AM499" s="12" t="str">
        <x:f>IF(OR(AC499="canonical",AG499="yes"),"yes","recommended")</x:f>
        <x:v>recommended</x:v>
      </x:c>
      <x:c r="AN499" s="12" t="str">
        <x:f>IF(AC499="deprecated","exclude",IF(AND(AG499="yes",AJ499="high"),"import_but_human_review_required",IF(AG499="yes","import_as_active","import_as_backlog")))</x:f>
        <x:v>import_as_backlog</x:v>
      </x:c>
      <x:c r="AO499" s="12" t="str">
        <x:f>IF(AND(AG499="yes",OR(P499="",Q499="",R499="",S499="")),"missing_required_mvp_fields",IF(AND(AC499="canonical",Y499=""),"missing_source_ref","ok"))</x:f>
        <x:v>ok</x:v>
      </x:c>
      <x:c r="AP499" s="12" t="str">
        <x:f>IF(AO499="ok","ready_for_codex_import","needs_review")</x:f>
        <x:v>ready_for_codex_import</x:v>
      </x:c>
      <x:c r="AQ499" s="12"/>
      <x:c r="AR499" s="12" t="str">
        <x:v>Added v2 operational fields. Review before classification activation.</x:v>
      </x:c>
    </x:row>
    <x:row r="500">
      <x:c r="A500" s="13" t="str">
        <x:v>framing_effect_confidence_expression_variant</x:v>
      </x:c>
      <x:c r="B500" s="13" t="str">
        <x:v>framing_effect</x:v>
      </x:c>
      <x:c r="C500" s="13" t="str">
        <x:v>Framing effect</x:v>
      </x:c>
      <x:c r="D500" s="13" t="str">
        <x:v>اثر چارچوب‌بندی</x:v>
      </x:c>
      <x:c r="E500" s="13" t="str">
        <x:v>Confidence-expression variant</x:v>
      </x:c>
      <x:c r="F500" s="13" t="str">
        <x:v>cognitive_biases_information_processing</x:v>
      </x:c>
      <x:c r="G500" s="13" t="str">
        <x:v>operational_variant</x:v>
      </x:c>
      <x:c r="H500" s="13" t="str">
        <x:v>discourse</x:v>
      </x:c>
      <x:c r="I500" s="13" t="str">
        <x:v>discourse_segment</x:v>
      </x:c>
      <x:c r="J500" s="13" t="str">
        <x:v>derived_operational_subtype</x:v>
      </x:c>
      <x:c r="K500" s="13" t="str">
        <x:v>derived_from_established_parent_review_required</x:v>
      </x:c>
      <x:c r="L500" s="13" t="str">
        <x:v>P3</x:v>
      </x:c>
      <x:c r="M500" s="13" t="str">
        <x:v>no</x:v>
      </x:c>
      <x:c r="N500" s="13" t="str">
        <x:v>Operational subtype under Framing effect: language expresses confidence beyond support. Parent definition: Different presentations of equivalent information lead to different judgments.</x:v>
      </x:c>
      <x:c r="O500" s="13" t="str">
        <x:v>Look for: explicit claim-level evidence; parent-family cues for Framing effect; variant cue: language expresses confidence beyond support; avoid author-level inference.</x:v>
      </x:c>
      <x:c r="P500" s="13" t="str">
        <x:v>Exact evidence span in text plus claim-level reasoning link; for contextual/discourse entries, require surrounding context.</x:v>
      </x:c>
      <x:c r="Q500" s="13" t="str">
        <x:v>Do not label merely because topic is controversial, emotional, or wrong. Do not judge intent or personality. Require textual evidence and consider healthy-reasoning cues.</x:v>
      </x:c>
      <x:c r="R500" s="13" t="str">
        <x:v>Stub: A claim relies on language expresses confidence beyond support to support a conclusion without adequate qualification.</x:v>
      </x:c>
      <x:c r="S500" s="13" t="str">
        <x:v>Stub: A claim discusses framing effect with caveats, balanced evidence, or no argumentative use of the pattern.</x:v>
      </x:c>
      <x:c r="T500" s="13" t="str">
        <x:v>Mild or ambiguous cue; do not classify without clear evidence span.</x:v>
      </x:c>
      <x:c r="U500" s="13" t="str">
        <x:v>Clear claim-level pattern with some argumentative impact.</x:v>
      </x:c>
      <x:c r="V500" s="13" t="str">
        <x:v>Strong pattern central to the conclusion and likely to materially distort reasoning.</x:v>
      </x:c>
      <x:c r="W500" s="13" t="str"/>
      <x:c r="X500" s="13" t="str">
        <x:v>tversky_kahneman_framing_1981</x:v>
      </x:c>
      <x:c r="Y500" s="13" t="str">
        <x:v>https://doi.org/10.1126/science.7455683</x:v>
      </x:c>
      <x:c r="Z500" s="13" t="str">
        <x:v>Review before enabling. This workbook is a living taxonomy scaffold, not a validated scientific benchmark.</x:v>
      </x:c>
      <x:c r="AA500" s="13" t="str">
        <x:v>0.1.0-draft</x:v>
      </x:c>
      <x:c r="AB500" s="12" t="str">
        <x:f>IF(ISNUMBER(SEARCH("healthy",F500)),"healthy_reasoning_patterns",IF(ISNUMBER(SEARCH("statistical",F500)),"statistical_reasoning",IF(ISNUMBER(SEARCH("causal",F500)),"causal_reasoning",IF(ISNUMBER(SEARCH("social",F500)),"social_influence",IF(ISNUMBER(SEARCH("rhetoric",F500)),"rhetoric_discourse",IF(ISNUMBER(SEARCH("behavior",F500)),"behavioural_economics",IF(ISNUMBER(SEARCH("cognitive",F500)),"cognitive_biases",IF(J500="protective_pattern","healthy_reasoning_patterns",IF(L500="P0","core_mvp","extended_fallacies")))))))))</x:f>
        <x:v>cognitive_biases</x:v>
      </x:c>
      <x:c r="AC500" s="12" t="str">
        <x:f>IF(ISNUMBER(SEARCH("operational",J500)),"operational",IF(ISNUMBER(SEARCH("deprecated",J500)),"deprecated",IF(L500="P0","canonical","recognized_subtype")))</x:f>
        <x:v>operational</x:v>
      </x:c>
      <x:c r="AD500" s="12" t="str">
        <x:f>IF(AC500="canonical","high",IF(AC500="recognized_subtype","medium",IF(AC500="operational","operational_only","debated")))</x:f>
        <x:v>operational_only</x:v>
      </x:c>
      <x:c r="AE500" s="12" t="str">
        <x:f>IF(AC500="deprecated","deprecated",IF(M500="yes","active",IF(M500="review","review_required","backlog")))</x:f>
        <x:v>backlog</x:v>
      </x:c>
      <x:c r="AF500" s="12" t="str">
        <x:f>IF(OR(AE500="active",AE500="review_required"),"yes","no")</x:f>
        <x:v>no</x:v>
      </x:c>
      <x:c r="AG500" s="12" t="str">
        <x:f>IF(AND(AE500="active",M500="yes",NOT(ISNUMBER(SEARCH("healthy",AB500)))),"yes","no")</x:f>
        <x:v>no</x:v>
      </x:c>
      <x:c r="AH500" s="12" t="str">
        <x:f>IF(OR(H500="contextual",H500="dialogue",H500="discourse",I500="claim+context",I500="discourse_segment"),"yes","no")</x:f>
        <x:v>yes</x:v>
      </x:c>
      <x:c r="AI500" s="12" t="str">
        <x:f>IF(OR(AH500="yes",AD500="debated",AC500="operational"),"yes","no")</x:f>
        <x:v>yes</x:v>
      </x:c>
      <x:c r="AJ500" s="12" t="str">
        <x:f>IF(OR(AH500="yes",AC500="operational",AD500="debated"),"high",IF(AND(AG500="yes",L500="P0"),"medium","low"))</x:f>
        <x:v>high</x:v>
      </x:c>
      <x:c r="AK500" s="12" t="str">
        <x:f>IF(ISNUMBER(SEARCH("healthy",AB500)),"yes","no")</x:f>
        <x:v>no</x:v>
      </x:c>
      <x:c r="AL500" s="12" t="str">
        <x:f>IF(AG500="yes","yes","candidate_only")</x:f>
        <x:v>candidate_only</x:v>
      </x:c>
      <x:c r="AM500" s="12" t="str">
        <x:f>IF(OR(AC500="canonical",AG500="yes"),"yes","recommended")</x:f>
        <x:v>recommended</x:v>
      </x:c>
      <x:c r="AN500" s="12" t="str">
        <x:f>IF(AC500="deprecated","exclude",IF(AND(AG500="yes",AJ500="high"),"import_but_human_review_required",IF(AG500="yes","import_as_active","import_as_backlog")))</x:f>
        <x:v>import_as_backlog</x:v>
      </x:c>
      <x:c r="AO500" s="12" t="str">
        <x:f>IF(AND(AG500="yes",OR(P500="",Q500="",R500="",S500="")),"missing_required_mvp_fields",IF(AND(AC500="canonical",Y500=""),"missing_source_ref","ok"))</x:f>
        <x:v>ok</x:v>
      </x:c>
      <x:c r="AP500" s="12" t="str">
        <x:f>IF(AO500="ok","ready_for_codex_import","needs_review")</x:f>
        <x:v>ready_for_codex_import</x:v>
      </x:c>
      <x:c r="AQ500" s="12"/>
      <x:c r="AR500" s="12" t="str">
        <x:v>Added v2 operational fields. Review before classification activation.</x:v>
      </x:c>
    </x:row>
    <x:row r="501">
      <x:c r="A501" s="13" t="str">
        <x:v>hindsight_bias_confidence_expression_variant</x:v>
      </x:c>
      <x:c r="B501" s="13" t="str">
        <x:v>hindsight_bias</x:v>
      </x:c>
      <x:c r="C501" s="13" t="str">
        <x:v>Hindsight bias</x:v>
      </x:c>
      <x:c r="D501" s="13" t="str">
        <x:v>سوگیری پس‌نگری</x:v>
      </x:c>
      <x:c r="E501" s="13" t="str">
        <x:v>Confidence-expression variant</x:v>
      </x:c>
      <x:c r="F501" s="13" t="str">
        <x:v>cognitive_biases_information_processing</x:v>
      </x:c>
      <x:c r="G501" s="13" t="str">
        <x:v>operational_variant</x:v>
      </x:c>
      <x:c r="H501" s="13" t="str">
        <x:v>contextual</x:v>
      </x:c>
      <x:c r="I501" s="13" t="str">
        <x:v>claim+context</x:v>
      </x:c>
      <x:c r="J501" s="13" t="str">
        <x:v>derived_operational_subtype</x:v>
      </x:c>
      <x:c r="K501" s="13" t="str">
        <x:v>derived_from_established_parent_review_required</x:v>
      </x:c>
      <x:c r="L501" s="13" t="str">
        <x:v>P3</x:v>
      </x:c>
      <x:c r="M501" s="13" t="str">
        <x:v>no</x:v>
      </x:c>
      <x:c r="N501" s="13" t="str">
        <x:v>Operational subtype under Hindsight bias: language expresses confidence beyond support. Parent definition: Seeing past events as more predictable after knowing the outcome.</x:v>
      </x:c>
      <x:c r="O501" s="13" t="str">
        <x:v>Look for: explicit claim-level evidence; parent-family cues for Hindsight bias; variant cue: language expresses confidence beyond support; avoid author-level inference.</x:v>
      </x:c>
      <x:c r="P501" s="13" t="str">
        <x:v>Exact evidence span in text plus claim-level reasoning link; for contextual/discourse entries, require surrounding context.</x:v>
      </x:c>
      <x:c r="Q501" s="13" t="str">
        <x:v>Do not label merely because topic is controversial, emotional, or wrong. Do not judge intent or personality. Require textual evidence and consider healthy-reasoning cues.</x:v>
      </x:c>
      <x:c r="R501" s="13" t="str">
        <x:v>Stub: A claim relies on language expresses confidence beyond support to support a conclusion without adequate qualification.</x:v>
      </x:c>
      <x:c r="S501" s="13" t="str">
        <x:v>Stub: A claim discusses hindsight bias with caveats, balanced evidence, or no argumentative use of the pattern.</x:v>
      </x:c>
      <x:c r="T501" s="13" t="str">
        <x:v>Mild or ambiguous cue; do not classify without clear evidence span.</x:v>
      </x:c>
      <x:c r="U501" s="13" t="str">
        <x:v>Clear claim-level pattern with some argumentative impact.</x:v>
      </x:c>
      <x:c r="V501" s="13" t="str">
        <x:v>Strong pattern central to the conclusion and likely to materially distort reasoning.</x:v>
      </x:c>
      <x:c r="W501" s="13" t="str"/>
      <x:c r="X501" s="13" t="str">
        <x:v>gilovich_heuristics_biases</x:v>
      </x:c>
      <x:c r="Y501" s="13" t="str">
        <x:v>https://www.cambridge.org/core/books/heuristics-and-biases/3C30D3B05D2F190C3B8BE5E2531EFD24</x:v>
      </x:c>
      <x:c r="Z501" s="13" t="str">
        <x:v>Review before enabling. This workbook is a living taxonomy scaffold, not a validated scientific benchmark.</x:v>
      </x:c>
      <x:c r="AA501" s="13" t="str">
        <x:v>0.1.0-draft</x:v>
      </x:c>
      <x:c r="AB501" s="12" t="str">
        <x:f>IF(ISNUMBER(SEARCH("healthy",F501)),"healthy_reasoning_patterns",IF(ISNUMBER(SEARCH("statistical",F501)),"statistical_reasoning",IF(ISNUMBER(SEARCH("causal",F501)),"causal_reasoning",IF(ISNUMBER(SEARCH("social",F501)),"social_influence",IF(ISNUMBER(SEARCH("rhetoric",F501)),"rhetoric_discourse",IF(ISNUMBER(SEARCH("behavior",F501)),"behavioural_economics",IF(ISNUMBER(SEARCH("cognitive",F501)),"cognitive_biases",IF(J501="protective_pattern","healthy_reasoning_patterns",IF(L501="P0","core_mvp","extended_fallacies")))))))))</x:f>
        <x:v>cognitive_biases</x:v>
      </x:c>
      <x:c r="AC501" s="12" t="str">
        <x:f>IF(ISNUMBER(SEARCH("operational",J501)),"operational",IF(ISNUMBER(SEARCH("deprecated",J501)),"deprecated",IF(L501="P0","canonical","recognized_subtype")))</x:f>
        <x:v>operational</x:v>
      </x:c>
      <x:c r="AD501" s="12" t="str">
        <x:f>IF(AC501="canonical","high",IF(AC501="recognized_subtype","medium",IF(AC501="operational","operational_only","debated")))</x:f>
        <x:v>operational_only</x:v>
      </x:c>
      <x:c r="AE501" s="12" t="str">
        <x:f>IF(AC501="deprecated","deprecated",IF(M501="yes","active",IF(M501="review","review_required","backlog")))</x:f>
        <x:v>backlog</x:v>
      </x:c>
      <x:c r="AF501" s="12" t="str">
        <x:f>IF(OR(AE501="active",AE501="review_required"),"yes","no")</x:f>
        <x:v>no</x:v>
      </x:c>
      <x:c r="AG501" s="12" t="str">
        <x:f>IF(AND(AE501="active",M501="yes",NOT(ISNUMBER(SEARCH("healthy",AB501)))),"yes","no")</x:f>
        <x:v>no</x:v>
      </x:c>
      <x:c r="AH501" s="12" t="str">
        <x:f>IF(OR(H501="contextual",H501="dialogue",H501="discourse",I501="claim+context",I501="discourse_segment"),"yes","no")</x:f>
        <x:v>yes</x:v>
      </x:c>
      <x:c r="AI501" s="12" t="str">
        <x:f>IF(OR(AH501="yes",AD501="debated",AC501="operational"),"yes","no")</x:f>
        <x:v>yes</x:v>
      </x:c>
      <x:c r="AJ501" s="12" t="str">
        <x:f>IF(OR(AH501="yes",AC501="operational",AD501="debated"),"high",IF(AND(AG501="yes",L501="P0"),"medium","low"))</x:f>
        <x:v>high</x:v>
      </x:c>
      <x:c r="AK501" s="12" t="str">
        <x:f>IF(ISNUMBER(SEARCH("healthy",AB501)),"yes","no")</x:f>
        <x:v>no</x:v>
      </x:c>
      <x:c r="AL501" s="12" t="str">
        <x:f>IF(AG501="yes","yes","candidate_only")</x:f>
        <x:v>candidate_only</x:v>
      </x:c>
      <x:c r="AM501" s="12" t="str">
        <x:f>IF(OR(AC501="canonical",AG501="yes"),"yes","recommended")</x:f>
        <x:v>recommended</x:v>
      </x:c>
      <x:c r="AN501" s="12" t="str">
        <x:f>IF(AC501="deprecated","exclude",IF(AND(AG501="yes",AJ501="high"),"import_but_human_review_required",IF(AG501="yes","import_as_active","import_as_backlog")))</x:f>
        <x:v>import_as_backlog</x:v>
      </x:c>
      <x:c r="AO501" s="12" t="str">
        <x:f>IF(AND(AG501="yes",OR(P501="",Q501="",R501="",S501="")),"missing_required_mvp_fields",IF(AND(AC501="canonical",Y501=""),"missing_source_ref","ok"))</x:f>
        <x:v>ok</x:v>
      </x:c>
      <x:c r="AP501" s="12" t="str">
        <x:f>IF(AO501="ok","ready_for_codex_import","needs_review")</x:f>
        <x:v>ready_for_codex_import</x:v>
      </x:c>
      <x:c r="AQ501" s="12"/>
      <x:c r="AR501" s="12" t="str">
        <x:v>Added v2 operational fields. Review before classification activation.</x:v>
      </x:c>
    </x:row>
    <x:row r="502">
      <x:c r="A502" s="13" t="str">
        <x:v>outcome_bias_confidence_expression_variant</x:v>
      </x:c>
      <x:c r="B502" s="13" t="str">
        <x:v>outcome_bias</x:v>
      </x:c>
      <x:c r="C502" s="13" t="str">
        <x:v>Outcome bias</x:v>
      </x:c>
      <x:c r="D502" s="13" t="str">
        <x:v>سوگیری نتیجه</x:v>
      </x:c>
      <x:c r="E502" s="13" t="str">
        <x:v>Confidence-expression variant</x:v>
      </x:c>
      <x:c r="F502" s="13" t="str">
        <x:v>cognitive_biases_information_processing</x:v>
      </x:c>
      <x:c r="G502" s="13" t="str">
        <x:v>operational_variant</x:v>
      </x:c>
      <x:c r="H502" s="13" t="str">
        <x:v>contextual</x:v>
      </x:c>
      <x:c r="I502" s="13" t="str">
        <x:v>claim+context</x:v>
      </x:c>
      <x:c r="J502" s="13" t="str">
        <x:v>derived_operational_subtype</x:v>
      </x:c>
      <x:c r="K502" s="13" t="str">
        <x:v>derived_from_established_parent_review_required</x:v>
      </x:c>
      <x:c r="L502" s="13" t="str">
        <x:v>P3</x:v>
      </x:c>
      <x:c r="M502" s="13" t="str">
        <x:v>no</x:v>
      </x:c>
      <x:c r="N502" s="13" t="str">
        <x:v>Operational subtype under Outcome bias: language expresses confidence beyond support. Parent definition: Judging a decision by its outcome rather than information available at the time.</x:v>
      </x:c>
      <x:c r="O502" s="13" t="str">
        <x:v>Look for: explicit claim-level evidence; parent-family cues for Outcome bias; variant cue: language expresses confidence beyond support; avoid author-level inference.</x:v>
      </x:c>
      <x:c r="P502" s="13" t="str">
        <x:v>Exact evidence span in text plus claim-level reasoning link; for contextual/discourse entries, require surrounding context.</x:v>
      </x:c>
      <x:c r="Q502" s="13" t="str">
        <x:v>Do not label merely because topic is controversial, emotional, or wrong. Do not judge intent or personality. Require textual evidence and consider healthy-reasoning cues.</x:v>
      </x:c>
      <x:c r="R502" s="13" t="str">
        <x:v>Stub: A claim relies on language expresses confidence beyond support to support a conclusion without adequate qualification.</x:v>
      </x:c>
      <x:c r="S502" s="13" t="str">
        <x:v>Stub: A claim discusses outcome bias with caveats, balanced evidence, or no argumentative use of the pattern.</x:v>
      </x:c>
      <x:c r="T502" s="13" t="str">
        <x:v>Mild or ambiguous cue; do not classify without clear evidence span.</x:v>
      </x:c>
      <x:c r="U502" s="13" t="str">
        <x:v>Clear claim-level pattern with some argumentative impact.</x:v>
      </x:c>
      <x:c r="V502" s="13" t="str">
        <x:v>Strong pattern central to the conclusion and likely to materially distort reasoning.</x:v>
      </x:c>
      <x:c r="W502" s="13" t="str"/>
      <x:c r="X502" s="13" t="str">
        <x:v>gilovich_heuristics_biases</x:v>
      </x:c>
      <x:c r="Y502" s="13" t="str">
        <x:v>https://www.cambridge.org/core/books/heuristics-and-biases/3C30D3B05D2F190C3B8BE5E2531EFD24</x:v>
      </x:c>
      <x:c r="Z502" s="13" t="str">
        <x:v>Review before enabling. This workbook is a living taxonomy scaffold, not a validated scientific benchmark.</x:v>
      </x:c>
      <x:c r="AA502" s="13" t="str">
        <x:v>0.1.0-draft</x:v>
      </x:c>
      <x:c r="AB502" s="12" t="str">
        <x:f>IF(ISNUMBER(SEARCH("healthy",F502)),"healthy_reasoning_patterns",IF(ISNUMBER(SEARCH("statistical",F502)),"statistical_reasoning",IF(ISNUMBER(SEARCH("causal",F502)),"causal_reasoning",IF(ISNUMBER(SEARCH("social",F502)),"social_influence",IF(ISNUMBER(SEARCH("rhetoric",F502)),"rhetoric_discourse",IF(ISNUMBER(SEARCH("behavior",F502)),"behavioural_economics",IF(ISNUMBER(SEARCH("cognitive",F502)),"cognitive_biases",IF(J502="protective_pattern","healthy_reasoning_patterns",IF(L502="P0","core_mvp","extended_fallacies")))))))))</x:f>
        <x:v>cognitive_biases</x:v>
      </x:c>
      <x:c r="AC502" s="12" t="str">
        <x:f>IF(ISNUMBER(SEARCH("operational",J502)),"operational",IF(ISNUMBER(SEARCH("deprecated",J502)),"deprecated",IF(L502="P0","canonical","recognized_subtype")))</x:f>
        <x:v>operational</x:v>
      </x:c>
      <x:c r="AD502" s="12" t="str">
        <x:f>IF(AC502="canonical","high",IF(AC502="recognized_subtype","medium",IF(AC502="operational","operational_only","debated")))</x:f>
        <x:v>operational_only</x:v>
      </x:c>
      <x:c r="AE502" s="12" t="str">
        <x:f>IF(AC502="deprecated","deprecated",IF(M502="yes","active",IF(M502="review","review_required","backlog")))</x:f>
        <x:v>backlog</x:v>
      </x:c>
      <x:c r="AF502" s="12" t="str">
        <x:f>IF(OR(AE502="active",AE502="review_required"),"yes","no")</x:f>
        <x:v>no</x:v>
      </x:c>
      <x:c r="AG502" s="12" t="str">
        <x:f>IF(AND(AE502="active",M502="yes",NOT(ISNUMBER(SEARCH("healthy",AB502)))),"yes","no")</x:f>
        <x:v>no</x:v>
      </x:c>
      <x:c r="AH502" s="12" t="str">
        <x:f>IF(OR(H502="contextual",H502="dialogue",H502="discourse",I502="claim+context",I502="discourse_segment"),"yes","no")</x:f>
        <x:v>yes</x:v>
      </x:c>
      <x:c r="AI502" s="12" t="str">
        <x:f>IF(OR(AH502="yes",AD502="debated",AC502="operational"),"yes","no")</x:f>
        <x:v>yes</x:v>
      </x:c>
      <x:c r="AJ502" s="12" t="str">
        <x:f>IF(OR(AH502="yes",AC502="operational",AD502="debated"),"high",IF(AND(AG502="yes",L502="P0"),"medium","low"))</x:f>
        <x:v>high</x:v>
      </x:c>
      <x:c r="AK502" s="12" t="str">
        <x:f>IF(ISNUMBER(SEARCH("healthy",AB502)),"yes","no")</x:f>
        <x:v>no</x:v>
      </x:c>
      <x:c r="AL502" s="12" t="str">
        <x:f>IF(AG502="yes","yes","candidate_only")</x:f>
        <x:v>candidate_only</x:v>
      </x:c>
      <x:c r="AM502" s="12" t="str">
        <x:f>IF(OR(AC502="canonical",AG502="yes"),"yes","recommended")</x:f>
        <x:v>recommended</x:v>
      </x:c>
      <x:c r="AN502" s="12" t="str">
        <x:f>IF(AC502="deprecated","exclude",IF(AND(AG502="yes",AJ502="high"),"import_but_human_review_required",IF(AG502="yes","import_as_active","import_as_backlog")))</x:f>
        <x:v>import_as_backlog</x:v>
      </x:c>
      <x:c r="AO502" s="12" t="str">
        <x:f>IF(AND(AG502="yes",OR(P502="",Q502="",R502="",S502="")),"missing_required_mvp_fields",IF(AND(AC502="canonical",Y502=""),"missing_source_ref","ok"))</x:f>
        <x:v>ok</x:v>
      </x:c>
      <x:c r="AP502" s="12" t="str">
        <x:f>IF(AO502="ok","ready_for_codex_import","needs_review")</x:f>
        <x:v>ready_for_codex_import</x:v>
      </x:c>
      <x:c r="AQ502" s="12"/>
      <x:c r="AR502" s="12" t="str">
        <x:v>Added v2 operational fields. Review before classification activation.</x:v>
      </x:c>
    </x:row>
    <x:row r="503">
      <x:c r="A503" s="13" t="str">
        <x:v>overconfidence_bias_confidence_expression_variant</x:v>
      </x:c>
      <x:c r="B503" s="13" t="str">
        <x:v>overconfidence_bias</x:v>
      </x:c>
      <x:c r="C503" s="13" t="str">
        <x:v>Overconfidence bias</x:v>
      </x:c>
      <x:c r="D503" s="13" t="str">
        <x:v>اعتماد به نفس بیش از حد</x:v>
      </x:c>
      <x:c r="E503" s="13" t="str">
        <x:v>Confidence-expression variant</x:v>
      </x:c>
      <x:c r="F503" s="13" t="str">
        <x:v>cognitive_biases_information_processing</x:v>
      </x:c>
      <x:c r="G503" s="13" t="str">
        <x:v>operational_variant</x:v>
      </x:c>
      <x:c r="H503" s="13" t="str">
        <x:v>contextual</x:v>
      </x:c>
      <x:c r="I503" s="13" t="str">
        <x:v>claim+context</x:v>
      </x:c>
      <x:c r="J503" s="13" t="str">
        <x:v>derived_operational_subtype</x:v>
      </x:c>
      <x:c r="K503" s="13" t="str">
        <x:v>derived_from_established_parent_review_required</x:v>
      </x:c>
      <x:c r="L503" s="13" t="str">
        <x:v>P3</x:v>
      </x:c>
      <x:c r="M503" s="13" t="str">
        <x:v>no</x:v>
      </x:c>
      <x:c r="N503" s="13" t="str">
        <x:v>Operational subtype under Overconfidence bias: language expresses confidence beyond support. Parent definition: Expressing confidence beyond the strength of evidence.</x:v>
      </x:c>
      <x:c r="O503" s="13" t="str">
        <x:v>Look for: explicit claim-level evidence; parent-family cues for Overconfidence bias; variant cue: language expresses confidence beyond support; avoid author-level inference.</x:v>
      </x:c>
      <x:c r="P503" s="13" t="str">
        <x:v>Exact evidence span in text plus claim-level reasoning link; for contextual/discourse entries, require surrounding context.</x:v>
      </x:c>
      <x:c r="Q503" s="13" t="str">
        <x:v>Do not label merely because topic is controversial, emotional, or wrong. Do not judge intent or personality. Require textual evidence and consider healthy-reasoning cues.</x:v>
      </x:c>
      <x:c r="R503" s="13" t="str">
        <x:v>Stub: A claim relies on language expresses confidence beyond support to support a conclusion without adequate qualification.</x:v>
      </x:c>
      <x:c r="S503" s="13" t="str">
        <x:v>Stub: A claim discusses overconfidence bias with caveats, balanced evidence, or no argumentative use of the pattern.</x:v>
      </x:c>
      <x:c r="T503" s="13" t="str">
        <x:v>Mild or ambiguous cue; do not classify without clear evidence span.</x:v>
      </x:c>
      <x:c r="U503" s="13" t="str">
        <x:v>Clear claim-level pattern with some argumentative impact.</x:v>
      </x:c>
      <x:c r="V503" s="13" t="str">
        <x:v>Strong pattern central to the conclusion and likely to materially distort reasoning.</x:v>
      </x:c>
      <x:c r="W503" s="13" t="str">
        <x:v>cherry_picking; missing_counterevidence; evidence_grading</x:v>
      </x:c>
      <x:c r="X503" s="13" t="str">
        <x:v>stanovich_dual_process</x:v>
      </x:c>
      <x:c r="Y503" s="13" t="str">
        <x:v>https://global.oup.com/academic/product/rationality-and-the-reflective-mind-9780195341140</x:v>
      </x:c>
      <x:c r="Z503" s="13" t="str">
        <x:v>Review before enabling. This workbook is a living taxonomy scaffold, not a validated scientific benchmark.</x:v>
      </x:c>
      <x:c r="AA503" s="13" t="str">
        <x:v>0.1.0-draft</x:v>
      </x:c>
      <x:c r="AB503" s="12" t="str">
        <x:f>IF(ISNUMBER(SEARCH("healthy",F503)),"healthy_reasoning_patterns",IF(ISNUMBER(SEARCH("statistical",F503)),"statistical_reasoning",IF(ISNUMBER(SEARCH("causal",F503)),"causal_reasoning",IF(ISNUMBER(SEARCH("social",F503)),"social_influence",IF(ISNUMBER(SEARCH("rhetoric",F503)),"rhetoric_discourse",IF(ISNUMBER(SEARCH("behavior",F503)),"behavioural_economics",IF(ISNUMBER(SEARCH("cognitive",F503)),"cognitive_biases",IF(J503="protective_pattern","healthy_reasoning_patterns",IF(L503="P0","core_mvp","extended_fallacies")))))))))</x:f>
        <x:v>cognitive_biases</x:v>
      </x:c>
      <x:c r="AC503" s="12" t="str">
        <x:f>IF(ISNUMBER(SEARCH("operational",J503)),"operational",IF(ISNUMBER(SEARCH("deprecated",J503)),"deprecated",IF(L503="P0","canonical","recognized_subtype")))</x:f>
        <x:v>operational</x:v>
      </x:c>
      <x:c r="AD503" s="12" t="str">
        <x:f>IF(AC503="canonical","high",IF(AC503="recognized_subtype","medium",IF(AC503="operational","operational_only","debated")))</x:f>
        <x:v>operational_only</x:v>
      </x:c>
      <x:c r="AE503" s="12" t="str">
        <x:f>IF(AC503="deprecated","deprecated",IF(M503="yes","active",IF(M503="review","review_required","backlog")))</x:f>
        <x:v>backlog</x:v>
      </x:c>
      <x:c r="AF503" s="12" t="str">
        <x:f>IF(OR(AE503="active",AE503="review_required"),"yes","no")</x:f>
        <x:v>no</x:v>
      </x:c>
      <x:c r="AG503" s="12" t="str">
        <x:f>IF(AND(AE503="active",M503="yes",NOT(ISNUMBER(SEARCH("healthy",AB503)))),"yes","no")</x:f>
        <x:v>no</x:v>
      </x:c>
      <x:c r="AH503" s="12" t="str">
        <x:f>IF(OR(H503="contextual",H503="dialogue",H503="discourse",I503="claim+context",I503="discourse_segment"),"yes","no")</x:f>
        <x:v>yes</x:v>
      </x:c>
      <x:c r="AI503" s="12" t="str">
        <x:f>IF(OR(AH503="yes",AD503="debated",AC503="operational"),"yes","no")</x:f>
        <x:v>yes</x:v>
      </x:c>
      <x:c r="AJ503" s="12" t="str">
        <x:f>IF(OR(AH503="yes",AC503="operational",AD503="debated"),"high",IF(AND(AG503="yes",L503="P0"),"medium","low"))</x:f>
        <x:v>high</x:v>
      </x:c>
      <x:c r="AK503" s="12" t="str">
        <x:f>IF(ISNUMBER(SEARCH("healthy",AB503)),"yes","no")</x:f>
        <x:v>no</x:v>
      </x:c>
      <x:c r="AL503" s="12" t="str">
        <x:f>IF(AG503="yes","yes","candidate_only")</x:f>
        <x:v>candidate_only</x:v>
      </x:c>
      <x:c r="AM503" s="12" t="str">
        <x:f>IF(OR(AC503="canonical",AG503="yes"),"yes","recommended")</x:f>
        <x:v>recommended</x:v>
      </x:c>
      <x:c r="AN503" s="12" t="str">
        <x:f>IF(AC503="deprecated","exclude",IF(AND(AG503="yes",AJ503="high"),"import_but_human_review_required",IF(AG503="yes","import_as_active","import_as_backlog")))</x:f>
        <x:v>import_as_backlog</x:v>
      </x:c>
      <x:c r="AO503" s="12" t="str">
        <x:f>IF(AND(AG503="yes",OR(P503="",Q503="",R503="",S503="")),"missing_required_mvp_fields",IF(AND(AC503="canonical",Y503=""),"missing_source_ref","ok"))</x:f>
        <x:v>ok</x:v>
      </x:c>
      <x:c r="AP503" s="12" t="str">
        <x:f>IF(AO503="ok","ready_for_codex_import","needs_review")</x:f>
        <x:v>ready_for_codex_import</x:v>
      </x:c>
      <x:c r="AQ503" s="12"/>
      <x:c r="AR503" s="12" t="str">
        <x:v>Added v2 operational fields. Review before classification activation.</x:v>
      </x:c>
    </x:row>
    <x:row r="504">
      <x:c r="A504" s="13" t="str">
        <x:v>optimism_bias_confidence_expression_variant</x:v>
      </x:c>
      <x:c r="B504" s="13" t="str">
        <x:v>optimism_bias</x:v>
      </x:c>
      <x:c r="C504" s="13" t="str">
        <x:v>Optimism bias</x:v>
      </x:c>
      <x:c r="D504" s="13" t="str">
        <x:v>خوش‌بینی افراطی</x:v>
      </x:c>
      <x:c r="E504" s="13" t="str">
        <x:v>Confidence-expression variant</x:v>
      </x:c>
      <x:c r="F504" s="13" t="str">
        <x:v>cognitive_biases_information_processing</x:v>
      </x:c>
      <x:c r="G504" s="13" t="str">
        <x:v>operational_variant</x:v>
      </x:c>
      <x:c r="H504" s="13" t="str">
        <x:v>contextual</x:v>
      </x:c>
      <x:c r="I504" s="13" t="str">
        <x:v>claim+context</x:v>
      </x:c>
      <x:c r="J504" s="13" t="str">
        <x:v>derived_operational_subtype</x:v>
      </x:c>
      <x:c r="K504" s="13" t="str">
        <x:v>derived_from_established_parent_review_required</x:v>
      </x:c>
      <x:c r="L504" s="13" t="str">
        <x:v>P3</x:v>
      </x:c>
      <x:c r="M504" s="13" t="str">
        <x:v>no</x:v>
      </x:c>
      <x:c r="N504" s="13" t="str">
        <x:v>Operational subtype under Optimism bias: language expresses confidence beyond support. Parent definition: Underestimating risks or overestimating favorable outcomes.</x:v>
      </x:c>
      <x:c r="O504" s="13" t="str">
        <x:v>Look for: explicit claim-level evidence; parent-family cues for Optimism bias; variant cue: language expresses confidence beyond support; avoid author-level inference.</x:v>
      </x:c>
      <x:c r="P504" s="13" t="str">
        <x:v>Exact evidence span in text plus claim-level reasoning link; for contextual/discourse entries, require surrounding context.</x:v>
      </x:c>
      <x:c r="Q504" s="13" t="str">
        <x:v>Do not label merely because topic is controversial, emotional, or wrong. Do not judge intent or personality. Require textual evidence and consider healthy-reasoning cues.</x:v>
      </x:c>
      <x:c r="R504" s="13" t="str">
        <x:v>Stub: A claim relies on language expresses confidence beyond support to support a conclusion without adequate qualification.</x:v>
      </x:c>
      <x:c r="S504" s="13" t="str">
        <x:v>Stub: A claim discusses optimism bias with caveats, balanced evidence, or no argumentative use of the pattern.</x:v>
      </x:c>
      <x:c r="T504" s="13" t="str">
        <x:v>Mild or ambiguous cue; do not classify without clear evidence span.</x:v>
      </x:c>
      <x:c r="U504" s="13" t="str">
        <x:v>Clear claim-level pattern with some argumentative impact.</x:v>
      </x:c>
      <x:c r="V504" s="13" t="str">
        <x:v>Strong pattern central to the conclusion and likely to materially distort reasoning.</x:v>
      </x:c>
      <x:c r="W504" s="13" t="str"/>
      <x:c r="X504" s="13" t="str">
        <x:v>gilovich_heuristics_biases</x:v>
      </x:c>
      <x:c r="Y504" s="13" t="str">
        <x:v>https://www.cambridge.org/core/books/heuristics-and-biases/3C30D3B05D2F190C3B8BE5E2531EFD24</x:v>
      </x:c>
      <x:c r="Z504" s="13" t="str">
        <x:v>Review before enabling. This workbook is a living taxonomy scaffold, not a validated scientific benchmark.</x:v>
      </x:c>
      <x:c r="AA504" s="13" t="str">
        <x:v>0.1.0-draft</x:v>
      </x:c>
      <x:c r="AB504" s="12" t="str">
        <x:f>IF(ISNUMBER(SEARCH("healthy",F504)),"healthy_reasoning_patterns",IF(ISNUMBER(SEARCH("statistical",F504)),"statistical_reasoning",IF(ISNUMBER(SEARCH("causal",F504)),"causal_reasoning",IF(ISNUMBER(SEARCH("social",F504)),"social_influence",IF(ISNUMBER(SEARCH("rhetoric",F504)),"rhetoric_discourse",IF(ISNUMBER(SEARCH("behavior",F504)),"behavioural_economics",IF(ISNUMBER(SEARCH("cognitive",F504)),"cognitive_biases",IF(J504="protective_pattern","healthy_reasoning_patterns",IF(L504="P0","core_mvp","extended_fallacies")))))))))</x:f>
        <x:v>cognitive_biases</x:v>
      </x:c>
      <x:c r="AC504" s="12" t="str">
        <x:f>IF(ISNUMBER(SEARCH("operational",J504)),"operational",IF(ISNUMBER(SEARCH("deprecated",J504)),"deprecated",IF(L504="P0","canonical","recognized_subtype")))</x:f>
        <x:v>operational</x:v>
      </x:c>
      <x:c r="AD504" s="12" t="str">
        <x:f>IF(AC504="canonical","high",IF(AC504="recognized_subtype","medium",IF(AC504="operational","operational_only","debated")))</x:f>
        <x:v>operational_only</x:v>
      </x:c>
      <x:c r="AE504" s="12" t="str">
        <x:f>IF(AC504="deprecated","deprecated",IF(M504="yes","active",IF(M504="review","review_required","backlog")))</x:f>
        <x:v>backlog</x:v>
      </x:c>
      <x:c r="AF504" s="12" t="str">
        <x:f>IF(OR(AE504="active",AE504="review_required"),"yes","no")</x:f>
        <x:v>no</x:v>
      </x:c>
      <x:c r="AG504" s="12" t="str">
        <x:f>IF(AND(AE504="active",M504="yes",NOT(ISNUMBER(SEARCH("healthy",AB504)))),"yes","no")</x:f>
        <x:v>no</x:v>
      </x:c>
      <x:c r="AH504" s="12" t="str">
        <x:f>IF(OR(H504="contextual",H504="dialogue",H504="discourse",I504="claim+context",I504="discourse_segment"),"yes","no")</x:f>
        <x:v>yes</x:v>
      </x:c>
      <x:c r="AI504" s="12" t="str">
        <x:f>IF(OR(AH504="yes",AD504="debated",AC504="operational"),"yes","no")</x:f>
        <x:v>yes</x:v>
      </x:c>
      <x:c r="AJ504" s="12" t="str">
        <x:f>IF(OR(AH504="yes",AC504="operational",AD504="debated"),"high",IF(AND(AG504="yes",L504="P0"),"medium","low"))</x:f>
        <x:v>high</x:v>
      </x:c>
      <x:c r="AK504" s="12" t="str">
        <x:f>IF(ISNUMBER(SEARCH("healthy",AB504)),"yes","no")</x:f>
        <x:v>no</x:v>
      </x:c>
      <x:c r="AL504" s="12" t="str">
        <x:f>IF(AG504="yes","yes","candidate_only")</x:f>
        <x:v>candidate_only</x:v>
      </x:c>
      <x:c r="AM504" s="12" t="str">
        <x:f>IF(OR(AC504="canonical",AG504="yes"),"yes","recommended")</x:f>
        <x:v>recommended</x:v>
      </x:c>
      <x:c r="AN504" s="12" t="str">
        <x:f>IF(AC504="deprecated","exclude",IF(AND(AG504="yes",AJ504="high"),"import_but_human_review_required",IF(AG504="yes","import_as_active","import_as_backlog")))</x:f>
        <x:v>import_as_backlog</x:v>
      </x:c>
      <x:c r="AO504" s="12" t="str">
        <x:f>IF(AND(AG504="yes",OR(P504="",Q504="",R504="",S504="")),"missing_required_mvp_fields",IF(AND(AC504="canonical",Y504=""),"missing_source_ref","ok"))</x:f>
        <x:v>ok</x:v>
      </x:c>
      <x:c r="AP504" s="12" t="str">
        <x:f>IF(AO504="ok","ready_for_codex_import","needs_review")</x:f>
        <x:v>ready_for_codex_import</x:v>
      </x:c>
      <x:c r="AQ504" s="12"/>
      <x:c r="AR504" s="12" t="str">
        <x:v>Added v2 operational fields. Review before classification activation.</x:v>
      </x:c>
    </x:row>
    <x:row r="505">
      <x:c r="A505" s="13" t="str">
        <x:v>pessimism_bias_confidence_expression_variant</x:v>
      </x:c>
      <x:c r="B505" s="13" t="str">
        <x:v>pessimism_bias</x:v>
      </x:c>
      <x:c r="C505" s="13" t="str">
        <x:v>Pessimism bias</x:v>
      </x:c>
      <x:c r="D505" s="13" t="str">
        <x:v>بدبینی افراطی</x:v>
      </x:c>
      <x:c r="E505" s="13" t="str">
        <x:v>Confidence-expression variant</x:v>
      </x:c>
      <x:c r="F505" s="13" t="str">
        <x:v>cognitive_biases_information_processing</x:v>
      </x:c>
      <x:c r="G505" s="13" t="str">
        <x:v>operational_variant</x:v>
      </x:c>
      <x:c r="H505" s="13" t="str">
        <x:v>contextual</x:v>
      </x:c>
      <x:c r="I505" s="13" t="str">
        <x:v>claim+context</x:v>
      </x:c>
      <x:c r="J505" s="13" t="str">
        <x:v>derived_operational_subtype</x:v>
      </x:c>
      <x:c r="K505" s="13" t="str">
        <x:v>derived_from_established_parent_review_required</x:v>
      </x:c>
      <x:c r="L505" s="13" t="str">
        <x:v>P3</x:v>
      </x:c>
      <x:c r="M505" s="13" t="str">
        <x:v>no</x:v>
      </x:c>
      <x:c r="N505" s="13" t="str">
        <x:v>Operational subtype under Pessimism bias: language expresses confidence beyond support. Parent definition: Overestimating risks or negative outcomes without sufficient support.</x:v>
      </x:c>
      <x:c r="O505" s="13" t="str">
        <x:v>Look for: explicit claim-level evidence; parent-family cues for Pessimism bias; variant cue: language expresses confidence beyond support; avoid author-level inference.</x:v>
      </x:c>
      <x:c r="P505" s="13" t="str">
        <x:v>Exact evidence span in text plus claim-level reasoning link; for contextual/discourse entries, require surrounding context.</x:v>
      </x:c>
      <x:c r="Q505" s="13" t="str">
        <x:v>Do not label merely because topic is controversial, emotional, or wrong. Do not judge intent or personality. Require textual evidence and consider healthy-reasoning cues.</x:v>
      </x:c>
      <x:c r="R505" s="13" t="str">
        <x:v>Stub: A claim relies on language expresses confidence beyond support to support a conclusion without adequate qualification.</x:v>
      </x:c>
      <x:c r="S505" s="13" t="str">
        <x:v>Stub: A claim discusses pessimism bias with caveats, balanced evidence, or no argumentative use of the pattern.</x:v>
      </x:c>
      <x:c r="T505" s="13" t="str">
        <x:v>Mild or ambiguous cue; do not classify without clear evidence span.</x:v>
      </x:c>
      <x:c r="U505" s="13" t="str">
        <x:v>Clear claim-level pattern with some argumentative impact.</x:v>
      </x:c>
      <x:c r="V505" s="13" t="str">
        <x:v>Strong pattern central to the conclusion and likely to materially distort reasoning.</x:v>
      </x:c>
      <x:c r="W505" s="13" t="str"/>
      <x:c r="X505" s="13" t="str">
        <x:v>gilovich_heuristics_biases</x:v>
      </x:c>
      <x:c r="Y505" s="13" t="str">
        <x:v>https://www.cambridge.org/core/books/heuristics-and-biases/3C30D3B05D2F190C3B8BE5E2531EFD24</x:v>
      </x:c>
      <x:c r="Z505" s="13" t="str">
        <x:v>Review before enabling. This workbook is a living taxonomy scaffold, not a validated scientific benchmark.</x:v>
      </x:c>
      <x:c r="AA505" s="13" t="str">
        <x:v>0.1.0-draft</x:v>
      </x:c>
      <x:c r="AB505" s="12" t="str">
        <x:f>IF(ISNUMBER(SEARCH("healthy",F505)),"healthy_reasoning_patterns",IF(ISNUMBER(SEARCH("statistical",F505)),"statistical_reasoning",IF(ISNUMBER(SEARCH("causal",F505)),"causal_reasoning",IF(ISNUMBER(SEARCH("social",F505)),"social_influence",IF(ISNUMBER(SEARCH("rhetoric",F505)),"rhetoric_discourse",IF(ISNUMBER(SEARCH("behavior",F505)),"behavioural_economics",IF(ISNUMBER(SEARCH("cognitive",F505)),"cognitive_biases",IF(J505="protective_pattern","healthy_reasoning_patterns",IF(L505="P0","core_mvp","extended_fallacies")))))))))</x:f>
        <x:v>cognitive_biases</x:v>
      </x:c>
      <x:c r="AC505" s="12" t="str">
        <x:f>IF(ISNUMBER(SEARCH("operational",J505)),"operational",IF(ISNUMBER(SEARCH("deprecated",J505)),"deprecated",IF(L505="P0","canonical","recognized_subtype")))</x:f>
        <x:v>operational</x:v>
      </x:c>
      <x:c r="AD505" s="12" t="str">
        <x:f>IF(AC505="canonical","high",IF(AC505="recognized_subtype","medium",IF(AC505="operational","operational_only","debated")))</x:f>
        <x:v>operational_only</x:v>
      </x:c>
      <x:c r="AE505" s="12" t="str">
        <x:f>IF(AC505="deprecated","deprecated",IF(M505="yes","active",IF(M505="review","review_required","backlog")))</x:f>
        <x:v>backlog</x:v>
      </x:c>
      <x:c r="AF505" s="12" t="str">
        <x:f>IF(OR(AE505="active",AE505="review_required"),"yes","no")</x:f>
        <x:v>no</x:v>
      </x:c>
      <x:c r="AG505" s="12" t="str">
        <x:f>IF(AND(AE505="active",M505="yes",NOT(ISNUMBER(SEARCH("healthy",AB505)))),"yes","no")</x:f>
        <x:v>no</x:v>
      </x:c>
      <x:c r="AH505" s="12" t="str">
        <x:f>IF(OR(H505="contextual",H505="dialogue",H505="discourse",I505="claim+context",I505="discourse_segment"),"yes","no")</x:f>
        <x:v>yes</x:v>
      </x:c>
      <x:c r="AI505" s="12" t="str">
        <x:f>IF(OR(AH505="yes",AD505="debated",AC505="operational"),"yes","no")</x:f>
        <x:v>yes</x:v>
      </x:c>
      <x:c r="AJ505" s="12" t="str">
        <x:f>IF(OR(AH505="yes",AC505="operational",AD505="debated"),"high",IF(AND(AG505="yes",L505="P0"),"medium","low"))</x:f>
        <x:v>high</x:v>
      </x:c>
      <x:c r="AK505" s="12" t="str">
        <x:f>IF(ISNUMBER(SEARCH("healthy",AB505)),"yes","no")</x:f>
        <x:v>no</x:v>
      </x:c>
      <x:c r="AL505" s="12" t="str">
        <x:f>IF(AG505="yes","yes","candidate_only")</x:f>
        <x:v>candidate_only</x:v>
      </x:c>
      <x:c r="AM505" s="12" t="str">
        <x:f>IF(OR(AC505="canonical",AG505="yes"),"yes","recommended")</x:f>
        <x:v>recommended</x:v>
      </x:c>
      <x:c r="AN505" s="12" t="str">
        <x:f>IF(AC505="deprecated","exclude",IF(AND(AG505="yes",AJ505="high"),"import_but_human_review_required",IF(AG505="yes","import_as_active","import_as_backlog")))</x:f>
        <x:v>import_as_backlog</x:v>
      </x:c>
      <x:c r="AO505" s="12" t="str">
        <x:f>IF(AND(AG505="yes",OR(P505="",Q505="",R505="",S505="")),"missing_required_mvp_fields",IF(AND(AC505="canonical",Y505=""),"missing_source_ref","ok"))</x:f>
        <x:v>ok</x:v>
      </x:c>
      <x:c r="AP505" s="12" t="str">
        <x:f>IF(AO505="ok","ready_for_codex_import","needs_review")</x:f>
        <x:v>ready_for_codex_import</x:v>
      </x:c>
      <x:c r="AQ505" s="12"/>
      <x:c r="AR505" s="12" t="str">
        <x:v>Added v2 operational fields. Review before classification activation.</x:v>
      </x:c>
    </x:row>
    <x:row r="506">
      <x:c r="A506" s="13" t="str">
        <x:v>negativity_bias_confidence_expression_variant</x:v>
      </x:c>
      <x:c r="B506" s="13" t="str">
        <x:v>negativity_bias</x:v>
      </x:c>
      <x:c r="C506" s="13" t="str">
        <x:v>Negativity bias</x:v>
      </x:c>
      <x:c r="D506" s="13" t="str">
        <x:v>سوگیری منفی‌نگری</x:v>
      </x:c>
      <x:c r="E506" s="13" t="str">
        <x:v>Confidence-expression variant</x:v>
      </x:c>
      <x:c r="F506" s="13" t="str">
        <x:v>cognitive_biases_information_processing</x:v>
      </x:c>
      <x:c r="G506" s="13" t="str">
        <x:v>operational_variant</x:v>
      </x:c>
      <x:c r="H506" s="13" t="str">
        <x:v>contextual</x:v>
      </x:c>
      <x:c r="I506" s="13" t="str">
        <x:v>claim+context</x:v>
      </x:c>
      <x:c r="J506" s="13" t="str">
        <x:v>derived_operational_subtype</x:v>
      </x:c>
      <x:c r="K506" s="13" t="str">
        <x:v>derived_from_established_parent_review_required</x:v>
      </x:c>
      <x:c r="L506" s="13" t="str">
        <x:v>P3</x:v>
      </x:c>
      <x:c r="M506" s="13" t="str">
        <x:v>no</x:v>
      </x:c>
      <x:c r="N506" s="13" t="str">
        <x:v>Operational subtype under Negativity bias: language expresses confidence beyond support. Parent definition: Giving negative information disproportionate weight.</x:v>
      </x:c>
      <x:c r="O506" s="13" t="str">
        <x:v>Look for: explicit claim-level evidence; parent-family cues for Negativity bias; variant cue: language expresses confidence beyond support; avoid author-level inference.</x:v>
      </x:c>
      <x:c r="P506" s="13" t="str">
        <x:v>Exact evidence span in text plus claim-level reasoning link; for contextual/discourse entries, require surrounding context.</x:v>
      </x:c>
      <x:c r="Q506" s="13" t="str">
        <x:v>Do not label merely because topic is controversial, emotional, or wrong. Do not judge intent or personality. Require textual evidence and consider healthy-reasoning cues.</x:v>
      </x:c>
      <x:c r="R506" s="13" t="str">
        <x:v>Stub: A claim relies on language expresses confidence beyond support to support a conclusion without adequate qualification.</x:v>
      </x:c>
      <x:c r="S506" s="13" t="str">
        <x:v>Stub: A claim discusses negativity bias with caveats, balanced evidence, or no argumentative use of the pattern.</x:v>
      </x:c>
      <x:c r="T506" s="13" t="str">
        <x:v>Mild or ambiguous cue; do not classify without clear evidence span.</x:v>
      </x:c>
      <x:c r="U506" s="13" t="str">
        <x:v>Clear claim-level pattern with some argumentative impact.</x:v>
      </x:c>
      <x:c r="V506" s="13" t="str">
        <x:v>Strong pattern central to the conclusion and likely to materially distort reasoning.</x:v>
      </x:c>
      <x:c r="W506" s="13" t="str"/>
      <x:c r="X506" s="13" t="str">
        <x:v>gilovich_heuristics_biases</x:v>
      </x:c>
      <x:c r="Y506" s="13" t="str">
        <x:v>https://www.cambridge.org/core/books/heuristics-and-biases/3C30D3B05D2F190C3B8BE5E2531EFD24</x:v>
      </x:c>
      <x:c r="Z506" s="13" t="str">
        <x:v>Review before enabling. This workbook is a living taxonomy scaffold, not a validated scientific benchmark.</x:v>
      </x:c>
      <x:c r="AA506" s="13" t="str">
        <x:v>0.1.0-draft</x:v>
      </x:c>
      <x:c r="AB506" s="12" t="str">
        <x:f>IF(ISNUMBER(SEARCH("healthy",F506)),"healthy_reasoning_patterns",IF(ISNUMBER(SEARCH("statistical",F506)),"statistical_reasoning",IF(ISNUMBER(SEARCH("causal",F506)),"causal_reasoning",IF(ISNUMBER(SEARCH("social",F506)),"social_influence",IF(ISNUMBER(SEARCH("rhetoric",F506)),"rhetoric_discourse",IF(ISNUMBER(SEARCH("behavior",F506)),"behavioural_economics",IF(ISNUMBER(SEARCH("cognitive",F506)),"cognitive_biases",IF(J506="protective_pattern","healthy_reasoning_patterns",IF(L506="P0","core_mvp","extended_fallacies")))))))))</x:f>
        <x:v>cognitive_biases</x:v>
      </x:c>
      <x:c r="AC506" s="12" t="str">
        <x:f>IF(ISNUMBER(SEARCH("operational",J506)),"operational",IF(ISNUMBER(SEARCH("deprecated",J506)),"deprecated",IF(L506="P0","canonical","recognized_subtype")))</x:f>
        <x:v>operational</x:v>
      </x:c>
      <x:c r="AD506" s="12" t="str">
        <x:f>IF(AC506="canonical","high",IF(AC506="recognized_subtype","medium",IF(AC506="operational","operational_only","debated")))</x:f>
        <x:v>operational_only</x:v>
      </x:c>
      <x:c r="AE506" s="12" t="str">
        <x:f>IF(AC506="deprecated","deprecated",IF(M506="yes","active",IF(M506="review","review_required","backlog")))</x:f>
        <x:v>backlog</x:v>
      </x:c>
      <x:c r="AF506" s="12" t="str">
        <x:f>IF(OR(AE506="active",AE506="review_required"),"yes","no")</x:f>
        <x:v>no</x:v>
      </x:c>
      <x:c r="AG506" s="12" t="str">
        <x:f>IF(AND(AE506="active",M506="yes",NOT(ISNUMBER(SEARCH("healthy",AB506)))),"yes","no")</x:f>
        <x:v>no</x:v>
      </x:c>
      <x:c r="AH506" s="12" t="str">
        <x:f>IF(OR(H506="contextual",H506="dialogue",H506="discourse",I506="claim+context",I506="discourse_segment"),"yes","no")</x:f>
        <x:v>yes</x:v>
      </x:c>
      <x:c r="AI506" s="12" t="str">
        <x:f>IF(OR(AH506="yes",AD506="debated",AC506="operational"),"yes","no")</x:f>
        <x:v>yes</x:v>
      </x:c>
      <x:c r="AJ506" s="12" t="str">
        <x:f>IF(OR(AH506="yes",AC506="operational",AD506="debated"),"high",IF(AND(AG506="yes",L506="P0"),"medium","low"))</x:f>
        <x:v>high</x:v>
      </x:c>
      <x:c r="AK506" s="12" t="str">
        <x:f>IF(ISNUMBER(SEARCH("healthy",AB506)),"yes","no")</x:f>
        <x:v>no</x:v>
      </x:c>
      <x:c r="AL506" s="12" t="str">
        <x:f>IF(AG506="yes","yes","candidate_only")</x:f>
        <x:v>candidate_only</x:v>
      </x:c>
      <x:c r="AM506" s="12" t="str">
        <x:f>IF(OR(AC506="canonical",AG506="yes"),"yes","recommended")</x:f>
        <x:v>recommended</x:v>
      </x:c>
      <x:c r="AN506" s="12" t="str">
        <x:f>IF(AC506="deprecated","exclude",IF(AND(AG506="yes",AJ506="high"),"import_but_human_review_required",IF(AG506="yes","import_as_active","import_as_backlog")))</x:f>
        <x:v>import_as_backlog</x:v>
      </x:c>
      <x:c r="AO506" s="12" t="str">
        <x:f>IF(AND(AG506="yes",OR(P506="",Q506="",R506="",S506="")),"missing_required_mvp_fields",IF(AND(AC506="canonical",Y506=""),"missing_source_ref","ok"))</x:f>
        <x:v>ok</x:v>
      </x:c>
      <x:c r="AP506" s="12" t="str">
        <x:f>IF(AO506="ok","ready_for_codex_import","needs_review")</x:f>
        <x:v>ready_for_codex_import</x:v>
      </x:c>
      <x:c r="AQ506" s="12"/>
      <x:c r="AR506" s="12" t="str">
        <x:v>Added v2 operational fields. Review before classification activation.</x:v>
      </x:c>
    </x:row>
    <x:row r="507">
      <x:c r="A507" s="13" t="str">
        <x:v>salience_bias_confidence_expression_variant</x:v>
      </x:c>
      <x:c r="B507" s="13" t="str">
        <x:v>salience_bias</x:v>
      </x:c>
      <x:c r="C507" s="13" t="str">
        <x:v>Salience bias</x:v>
      </x:c>
      <x:c r="D507" s="13" t="str">
        <x:v>سوگیری برجستگی</x:v>
      </x:c>
      <x:c r="E507" s="13" t="str">
        <x:v>Confidence-expression variant</x:v>
      </x:c>
      <x:c r="F507" s="13" t="str">
        <x:v>cognitive_biases_information_processing</x:v>
      </x:c>
      <x:c r="G507" s="13" t="str">
        <x:v>operational_variant</x:v>
      </x:c>
      <x:c r="H507" s="13" t="str">
        <x:v>contextual</x:v>
      </x:c>
      <x:c r="I507" s="13" t="str">
        <x:v>claim+context</x:v>
      </x:c>
      <x:c r="J507" s="13" t="str">
        <x:v>derived_operational_subtype</x:v>
      </x:c>
      <x:c r="K507" s="13" t="str">
        <x:v>derived_from_established_parent_review_required</x:v>
      </x:c>
      <x:c r="L507" s="13" t="str">
        <x:v>P3</x:v>
      </x:c>
      <x:c r="M507" s="13" t="str">
        <x:v>no</x:v>
      </x:c>
      <x:c r="N507" s="13" t="str">
        <x:v>Operational subtype under Salience bias: language expresses confidence beyond support. Parent definition: Overweighting vivid or prominent features.</x:v>
      </x:c>
      <x:c r="O507" s="13" t="str">
        <x:v>Look for: explicit claim-level evidence; parent-family cues for Salience bias; variant cue: language expresses confidence beyond support; avoid author-level inference.</x:v>
      </x:c>
      <x:c r="P507" s="13" t="str">
        <x:v>Exact evidence span in text plus claim-level reasoning link; for contextual/discourse entries, require surrounding context.</x:v>
      </x:c>
      <x:c r="Q507" s="13" t="str">
        <x:v>Do not label merely because topic is controversial, emotional, or wrong. Do not judge intent or personality. Require textual evidence and consider healthy-reasoning cues.</x:v>
      </x:c>
      <x:c r="R507" s="13" t="str">
        <x:v>Stub: A claim relies on language expresses confidence beyond support to support a conclusion without adequate qualification.</x:v>
      </x:c>
      <x:c r="S507" s="13" t="str">
        <x:v>Stub: A claim discusses salience bias with caveats, balanced evidence, or no argumentative use of the pattern.</x:v>
      </x:c>
      <x:c r="T507" s="13" t="str">
        <x:v>Mild or ambiguous cue; do not classify without clear evidence span.</x:v>
      </x:c>
      <x:c r="U507" s="13" t="str">
        <x:v>Clear claim-level pattern with some argumentative impact.</x:v>
      </x:c>
      <x:c r="V507" s="13" t="str">
        <x:v>Strong pattern central to the conclusion and likely to materially distort reasoning.</x:v>
      </x:c>
      <x:c r="W507" s="13" t="str"/>
      <x:c r="X507" s="13" t="str">
        <x:v>kahneman_tversky_heuristics_1974</x:v>
      </x:c>
      <x:c r="Y507" s="13" t="str">
        <x:v>https://doi.org/10.1126/science.185.4157.1124</x:v>
      </x:c>
      <x:c r="Z507" s="13" t="str">
        <x:v>Review before enabling. This workbook is a living taxonomy scaffold, not a validated scientific benchmark.</x:v>
      </x:c>
      <x:c r="AA507" s="13" t="str">
        <x:v>0.1.0-draft</x:v>
      </x:c>
      <x:c r="AB507" s="12" t="str">
        <x:f>IF(ISNUMBER(SEARCH("healthy",F507)),"healthy_reasoning_patterns",IF(ISNUMBER(SEARCH("statistical",F507)),"statistical_reasoning",IF(ISNUMBER(SEARCH("causal",F507)),"causal_reasoning",IF(ISNUMBER(SEARCH("social",F507)),"social_influence",IF(ISNUMBER(SEARCH("rhetoric",F507)),"rhetoric_discourse",IF(ISNUMBER(SEARCH("behavior",F507)),"behavioural_economics",IF(ISNUMBER(SEARCH("cognitive",F507)),"cognitive_biases",IF(J507="protective_pattern","healthy_reasoning_patterns",IF(L507="P0","core_mvp","extended_fallacies")))))))))</x:f>
        <x:v>cognitive_biases</x:v>
      </x:c>
      <x:c r="AC507" s="12" t="str">
        <x:f>IF(ISNUMBER(SEARCH("operational",J507)),"operational",IF(ISNUMBER(SEARCH("deprecated",J507)),"deprecated",IF(L507="P0","canonical","recognized_subtype")))</x:f>
        <x:v>operational</x:v>
      </x:c>
      <x:c r="AD507" s="12" t="str">
        <x:f>IF(AC507="canonical","high",IF(AC507="recognized_subtype","medium",IF(AC507="operational","operational_only","debated")))</x:f>
        <x:v>operational_only</x:v>
      </x:c>
      <x:c r="AE507" s="12" t="str">
        <x:f>IF(AC507="deprecated","deprecated",IF(M507="yes","active",IF(M507="review","review_required","backlog")))</x:f>
        <x:v>backlog</x:v>
      </x:c>
      <x:c r="AF507" s="12" t="str">
        <x:f>IF(OR(AE507="active",AE507="review_required"),"yes","no")</x:f>
        <x:v>no</x:v>
      </x:c>
      <x:c r="AG507" s="12" t="str">
        <x:f>IF(AND(AE507="active",M507="yes",NOT(ISNUMBER(SEARCH("healthy",AB507)))),"yes","no")</x:f>
        <x:v>no</x:v>
      </x:c>
      <x:c r="AH507" s="12" t="str">
        <x:f>IF(OR(H507="contextual",H507="dialogue",H507="discourse",I507="claim+context",I507="discourse_segment"),"yes","no")</x:f>
        <x:v>yes</x:v>
      </x:c>
      <x:c r="AI507" s="12" t="str">
        <x:f>IF(OR(AH507="yes",AD507="debated",AC507="operational"),"yes","no")</x:f>
        <x:v>yes</x:v>
      </x:c>
      <x:c r="AJ507" s="12" t="str">
        <x:f>IF(OR(AH507="yes",AC507="operational",AD507="debated"),"high",IF(AND(AG507="yes",L507="P0"),"medium","low"))</x:f>
        <x:v>high</x:v>
      </x:c>
      <x:c r="AK507" s="12" t="str">
        <x:f>IF(ISNUMBER(SEARCH("healthy",AB507)),"yes","no")</x:f>
        <x:v>no</x:v>
      </x:c>
      <x:c r="AL507" s="12" t="str">
        <x:f>IF(AG507="yes","yes","candidate_only")</x:f>
        <x:v>candidate_only</x:v>
      </x:c>
      <x:c r="AM507" s="12" t="str">
        <x:f>IF(OR(AC507="canonical",AG507="yes"),"yes","recommended")</x:f>
        <x:v>recommended</x:v>
      </x:c>
      <x:c r="AN507" s="12" t="str">
        <x:f>IF(AC507="deprecated","exclude",IF(AND(AG507="yes",AJ507="high"),"import_but_human_review_required",IF(AG507="yes","import_as_active","import_as_backlog")))</x:f>
        <x:v>import_as_backlog</x:v>
      </x:c>
      <x:c r="AO507" s="12" t="str">
        <x:f>IF(AND(AG507="yes",OR(P507="",Q507="",R507="",S507="")),"missing_required_mvp_fields",IF(AND(AC507="canonical",Y507=""),"missing_source_ref","ok"))</x:f>
        <x:v>ok</x:v>
      </x:c>
      <x:c r="AP507" s="12" t="str">
        <x:f>IF(AO507="ok","ready_for_codex_import","needs_review")</x:f>
        <x:v>ready_for_codex_import</x:v>
      </x:c>
      <x:c r="AQ507" s="12"/>
      <x:c r="AR507" s="12" t="str">
        <x:v>Added v2 operational fields. Review before classification activation.</x:v>
      </x:c>
    </x:row>
    <x:row r="508">
      <x:c r="A508" s="13" t="str">
        <x:v>attentional_bias_confidence_expression_variant</x:v>
      </x:c>
      <x:c r="B508" s="13" t="str">
        <x:v>attentional_bias</x:v>
      </x:c>
      <x:c r="C508" s="13" t="str">
        <x:v>Attentional bias</x:v>
      </x:c>
      <x:c r="D508" s="13" t="str">
        <x:v>سوگیری توجه</x:v>
      </x:c>
      <x:c r="E508" s="13" t="str">
        <x:v>Confidence-expression variant</x:v>
      </x:c>
      <x:c r="F508" s="13" t="str">
        <x:v>cognitive_biases_information_processing</x:v>
      </x:c>
      <x:c r="G508" s="13" t="str">
        <x:v>operational_variant</x:v>
      </x:c>
      <x:c r="H508" s="13" t="str">
        <x:v>contextual</x:v>
      </x:c>
      <x:c r="I508" s="13" t="str">
        <x:v>claim+context</x:v>
      </x:c>
      <x:c r="J508" s="13" t="str">
        <x:v>derived_operational_subtype</x:v>
      </x:c>
      <x:c r="K508" s="13" t="str">
        <x:v>derived_from_established_parent_review_required</x:v>
      </x:c>
      <x:c r="L508" s="13" t="str">
        <x:v>P3</x:v>
      </x:c>
      <x:c r="M508" s="13" t="str">
        <x:v>no</x:v>
      </x:c>
      <x:c r="N508" s="13" t="str">
        <x:v>Operational subtype under Attentional bias: language expresses confidence beyond support. Parent definition: Attention is disproportionately drawn to certain types of information.</x:v>
      </x:c>
      <x:c r="O508" s="13" t="str">
        <x:v>Look for: explicit claim-level evidence; parent-family cues for Attentional bias; variant cue: language expresses confidence beyond support; avoid author-level inference.</x:v>
      </x:c>
      <x:c r="P508" s="13" t="str">
        <x:v>Exact evidence span in text plus claim-level reasoning link; for contextual/discourse entries, require surrounding context.</x:v>
      </x:c>
      <x:c r="Q508" s="13" t="str">
        <x:v>Do not label merely because topic is controversial, emotional, or wrong. Do not judge intent or personality. Require textual evidence and consider healthy-reasoning cues.</x:v>
      </x:c>
      <x:c r="R508" s="13" t="str">
        <x:v>Stub: A claim relies on language expresses confidence beyond support to support a conclusion without adequate qualification.</x:v>
      </x:c>
      <x:c r="S508" s="13" t="str">
        <x:v>Stub: A claim discusses attentional bias with caveats, balanced evidence, or no argumentative use of the pattern.</x:v>
      </x:c>
      <x:c r="T508" s="13" t="str">
        <x:v>Mild or ambiguous cue; do not classify without clear evidence span.</x:v>
      </x:c>
      <x:c r="U508" s="13" t="str">
        <x:v>Clear claim-level pattern with some argumentative impact.</x:v>
      </x:c>
      <x:c r="V508" s="13" t="str">
        <x:v>Strong pattern central to the conclusion and likely to materially distort reasoning.</x:v>
      </x:c>
      <x:c r="W508" s="13" t="str"/>
      <x:c r="X508" s="13" t="str">
        <x:v>gilovich_heuristics_biases</x:v>
      </x:c>
      <x:c r="Y508" s="13" t="str">
        <x:v>https://www.cambridge.org/core/books/heuristics-and-biases/3C30D3B05D2F190C3B8BE5E2531EFD24</x:v>
      </x:c>
      <x:c r="Z508" s="13" t="str">
        <x:v>Review before enabling. This workbook is a living taxonomy scaffold, not a validated scientific benchmark.</x:v>
      </x:c>
      <x:c r="AA508" s="13" t="str">
        <x:v>0.1.0-draft</x:v>
      </x:c>
      <x:c r="AB508" s="12" t="str">
        <x:f>IF(ISNUMBER(SEARCH("healthy",F508)),"healthy_reasoning_patterns",IF(ISNUMBER(SEARCH("statistical",F508)),"statistical_reasoning",IF(ISNUMBER(SEARCH("causal",F508)),"causal_reasoning",IF(ISNUMBER(SEARCH("social",F508)),"social_influence",IF(ISNUMBER(SEARCH("rhetoric",F508)),"rhetoric_discourse",IF(ISNUMBER(SEARCH("behavior",F508)),"behavioural_economics",IF(ISNUMBER(SEARCH("cognitive",F508)),"cognitive_biases",IF(J508="protective_pattern","healthy_reasoning_patterns",IF(L508="P0","core_mvp","extended_fallacies")))))))))</x:f>
        <x:v>cognitive_biases</x:v>
      </x:c>
      <x:c r="AC508" s="12" t="str">
        <x:f>IF(ISNUMBER(SEARCH("operational",J508)),"operational",IF(ISNUMBER(SEARCH("deprecated",J508)),"deprecated",IF(L508="P0","canonical","recognized_subtype")))</x:f>
        <x:v>operational</x:v>
      </x:c>
      <x:c r="AD508" s="12" t="str">
        <x:f>IF(AC508="canonical","high",IF(AC508="recognized_subtype","medium",IF(AC508="operational","operational_only","debated")))</x:f>
        <x:v>operational_only</x:v>
      </x:c>
      <x:c r="AE508" s="12" t="str">
        <x:f>IF(AC508="deprecated","deprecated",IF(M508="yes","active",IF(M508="review","review_required","backlog")))</x:f>
        <x:v>backlog</x:v>
      </x:c>
      <x:c r="AF508" s="12" t="str">
        <x:f>IF(OR(AE508="active",AE508="review_required"),"yes","no")</x:f>
        <x:v>no</x:v>
      </x:c>
      <x:c r="AG508" s="12" t="str">
        <x:f>IF(AND(AE508="active",M508="yes",NOT(ISNUMBER(SEARCH("healthy",AB508)))),"yes","no")</x:f>
        <x:v>no</x:v>
      </x:c>
      <x:c r="AH508" s="12" t="str">
        <x:f>IF(OR(H508="contextual",H508="dialogue",H508="discourse",I508="claim+context",I508="discourse_segment"),"yes","no")</x:f>
        <x:v>yes</x:v>
      </x:c>
      <x:c r="AI508" s="12" t="str">
        <x:f>IF(OR(AH508="yes",AD508="debated",AC508="operational"),"yes","no")</x:f>
        <x:v>yes</x:v>
      </x:c>
      <x:c r="AJ508" s="12" t="str">
        <x:f>IF(OR(AH508="yes",AC508="operational",AD508="debated"),"high",IF(AND(AG508="yes",L508="P0"),"medium","low"))</x:f>
        <x:v>high</x:v>
      </x:c>
      <x:c r="AK508" s="12" t="str">
        <x:f>IF(ISNUMBER(SEARCH("healthy",AB508)),"yes","no")</x:f>
        <x:v>no</x:v>
      </x:c>
      <x:c r="AL508" s="12" t="str">
        <x:f>IF(AG508="yes","yes","candidate_only")</x:f>
        <x:v>candidate_only</x:v>
      </x:c>
      <x:c r="AM508" s="12" t="str">
        <x:f>IF(OR(AC508="canonical",AG508="yes"),"yes","recommended")</x:f>
        <x:v>recommended</x:v>
      </x:c>
      <x:c r="AN508" s="12" t="str">
        <x:f>IF(AC508="deprecated","exclude",IF(AND(AG508="yes",AJ508="high"),"import_but_human_review_required",IF(AG508="yes","import_as_active","import_as_backlog")))</x:f>
        <x:v>import_as_backlog</x:v>
      </x:c>
      <x:c r="AO508" s="12" t="str">
        <x:f>IF(AND(AG508="yes",OR(P508="",Q508="",R508="",S508="")),"missing_required_mvp_fields",IF(AND(AC508="canonical",Y508=""),"missing_source_ref","ok"))</x:f>
        <x:v>ok</x:v>
      </x:c>
      <x:c r="AP508" s="12" t="str">
        <x:f>IF(AO508="ok","ready_for_codex_import","needs_review")</x:f>
        <x:v>ready_for_codex_import</x:v>
      </x:c>
      <x:c r="AQ508" s="12"/>
      <x:c r="AR508" s="12" t="str">
        <x:v>Added v2 operational fields. Review before classification activation.</x:v>
      </x:c>
    </x:row>
    <x:row r="509">
      <x:c r="A509" s="13" t="str">
        <x:v>halo_effect_confidence_expression_variant</x:v>
      </x:c>
      <x:c r="B509" s="13" t="str">
        <x:v>halo_effect</x:v>
      </x:c>
      <x:c r="C509" s="13" t="str">
        <x:v>Halo effect</x:v>
      </x:c>
      <x:c r="D509" s="13" t="str">
        <x:v>اثر هاله‌ای</x:v>
      </x:c>
      <x:c r="E509" s="13" t="str">
        <x:v>Confidence-expression variant</x:v>
      </x:c>
      <x:c r="F509" s="13" t="str">
        <x:v>cognitive_biases_information_processing</x:v>
      </x:c>
      <x:c r="G509" s="13" t="str">
        <x:v>operational_variant</x:v>
      </x:c>
      <x:c r="H509" s="13" t="str">
        <x:v>contextual</x:v>
      </x:c>
      <x:c r="I509" s="13" t="str">
        <x:v>claim+context</x:v>
      </x:c>
      <x:c r="J509" s="13" t="str">
        <x:v>derived_operational_subtype</x:v>
      </x:c>
      <x:c r="K509" s="13" t="str">
        <x:v>derived_from_established_parent_review_required</x:v>
      </x:c>
      <x:c r="L509" s="13" t="str">
        <x:v>P3</x:v>
      </x:c>
      <x:c r="M509" s="13" t="str">
        <x:v>no</x:v>
      </x:c>
      <x:c r="N509" s="13" t="str">
        <x:v>Operational subtype under Halo effect: language expresses confidence beyond support. Parent definition: Letting one positive feature color unrelated judgments.</x:v>
      </x:c>
      <x:c r="O509" s="13" t="str">
        <x:v>Look for: explicit claim-level evidence; parent-family cues for Halo effect; variant cue: language expresses confidence beyond support; avoid author-level inference.</x:v>
      </x:c>
      <x:c r="P509" s="13" t="str">
        <x:v>Exact evidence span in text plus claim-level reasoning link; for contextual/discourse entries, require surrounding context.</x:v>
      </x:c>
      <x:c r="Q509" s="13" t="str">
        <x:v>Do not label merely because topic is controversial, emotional, or wrong. Do not judge intent or personality. Require textual evidence and consider healthy-reasoning cues.</x:v>
      </x:c>
      <x:c r="R509" s="13" t="str">
        <x:v>Stub: A claim relies on language expresses confidence beyond support to support a conclusion without adequate qualification.</x:v>
      </x:c>
      <x:c r="S509" s="13" t="str">
        <x:v>Stub: A claim discusses halo effect with caveats, balanced evidence, or no argumentative use of the pattern.</x:v>
      </x:c>
      <x:c r="T509" s="13" t="str">
        <x:v>Mild or ambiguous cue; do not classify without clear evidence span.</x:v>
      </x:c>
      <x:c r="U509" s="13" t="str">
        <x:v>Clear claim-level pattern with some argumentative impact.</x:v>
      </x:c>
      <x:c r="V509" s="13" t="str">
        <x:v>Strong pattern central to the conclusion and likely to materially distort reasoning.</x:v>
      </x:c>
      <x:c r="W509" s="13" t="str"/>
      <x:c r="X509" s="13" t="str">
        <x:v>gilovich_heuristics_biases</x:v>
      </x:c>
      <x:c r="Y509" s="13" t="str">
        <x:v>https://www.cambridge.org/core/books/heuristics-and-biases/3C30D3B05D2F190C3B8BE5E2531EFD24</x:v>
      </x:c>
      <x:c r="Z509" s="13" t="str">
        <x:v>Review before enabling. This workbook is a living taxonomy scaffold, not a validated scientific benchmark.</x:v>
      </x:c>
      <x:c r="AA509" s="13" t="str">
        <x:v>0.1.0-draft</x:v>
      </x:c>
      <x:c r="AB509" s="12" t="str">
        <x:f>IF(ISNUMBER(SEARCH("healthy",F509)),"healthy_reasoning_patterns",IF(ISNUMBER(SEARCH("statistical",F509)),"statistical_reasoning",IF(ISNUMBER(SEARCH("causal",F509)),"causal_reasoning",IF(ISNUMBER(SEARCH("social",F509)),"social_influence",IF(ISNUMBER(SEARCH("rhetoric",F509)),"rhetoric_discourse",IF(ISNUMBER(SEARCH("behavior",F509)),"behavioural_economics",IF(ISNUMBER(SEARCH("cognitive",F509)),"cognitive_biases",IF(J509="protective_pattern","healthy_reasoning_patterns",IF(L509="P0","core_mvp","extended_fallacies")))))))))</x:f>
        <x:v>cognitive_biases</x:v>
      </x:c>
      <x:c r="AC509" s="12" t="str">
        <x:f>IF(ISNUMBER(SEARCH("operational",J509)),"operational",IF(ISNUMBER(SEARCH("deprecated",J509)),"deprecated",IF(L509="P0","canonical","recognized_subtype")))</x:f>
        <x:v>operational</x:v>
      </x:c>
      <x:c r="AD509" s="12" t="str">
        <x:f>IF(AC509="canonical","high",IF(AC509="recognized_subtype","medium",IF(AC509="operational","operational_only","debated")))</x:f>
        <x:v>operational_only</x:v>
      </x:c>
      <x:c r="AE509" s="12" t="str">
        <x:f>IF(AC509="deprecated","deprecated",IF(M509="yes","active",IF(M509="review","review_required","backlog")))</x:f>
        <x:v>backlog</x:v>
      </x:c>
      <x:c r="AF509" s="12" t="str">
        <x:f>IF(OR(AE509="active",AE509="review_required"),"yes","no")</x:f>
        <x:v>no</x:v>
      </x:c>
      <x:c r="AG509" s="12" t="str">
        <x:f>IF(AND(AE509="active",M509="yes",NOT(ISNUMBER(SEARCH("healthy",AB509)))),"yes","no")</x:f>
        <x:v>no</x:v>
      </x:c>
      <x:c r="AH509" s="12" t="str">
        <x:f>IF(OR(H509="contextual",H509="dialogue",H509="discourse",I509="claim+context",I509="discourse_segment"),"yes","no")</x:f>
        <x:v>yes</x:v>
      </x:c>
      <x:c r="AI509" s="12" t="str">
        <x:f>IF(OR(AH509="yes",AD509="debated",AC509="operational"),"yes","no")</x:f>
        <x:v>yes</x:v>
      </x:c>
      <x:c r="AJ509" s="12" t="str">
        <x:f>IF(OR(AH509="yes",AC509="operational",AD509="debated"),"high",IF(AND(AG509="yes",L509="P0"),"medium","low"))</x:f>
        <x:v>high</x:v>
      </x:c>
      <x:c r="AK509" s="12" t="str">
        <x:f>IF(ISNUMBER(SEARCH("healthy",AB509)),"yes","no")</x:f>
        <x:v>no</x:v>
      </x:c>
      <x:c r="AL509" s="12" t="str">
        <x:f>IF(AG509="yes","yes","candidate_only")</x:f>
        <x:v>candidate_only</x:v>
      </x:c>
      <x:c r="AM509" s="12" t="str">
        <x:f>IF(OR(AC509="canonical",AG509="yes"),"yes","recommended")</x:f>
        <x:v>recommended</x:v>
      </x:c>
      <x:c r="AN509" s="12" t="str">
        <x:f>IF(AC509="deprecated","exclude",IF(AND(AG509="yes",AJ509="high"),"import_but_human_review_required",IF(AG509="yes","import_as_active","import_as_backlog")))</x:f>
        <x:v>import_as_backlog</x:v>
      </x:c>
      <x:c r="AO509" s="12" t="str">
        <x:f>IF(AND(AG509="yes",OR(P509="",Q509="",R509="",S509="")),"missing_required_mvp_fields",IF(AND(AC509="canonical",Y509=""),"missing_source_ref","ok"))</x:f>
        <x:v>ok</x:v>
      </x:c>
      <x:c r="AP509" s="12" t="str">
        <x:f>IF(AO509="ok","ready_for_codex_import","needs_review")</x:f>
        <x:v>ready_for_codex_import</x:v>
      </x:c>
      <x:c r="AQ509" s="12"/>
      <x:c r="AR509" s="12" t="str">
        <x:v>Added v2 operational fields. Review before classification activation.</x:v>
      </x:c>
    </x:row>
    <x:row r="510">
      <x:c r="A510" s="13" t="str">
        <x:v>horns_effect_confidence_expression_variant</x:v>
      </x:c>
      <x:c r="B510" s="13" t="str">
        <x:v>horns_effect</x:v>
      </x:c>
      <x:c r="C510" s="13" t="str">
        <x:v>Horns effect</x:v>
      </x:c>
      <x:c r="D510" s="13" t="str">
        <x:v>اثر شاخ</x:v>
      </x:c>
      <x:c r="E510" s="13" t="str">
        <x:v>Confidence-expression variant</x:v>
      </x:c>
      <x:c r="F510" s="13" t="str">
        <x:v>cognitive_biases_information_processing</x:v>
      </x:c>
      <x:c r="G510" s="13" t="str">
        <x:v>operational_variant</x:v>
      </x:c>
      <x:c r="H510" s="13" t="str">
        <x:v>contextual</x:v>
      </x:c>
      <x:c r="I510" s="13" t="str">
        <x:v>claim+context</x:v>
      </x:c>
      <x:c r="J510" s="13" t="str">
        <x:v>derived_operational_subtype</x:v>
      </x:c>
      <x:c r="K510" s="13" t="str">
        <x:v>derived_from_established_parent_review_required</x:v>
      </x:c>
      <x:c r="L510" s="13" t="str">
        <x:v>P3</x:v>
      </x:c>
      <x:c r="M510" s="13" t="str">
        <x:v>no</x:v>
      </x:c>
      <x:c r="N510" s="13" t="str">
        <x:v>Operational subtype under Horns effect: language expresses confidence beyond support. Parent definition: Letting one negative feature color unrelated judgments.</x:v>
      </x:c>
      <x:c r="O510" s="13" t="str">
        <x:v>Look for: explicit claim-level evidence; parent-family cues for Horns effect; variant cue: language expresses confidence beyond support; avoid author-level inference.</x:v>
      </x:c>
      <x:c r="P510" s="13" t="str">
        <x:v>Exact evidence span in text plus claim-level reasoning link; for contextual/discourse entries, require surrounding context.</x:v>
      </x:c>
      <x:c r="Q510" s="13" t="str">
        <x:v>Do not label merely because topic is controversial, emotional, or wrong. Do not judge intent or personality. Require textual evidence and consider healthy-reasoning cues.</x:v>
      </x:c>
      <x:c r="R510" s="13" t="str">
        <x:v>Stub: A claim relies on language expresses confidence beyond support to support a conclusion without adequate qualification.</x:v>
      </x:c>
      <x:c r="S510" s="13" t="str">
        <x:v>Stub: A claim discusses horns effect with caveats, balanced evidence, or no argumentative use of the pattern.</x:v>
      </x:c>
      <x:c r="T510" s="13" t="str">
        <x:v>Mild or ambiguous cue; do not classify without clear evidence span.</x:v>
      </x:c>
      <x:c r="U510" s="13" t="str">
        <x:v>Clear claim-level pattern with some argumentative impact.</x:v>
      </x:c>
      <x:c r="V510" s="13" t="str">
        <x:v>Strong pattern central to the conclusion and likely to materially distort reasoning.</x:v>
      </x:c>
      <x:c r="W510" s="13" t="str"/>
      <x:c r="X510" s="13" t="str">
        <x:v>gilovich_heuristics_biases</x:v>
      </x:c>
      <x:c r="Y510" s="13" t="str">
        <x:v>https://www.cambridge.org/core/books/heuristics-and-biases/3C30D3B05D2F190C3B8BE5E2531EFD24</x:v>
      </x:c>
      <x:c r="Z510" s="13" t="str">
        <x:v>Review before enabling. This workbook is a living taxonomy scaffold, not a validated scientific benchmark.</x:v>
      </x:c>
      <x:c r="AA510" s="13" t="str">
        <x:v>0.1.0-draft</x:v>
      </x:c>
      <x:c r="AB510" s="12" t="str">
        <x:f>IF(ISNUMBER(SEARCH("healthy",F510)),"healthy_reasoning_patterns",IF(ISNUMBER(SEARCH("statistical",F510)),"statistical_reasoning",IF(ISNUMBER(SEARCH("causal",F510)),"causal_reasoning",IF(ISNUMBER(SEARCH("social",F510)),"social_influence",IF(ISNUMBER(SEARCH("rhetoric",F510)),"rhetoric_discourse",IF(ISNUMBER(SEARCH("behavior",F510)),"behavioural_economics",IF(ISNUMBER(SEARCH("cognitive",F510)),"cognitive_biases",IF(J510="protective_pattern","healthy_reasoning_patterns",IF(L510="P0","core_mvp","extended_fallacies")))))))))</x:f>
        <x:v>cognitive_biases</x:v>
      </x:c>
      <x:c r="AC510" s="12" t="str">
        <x:f>IF(ISNUMBER(SEARCH("operational",J510)),"operational",IF(ISNUMBER(SEARCH("deprecated",J510)),"deprecated",IF(L510="P0","canonical","recognized_subtype")))</x:f>
        <x:v>operational</x:v>
      </x:c>
      <x:c r="AD510" s="12" t="str">
        <x:f>IF(AC510="canonical","high",IF(AC510="recognized_subtype","medium",IF(AC510="operational","operational_only","debated")))</x:f>
        <x:v>operational_only</x:v>
      </x:c>
      <x:c r="AE510" s="12" t="str">
        <x:f>IF(AC510="deprecated","deprecated",IF(M510="yes","active",IF(M510="review","review_required","backlog")))</x:f>
        <x:v>backlog</x:v>
      </x:c>
      <x:c r="AF510" s="12" t="str">
        <x:f>IF(OR(AE510="active",AE510="review_required"),"yes","no")</x:f>
        <x:v>no</x:v>
      </x:c>
      <x:c r="AG510" s="12" t="str">
        <x:f>IF(AND(AE510="active",M510="yes",NOT(ISNUMBER(SEARCH("healthy",AB510)))),"yes","no")</x:f>
        <x:v>no</x:v>
      </x:c>
      <x:c r="AH510" s="12" t="str">
        <x:f>IF(OR(H510="contextual",H510="dialogue",H510="discourse",I510="claim+context",I510="discourse_segment"),"yes","no")</x:f>
        <x:v>yes</x:v>
      </x:c>
      <x:c r="AI510" s="12" t="str">
        <x:f>IF(OR(AH510="yes",AD510="debated",AC510="operational"),"yes","no")</x:f>
        <x:v>yes</x:v>
      </x:c>
      <x:c r="AJ510" s="12" t="str">
        <x:f>IF(OR(AH510="yes",AC510="operational",AD510="debated"),"high",IF(AND(AG510="yes",L510="P0"),"medium","low"))</x:f>
        <x:v>high</x:v>
      </x:c>
      <x:c r="AK510" s="12" t="str">
        <x:f>IF(ISNUMBER(SEARCH("healthy",AB510)),"yes","no")</x:f>
        <x:v>no</x:v>
      </x:c>
      <x:c r="AL510" s="12" t="str">
        <x:f>IF(AG510="yes","yes","candidate_only")</x:f>
        <x:v>candidate_only</x:v>
      </x:c>
      <x:c r="AM510" s="12" t="str">
        <x:f>IF(OR(AC510="canonical",AG510="yes"),"yes","recommended")</x:f>
        <x:v>recommended</x:v>
      </x:c>
      <x:c r="AN510" s="12" t="str">
        <x:f>IF(AC510="deprecated","exclude",IF(AND(AG510="yes",AJ510="high"),"import_but_human_review_required",IF(AG510="yes","import_as_active","import_as_backlog")))</x:f>
        <x:v>import_as_backlog</x:v>
      </x:c>
      <x:c r="AO510" s="12" t="str">
        <x:f>IF(AND(AG510="yes",OR(P510="",Q510="",R510="",S510="")),"missing_required_mvp_fields",IF(AND(AC510="canonical",Y510=""),"missing_source_ref","ok"))</x:f>
        <x:v>ok</x:v>
      </x:c>
      <x:c r="AP510" s="12" t="str">
        <x:f>IF(AO510="ok","ready_for_codex_import","needs_review")</x:f>
        <x:v>ready_for_codex_import</x:v>
      </x:c>
      <x:c r="AQ510" s="12"/>
      <x:c r="AR510" s="12" t="str">
        <x:v>Added v2 operational fields. Review before classification activation.</x:v>
      </x:c>
    </x:row>
    <x:row r="511">
      <x:c r="A511" s="13" t="str">
        <x:v>fundamental_attribution_error_confidence_expression_variant</x:v>
      </x:c>
      <x:c r="B511" s="13" t="str">
        <x:v>fundamental_attribution_error</x:v>
      </x:c>
      <x:c r="C511" s="13" t="str">
        <x:v>Fundamental attribution error</x:v>
      </x:c>
      <x:c r="D511" s="13" t="str">
        <x:v>خطای اسناد بنیادی</x:v>
      </x:c>
      <x:c r="E511" s="13" t="str">
        <x:v>Confidence-expression variant</x:v>
      </x:c>
      <x:c r="F511" s="13" t="str">
        <x:v>cognitive_biases_information_processing</x:v>
      </x:c>
      <x:c r="G511" s="13" t="str">
        <x:v>operational_variant</x:v>
      </x:c>
      <x:c r="H511" s="13" t="str">
        <x:v>contextual</x:v>
      </x:c>
      <x:c r="I511" s="13" t="str">
        <x:v>claim+context</x:v>
      </x:c>
      <x:c r="J511" s="13" t="str">
        <x:v>derived_operational_subtype</x:v>
      </x:c>
      <x:c r="K511" s="13" t="str">
        <x:v>derived_from_established_parent_review_required</x:v>
      </x:c>
      <x:c r="L511" s="13" t="str">
        <x:v>P3</x:v>
      </x:c>
      <x:c r="M511" s="13" t="str">
        <x:v>no</x:v>
      </x:c>
      <x:c r="N511" s="13" t="str">
        <x:v>Operational subtype under Fundamental attribution error: language expresses confidence beyond support. Parent definition: Overemphasizing dispositional explanations and underweighting situational context.</x:v>
      </x:c>
      <x:c r="O511" s="13" t="str">
        <x:v>Look for: explicit claim-level evidence; parent-family cues for Fundamental attribution error; variant cue: language expresses confidence beyond support; avoid author-level inference.</x:v>
      </x:c>
      <x:c r="P511" s="13" t="str">
        <x:v>Exact evidence span in text plus claim-level reasoning link; for contextual/discourse entries, require surrounding context.</x:v>
      </x:c>
      <x:c r="Q511" s="13" t="str">
        <x:v>Do not label merely because topic is controversial, emotional, or wrong. Do not judge intent or personality. Require textual evidence and consider healthy-reasoning cues.</x:v>
      </x:c>
      <x:c r="R511" s="13" t="str">
        <x:v>Stub: A claim relies on language expresses confidence beyond support to support a conclusion without adequate qualification.</x:v>
      </x:c>
      <x:c r="S511" s="13" t="str">
        <x:v>Stub: A claim discusses fundamental attribution error with caveats, balanced evidence, or no argumentative use of the pattern.</x:v>
      </x:c>
      <x:c r="T511" s="13" t="str">
        <x:v>Mild or ambiguous cue; do not classify without clear evidence span.</x:v>
      </x:c>
      <x:c r="U511" s="13" t="str">
        <x:v>Clear claim-level pattern with some argumentative impact.</x:v>
      </x:c>
      <x:c r="V511" s="13" t="str">
        <x:v>Strong pattern central to the conclusion and likely to materially distort reasoning.</x:v>
      </x:c>
      <x:c r="W511" s="13" t="str"/>
      <x:c r="X511" s="13" t="str">
        <x:v>gilovich_heuristics_biases</x:v>
      </x:c>
      <x:c r="Y511" s="13" t="str">
        <x:v>https://www.cambridge.org/core/books/heuristics-and-biases/3C30D3B05D2F190C3B8BE5E2531EFD24</x:v>
      </x:c>
      <x:c r="Z511" s="13" t="str">
        <x:v>Review before enabling. This workbook is a living taxonomy scaffold, not a validated scientific benchmark.</x:v>
      </x:c>
      <x:c r="AA511" s="13" t="str">
        <x:v>0.1.0-draft</x:v>
      </x:c>
      <x:c r="AB511" s="12" t="str">
        <x:f>IF(ISNUMBER(SEARCH("healthy",F511)),"healthy_reasoning_patterns",IF(ISNUMBER(SEARCH("statistical",F511)),"statistical_reasoning",IF(ISNUMBER(SEARCH("causal",F511)),"causal_reasoning",IF(ISNUMBER(SEARCH("social",F511)),"social_influence",IF(ISNUMBER(SEARCH("rhetoric",F511)),"rhetoric_discourse",IF(ISNUMBER(SEARCH("behavior",F511)),"behavioural_economics",IF(ISNUMBER(SEARCH("cognitive",F511)),"cognitive_biases",IF(J511="protective_pattern","healthy_reasoning_patterns",IF(L511="P0","core_mvp","extended_fallacies")))))))))</x:f>
        <x:v>cognitive_biases</x:v>
      </x:c>
      <x:c r="AC511" s="12" t="str">
        <x:f>IF(ISNUMBER(SEARCH("operational",J511)),"operational",IF(ISNUMBER(SEARCH("deprecated",J511)),"deprecated",IF(L511="P0","canonical","recognized_subtype")))</x:f>
        <x:v>operational</x:v>
      </x:c>
      <x:c r="AD511" s="12" t="str">
        <x:f>IF(AC511="canonical","high",IF(AC511="recognized_subtype","medium",IF(AC511="operational","operational_only","debated")))</x:f>
        <x:v>operational_only</x:v>
      </x:c>
      <x:c r="AE511" s="12" t="str">
        <x:f>IF(AC511="deprecated","deprecated",IF(M511="yes","active",IF(M511="review","review_required","backlog")))</x:f>
        <x:v>backlog</x:v>
      </x:c>
      <x:c r="AF511" s="12" t="str">
        <x:f>IF(OR(AE511="active",AE511="review_required"),"yes","no")</x:f>
        <x:v>no</x:v>
      </x:c>
      <x:c r="AG511" s="12" t="str">
        <x:f>IF(AND(AE511="active",M511="yes",NOT(ISNUMBER(SEARCH("healthy",AB511)))),"yes","no")</x:f>
        <x:v>no</x:v>
      </x:c>
      <x:c r="AH511" s="12" t="str">
        <x:f>IF(OR(H511="contextual",H511="dialogue",H511="discourse",I511="claim+context",I511="discourse_segment"),"yes","no")</x:f>
        <x:v>yes</x:v>
      </x:c>
      <x:c r="AI511" s="12" t="str">
        <x:f>IF(OR(AH511="yes",AD511="debated",AC511="operational"),"yes","no")</x:f>
        <x:v>yes</x:v>
      </x:c>
      <x:c r="AJ511" s="12" t="str">
        <x:f>IF(OR(AH511="yes",AC511="operational",AD511="debated"),"high",IF(AND(AG511="yes",L511="P0"),"medium","low"))</x:f>
        <x:v>high</x:v>
      </x:c>
      <x:c r="AK511" s="12" t="str">
        <x:f>IF(ISNUMBER(SEARCH("healthy",AB511)),"yes","no")</x:f>
        <x:v>no</x:v>
      </x:c>
      <x:c r="AL511" s="12" t="str">
        <x:f>IF(AG511="yes","yes","candidate_only")</x:f>
        <x:v>candidate_only</x:v>
      </x:c>
      <x:c r="AM511" s="12" t="str">
        <x:f>IF(OR(AC511="canonical",AG511="yes"),"yes","recommended")</x:f>
        <x:v>recommended</x:v>
      </x:c>
      <x:c r="AN511" s="12" t="str">
        <x:f>IF(AC511="deprecated","exclude",IF(AND(AG511="yes",AJ511="high"),"import_but_human_review_required",IF(AG511="yes","import_as_active","import_as_backlog")))</x:f>
        <x:v>import_as_backlog</x:v>
      </x:c>
      <x:c r="AO511" s="12" t="str">
        <x:f>IF(AND(AG511="yes",OR(P511="",Q511="",R511="",S511="")),"missing_required_mvp_fields",IF(AND(AC511="canonical",Y511=""),"missing_source_ref","ok"))</x:f>
        <x:v>ok</x:v>
      </x:c>
      <x:c r="AP511" s="12" t="str">
        <x:f>IF(AO511="ok","ready_for_codex_import","needs_review")</x:f>
        <x:v>ready_for_codex_import</x:v>
      </x:c>
      <x:c r="AQ511" s="12"/>
      <x:c r="AR511" s="12" t="str">
        <x:v>Added v2 operational fields. Review before classification activation.</x:v>
      </x:c>
    </x:row>
    <x:row r="512">
      <x:c r="A512" s="13" t="str">
        <x:v>actor_observer_bias_confidence_expression_variant</x:v>
      </x:c>
      <x:c r="B512" s="13" t="str">
        <x:v>actor_observer_bias</x:v>
      </x:c>
      <x:c r="C512" s="13" t="str">
        <x:v>Actor-observer bias</x:v>
      </x:c>
      <x:c r="D512" s="13" t="str">
        <x:v>سوگیری کنشگر-ناظر</x:v>
      </x:c>
      <x:c r="E512" s="13" t="str">
        <x:v>Confidence-expression variant</x:v>
      </x:c>
      <x:c r="F512" s="13" t="str">
        <x:v>cognitive_biases_information_processing</x:v>
      </x:c>
      <x:c r="G512" s="13" t="str">
        <x:v>operational_variant</x:v>
      </x:c>
      <x:c r="H512" s="13" t="str">
        <x:v>contextual</x:v>
      </x:c>
      <x:c r="I512" s="13" t="str">
        <x:v>claim+context</x:v>
      </x:c>
      <x:c r="J512" s="13" t="str">
        <x:v>derived_operational_subtype</x:v>
      </x:c>
      <x:c r="K512" s="13" t="str">
        <x:v>derived_from_established_parent_review_required</x:v>
      </x:c>
      <x:c r="L512" s="13" t="str">
        <x:v>P3</x:v>
      </x:c>
      <x:c r="M512" s="13" t="str">
        <x:v>no</x:v>
      </x:c>
      <x:c r="N512" s="13" t="str">
        <x:v>Operational subtype under Actor-observer bias: language expresses confidence beyond support. Parent definition: Explaining one's own behavior situationally and others' behavior dispositionally.</x:v>
      </x:c>
      <x:c r="O512" s="13" t="str">
        <x:v>Look for: explicit claim-level evidence; parent-family cues for Actor-observer bias; variant cue: language expresses confidence beyond support; avoid author-level inference.</x:v>
      </x:c>
      <x:c r="P512" s="13" t="str">
        <x:v>Exact evidence span in text plus claim-level reasoning link; for contextual/discourse entries, require surrounding context.</x:v>
      </x:c>
      <x:c r="Q512" s="13" t="str">
        <x:v>Do not label merely because topic is controversial, emotional, or wrong. Do not judge intent or personality. Require textual evidence and consider healthy-reasoning cues.</x:v>
      </x:c>
      <x:c r="R512" s="13" t="str">
        <x:v>Stub: A claim relies on language expresses confidence beyond support to support a conclusion without adequate qualification.</x:v>
      </x:c>
      <x:c r="S512" s="13" t="str">
        <x:v>Stub: A claim discusses actor-observer bias with caveats, balanced evidence, or no argumentative use of the pattern.</x:v>
      </x:c>
      <x:c r="T512" s="13" t="str">
        <x:v>Mild or ambiguous cue; do not classify without clear evidence span.</x:v>
      </x:c>
      <x:c r="U512" s="13" t="str">
        <x:v>Clear claim-level pattern with some argumentative impact.</x:v>
      </x:c>
      <x:c r="V512" s="13" t="str">
        <x:v>Strong pattern central to the conclusion and likely to materially distort reasoning.</x:v>
      </x:c>
      <x:c r="W512" s="13" t="str"/>
      <x:c r="X512" s="13" t="str">
        <x:v>gilovich_heuristics_biases</x:v>
      </x:c>
      <x:c r="Y512" s="13" t="str">
        <x:v>https://www.cambridge.org/core/books/heuristics-and-biases/3C30D3B05D2F190C3B8BE5E2531EFD24</x:v>
      </x:c>
      <x:c r="Z512" s="13" t="str">
        <x:v>Review before enabling. This workbook is a living taxonomy scaffold, not a validated scientific benchmark.</x:v>
      </x:c>
      <x:c r="AA512" s="13" t="str">
        <x:v>0.1.0-draft</x:v>
      </x:c>
      <x:c r="AB512" s="12" t="str">
        <x:f>IF(ISNUMBER(SEARCH("healthy",F512)),"healthy_reasoning_patterns",IF(ISNUMBER(SEARCH("statistical",F512)),"statistical_reasoning",IF(ISNUMBER(SEARCH("causal",F512)),"causal_reasoning",IF(ISNUMBER(SEARCH("social",F512)),"social_influence",IF(ISNUMBER(SEARCH("rhetoric",F512)),"rhetoric_discourse",IF(ISNUMBER(SEARCH("behavior",F512)),"behavioural_economics",IF(ISNUMBER(SEARCH("cognitive",F512)),"cognitive_biases",IF(J512="protective_pattern","healthy_reasoning_patterns",IF(L512="P0","core_mvp","extended_fallacies")))))))))</x:f>
        <x:v>cognitive_biases</x:v>
      </x:c>
      <x:c r="AC512" s="12" t="str">
        <x:f>IF(ISNUMBER(SEARCH("operational",J512)),"operational",IF(ISNUMBER(SEARCH("deprecated",J512)),"deprecated",IF(L512="P0","canonical","recognized_subtype")))</x:f>
        <x:v>operational</x:v>
      </x:c>
      <x:c r="AD512" s="12" t="str">
        <x:f>IF(AC512="canonical","high",IF(AC512="recognized_subtype","medium",IF(AC512="operational","operational_only","debated")))</x:f>
        <x:v>operational_only</x:v>
      </x:c>
      <x:c r="AE512" s="12" t="str">
        <x:f>IF(AC512="deprecated","deprecated",IF(M512="yes","active",IF(M512="review","review_required","backlog")))</x:f>
        <x:v>backlog</x:v>
      </x:c>
      <x:c r="AF512" s="12" t="str">
        <x:f>IF(OR(AE512="active",AE512="review_required"),"yes","no")</x:f>
        <x:v>no</x:v>
      </x:c>
      <x:c r="AG512" s="12" t="str">
        <x:f>IF(AND(AE512="active",M512="yes",NOT(ISNUMBER(SEARCH("healthy",AB512)))),"yes","no")</x:f>
        <x:v>no</x:v>
      </x:c>
      <x:c r="AH512" s="12" t="str">
        <x:f>IF(OR(H512="contextual",H512="dialogue",H512="discourse",I512="claim+context",I512="discourse_segment"),"yes","no")</x:f>
        <x:v>yes</x:v>
      </x:c>
      <x:c r="AI512" s="12" t="str">
        <x:f>IF(OR(AH512="yes",AD512="debated",AC512="operational"),"yes","no")</x:f>
        <x:v>yes</x:v>
      </x:c>
      <x:c r="AJ512" s="12" t="str">
        <x:f>IF(OR(AH512="yes",AC512="operational",AD512="debated"),"high",IF(AND(AG512="yes",L512="P0"),"medium","low"))</x:f>
        <x:v>high</x:v>
      </x:c>
      <x:c r="AK512" s="12" t="str">
        <x:f>IF(ISNUMBER(SEARCH("healthy",AB512)),"yes","no")</x:f>
        <x:v>no</x:v>
      </x:c>
      <x:c r="AL512" s="12" t="str">
        <x:f>IF(AG512="yes","yes","candidate_only")</x:f>
        <x:v>candidate_only</x:v>
      </x:c>
      <x:c r="AM512" s="12" t="str">
        <x:f>IF(OR(AC512="canonical",AG512="yes"),"yes","recommended")</x:f>
        <x:v>recommended</x:v>
      </x:c>
      <x:c r="AN512" s="12" t="str">
        <x:f>IF(AC512="deprecated","exclude",IF(AND(AG512="yes",AJ512="high"),"import_but_human_review_required",IF(AG512="yes","import_as_active","import_as_backlog")))</x:f>
        <x:v>import_as_backlog</x:v>
      </x:c>
      <x:c r="AO512" s="12" t="str">
        <x:f>IF(AND(AG512="yes",OR(P512="",Q512="",R512="",S512="")),"missing_required_mvp_fields",IF(AND(AC512="canonical",Y512=""),"missing_source_ref","ok"))</x:f>
        <x:v>ok</x:v>
      </x:c>
      <x:c r="AP512" s="12" t="str">
        <x:f>IF(AO512="ok","ready_for_codex_import","needs_review")</x:f>
        <x:v>ready_for_codex_import</x:v>
      </x:c>
      <x:c r="AQ512" s="12"/>
      <x:c r="AR512" s="12" t="str">
        <x:v>Added v2 operational fields. Review before classification activation.</x:v>
      </x:c>
    </x:row>
    <x:row r="513">
      <x:c r="A513" s="13" t="str">
        <x:v>self_serving_bias_confidence_expression_variant</x:v>
      </x:c>
      <x:c r="B513" s="13" t="str">
        <x:v>self_serving_bias</x:v>
      </x:c>
      <x:c r="C513" s="13" t="str">
        <x:v>Self-serving bias</x:v>
      </x:c>
      <x:c r="D513" s="13" t="str">
        <x:v>سوگیری خودخدمتی</x:v>
      </x:c>
      <x:c r="E513" s="13" t="str">
        <x:v>Confidence-expression variant</x:v>
      </x:c>
      <x:c r="F513" s="13" t="str">
        <x:v>cognitive_biases_information_processing</x:v>
      </x:c>
      <x:c r="G513" s="13" t="str">
        <x:v>operational_variant</x:v>
      </x:c>
      <x:c r="H513" s="13" t="str">
        <x:v>contextual</x:v>
      </x:c>
      <x:c r="I513" s="13" t="str">
        <x:v>claim+context</x:v>
      </x:c>
      <x:c r="J513" s="13" t="str">
        <x:v>derived_operational_subtype</x:v>
      </x:c>
      <x:c r="K513" s="13" t="str">
        <x:v>derived_from_established_parent_review_required</x:v>
      </x:c>
      <x:c r="L513" s="13" t="str">
        <x:v>P3</x:v>
      </x:c>
      <x:c r="M513" s="13" t="str">
        <x:v>no</x:v>
      </x:c>
      <x:c r="N513" s="13" t="str">
        <x:v>Operational subtype under Self-serving bias: language expresses confidence beyond support. Parent definition: Attributing successes internally and failures externally.</x:v>
      </x:c>
      <x:c r="O513" s="13" t="str">
        <x:v>Look for: explicit claim-level evidence; parent-family cues for Self-serving bias; variant cue: language expresses confidence beyond support; avoid author-level inference.</x:v>
      </x:c>
      <x:c r="P513" s="13" t="str">
        <x:v>Exact evidence span in text plus claim-level reasoning link; for contextual/discourse entries, require surrounding context.</x:v>
      </x:c>
      <x:c r="Q513" s="13" t="str">
        <x:v>Do not label merely because topic is controversial, emotional, or wrong. Do not judge intent or personality. Require textual evidence and consider healthy-reasoning cues.</x:v>
      </x:c>
      <x:c r="R513" s="13" t="str">
        <x:v>Stub: A claim relies on language expresses confidence beyond support to support a conclusion without adequate qualification.</x:v>
      </x:c>
      <x:c r="S513" s="13" t="str">
        <x:v>Stub: A claim discusses self-serving bias with caveats, balanced evidence, or no argumentative use of the pattern.</x:v>
      </x:c>
      <x:c r="T513" s="13" t="str">
        <x:v>Mild or ambiguous cue; do not classify without clear evidence span.</x:v>
      </x:c>
      <x:c r="U513" s="13" t="str">
        <x:v>Clear claim-level pattern with some argumentative impact.</x:v>
      </x:c>
      <x:c r="V513" s="13" t="str">
        <x:v>Strong pattern central to the conclusion and likely to materially distort reasoning.</x:v>
      </x:c>
      <x:c r="W513" s="13" t="str"/>
      <x:c r="X513" s="13" t="str">
        <x:v>gilovich_heuristics_biases</x:v>
      </x:c>
      <x:c r="Y513" s="13" t="str">
        <x:v>https://www.cambridge.org/core/books/heuristics-and-biases/3C30D3B05D2F190C3B8BE5E2531EFD24</x:v>
      </x:c>
      <x:c r="Z513" s="13" t="str">
        <x:v>Review before enabling. This workbook is a living taxonomy scaffold, not a validated scientific benchmark.</x:v>
      </x:c>
      <x:c r="AA513" s="13" t="str">
        <x:v>0.1.0-draft</x:v>
      </x:c>
      <x:c r="AB513" s="12" t="str">
        <x:f>IF(ISNUMBER(SEARCH("healthy",F513)),"healthy_reasoning_patterns",IF(ISNUMBER(SEARCH("statistical",F513)),"statistical_reasoning",IF(ISNUMBER(SEARCH("causal",F513)),"causal_reasoning",IF(ISNUMBER(SEARCH("social",F513)),"social_influence",IF(ISNUMBER(SEARCH("rhetoric",F513)),"rhetoric_discourse",IF(ISNUMBER(SEARCH("behavior",F513)),"behavioural_economics",IF(ISNUMBER(SEARCH("cognitive",F513)),"cognitive_biases",IF(J513="protective_pattern","healthy_reasoning_patterns",IF(L513="P0","core_mvp","extended_fallacies")))))))))</x:f>
        <x:v>cognitive_biases</x:v>
      </x:c>
      <x:c r="AC513" s="12" t="str">
        <x:f>IF(ISNUMBER(SEARCH("operational",J513)),"operational",IF(ISNUMBER(SEARCH("deprecated",J513)),"deprecated",IF(L513="P0","canonical","recognized_subtype")))</x:f>
        <x:v>operational</x:v>
      </x:c>
      <x:c r="AD513" s="12" t="str">
        <x:f>IF(AC513="canonical","high",IF(AC513="recognized_subtype","medium",IF(AC513="operational","operational_only","debated")))</x:f>
        <x:v>operational_only</x:v>
      </x:c>
      <x:c r="AE513" s="12" t="str">
        <x:f>IF(AC513="deprecated","deprecated",IF(M513="yes","active",IF(M513="review","review_required","backlog")))</x:f>
        <x:v>backlog</x:v>
      </x:c>
      <x:c r="AF513" s="12" t="str">
        <x:f>IF(OR(AE513="active",AE513="review_required"),"yes","no")</x:f>
        <x:v>no</x:v>
      </x:c>
      <x:c r="AG513" s="12" t="str">
        <x:f>IF(AND(AE513="active",M513="yes",NOT(ISNUMBER(SEARCH("healthy",AB513)))),"yes","no")</x:f>
        <x:v>no</x:v>
      </x:c>
      <x:c r="AH513" s="12" t="str">
        <x:f>IF(OR(H513="contextual",H513="dialogue",H513="discourse",I513="claim+context",I513="discourse_segment"),"yes","no")</x:f>
        <x:v>yes</x:v>
      </x:c>
      <x:c r="AI513" s="12" t="str">
        <x:f>IF(OR(AH513="yes",AD513="debated",AC513="operational"),"yes","no")</x:f>
        <x:v>yes</x:v>
      </x:c>
      <x:c r="AJ513" s="12" t="str">
        <x:f>IF(OR(AH513="yes",AC513="operational",AD513="debated"),"high",IF(AND(AG513="yes",L513="P0"),"medium","low"))</x:f>
        <x:v>high</x:v>
      </x:c>
      <x:c r="AK513" s="12" t="str">
        <x:f>IF(ISNUMBER(SEARCH("healthy",AB513)),"yes","no")</x:f>
        <x:v>no</x:v>
      </x:c>
      <x:c r="AL513" s="12" t="str">
        <x:f>IF(AG513="yes","yes","candidate_only")</x:f>
        <x:v>candidate_only</x:v>
      </x:c>
      <x:c r="AM513" s="12" t="str">
        <x:f>IF(OR(AC513="canonical",AG513="yes"),"yes","recommended")</x:f>
        <x:v>recommended</x:v>
      </x:c>
      <x:c r="AN513" s="12" t="str">
        <x:f>IF(AC513="deprecated","exclude",IF(AND(AG513="yes",AJ513="high"),"import_but_human_review_required",IF(AG513="yes","import_as_active","import_as_backlog")))</x:f>
        <x:v>import_as_backlog</x:v>
      </x:c>
      <x:c r="AO513" s="12" t="str">
        <x:f>IF(AND(AG513="yes",OR(P513="",Q513="",R513="",S513="")),"missing_required_mvp_fields",IF(AND(AC513="canonical",Y513=""),"missing_source_ref","ok"))</x:f>
        <x:v>ok</x:v>
      </x:c>
      <x:c r="AP513" s="12" t="str">
        <x:f>IF(AO513="ok","ready_for_codex_import","needs_review")</x:f>
        <x:v>ready_for_codex_import</x:v>
      </x:c>
      <x:c r="AQ513" s="12"/>
      <x:c r="AR513" s="12" t="str">
        <x:v>Added v2 operational fields. Review before classification activation.</x:v>
      </x:c>
    </x:row>
    <x:row r="514">
      <x:c r="A514" s="13" t="str">
        <x:v>illusory_correlation_confidence_expression_variant</x:v>
      </x:c>
      <x:c r="B514" s="13" t="str">
        <x:v>illusory_correlation</x:v>
      </x:c>
      <x:c r="C514" s="13" t="str">
        <x:v>Illusory correlation</x:v>
      </x:c>
      <x:c r="D514" s="13" t="str">
        <x:v>همبستگی موهوم</x:v>
      </x:c>
      <x:c r="E514" s="13" t="str">
        <x:v>Confidence-expression variant</x:v>
      </x:c>
      <x:c r="F514" s="13" t="str">
        <x:v>cognitive_biases_information_processing</x:v>
      </x:c>
      <x:c r="G514" s="13" t="str">
        <x:v>operational_variant</x:v>
      </x:c>
      <x:c r="H514" s="13" t="str">
        <x:v>contextual</x:v>
      </x:c>
      <x:c r="I514" s="13" t="str">
        <x:v>claim+context</x:v>
      </x:c>
      <x:c r="J514" s="13" t="str">
        <x:v>derived_operational_subtype</x:v>
      </x:c>
      <x:c r="K514" s="13" t="str">
        <x:v>derived_from_established_parent_review_required</x:v>
      </x:c>
      <x:c r="L514" s="13" t="str">
        <x:v>P3</x:v>
      </x:c>
      <x:c r="M514" s="13" t="str">
        <x:v>no</x:v>
      </x:c>
      <x:c r="N514" s="13" t="str">
        <x:v>Operational subtype under Illusory correlation: language expresses confidence beyond support. Parent definition: Perceiving an association where evidence is weak or absent.</x:v>
      </x:c>
      <x:c r="O514" s="13" t="str">
        <x:v>Look for: explicit claim-level evidence; parent-family cues for Illusory correlation; variant cue: language expresses confidence beyond support; avoid author-level inference.</x:v>
      </x:c>
      <x:c r="P514" s="13" t="str">
        <x:v>Exact evidence span in text plus claim-level reasoning link; for contextual/discourse entries, require surrounding context.</x:v>
      </x:c>
      <x:c r="Q514" s="13" t="str">
        <x:v>Do not label merely because topic is controversial, emotional, or wrong. Do not judge intent or personality. Require textual evidence and consider healthy-reasoning cues.</x:v>
      </x:c>
      <x:c r="R514" s="13" t="str">
        <x:v>Stub: A claim relies on language expresses confidence beyond support to support a conclusion without adequate qualification.</x:v>
      </x:c>
      <x:c r="S514" s="13" t="str">
        <x:v>Stub: A claim discusses illusory correlation with caveats, balanced evidence, or no argumentative use of the pattern.</x:v>
      </x:c>
      <x:c r="T514" s="13" t="str">
        <x:v>Mild or ambiguous cue; do not classify without clear evidence span.</x:v>
      </x:c>
      <x:c r="U514" s="13" t="str">
        <x:v>Clear claim-level pattern with some argumentative impact.</x:v>
      </x:c>
      <x:c r="V514" s="13" t="str">
        <x:v>Strong pattern central to the conclusion and likely to materially distort reasoning.</x:v>
      </x:c>
      <x:c r="W514" s="13" t="str">
        <x:v>cherry_picking; missing_counterevidence; evidence_grading</x:v>
      </x:c>
      <x:c r="X514" s="13" t="str">
        <x:v>kahneman_tversky_heuristics_1974</x:v>
      </x:c>
      <x:c r="Y514" s="13" t="str">
        <x:v>https://doi.org/10.1126/science.185.4157.1124</x:v>
      </x:c>
      <x:c r="Z514" s="13" t="str">
        <x:v>Review before enabling. This workbook is a living taxonomy scaffold, not a validated scientific benchmark.</x:v>
      </x:c>
      <x:c r="AA514" s="13" t="str">
        <x:v>0.1.0-draft</x:v>
      </x:c>
      <x:c r="AB514" s="12" t="str">
        <x:f>IF(ISNUMBER(SEARCH("healthy",F514)),"healthy_reasoning_patterns",IF(ISNUMBER(SEARCH("statistical",F514)),"statistical_reasoning",IF(ISNUMBER(SEARCH("causal",F514)),"causal_reasoning",IF(ISNUMBER(SEARCH("social",F514)),"social_influence",IF(ISNUMBER(SEARCH("rhetoric",F514)),"rhetoric_discourse",IF(ISNUMBER(SEARCH("behavior",F514)),"behavioural_economics",IF(ISNUMBER(SEARCH("cognitive",F514)),"cognitive_biases",IF(J514="protective_pattern","healthy_reasoning_patterns",IF(L514="P0","core_mvp","extended_fallacies")))))))))</x:f>
        <x:v>cognitive_biases</x:v>
      </x:c>
      <x:c r="AC514" s="12" t="str">
        <x:f>IF(ISNUMBER(SEARCH("operational",J514)),"operational",IF(ISNUMBER(SEARCH("deprecated",J514)),"deprecated",IF(L514="P0","canonical","recognized_subtype")))</x:f>
        <x:v>operational</x:v>
      </x:c>
      <x:c r="AD514" s="12" t="str">
        <x:f>IF(AC514="canonical","high",IF(AC514="recognized_subtype","medium",IF(AC514="operational","operational_only","debated")))</x:f>
        <x:v>operational_only</x:v>
      </x:c>
      <x:c r="AE514" s="12" t="str">
        <x:f>IF(AC514="deprecated","deprecated",IF(M514="yes","active",IF(M514="review","review_required","backlog")))</x:f>
        <x:v>backlog</x:v>
      </x:c>
      <x:c r="AF514" s="12" t="str">
        <x:f>IF(OR(AE514="active",AE514="review_required"),"yes","no")</x:f>
        <x:v>no</x:v>
      </x:c>
      <x:c r="AG514" s="12" t="str">
        <x:f>IF(AND(AE514="active",M514="yes",NOT(ISNUMBER(SEARCH("healthy",AB514)))),"yes","no")</x:f>
        <x:v>no</x:v>
      </x:c>
      <x:c r="AH514" s="12" t="str">
        <x:f>IF(OR(H514="contextual",H514="dialogue",H514="discourse",I514="claim+context",I514="discourse_segment"),"yes","no")</x:f>
        <x:v>yes</x:v>
      </x:c>
      <x:c r="AI514" s="12" t="str">
        <x:f>IF(OR(AH514="yes",AD514="debated",AC514="operational"),"yes","no")</x:f>
        <x:v>yes</x:v>
      </x:c>
      <x:c r="AJ514" s="12" t="str">
        <x:f>IF(OR(AH514="yes",AC514="operational",AD514="debated"),"high",IF(AND(AG514="yes",L514="P0"),"medium","low"))</x:f>
        <x:v>high</x:v>
      </x:c>
      <x:c r="AK514" s="12" t="str">
        <x:f>IF(ISNUMBER(SEARCH("healthy",AB514)),"yes","no")</x:f>
        <x:v>no</x:v>
      </x:c>
      <x:c r="AL514" s="12" t="str">
        <x:f>IF(AG514="yes","yes","candidate_only")</x:f>
        <x:v>candidate_only</x:v>
      </x:c>
      <x:c r="AM514" s="12" t="str">
        <x:f>IF(OR(AC514="canonical",AG514="yes"),"yes","recommended")</x:f>
        <x:v>recommended</x:v>
      </x:c>
      <x:c r="AN514" s="12" t="str">
        <x:f>IF(AC514="deprecated","exclude",IF(AND(AG514="yes",AJ514="high"),"import_but_human_review_required",IF(AG514="yes","import_as_active","import_as_backlog")))</x:f>
        <x:v>import_as_backlog</x:v>
      </x:c>
      <x:c r="AO514" s="12" t="str">
        <x:f>IF(AND(AG514="yes",OR(P514="",Q514="",R514="",S514="")),"missing_required_mvp_fields",IF(AND(AC514="canonical",Y514=""),"missing_source_ref","ok"))</x:f>
        <x:v>ok</x:v>
      </x:c>
      <x:c r="AP514" s="12" t="str">
        <x:f>IF(AO514="ok","ready_for_codex_import","needs_review")</x:f>
        <x:v>ready_for_codex_import</x:v>
      </x:c>
      <x:c r="AQ514" s="12"/>
      <x:c r="AR514" s="12" t="str">
        <x:v>Added v2 operational fields. Review before classification activation.</x:v>
      </x:c>
    </x:row>
    <x:row r="515">
      <x:c r="A515" s="13" t="str">
        <x:v>clustering_illusion_confidence_expression_variant</x:v>
      </x:c>
      <x:c r="B515" s="13" t="str">
        <x:v>clustering_illusion</x:v>
      </x:c>
      <x:c r="C515" s="13" t="str">
        <x:v>Clustering illusion</x:v>
      </x:c>
      <x:c r="D515" s="13" t="str">
        <x:v>توهم خوشه‌بندی</x:v>
      </x:c>
      <x:c r="E515" s="13" t="str">
        <x:v>Confidence-expression variant</x:v>
      </x:c>
      <x:c r="F515" s="13" t="str">
        <x:v>cognitive_biases_information_processing</x:v>
      </x:c>
      <x:c r="G515" s="13" t="str">
        <x:v>operational_variant</x:v>
      </x:c>
      <x:c r="H515" s="13" t="str">
        <x:v>contextual</x:v>
      </x:c>
      <x:c r="I515" s="13" t="str">
        <x:v>claim+context</x:v>
      </x:c>
      <x:c r="J515" s="13" t="str">
        <x:v>derived_operational_subtype</x:v>
      </x:c>
      <x:c r="K515" s="13" t="str">
        <x:v>derived_from_established_parent_review_required</x:v>
      </x:c>
      <x:c r="L515" s="13" t="str">
        <x:v>P3</x:v>
      </x:c>
      <x:c r="M515" s="13" t="str">
        <x:v>no</x:v>
      </x:c>
      <x:c r="N515" s="13" t="str">
        <x:v>Operational subtype under Clustering illusion: language expresses confidence beyond support. Parent definition: Seeing meaningful clusters in random sequences.</x:v>
      </x:c>
      <x:c r="O515" s="13" t="str">
        <x:v>Look for: explicit claim-level evidence; parent-family cues for Clustering illusion; variant cue: language expresses confidence beyond support; avoid author-level inference.</x:v>
      </x:c>
      <x:c r="P515" s="13" t="str">
        <x:v>Exact evidence span in text plus claim-level reasoning link; for contextual/discourse entries, require surrounding context.</x:v>
      </x:c>
      <x:c r="Q515" s="13" t="str">
        <x:v>Do not label merely because topic is controversial, emotional, or wrong. Do not judge intent or personality. Require textual evidence and consider healthy-reasoning cues.</x:v>
      </x:c>
      <x:c r="R515" s="13" t="str">
        <x:v>Stub: A claim relies on language expresses confidence beyond support to support a conclusion without adequate qualification.</x:v>
      </x:c>
      <x:c r="S515" s="13" t="str">
        <x:v>Stub: A claim discusses clustering illusion with caveats, balanced evidence, or no argumentative use of the pattern.</x:v>
      </x:c>
      <x:c r="T515" s="13" t="str">
        <x:v>Mild or ambiguous cue; do not classify without clear evidence span.</x:v>
      </x:c>
      <x:c r="U515" s="13" t="str">
        <x:v>Clear claim-level pattern with some argumentative impact.</x:v>
      </x:c>
      <x:c r="V515" s="13" t="str">
        <x:v>Strong pattern central to the conclusion and likely to materially distort reasoning.</x:v>
      </x:c>
      <x:c r="W515" s="13" t="str"/>
      <x:c r="X515" s="13" t="str">
        <x:v>kahneman_tversky_heuristics_1974</x:v>
      </x:c>
      <x:c r="Y515" s="13" t="str">
        <x:v>https://doi.org/10.1126/science.185.4157.1124</x:v>
      </x:c>
      <x:c r="Z515" s="13" t="str">
        <x:v>Review before enabling. This workbook is a living taxonomy scaffold, not a validated scientific benchmark.</x:v>
      </x:c>
      <x:c r="AA515" s="13" t="str">
        <x:v>0.1.0-draft</x:v>
      </x:c>
      <x:c r="AB515" s="12" t="str">
        <x:f>IF(ISNUMBER(SEARCH("healthy",F515)),"healthy_reasoning_patterns",IF(ISNUMBER(SEARCH("statistical",F515)),"statistical_reasoning",IF(ISNUMBER(SEARCH("causal",F515)),"causal_reasoning",IF(ISNUMBER(SEARCH("social",F515)),"social_influence",IF(ISNUMBER(SEARCH("rhetoric",F515)),"rhetoric_discourse",IF(ISNUMBER(SEARCH("behavior",F515)),"behavioural_economics",IF(ISNUMBER(SEARCH("cognitive",F515)),"cognitive_biases",IF(J515="protective_pattern","healthy_reasoning_patterns",IF(L515="P0","core_mvp","extended_fallacies")))))))))</x:f>
        <x:v>cognitive_biases</x:v>
      </x:c>
      <x:c r="AC515" s="12" t="str">
        <x:f>IF(ISNUMBER(SEARCH("operational",J515)),"operational",IF(ISNUMBER(SEARCH("deprecated",J515)),"deprecated",IF(L515="P0","canonical","recognized_subtype")))</x:f>
        <x:v>operational</x:v>
      </x:c>
      <x:c r="AD515" s="12" t="str">
        <x:f>IF(AC515="canonical","high",IF(AC515="recognized_subtype","medium",IF(AC515="operational","operational_only","debated")))</x:f>
        <x:v>operational_only</x:v>
      </x:c>
      <x:c r="AE515" s="12" t="str">
        <x:f>IF(AC515="deprecated","deprecated",IF(M515="yes","active",IF(M515="review","review_required","backlog")))</x:f>
        <x:v>backlog</x:v>
      </x:c>
      <x:c r="AF515" s="12" t="str">
        <x:f>IF(OR(AE515="active",AE515="review_required"),"yes","no")</x:f>
        <x:v>no</x:v>
      </x:c>
      <x:c r="AG515" s="12" t="str">
        <x:f>IF(AND(AE515="active",M515="yes",NOT(ISNUMBER(SEARCH("healthy",AB515)))),"yes","no")</x:f>
        <x:v>no</x:v>
      </x:c>
      <x:c r="AH515" s="12" t="str">
        <x:f>IF(OR(H515="contextual",H515="dialogue",H515="discourse",I515="claim+context",I515="discourse_segment"),"yes","no")</x:f>
        <x:v>yes</x:v>
      </x:c>
      <x:c r="AI515" s="12" t="str">
        <x:f>IF(OR(AH515="yes",AD515="debated",AC515="operational"),"yes","no")</x:f>
        <x:v>yes</x:v>
      </x:c>
      <x:c r="AJ515" s="12" t="str">
        <x:f>IF(OR(AH515="yes",AC515="operational",AD515="debated"),"high",IF(AND(AG515="yes",L515="P0"),"medium","low"))</x:f>
        <x:v>high</x:v>
      </x:c>
      <x:c r="AK515" s="12" t="str">
        <x:f>IF(ISNUMBER(SEARCH("healthy",AB515)),"yes","no")</x:f>
        <x:v>no</x:v>
      </x:c>
      <x:c r="AL515" s="12" t="str">
        <x:f>IF(AG515="yes","yes","candidate_only")</x:f>
        <x:v>candidate_only</x:v>
      </x:c>
      <x:c r="AM515" s="12" t="str">
        <x:f>IF(OR(AC515="canonical",AG515="yes"),"yes","recommended")</x:f>
        <x:v>recommended</x:v>
      </x:c>
      <x:c r="AN515" s="12" t="str">
        <x:f>IF(AC515="deprecated","exclude",IF(AND(AG515="yes",AJ515="high"),"import_but_human_review_required",IF(AG515="yes","import_as_active","import_as_backlog")))</x:f>
        <x:v>import_as_backlog</x:v>
      </x:c>
      <x:c r="AO515" s="12" t="str">
        <x:f>IF(AND(AG515="yes",OR(P515="",Q515="",R515="",S515="")),"missing_required_mvp_fields",IF(AND(AC515="canonical",Y515=""),"missing_source_ref","ok"))</x:f>
        <x:v>ok</x:v>
      </x:c>
      <x:c r="AP515" s="12" t="str">
        <x:f>IF(AO515="ok","ready_for_codex_import","needs_review")</x:f>
        <x:v>ready_for_codex_import</x:v>
      </x:c>
      <x:c r="AQ515" s="12"/>
      <x:c r="AR515" s="12" t="str">
        <x:v>Added v2 operational fields. Review before classification activation.</x:v>
      </x:c>
    </x:row>
    <x:row r="516">
      <x:c r="A516" s="13" t="str">
        <x:v>recency_bias_confidence_expression_variant</x:v>
      </x:c>
      <x:c r="B516" s="13" t="str">
        <x:v>recency_bias</x:v>
      </x:c>
      <x:c r="C516" s="13" t="str">
        <x:v>Recency bias</x:v>
      </x:c>
      <x:c r="D516" s="13" t="str">
        <x:v>سوگیری تازگی</x:v>
      </x:c>
      <x:c r="E516" s="13" t="str">
        <x:v>Confidence-expression variant</x:v>
      </x:c>
      <x:c r="F516" s="13" t="str">
        <x:v>cognitive_biases_information_processing</x:v>
      </x:c>
      <x:c r="G516" s="13" t="str">
        <x:v>operational_variant</x:v>
      </x:c>
      <x:c r="H516" s="13" t="str">
        <x:v>contextual</x:v>
      </x:c>
      <x:c r="I516" s="13" t="str">
        <x:v>claim+context</x:v>
      </x:c>
      <x:c r="J516" s="13" t="str">
        <x:v>derived_operational_subtype</x:v>
      </x:c>
      <x:c r="K516" s="13" t="str">
        <x:v>derived_from_established_parent_review_required</x:v>
      </x:c>
      <x:c r="L516" s="13" t="str">
        <x:v>P3</x:v>
      </x:c>
      <x:c r="M516" s="13" t="str">
        <x:v>no</x:v>
      </x:c>
      <x:c r="N516" s="13" t="str">
        <x:v>Operational subtype under Recency bias: language expresses confidence beyond support. Parent definition: Overweighting the most recent information.</x:v>
      </x:c>
      <x:c r="O516" s="13" t="str">
        <x:v>Look for: explicit claim-level evidence; parent-family cues for Recency bias; variant cue: language expresses confidence beyond support; avoid author-level inference.</x:v>
      </x:c>
      <x:c r="P516" s="13" t="str">
        <x:v>Exact evidence span in text plus claim-level reasoning link; for contextual/discourse entries, require surrounding context.</x:v>
      </x:c>
      <x:c r="Q516" s="13" t="str">
        <x:v>Do not label merely because topic is controversial, emotional, or wrong. Do not judge intent or personality. Require textual evidence and consider healthy-reasoning cues.</x:v>
      </x:c>
      <x:c r="R516" s="13" t="str">
        <x:v>Stub: A claim relies on language expresses confidence beyond support to support a conclusion without adequate qualification.</x:v>
      </x:c>
      <x:c r="S516" s="13" t="str">
        <x:v>Stub: A claim discusses recency bias with caveats, balanced evidence, or no argumentative use of the pattern.</x:v>
      </x:c>
      <x:c r="T516" s="13" t="str">
        <x:v>Mild or ambiguous cue; do not classify without clear evidence span.</x:v>
      </x:c>
      <x:c r="U516" s="13" t="str">
        <x:v>Clear claim-level pattern with some argumentative impact.</x:v>
      </x:c>
      <x:c r="V516" s="13" t="str">
        <x:v>Strong pattern central to the conclusion and likely to materially distort reasoning.</x:v>
      </x:c>
      <x:c r="W516" s="13" t="str"/>
      <x:c r="X516" s="13" t="str">
        <x:v>gilovich_heuristics_biases</x:v>
      </x:c>
      <x:c r="Y516" s="13" t="str">
        <x:v>https://www.cambridge.org/core/books/heuristics-and-biases/3C30D3B05D2F190C3B8BE5E2531EFD24</x:v>
      </x:c>
      <x:c r="Z516" s="13" t="str">
        <x:v>Review before enabling. This workbook is a living taxonomy scaffold, not a validated scientific benchmark.</x:v>
      </x:c>
      <x:c r="AA516" s="13" t="str">
        <x:v>0.1.0-draft</x:v>
      </x:c>
      <x:c r="AB516" s="12" t="str">
        <x:f>IF(ISNUMBER(SEARCH("healthy",F516)),"healthy_reasoning_patterns",IF(ISNUMBER(SEARCH("statistical",F516)),"statistical_reasoning",IF(ISNUMBER(SEARCH("causal",F516)),"causal_reasoning",IF(ISNUMBER(SEARCH("social",F516)),"social_influence",IF(ISNUMBER(SEARCH("rhetoric",F516)),"rhetoric_discourse",IF(ISNUMBER(SEARCH("behavior",F516)),"behavioural_economics",IF(ISNUMBER(SEARCH("cognitive",F516)),"cognitive_biases",IF(J516="protective_pattern","healthy_reasoning_patterns",IF(L516="P0","core_mvp","extended_fallacies")))))))))</x:f>
        <x:v>cognitive_biases</x:v>
      </x:c>
      <x:c r="AC516" s="12" t="str">
        <x:f>IF(ISNUMBER(SEARCH("operational",J516)),"operational",IF(ISNUMBER(SEARCH("deprecated",J516)),"deprecated",IF(L516="P0","canonical","recognized_subtype")))</x:f>
        <x:v>operational</x:v>
      </x:c>
      <x:c r="AD516" s="12" t="str">
        <x:f>IF(AC516="canonical","high",IF(AC516="recognized_subtype","medium",IF(AC516="operational","operational_only","debated")))</x:f>
        <x:v>operational_only</x:v>
      </x:c>
      <x:c r="AE516" s="12" t="str">
        <x:f>IF(AC516="deprecated","deprecated",IF(M516="yes","active",IF(M516="review","review_required","backlog")))</x:f>
        <x:v>backlog</x:v>
      </x:c>
      <x:c r="AF516" s="12" t="str">
        <x:f>IF(OR(AE516="active",AE516="review_required"),"yes","no")</x:f>
        <x:v>no</x:v>
      </x:c>
      <x:c r="AG516" s="12" t="str">
        <x:f>IF(AND(AE516="active",M516="yes",NOT(ISNUMBER(SEARCH("healthy",AB516)))),"yes","no")</x:f>
        <x:v>no</x:v>
      </x:c>
      <x:c r="AH516" s="12" t="str">
        <x:f>IF(OR(H516="contextual",H516="dialogue",H516="discourse",I516="claim+context",I516="discourse_segment"),"yes","no")</x:f>
        <x:v>yes</x:v>
      </x:c>
      <x:c r="AI516" s="12" t="str">
        <x:f>IF(OR(AH516="yes",AD516="debated",AC516="operational"),"yes","no")</x:f>
        <x:v>yes</x:v>
      </x:c>
      <x:c r="AJ516" s="12" t="str">
        <x:f>IF(OR(AH516="yes",AC516="operational",AD516="debated"),"high",IF(AND(AG516="yes",L516="P0"),"medium","low"))</x:f>
        <x:v>high</x:v>
      </x:c>
      <x:c r="AK516" s="12" t="str">
        <x:f>IF(ISNUMBER(SEARCH("healthy",AB516)),"yes","no")</x:f>
        <x:v>no</x:v>
      </x:c>
      <x:c r="AL516" s="12" t="str">
        <x:f>IF(AG516="yes","yes","candidate_only")</x:f>
        <x:v>candidate_only</x:v>
      </x:c>
      <x:c r="AM516" s="12" t="str">
        <x:f>IF(OR(AC516="canonical",AG516="yes"),"yes","recommended")</x:f>
        <x:v>recommended</x:v>
      </x:c>
      <x:c r="AN516" s="12" t="str">
        <x:f>IF(AC516="deprecated","exclude",IF(AND(AG516="yes",AJ516="high"),"import_but_human_review_required",IF(AG516="yes","import_as_active","import_as_backlog")))</x:f>
        <x:v>import_as_backlog</x:v>
      </x:c>
      <x:c r="AO516" s="12" t="str">
        <x:f>IF(AND(AG516="yes",OR(P516="",Q516="",R516="",S516="")),"missing_required_mvp_fields",IF(AND(AC516="canonical",Y516=""),"missing_source_ref","ok"))</x:f>
        <x:v>ok</x:v>
      </x:c>
      <x:c r="AP516" s="12" t="str">
        <x:f>IF(AO516="ok","ready_for_codex_import","needs_review")</x:f>
        <x:v>ready_for_codex_import</x:v>
      </x:c>
      <x:c r="AQ516" s="12"/>
      <x:c r="AR516" s="12" t="str">
        <x:v>Added v2 operational fields. Review before classification activation.</x:v>
      </x:c>
    </x:row>
    <x:row r="517">
      <x:c r="A517" s="13" t="str">
        <x:v>primacy_effect_confidence_expression_variant</x:v>
      </x:c>
      <x:c r="B517" s="13" t="str">
        <x:v>primacy_effect</x:v>
      </x:c>
      <x:c r="C517" s="13" t="str">
        <x:v>Primacy effect</x:v>
      </x:c>
      <x:c r="D517" s="13" t="str">
        <x:v>اثر تقدم</x:v>
      </x:c>
      <x:c r="E517" s="13" t="str">
        <x:v>Confidence-expression variant</x:v>
      </x:c>
      <x:c r="F517" s="13" t="str">
        <x:v>cognitive_biases_information_processing</x:v>
      </x:c>
      <x:c r="G517" s="13" t="str">
        <x:v>operational_variant</x:v>
      </x:c>
      <x:c r="H517" s="13" t="str">
        <x:v>contextual</x:v>
      </x:c>
      <x:c r="I517" s="13" t="str">
        <x:v>claim+context</x:v>
      </x:c>
      <x:c r="J517" s="13" t="str">
        <x:v>derived_operational_subtype</x:v>
      </x:c>
      <x:c r="K517" s="13" t="str">
        <x:v>derived_from_established_parent_review_required</x:v>
      </x:c>
      <x:c r="L517" s="13" t="str">
        <x:v>P3</x:v>
      </x:c>
      <x:c r="M517" s="13" t="str">
        <x:v>no</x:v>
      </x:c>
      <x:c r="N517" s="13" t="str">
        <x:v>Operational subtype under Primacy effect: language expresses confidence beyond support. Parent definition: Overweighting information encountered first.</x:v>
      </x:c>
      <x:c r="O517" s="13" t="str">
        <x:v>Look for: explicit claim-level evidence; parent-family cues for Primacy effect; variant cue: language expresses confidence beyond support; avoid author-level inference.</x:v>
      </x:c>
      <x:c r="P517" s="13" t="str">
        <x:v>Exact evidence span in text plus claim-level reasoning link; for contextual/discourse entries, require surrounding context.</x:v>
      </x:c>
      <x:c r="Q517" s="13" t="str">
        <x:v>Do not label merely because topic is controversial, emotional, or wrong. Do not judge intent or personality. Require textual evidence and consider healthy-reasoning cues.</x:v>
      </x:c>
      <x:c r="R517" s="13" t="str">
        <x:v>Stub: A claim relies on language expresses confidence beyond support to support a conclusion without adequate qualification.</x:v>
      </x:c>
      <x:c r="S517" s="13" t="str">
        <x:v>Stub: A claim discusses primacy effect with caveats, balanced evidence, or no argumentative use of the pattern.</x:v>
      </x:c>
      <x:c r="T517" s="13" t="str">
        <x:v>Mild or ambiguous cue; do not classify without clear evidence span.</x:v>
      </x:c>
      <x:c r="U517" s="13" t="str">
        <x:v>Clear claim-level pattern with some argumentative impact.</x:v>
      </x:c>
      <x:c r="V517" s="13" t="str">
        <x:v>Strong pattern central to the conclusion and likely to materially distort reasoning.</x:v>
      </x:c>
      <x:c r="W517" s="13" t="str"/>
      <x:c r="X517" s="13" t="str">
        <x:v>gilovich_heuristics_biases</x:v>
      </x:c>
      <x:c r="Y517" s="13" t="str">
        <x:v>https://www.cambridge.org/core/books/heuristics-and-biases/3C30D3B05D2F190C3B8BE5E2531EFD24</x:v>
      </x:c>
      <x:c r="Z517" s="13" t="str">
        <x:v>Review before enabling. This workbook is a living taxonomy scaffold, not a validated scientific benchmark.</x:v>
      </x:c>
      <x:c r="AA517" s="13" t="str">
        <x:v>0.1.0-draft</x:v>
      </x:c>
      <x:c r="AB517" s="12" t="str">
        <x:f>IF(ISNUMBER(SEARCH("healthy",F517)),"healthy_reasoning_patterns",IF(ISNUMBER(SEARCH("statistical",F517)),"statistical_reasoning",IF(ISNUMBER(SEARCH("causal",F517)),"causal_reasoning",IF(ISNUMBER(SEARCH("social",F517)),"social_influence",IF(ISNUMBER(SEARCH("rhetoric",F517)),"rhetoric_discourse",IF(ISNUMBER(SEARCH("behavior",F517)),"behavioural_economics",IF(ISNUMBER(SEARCH("cognitive",F517)),"cognitive_biases",IF(J517="protective_pattern","healthy_reasoning_patterns",IF(L517="P0","core_mvp","extended_fallacies")))))))))</x:f>
        <x:v>cognitive_biases</x:v>
      </x:c>
      <x:c r="AC517" s="12" t="str">
        <x:f>IF(ISNUMBER(SEARCH("operational",J517)),"operational",IF(ISNUMBER(SEARCH("deprecated",J517)),"deprecated",IF(L517="P0","canonical","recognized_subtype")))</x:f>
        <x:v>operational</x:v>
      </x:c>
      <x:c r="AD517" s="12" t="str">
        <x:f>IF(AC517="canonical","high",IF(AC517="recognized_subtype","medium",IF(AC517="operational","operational_only","debated")))</x:f>
        <x:v>operational_only</x:v>
      </x:c>
      <x:c r="AE517" s="12" t="str">
        <x:f>IF(AC517="deprecated","deprecated",IF(M517="yes","active",IF(M517="review","review_required","backlog")))</x:f>
        <x:v>backlog</x:v>
      </x:c>
      <x:c r="AF517" s="12" t="str">
        <x:f>IF(OR(AE517="active",AE517="review_required"),"yes","no")</x:f>
        <x:v>no</x:v>
      </x:c>
      <x:c r="AG517" s="12" t="str">
        <x:f>IF(AND(AE517="active",M517="yes",NOT(ISNUMBER(SEARCH("healthy",AB517)))),"yes","no")</x:f>
        <x:v>no</x:v>
      </x:c>
      <x:c r="AH517" s="12" t="str">
        <x:f>IF(OR(H517="contextual",H517="dialogue",H517="discourse",I517="claim+context",I517="discourse_segment"),"yes","no")</x:f>
        <x:v>yes</x:v>
      </x:c>
      <x:c r="AI517" s="12" t="str">
        <x:f>IF(OR(AH517="yes",AD517="debated",AC517="operational"),"yes","no")</x:f>
        <x:v>yes</x:v>
      </x:c>
      <x:c r="AJ517" s="12" t="str">
        <x:f>IF(OR(AH517="yes",AC517="operational",AD517="debated"),"high",IF(AND(AG517="yes",L517="P0"),"medium","low"))</x:f>
        <x:v>high</x:v>
      </x:c>
      <x:c r="AK517" s="12" t="str">
        <x:f>IF(ISNUMBER(SEARCH("healthy",AB517)),"yes","no")</x:f>
        <x:v>no</x:v>
      </x:c>
      <x:c r="AL517" s="12" t="str">
        <x:f>IF(AG517="yes","yes","candidate_only")</x:f>
        <x:v>candidate_only</x:v>
      </x:c>
      <x:c r="AM517" s="12" t="str">
        <x:f>IF(OR(AC517="canonical",AG517="yes"),"yes","recommended")</x:f>
        <x:v>recommended</x:v>
      </x:c>
      <x:c r="AN517" s="12" t="str">
        <x:f>IF(AC517="deprecated","exclude",IF(AND(AG517="yes",AJ517="high"),"import_but_human_review_required",IF(AG517="yes","import_as_active","import_as_backlog")))</x:f>
        <x:v>import_as_backlog</x:v>
      </x:c>
      <x:c r="AO517" s="12" t="str">
        <x:f>IF(AND(AG517="yes",OR(P517="",Q517="",R517="",S517="")),"missing_required_mvp_fields",IF(AND(AC517="canonical",Y517=""),"missing_source_ref","ok"))</x:f>
        <x:v>ok</x:v>
      </x:c>
      <x:c r="AP517" s="12" t="str">
        <x:f>IF(AO517="ok","ready_for_codex_import","needs_review")</x:f>
        <x:v>ready_for_codex_import</x:v>
      </x:c>
      <x:c r="AQ517" s="12"/>
      <x:c r="AR517" s="12" t="str">
        <x:v>Added v2 operational fields. Review before classification activation.</x:v>
      </x:c>
    </x:row>
    <x:row r="518">
      <x:c r="A518" s="13" t="str">
        <x:v>memory_consistency_bias_confidence_expression_variant</x:v>
      </x:c>
      <x:c r="B518" s="13" t="str">
        <x:v>memory_consistency_bias</x:v>
      </x:c>
      <x:c r="C518" s="13" t="str">
        <x:v>Consistency bias</x:v>
      </x:c>
      <x:c r="D518" s="13" t="str">
        <x:v>سوگیری سازگاری حافظه</x:v>
      </x:c>
      <x:c r="E518" s="13" t="str">
        <x:v>Confidence-expression variant</x:v>
      </x:c>
      <x:c r="F518" s="13" t="str">
        <x:v>cognitive_biases_information_processing</x:v>
      </x:c>
      <x:c r="G518" s="13" t="str">
        <x:v>operational_variant</x:v>
      </x:c>
      <x:c r="H518" s="13" t="str">
        <x:v>contextual</x:v>
      </x:c>
      <x:c r="I518" s="13" t="str">
        <x:v>claim+context</x:v>
      </x:c>
      <x:c r="J518" s="13" t="str">
        <x:v>derived_operational_subtype</x:v>
      </x:c>
      <x:c r="K518" s="13" t="str">
        <x:v>derived_from_established_parent_review_required</x:v>
      </x:c>
      <x:c r="L518" s="13" t="str">
        <x:v>P3</x:v>
      </x:c>
      <x:c r="M518" s="13" t="str">
        <x:v>no</x:v>
      </x:c>
      <x:c r="N518" s="13" t="str">
        <x:v>Operational subtype under Consistency bias: language expresses confidence beyond support. Parent definition: Remembering past beliefs as more consistent with present beliefs.</x:v>
      </x:c>
      <x:c r="O518" s="13" t="str">
        <x:v>Look for: explicit claim-level evidence; parent-family cues for Consistency bias; variant cue: language expresses confidence beyond support; avoid author-level inference.</x:v>
      </x:c>
      <x:c r="P518" s="13" t="str">
        <x:v>Exact evidence span in text plus claim-level reasoning link; for contextual/discourse entries, require surrounding context.</x:v>
      </x:c>
      <x:c r="Q518" s="13" t="str">
        <x:v>Do not label merely because topic is controversial, emotional, or wrong. Do not judge intent or personality. Require textual evidence and consider healthy-reasoning cues.</x:v>
      </x:c>
      <x:c r="R518" s="13" t="str">
        <x:v>Stub: A claim relies on language expresses confidence beyond support to support a conclusion without adequate qualification.</x:v>
      </x:c>
      <x:c r="S518" s="13" t="str">
        <x:v>Stub: A claim discusses consistency bias with caveats, balanced evidence, or no argumentative use of the pattern.</x:v>
      </x:c>
      <x:c r="T518" s="13" t="str">
        <x:v>Mild or ambiguous cue; do not classify without clear evidence span.</x:v>
      </x:c>
      <x:c r="U518" s="13" t="str">
        <x:v>Clear claim-level pattern with some argumentative impact.</x:v>
      </x:c>
      <x:c r="V518" s="13" t="str">
        <x:v>Strong pattern central to the conclusion and likely to materially distort reasoning.</x:v>
      </x:c>
      <x:c r="W518" s="13" t="str"/>
      <x:c r="X518" s="13" t="str">
        <x:v>gilovich_heuristics_biases</x:v>
      </x:c>
      <x:c r="Y518" s="13" t="str">
        <x:v>https://www.cambridge.org/core/books/heuristics-and-biases/3C30D3B05D2F190C3B8BE5E2531EFD24</x:v>
      </x:c>
      <x:c r="Z518" s="13" t="str">
        <x:v>Review before enabling. This workbook is a living taxonomy scaffold, not a validated scientific benchmark.</x:v>
      </x:c>
      <x:c r="AA518" s="13" t="str">
        <x:v>0.1.0-draft</x:v>
      </x:c>
      <x:c r="AB518" s="12" t="str">
        <x:f>IF(ISNUMBER(SEARCH("healthy",F518)),"healthy_reasoning_patterns",IF(ISNUMBER(SEARCH("statistical",F518)),"statistical_reasoning",IF(ISNUMBER(SEARCH("causal",F518)),"causal_reasoning",IF(ISNUMBER(SEARCH("social",F518)),"social_influence",IF(ISNUMBER(SEARCH("rhetoric",F518)),"rhetoric_discourse",IF(ISNUMBER(SEARCH("behavior",F518)),"behavioural_economics",IF(ISNUMBER(SEARCH("cognitive",F518)),"cognitive_biases",IF(J518="protective_pattern","healthy_reasoning_patterns",IF(L518="P0","core_mvp","extended_fallacies")))))))))</x:f>
        <x:v>cognitive_biases</x:v>
      </x:c>
      <x:c r="AC518" s="12" t="str">
        <x:f>IF(ISNUMBER(SEARCH("operational",J518)),"operational",IF(ISNUMBER(SEARCH("deprecated",J518)),"deprecated",IF(L518="P0","canonical","recognized_subtype")))</x:f>
        <x:v>operational</x:v>
      </x:c>
      <x:c r="AD518" s="12" t="str">
        <x:f>IF(AC518="canonical","high",IF(AC518="recognized_subtype","medium",IF(AC518="operational","operational_only","debated")))</x:f>
        <x:v>operational_only</x:v>
      </x:c>
      <x:c r="AE518" s="12" t="str">
        <x:f>IF(AC518="deprecated","deprecated",IF(M518="yes","active",IF(M518="review","review_required","backlog")))</x:f>
        <x:v>backlog</x:v>
      </x:c>
      <x:c r="AF518" s="12" t="str">
        <x:f>IF(OR(AE518="active",AE518="review_required"),"yes","no")</x:f>
        <x:v>no</x:v>
      </x:c>
      <x:c r="AG518" s="12" t="str">
        <x:f>IF(AND(AE518="active",M518="yes",NOT(ISNUMBER(SEARCH("healthy",AB518)))),"yes","no")</x:f>
        <x:v>no</x:v>
      </x:c>
      <x:c r="AH518" s="12" t="str">
        <x:f>IF(OR(H518="contextual",H518="dialogue",H518="discourse",I518="claim+context",I518="discourse_segment"),"yes","no")</x:f>
        <x:v>yes</x:v>
      </x:c>
      <x:c r="AI518" s="12" t="str">
        <x:f>IF(OR(AH518="yes",AD518="debated",AC518="operational"),"yes","no")</x:f>
        <x:v>yes</x:v>
      </x:c>
      <x:c r="AJ518" s="12" t="str">
        <x:f>IF(OR(AH518="yes",AC518="operational",AD518="debated"),"high",IF(AND(AG518="yes",L518="P0"),"medium","low"))</x:f>
        <x:v>high</x:v>
      </x:c>
      <x:c r="AK518" s="12" t="str">
        <x:f>IF(ISNUMBER(SEARCH("healthy",AB518)),"yes","no")</x:f>
        <x:v>no</x:v>
      </x:c>
      <x:c r="AL518" s="12" t="str">
        <x:f>IF(AG518="yes","yes","candidate_only")</x:f>
        <x:v>candidate_only</x:v>
      </x:c>
      <x:c r="AM518" s="12" t="str">
        <x:f>IF(OR(AC518="canonical",AG518="yes"),"yes","recommended")</x:f>
        <x:v>recommended</x:v>
      </x:c>
      <x:c r="AN518" s="12" t="str">
        <x:f>IF(AC518="deprecated","exclude",IF(AND(AG518="yes",AJ518="high"),"import_but_human_review_required",IF(AG518="yes","import_as_active","import_as_backlog")))</x:f>
        <x:v>import_as_backlog</x:v>
      </x:c>
      <x:c r="AO518" s="12" t="str">
        <x:f>IF(AND(AG518="yes",OR(P518="",Q518="",R518="",S518="")),"missing_required_mvp_fields",IF(AND(AC518="canonical",Y518=""),"missing_source_ref","ok"))</x:f>
        <x:v>ok</x:v>
      </x:c>
      <x:c r="AP518" s="12" t="str">
        <x:f>IF(AO518="ok","ready_for_codex_import","needs_review")</x:f>
        <x:v>ready_for_codex_import</x:v>
      </x:c>
      <x:c r="AQ518" s="12"/>
      <x:c r="AR518" s="12" t="str">
        <x:v>Added v2 operational fields. Review before classification activation.</x:v>
      </x:c>
    </x:row>
    <x:row r="519">
      <x:c r="A519" s="13" t="str">
        <x:v>projection_bias_confidence_expression_variant</x:v>
      </x:c>
      <x:c r="B519" s="13" t="str">
        <x:v>projection_bias</x:v>
      </x:c>
      <x:c r="C519" s="13" t="str">
        <x:v>Projection bias</x:v>
      </x:c>
      <x:c r="D519" s="13" t="str">
        <x:v>سوگیری فرافکنی</x:v>
      </x:c>
      <x:c r="E519" s="13" t="str">
        <x:v>Confidence-expression variant</x:v>
      </x:c>
      <x:c r="F519" s="13" t="str">
        <x:v>cognitive_biases_information_processing</x:v>
      </x:c>
      <x:c r="G519" s="13" t="str">
        <x:v>operational_variant</x:v>
      </x:c>
      <x:c r="H519" s="13" t="str">
        <x:v>contextual</x:v>
      </x:c>
      <x:c r="I519" s="13" t="str">
        <x:v>claim+context</x:v>
      </x:c>
      <x:c r="J519" s="13" t="str">
        <x:v>derived_operational_subtype</x:v>
      </x:c>
      <x:c r="K519" s="13" t="str">
        <x:v>derived_from_established_parent_review_required</x:v>
      </x:c>
      <x:c r="L519" s="13" t="str">
        <x:v>P3</x:v>
      </x:c>
      <x:c r="M519" s="13" t="str">
        <x:v>no</x:v>
      </x:c>
      <x:c r="N519" s="13" t="str">
        <x:v>Operational subtype under Projection bias: language expresses confidence beyond support. Parent definition: Assuming future or others' preferences resemble current preferences.</x:v>
      </x:c>
      <x:c r="O519" s="13" t="str">
        <x:v>Look for: explicit claim-level evidence; parent-family cues for Projection bias; variant cue: language expresses confidence beyond support; avoid author-level inference.</x:v>
      </x:c>
      <x:c r="P519" s="13" t="str">
        <x:v>Exact evidence span in text plus claim-level reasoning link; for contextual/discourse entries, require surrounding context.</x:v>
      </x:c>
      <x:c r="Q519" s="13" t="str">
        <x:v>Do not label merely because topic is controversial, emotional, or wrong. Do not judge intent or personality. Require textual evidence and consider healthy-reasoning cues.</x:v>
      </x:c>
      <x:c r="R519" s="13" t="str">
        <x:v>Stub: A claim relies on language expresses confidence beyond support to support a conclusion without adequate qualification.</x:v>
      </x:c>
      <x:c r="S519" s="13" t="str">
        <x:v>Stub: A claim discusses projection bias with caveats, balanced evidence, or no argumentative use of the pattern.</x:v>
      </x:c>
      <x:c r="T519" s="13" t="str">
        <x:v>Mild or ambiguous cue; do not classify without clear evidence span.</x:v>
      </x:c>
      <x:c r="U519" s="13" t="str">
        <x:v>Clear claim-level pattern with some argumentative impact.</x:v>
      </x:c>
      <x:c r="V519" s="13" t="str">
        <x:v>Strong pattern central to the conclusion and likely to materially distort reasoning.</x:v>
      </x:c>
      <x:c r="W519" s="13" t="str"/>
      <x:c r="X519" s="13" t="str">
        <x:v>gilovich_heuristics_biases</x:v>
      </x:c>
      <x:c r="Y519" s="13" t="str">
        <x:v>https://www.cambridge.org/core/books/heuristics-and-biases/3C30D3B05D2F190C3B8BE5E2531EFD24</x:v>
      </x:c>
      <x:c r="Z519" s="13" t="str">
        <x:v>Review before enabling. This workbook is a living taxonomy scaffold, not a validated scientific benchmark.</x:v>
      </x:c>
      <x:c r="AA519" s="13" t="str">
        <x:v>0.1.0-draft</x:v>
      </x:c>
      <x:c r="AB519" s="12" t="str">
        <x:f>IF(ISNUMBER(SEARCH("healthy",F519)),"healthy_reasoning_patterns",IF(ISNUMBER(SEARCH("statistical",F519)),"statistical_reasoning",IF(ISNUMBER(SEARCH("causal",F519)),"causal_reasoning",IF(ISNUMBER(SEARCH("social",F519)),"social_influence",IF(ISNUMBER(SEARCH("rhetoric",F519)),"rhetoric_discourse",IF(ISNUMBER(SEARCH("behavior",F519)),"behavioural_economics",IF(ISNUMBER(SEARCH("cognitive",F519)),"cognitive_biases",IF(J519="protective_pattern","healthy_reasoning_patterns",IF(L519="P0","core_mvp","extended_fallacies")))))))))</x:f>
        <x:v>cognitive_biases</x:v>
      </x:c>
      <x:c r="AC519" s="12" t="str">
        <x:f>IF(ISNUMBER(SEARCH("operational",J519)),"operational",IF(ISNUMBER(SEARCH("deprecated",J519)),"deprecated",IF(L519="P0","canonical","recognized_subtype")))</x:f>
        <x:v>operational</x:v>
      </x:c>
      <x:c r="AD519" s="12" t="str">
        <x:f>IF(AC519="canonical","high",IF(AC519="recognized_subtype","medium",IF(AC519="operational","operational_only","debated")))</x:f>
        <x:v>operational_only</x:v>
      </x:c>
      <x:c r="AE519" s="12" t="str">
        <x:f>IF(AC519="deprecated","deprecated",IF(M519="yes","active",IF(M519="review","review_required","backlog")))</x:f>
        <x:v>backlog</x:v>
      </x:c>
      <x:c r="AF519" s="12" t="str">
        <x:f>IF(OR(AE519="active",AE519="review_required"),"yes","no")</x:f>
        <x:v>no</x:v>
      </x:c>
      <x:c r="AG519" s="12" t="str">
        <x:f>IF(AND(AE519="active",M519="yes",NOT(ISNUMBER(SEARCH("healthy",AB519)))),"yes","no")</x:f>
        <x:v>no</x:v>
      </x:c>
      <x:c r="AH519" s="12" t="str">
        <x:f>IF(OR(H519="contextual",H519="dialogue",H519="discourse",I519="claim+context",I519="discourse_segment"),"yes","no")</x:f>
        <x:v>yes</x:v>
      </x:c>
      <x:c r="AI519" s="12" t="str">
        <x:f>IF(OR(AH519="yes",AD519="debated",AC519="operational"),"yes","no")</x:f>
        <x:v>yes</x:v>
      </x:c>
      <x:c r="AJ519" s="12" t="str">
        <x:f>IF(OR(AH519="yes",AC519="operational",AD519="debated"),"high",IF(AND(AG519="yes",L519="P0"),"medium","low"))</x:f>
        <x:v>high</x:v>
      </x:c>
      <x:c r="AK519" s="12" t="str">
        <x:f>IF(ISNUMBER(SEARCH("healthy",AB519)),"yes","no")</x:f>
        <x:v>no</x:v>
      </x:c>
      <x:c r="AL519" s="12" t="str">
        <x:f>IF(AG519="yes","yes","candidate_only")</x:f>
        <x:v>candidate_only</x:v>
      </x:c>
      <x:c r="AM519" s="12" t="str">
        <x:f>IF(OR(AC519="canonical",AG519="yes"),"yes","recommended")</x:f>
        <x:v>recommended</x:v>
      </x:c>
      <x:c r="AN519" s="12" t="str">
        <x:f>IF(AC519="deprecated","exclude",IF(AND(AG519="yes",AJ519="high"),"import_but_human_review_required",IF(AG519="yes","import_as_active","import_as_backlog")))</x:f>
        <x:v>import_as_backlog</x:v>
      </x:c>
      <x:c r="AO519" s="12" t="str">
        <x:f>IF(AND(AG519="yes",OR(P519="",Q519="",R519="",S519="")),"missing_required_mvp_fields",IF(AND(AC519="canonical",Y519=""),"missing_source_ref","ok"))</x:f>
        <x:v>ok</x:v>
      </x:c>
      <x:c r="AP519" s="12" t="str">
        <x:f>IF(AO519="ok","ready_for_codex_import","needs_review")</x:f>
        <x:v>ready_for_codex_import</x:v>
      </x:c>
      <x:c r="AQ519" s="12"/>
      <x:c r="AR519" s="12" t="str">
        <x:v>Added v2 operational fields. Review before classification activation.</x:v>
      </x:c>
    </x:row>
    <x:row r="520">
      <x:c r="A520" s="13" t="str">
        <x:v>curse_of_knowledge_confidence_expression_variant</x:v>
      </x:c>
      <x:c r="B520" s="13" t="str">
        <x:v>curse_of_knowledge</x:v>
      </x:c>
      <x:c r="C520" s="13" t="str">
        <x:v>Curse of knowledge</x:v>
      </x:c>
      <x:c r="D520" s="13" t="str">
        <x:v>نفرین دانستن</x:v>
      </x:c>
      <x:c r="E520" s="13" t="str">
        <x:v>Confidence-expression variant</x:v>
      </x:c>
      <x:c r="F520" s="13" t="str">
        <x:v>cognitive_biases_information_processing</x:v>
      </x:c>
      <x:c r="G520" s="13" t="str">
        <x:v>operational_variant</x:v>
      </x:c>
      <x:c r="H520" s="13" t="str">
        <x:v>contextual</x:v>
      </x:c>
      <x:c r="I520" s="13" t="str">
        <x:v>claim+context</x:v>
      </x:c>
      <x:c r="J520" s="13" t="str">
        <x:v>derived_operational_subtype</x:v>
      </x:c>
      <x:c r="K520" s="13" t="str">
        <x:v>derived_from_established_parent_review_required</x:v>
      </x:c>
      <x:c r="L520" s="13" t="str">
        <x:v>P3</x:v>
      </x:c>
      <x:c r="M520" s="13" t="str">
        <x:v>no</x:v>
      </x:c>
      <x:c r="N520" s="13" t="str">
        <x:v>Operational subtype under Curse of knowledge: language expresses confidence beyond support. Parent definition: Failing to account for what others do not know.</x:v>
      </x:c>
      <x:c r="O520" s="13" t="str">
        <x:v>Look for: explicit claim-level evidence; parent-family cues for Curse of knowledge; variant cue: language expresses confidence beyond support; avoid author-level inference.</x:v>
      </x:c>
      <x:c r="P520" s="13" t="str">
        <x:v>Exact evidence span in text plus claim-level reasoning link; for contextual/discourse entries, require surrounding context.</x:v>
      </x:c>
      <x:c r="Q520" s="13" t="str">
        <x:v>Do not label merely because topic is controversial, emotional, or wrong. Do not judge intent or personality. Require textual evidence and consider healthy-reasoning cues.</x:v>
      </x:c>
      <x:c r="R520" s="13" t="str">
        <x:v>Stub: A claim relies on language expresses confidence beyond support to support a conclusion without adequate qualification.</x:v>
      </x:c>
      <x:c r="S520" s="13" t="str">
        <x:v>Stub: A claim discusses curse of knowledge with caveats, balanced evidence, or no argumentative use of the pattern.</x:v>
      </x:c>
      <x:c r="T520" s="13" t="str">
        <x:v>Mild or ambiguous cue; do not classify without clear evidence span.</x:v>
      </x:c>
      <x:c r="U520" s="13" t="str">
        <x:v>Clear claim-level pattern with some argumentative impact.</x:v>
      </x:c>
      <x:c r="V520" s="13" t="str">
        <x:v>Strong pattern central to the conclusion and likely to materially distort reasoning.</x:v>
      </x:c>
      <x:c r="W520" s="13" t="str"/>
      <x:c r="X520" s="13" t="str">
        <x:v>stanovich_dual_process</x:v>
      </x:c>
      <x:c r="Y520" s="13" t="str">
        <x:v>https://global.oup.com/academic/product/rationality-and-the-reflective-mind-9780195341140</x:v>
      </x:c>
      <x:c r="Z520" s="13" t="str">
        <x:v>Review before enabling. This workbook is a living taxonomy scaffold, not a validated scientific benchmark.</x:v>
      </x:c>
      <x:c r="AA520" s="13" t="str">
        <x:v>0.1.0-draft</x:v>
      </x:c>
      <x:c r="AB520" s="12" t="str">
        <x:f>IF(ISNUMBER(SEARCH("healthy",F520)),"healthy_reasoning_patterns",IF(ISNUMBER(SEARCH("statistical",F520)),"statistical_reasoning",IF(ISNUMBER(SEARCH("causal",F520)),"causal_reasoning",IF(ISNUMBER(SEARCH("social",F520)),"social_influence",IF(ISNUMBER(SEARCH("rhetoric",F520)),"rhetoric_discourse",IF(ISNUMBER(SEARCH("behavior",F520)),"behavioural_economics",IF(ISNUMBER(SEARCH("cognitive",F520)),"cognitive_biases",IF(J520="protective_pattern","healthy_reasoning_patterns",IF(L520="P0","core_mvp","extended_fallacies")))))))))</x:f>
        <x:v>cognitive_biases</x:v>
      </x:c>
      <x:c r="AC520" s="12" t="str">
        <x:f>IF(ISNUMBER(SEARCH("operational",J520)),"operational",IF(ISNUMBER(SEARCH("deprecated",J520)),"deprecated",IF(L520="P0","canonical","recognized_subtype")))</x:f>
        <x:v>operational</x:v>
      </x:c>
      <x:c r="AD520" s="12" t="str">
        <x:f>IF(AC520="canonical","high",IF(AC520="recognized_subtype","medium",IF(AC520="operational","operational_only","debated")))</x:f>
        <x:v>operational_only</x:v>
      </x:c>
      <x:c r="AE520" s="12" t="str">
        <x:f>IF(AC520="deprecated","deprecated",IF(M520="yes","active",IF(M520="review","review_required","backlog")))</x:f>
        <x:v>backlog</x:v>
      </x:c>
      <x:c r="AF520" s="12" t="str">
        <x:f>IF(OR(AE520="active",AE520="review_required"),"yes","no")</x:f>
        <x:v>no</x:v>
      </x:c>
      <x:c r="AG520" s="12" t="str">
        <x:f>IF(AND(AE520="active",M520="yes",NOT(ISNUMBER(SEARCH("healthy",AB520)))),"yes","no")</x:f>
        <x:v>no</x:v>
      </x:c>
      <x:c r="AH520" s="12" t="str">
        <x:f>IF(OR(H520="contextual",H520="dialogue",H520="discourse",I520="claim+context",I520="discourse_segment"),"yes","no")</x:f>
        <x:v>yes</x:v>
      </x:c>
      <x:c r="AI520" s="12" t="str">
        <x:f>IF(OR(AH520="yes",AD520="debated",AC520="operational"),"yes","no")</x:f>
        <x:v>yes</x:v>
      </x:c>
      <x:c r="AJ520" s="12" t="str">
        <x:f>IF(OR(AH520="yes",AC520="operational",AD520="debated"),"high",IF(AND(AG520="yes",L520="P0"),"medium","low"))</x:f>
        <x:v>high</x:v>
      </x:c>
      <x:c r="AK520" s="12" t="str">
        <x:f>IF(ISNUMBER(SEARCH("healthy",AB520)),"yes","no")</x:f>
        <x:v>no</x:v>
      </x:c>
      <x:c r="AL520" s="12" t="str">
        <x:f>IF(AG520="yes","yes","candidate_only")</x:f>
        <x:v>candidate_only</x:v>
      </x:c>
      <x:c r="AM520" s="12" t="str">
        <x:f>IF(OR(AC520="canonical",AG520="yes"),"yes","recommended")</x:f>
        <x:v>recommended</x:v>
      </x:c>
      <x:c r="AN520" s="12" t="str">
        <x:f>IF(AC520="deprecated","exclude",IF(AND(AG520="yes",AJ520="high"),"import_but_human_review_required",IF(AG520="yes","import_as_active","import_as_backlog")))</x:f>
        <x:v>import_as_backlog</x:v>
      </x:c>
      <x:c r="AO520" s="12" t="str">
        <x:f>IF(AND(AG520="yes",OR(P520="",Q520="",R520="",S520="")),"missing_required_mvp_fields",IF(AND(AC520="canonical",Y520=""),"missing_source_ref","ok"))</x:f>
        <x:v>ok</x:v>
      </x:c>
      <x:c r="AP520" s="12" t="str">
        <x:f>IF(AO520="ok","ready_for_codex_import","needs_review")</x:f>
        <x:v>ready_for_codex_import</x:v>
      </x:c>
      <x:c r="AQ520" s="12"/>
      <x:c r="AR520" s="12" t="str">
        <x:v>Added v2 operational fields. Review before classification activation.</x:v>
      </x:c>
    </x:row>
    <x:row r="521">
      <x:c r="A521" s="13" t="str">
        <x:v>ambiguity_effect_confidence_expression_variant</x:v>
      </x:c>
      <x:c r="B521" s="13" t="str">
        <x:v>ambiguity_effect</x:v>
      </x:c>
      <x:c r="C521" s="13" t="str">
        <x:v>Ambiguity effect</x:v>
      </x:c>
      <x:c r="D521" s="13" t="str">
        <x:v>گریز از ابهام</x:v>
      </x:c>
      <x:c r="E521" s="13" t="str">
        <x:v>Confidence-expression variant</x:v>
      </x:c>
      <x:c r="F521" s="13" t="str">
        <x:v>cognitive_biases_information_processing</x:v>
      </x:c>
      <x:c r="G521" s="13" t="str">
        <x:v>operational_variant</x:v>
      </x:c>
      <x:c r="H521" s="13" t="str">
        <x:v>contextual</x:v>
      </x:c>
      <x:c r="I521" s="13" t="str">
        <x:v>claim+context</x:v>
      </x:c>
      <x:c r="J521" s="13" t="str">
        <x:v>derived_operational_subtype</x:v>
      </x:c>
      <x:c r="K521" s="13" t="str">
        <x:v>derived_from_established_parent_review_required</x:v>
      </x:c>
      <x:c r="L521" s="13" t="str">
        <x:v>P3</x:v>
      </x:c>
      <x:c r="M521" s="13" t="str">
        <x:v>no</x:v>
      </x:c>
      <x:c r="N521" s="13" t="str">
        <x:v>Operational subtype under Ambiguity effect: language expresses confidence beyond support. Parent definition: Avoiding options with unknown probabilities, even when alternatives are not better.</x:v>
      </x:c>
      <x:c r="O521" s="13" t="str">
        <x:v>Look for: explicit claim-level evidence; parent-family cues for Ambiguity effect; variant cue: language expresses confidence beyond support; avoid author-level inference.</x:v>
      </x:c>
      <x:c r="P521" s="13" t="str">
        <x:v>Exact evidence span in text plus claim-level reasoning link; for contextual/discourse entries, require surrounding context.</x:v>
      </x:c>
      <x:c r="Q521" s="13" t="str">
        <x:v>Do not label merely because topic is controversial, emotional, or wrong. Do not judge intent or personality. Require textual evidence and consider healthy-reasoning cues.</x:v>
      </x:c>
      <x:c r="R521" s="13" t="str">
        <x:v>Stub: A claim relies on language expresses confidence beyond support to support a conclusion without adequate qualification.</x:v>
      </x:c>
      <x:c r="S521" s="13" t="str">
        <x:v>Stub: A claim discusses ambiguity effect with caveats, balanced evidence, or no argumentative use of the pattern.</x:v>
      </x:c>
      <x:c r="T521" s="13" t="str">
        <x:v>Mild or ambiguous cue; do not classify without clear evidence span.</x:v>
      </x:c>
      <x:c r="U521" s="13" t="str">
        <x:v>Clear claim-level pattern with some argumentative impact.</x:v>
      </x:c>
      <x:c r="V521" s="13" t="str">
        <x:v>Strong pattern central to the conclusion and likely to materially distort reasoning.</x:v>
      </x:c>
      <x:c r="W521" s="13" t="str"/>
      <x:c r="X521" s="13" t="str">
        <x:v>kahneman_tversky_prospect_1979</x:v>
      </x:c>
      <x:c r="Y521" s="13" t="str">
        <x:v>https://doi.org/10.2307/1914185</x:v>
      </x:c>
      <x:c r="Z521" s="13" t="str">
        <x:v>Review before enabling. This workbook is a living taxonomy scaffold, not a validated scientific benchmark.</x:v>
      </x:c>
      <x:c r="AA521" s="13" t="str">
        <x:v>0.1.0-draft</x:v>
      </x:c>
      <x:c r="AB521" s="12" t="str">
        <x:f>IF(ISNUMBER(SEARCH("healthy",F521)),"healthy_reasoning_patterns",IF(ISNUMBER(SEARCH("statistical",F521)),"statistical_reasoning",IF(ISNUMBER(SEARCH("causal",F521)),"causal_reasoning",IF(ISNUMBER(SEARCH("social",F521)),"social_influence",IF(ISNUMBER(SEARCH("rhetoric",F521)),"rhetoric_discourse",IF(ISNUMBER(SEARCH("behavior",F521)),"behavioural_economics",IF(ISNUMBER(SEARCH("cognitive",F521)),"cognitive_biases",IF(J521="protective_pattern","healthy_reasoning_patterns",IF(L521="P0","core_mvp","extended_fallacies")))))))))</x:f>
        <x:v>cognitive_biases</x:v>
      </x:c>
      <x:c r="AC521" s="12" t="str">
        <x:f>IF(ISNUMBER(SEARCH("operational",J521)),"operational",IF(ISNUMBER(SEARCH("deprecated",J521)),"deprecated",IF(L521="P0","canonical","recognized_subtype")))</x:f>
        <x:v>operational</x:v>
      </x:c>
      <x:c r="AD521" s="12" t="str">
        <x:f>IF(AC521="canonical","high",IF(AC521="recognized_subtype","medium",IF(AC521="operational","operational_only","debated")))</x:f>
        <x:v>operational_only</x:v>
      </x:c>
      <x:c r="AE521" s="12" t="str">
        <x:f>IF(AC521="deprecated","deprecated",IF(M521="yes","active",IF(M521="review","review_required","backlog")))</x:f>
        <x:v>backlog</x:v>
      </x:c>
      <x:c r="AF521" s="12" t="str">
        <x:f>IF(OR(AE521="active",AE521="review_required"),"yes","no")</x:f>
        <x:v>no</x:v>
      </x:c>
      <x:c r="AG521" s="12" t="str">
        <x:f>IF(AND(AE521="active",M521="yes",NOT(ISNUMBER(SEARCH("healthy",AB521)))),"yes","no")</x:f>
        <x:v>no</x:v>
      </x:c>
      <x:c r="AH521" s="12" t="str">
        <x:f>IF(OR(H521="contextual",H521="dialogue",H521="discourse",I521="claim+context",I521="discourse_segment"),"yes","no")</x:f>
        <x:v>yes</x:v>
      </x:c>
      <x:c r="AI521" s="12" t="str">
        <x:f>IF(OR(AH521="yes",AD521="debated",AC521="operational"),"yes","no")</x:f>
        <x:v>yes</x:v>
      </x:c>
      <x:c r="AJ521" s="12" t="str">
        <x:f>IF(OR(AH521="yes",AC521="operational",AD521="debated"),"high",IF(AND(AG521="yes",L521="P0"),"medium","low"))</x:f>
        <x:v>high</x:v>
      </x:c>
      <x:c r="AK521" s="12" t="str">
        <x:f>IF(ISNUMBER(SEARCH("healthy",AB521)),"yes","no")</x:f>
        <x:v>no</x:v>
      </x:c>
      <x:c r="AL521" s="12" t="str">
        <x:f>IF(AG521="yes","yes","candidate_only")</x:f>
        <x:v>candidate_only</x:v>
      </x:c>
      <x:c r="AM521" s="12" t="str">
        <x:f>IF(OR(AC521="canonical",AG521="yes"),"yes","recommended")</x:f>
        <x:v>recommended</x:v>
      </x:c>
      <x:c r="AN521" s="12" t="str">
        <x:f>IF(AC521="deprecated","exclude",IF(AND(AG521="yes",AJ521="high"),"import_but_human_review_required",IF(AG521="yes","import_as_active","import_as_backlog")))</x:f>
        <x:v>import_as_backlog</x:v>
      </x:c>
      <x:c r="AO521" s="12" t="str">
        <x:f>IF(AND(AG521="yes",OR(P521="",Q521="",R521="",S521="")),"missing_required_mvp_fields",IF(AND(AC521="canonical",Y521=""),"missing_source_ref","ok"))</x:f>
        <x:v>ok</x:v>
      </x:c>
      <x:c r="AP521" s="12" t="str">
        <x:f>IF(AO521="ok","ready_for_codex_import","needs_review")</x:f>
        <x:v>ready_for_codex_import</x:v>
      </x:c>
      <x:c r="AQ521" s="12"/>
      <x:c r="AR521" s="12" t="str">
        <x:v>Added v2 operational fields. Review before classification activation.</x:v>
      </x:c>
    </x:row>
    <x:row r="522">
      <x:c r="A522" s="13" t="str">
        <x:v>loss_aversion_canonical</x:v>
      </x:c>
      <x:c r="B522" s="13" t="str">
        <x:v>loss_aversion</x:v>
      </x:c>
      <x:c r="C522" s="13" t="str">
        <x:v>Loss aversion</x:v>
      </x:c>
      <x:c r="D522" s="13" t="str">
        <x:v>اجتناب از زیان</x:v>
      </x:c>
      <x:c r="E522" s="13" t="str">
        <x:v>Canonical form</x:v>
      </x:c>
      <x:c r="F522" s="13" t="str">
        <x:v>decision_biases_behavioural_economics</x:v>
      </x:c>
      <x:c r="G522" s="13" t="str">
        <x:v>canonical</x:v>
      </x:c>
      <x:c r="H522" s="13" t="str">
        <x:v>contextual</x:v>
      </x:c>
      <x:c r="I522" s="13" t="str">
        <x:v>claim+context</x:v>
      </x:c>
      <x:c r="J522" s="13" t="str">
        <x:v>derived_operational_subtype</x:v>
      </x:c>
      <x:c r="K522" s="13" t="str">
        <x:v>derived_from_established_parent_review_required</x:v>
      </x:c>
      <x:c r="L522" s="13" t="str">
        <x:v>P2</x:v>
      </x:c>
      <x:c r="M522" s="13" t="str">
        <x:v>no</x:v>
      </x:c>
      <x:c r="N522" s="13" t="str">
        <x:v>Operational subtype under Loss aversion: the parent decision tendency appears in a choice argument. Parent definition: Losses are weighted more strongly than comparable gains.</x:v>
      </x:c>
      <x:c r="O522" s="13" t="str">
        <x:v>Look for: explicit claim-level evidence; parent-family cues for Loss aversion; variant cue: the parent decision tendency appears in a choice argument; avoid author-level inference.</x:v>
      </x:c>
      <x:c r="P522" s="13" t="str">
        <x:v>Exact evidence span in text plus claim-level reasoning link; for contextual/discourse entries, require surrounding context.</x:v>
      </x:c>
      <x:c r="Q522" s="13" t="str">
        <x:v>Do not label merely because topic is controversial, emotional, or wrong. Do not judge intent or personality. Require textual evidence and consider healthy-reasoning cues.</x:v>
      </x:c>
      <x:c r="R522" s="13" t="str">
        <x:v>Stub: A claim relies on the parent decision tendency appears in a choice argument to support a conclusion without adequate qualification.</x:v>
      </x:c>
      <x:c r="S522" s="13" t="str">
        <x:v>Stub: A claim discusses loss aversion with caveats, balanced evidence, or no argumentative use of the pattern.</x:v>
      </x:c>
      <x:c r="T522" s="13" t="str">
        <x:v>Mild or ambiguous cue; do not classify without clear evidence span.</x:v>
      </x:c>
      <x:c r="U522" s="13" t="str">
        <x:v>Clear claim-level pattern with some argumentative impact.</x:v>
      </x:c>
      <x:c r="V522" s="13" t="str">
        <x:v>Strong pattern central to the conclusion and likely to materially distort reasoning.</x:v>
      </x:c>
      <x:c r="W522" s="13" t="str"/>
      <x:c r="X522" s="13" t="str">
        <x:v>kahneman_tversky_prospect_1979</x:v>
      </x:c>
      <x:c r="Y522" s="13" t="str">
        <x:v>https://doi.org/10.2307/1914185</x:v>
      </x:c>
      <x:c r="Z522" s="13" t="str">
        <x:v>Review before enabling. This workbook is a living taxonomy scaffold, not a validated scientific benchmark.</x:v>
      </x:c>
      <x:c r="AA522" s="13" t="str">
        <x:v>0.1.0-draft</x:v>
      </x:c>
      <x:c r="AB522" s="12" t="str">
        <x:f>IF(ISNUMBER(SEARCH("healthy",F522)),"healthy_reasoning_patterns",IF(ISNUMBER(SEARCH("statistical",F522)),"statistical_reasoning",IF(ISNUMBER(SEARCH("causal",F522)),"causal_reasoning",IF(ISNUMBER(SEARCH("social",F522)),"social_influence",IF(ISNUMBER(SEARCH("rhetoric",F522)),"rhetoric_discourse",IF(ISNUMBER(SEARCH("behavior",F522)),"behavioural_economics",IF(ISNUMBER(SEARCH("cognitive",F522)),"cognitive_biases",IF(J522="protective_pattern","healthy_reasoning_patterns",IF(L522="P0","core_mvp","extended_fallacies")))))))))</x:f>
        <x:v>extended_fallacies</x:v>
      </x:c>
      <x:c r="AC522" s="12" t="str">
        <x:f>IF(ISNUMBER(SEARCH("operational",J522)),"operational",IF(ISNUMBER(SEARCH("deprecated",J522)),"deprecated",IF(L522="P0","canonical","recognized_subtype")))</x:f>
        <x:v>operational</x:v>
      </x:c>
      <x:c r="AD522" s="12" t="str">
        <x:f>IF(AC522="canonical","high",IF(AC522="recognized_subtype","medium",IF(AC522="operational","operational_only","debated")))</x:f>
        <x:v>operational_only</x:v>
      </x:c>
      <x:c r="AE522" s="12" t="str">
        <x:f>IF(AC522="deprecated","deprecated",IF(M522="yes","active",IF(M522="review","review_required","backlog")))</x:f>
        <x:v>backlog</x:v>
      </x:c>
      <x:c r="AF522" s="12" t="str">
        <x:f>IF(OR(AE522="active",AE522="review_required"),"yes","no")</x:f>
        <x:v>no</x:v>
      </x:c>
      <x:c r="AG522" s="12" t="str">
        <x:f>IF(AND(AE522="active",M522="yes",NOT(ISNUMBER(SEARCH("healthy",AB522)))),"yes","no")</x:f>
        <x:v>no</x:v>
      </x:c>
      <x:c r="AH522" s="12" t="str">
        <x:f>IF(OR(H522="contextual",H522="dialogue",H522="discourse",I522="claim+context",I522="discourse_segment"),"yes","no")</x:f>
        <x:v>yes</x:v>
      </x:c>
      <x:c r="AI522" s="12" t="str">
        <x:f>IF(OR(AH522="yes",AD522="debated",AC522="operational"),"yes","no")</x:f>
        <x:v>yes</x:v>
      </x:c>
      <x:c r="AJ522" s="12" t="str">
        <x:f>IF(OR(AH522="yes",AC522="operational",AD522="debated"),"high",IF(AND(AG522="yes",L522="P0"),"medium","low"))</x:f>
        <x:v>high</x:v>
      </x:c>
      <x:c r="AK522" s="12" t="str">
        <x:f>IF(ISNUMBER(SEARCH("healthy",AB522)),"yes","no")</x:f>
        <x:v>no</x:v>
      </x:c>
      <x:c r="AL522" s="12" t="str">
        <x:f>IF(AG522="yes","yes","candidate_only")</x:f>
        <x:v>candidate_only</x:v>
      </x:c>
      <x:c r="AM522" s="12" t="str">
        <x:f>IF(OR(AC522="canonical",AG522="yes"),"yes","recommended")</x:f>
        <x:v>recommended</x:v>
      </x:c>
      <x:c r="AN522" s="12" t="str">
        <x:f>IF(AC522="deprecated","exclude",IF(AND(AG522="yes",AJ522="high"),"import_but_human_review_required",IF(AG522="yes","import_as_active","import_as_backlog")))</x:f>
        <x:v>import_as_backlog</x:v>
      </x:c>
      <x:c r="AO522" s="12" t="str">
        <x:f>IF(AND(AG522="yes",OR(P522="",Q522="",R522="",S522="")),"missing_required_mvp_fields",IF(AND(AC522="canonical",Y522=""),"missing_source_ref","ok"))</x:f>
        <x:v>ok</x:v>
      </x:c>
      <x:c r="AP522" s="12" t="str">
        <x:f>IF(AO522="ok","ready_for_codex_import","needs_review")</x:f>
        <x:v>ready_for_codex_import</x:v>
      </x:c>
      <x:c r="AQ522" s="12"/>
      <x:c r="AR522" s="12" t="str">
        <x:v>Added v2 operational fields. Review before classification activation.</x:v>
      </x:c>
    </x:row>
    <x:row r="523">
      <x:c r="A523" s="13" t="str">
        <x:v>endowment_effect_canonical</x:v>
      </x:c>
      <x:c r="B523" s="13" t="str">
        <x:v>endowment_effect</x:v>
      </x:c>
      <x:c r="C523" s="13" t="str">
        <x:v>Endowment effect</x:v>
      </x:c>
      <x:c r="D523" s="13" t="str">
        <x:v>اثر مالکیت</x:v>
      </x:c>
      <x:c r="E523" s="13" t="str">
        <x:v>Canonical form</x:v>
      </x:c>
      <x:c r="F523" s="13" t="str">
        <x:v>decision_biases_behavioural_economics</x:v>
      </x:c>
      <x:c r="G523" s="13" t="str">
        <x:v>canonical</x:v>
      </x:c>
      <x:c r="H523" s="13" t="str">
        <x:v>contextual</x:v>
      </x:c>
      <x:c r="I523" s="13" t="str">
        <x:v>claim+context</x:v>
      </x:c>
      <x:c r="J523" s="13" t="str">
        <x:v>derived_operational_subtype</x:v>
      </x:c>
      <x:c r="K523" s="13" t="str">
        <x:v>derived_from_established_parent_review_required</x:v>
      </x:c>
      <x:c r="L523" s="13" t="str">
        <x:v>P2</x:v>
      </x:c>
      <x:c r="M523" s="13" t="str">
        <x:v>no</x:v>
      </x:c>
      <x:c r="N523" s="13" t="str">
        <x:v>Operational subtype under Endowment effect: the parent decision tendency appears in a choice argument. Parent definition: Valuing something more highly because one owns it.</x:v>
      </x:c>
      <x:c r="O523" s="13" t="str">
        <x:v>Look for: explicit claim-level evidence; parent-family cues for Endowment effect; variant cue: the parent decision tendency appears in a choice argument; avoid author-level inference.</x:v>
      </x:c>
      <x:c r="P523" s="13" t="str">
        <x:v>Exact evidence span in text plus claim-level reasoning link; for contextual/discourse entries, require surrounding context.</x:v>
      </x:c>
      <x:c r="Q523" s="13" t="str">
        <x:v>Do not label merely because topic is controversial, emotional, or wrong. Do not judge intent or personality. Require textual evidence and consider healthy-reasoning cues.</x:v>
      </x:c>
      <x:c r="R523" s="13" t="str">
        <x:v>Stub: A claim relies on the parent decision tendency appears in a choice argument to support a conclusion without adequate qualification.</x:v>
      </x:c>
      <x:c r="S523" s="13" t="str">
        <x:v>Stub: A claim discusses endowment effect with caveats, balanced evidence, or no argumentative use of the pattern.</x:v>
      </x:c>
      <x:c r="T523" s="13" t="str">
        <x:v>Mild or ambiguous cue; do not classify without clear evidence span.</x:v>
      </x:c>
      <x:c r="U523" s="13" t="str">
        <x:v>Clear claim-level pattern with some argumentative impact.</x:v>
      </x:c>
      <x:c r="V523" s="13" t="str">
        <x:v>Strong pattern central to the conclusion and likely to materially distort reasoning.</x:v>
      </x:c>
      <x:c r="W523" s="13" t="str"/>
      <x:c r="X523" s="13" t="str">
        <x:v>kahneman_tversky_prospect_1979</x:v>
      </x:c>
      <x:c r="Y523" s="13" t="str">
        <x:v>https://doi.org/10.2307/1914185</x:v>
      </x:c>
      <x:c r="Z523" s="13" t="str">
        <x:v>Review before enabling. This workbook is a living taxonomy scaffold, not a validated scientific benchmark.</x:v>
      </x:c>
      <x:c r="AA523" s="13" t="str">
        <x:v>0.1.0-draft</x:v>
      </x:c>
      <x:c r="AB523" s="12" t="str">
        <x:f>IF(ISNUMBER(SEARCH("healthy",F523)),"healthy_reasoning_patterns",IF(ISNUMBER(SEARCH("statistical",F523)),"statistical_reasoning",IF(ISNUMBER(SEARCH("causal",F523)),"causal_reasoning",IF(ISNUMBER(SEARCH("social",F523)),"social_influence",IF(ISNUMBER(SEARCH("rhetoric",F523)),"rhetoric_discourse",IF(ISNUMBER(SEARCH("behavior",F523)),"behavioural_economics",IF(ISNUMBER(SEARCH("cognitive",F523)),"cognitive_biases",IF(J523="protective_pattern","healthy_reasoning_patterns",IF(L523="P0","core_mvp","extended_fallacies")))))))))</x:f>
        <x:v>extended_fallacies</x:v>
      </x:c>
      <x:c r="AC523" s="12" t="str">
        <x:f>IF(ISNUMBER(SEARCH("operational",J523)),"operational",IF(ISNUMBER(SEARCH("deprecated",J523)),"deprecated",IF(L523="P0","canonical","recognized_subtype")))</x:f>
        <x:v>operational</x:v>
      </x:c>
      <x:c r="AD523" s="12" t="str">
        <x:f>IF(AC523="canonical","high",IF(AC523="recognized_subtype","medium",IF(AC523="operational","operational_only","debated")))</x:f>
        <x:v>operational_only</x:v>
      </x:c>
      <x:c r="AE523" s="12" t="str">
        <x:f>IF(AC523="deprecated","deprecated",IF(M523="yes","active",IF(M523="review","review_required","backlog")))</x:f>
        <x:v>backlog</x:v>
      </x:c>
      <x:c r="AF523" s="12" t="str">
        <x:f>IF(OR(AE523="active",AE523="review_required"),"yes","no")</x:f>
        <x:v>no</x:v>
      </x:c>
      <x:c r="AG523" s="12" t="str">
        <x:f>IF(AND(AE523="active",M523="yes",NOT(ISNUMBER(SEARCH("healthy",AB523)))),"yes","no")</x:f>
        <x:v>no</x:v>
      </x:c>
      <x:c r="AH523" s="12" t="str">
        <x:f>IF(OR(H523="contextual",H523="dialogue",H523="discourse",I523="claim+context",I523="discourse_segment"),"yes","no")</x:f>
        <x:v>yes</x:v>
      </x:c>
      <x:c r="AI523" s="12" t="str">
        <x:f>IF(OR(AH523="yes",AD523="debated",AC523="operational"),"yes","no")</x:f>
        <x:v>yes</x:v>
      </x:c>
      <x:c r="AJ523" s="12" t="str">
        <x:f>IF(OR(AH523="yes",AC523="operational",AD523="debated"),"high",IF(AND(AG523="yes",L523="P0"),"medium","low"))</x:f>
        <x:v>high</x:v>
      </x:c>
      <x:c r="AK523" s="12" t="str">
        <x:f>IF(ISNUMBER(SEARCH("healthy",AB523)),"yes","no")</x:f>
        <x:v>no</x:v>
      </x:c>
      <x:c r="AL523" s="12" t="str">
        <x:f>IF(AG523="yes","yes","candidate_only")</x:f>
        <x:v>candidate_only</x:v>
      </x:c>
      <x:c r="AM523" s="12" t="str">
        <x:f>IF(OR(AC523="canonical",AG523="yes"),"yes","recommended")</x:f>
        <x:v>recommended</x:v>
      </x:c>
      <x:c r="AN523" s="12" t="str">
        <x:f>IF(AC523="deprecated","exclude",IF(AND(AG523="yes",AJ523="high"),"import_but_human_review_required",IF(AG523="yes","import_as_active","import_as_backlog")))</x:f>
        <x:v>import_as_backlog</x:v>
      </x:c>
      <x:c r="AO523" s="12" t="str">
        <x:f>IF(AND(AG523="yes",OR(P523="",Q523="",R523="",S523="")),"missing_required_mvp_fields",IF(AND(AC523="canonical",Y523=""),"missing_source_ref","ok"))</x:f>
        <x:v>ok</x:v>
      </x:c>
      <x:c r="AP523" s="12" t="str">
        <x:f>IF(AO523="ok","ready_for_codex_import","needs_review")</x:f>
        <x:v>ready_for_codex_import</x:v>
      </x:c>
      <x:c r="AQ523" s="12"/>
      <x:c r="AR523" s="12" t="str">
        <x:v>Added v2 operational fields. Review before classification activation.</x:v>
      </x:c>
    </x:row>
    <x:row r="524">
      <x:c r="A524" s="13" t="str">
        <x:v>status_quo_bias_canonical</x:v>
      </x:c>
      <x:c r="B524" s="13" t="str">
        <x:v>status_quo_bias</x:v>
      </x:c>
      <x:c r="C524" s="13" t="str">
        <x:v>Status quo bias</x:v>
      </x:c>
      <x:c r="D524" s="13" t="str">
        <x:v>سوگیری وضع موجود</x:v>
      </x:c>
      <x:c r="E524" s="13" t="str">
        <x:v>Canonical form</x:v>
      </x:c>
      <x:c r="F524" s="13" t="str">
        <x:v>decision_biases_behavioural_economics</x:v>
      </x:c>
      <x:c r="G524" s="13" t="str">
        <x:v>canonical</x:v>
      </x:c>
      <x:c r="H524" s="13" t="str">
        <x:v>contextual</x:v>
      </x:c>
      <x:c r="I524" s="13" t="str">
        <x:v>claim+context</x:v>
      </x:c>
      <x:c r="J524" s="13" t="str">
        <x:v>derived_operational_subtype</x:v>
      </x:c>
      <x:c r="K524" s="13" t="str">
        <x:v>derived_from_established_parent_review_required</x:v>
      </x:c>
      <x:c r="L524" s="13" t="str">
        <x:v>P2</x:v>
      </x:c>
      <x:c r="M524" s="13" t="str">
        <x:v>no</x:v>
      </x:c>
      <x:c r="N524" s="13" t="str">
        <x:v>Operational subtype under Status quo bias: the parent decision tendency appears in a choice argument. Parent definition: Preferring the existing state partly because it is the default.</x:v>
      </x:c>
      <x:c r="O524" s="13" t="str">
        <x:v>Look for: explicit claim-level evidence; parent-family cues for Status quo bias; variant cue: the parent decision tendency appears in a choice argument; avoid author-level inference.</x:v>
      </x:c>
      <x:c r="P524" s="13" t="str">
        <x:v>Exact evidence span in text plus claim-level reasoning link; for contextual/discourse entries, require surrounding context.</x:v>
      </x:c>
      <x:c r="Q524" s="13" t="str">
        <x:v>Do not label merely because topic is controversial, emotional, or wrong. Do not judge intent or personality. Require textual evidence and consider healthy-reasoning cues.</x:v>
      </x:c>
      <x:c r="R524" s="13" t="str">
        <x:v>Stub: A claim relies on the parent decision tendency appears in a choice argument to support a conclusion without adequate qualification.</x:v>
      </x:c>
      <x:c r="S524" s="13" t="str">
        <x:v>Stub: A claim discusses status quo bias with caveats, balanced evidence, or no argumentative use of the pattern.</x:v>
      </x:c>
      <x:c r="T524" s="13" t="str">
        <x:v>Mild or ambiguous cue; do not classify without clear evidence span.</x:v>
      </x:c>
      <x:c r="U524" s="13" t="str">
        <x:v>Clear claim-level pattern with some argumentative impact.</x:v>
      </x:c>
      <x:c r="V524" s="13" t="str">
        <x:v>Strong pattern central to the conclusion and likely to materially distort reasoning.</x:v>
      </x:c>
      <x:c r="W524" s="13" t="str"/>
      <x:c r="X524" s="13" t="str">
        <x:v>thaler_sunstein_nudge</x:v>
      </x:c>
      <x:c r="Y524" s="13" t="str">
        <x:v>https://yalebooks.yale.edu/book/9780300262285/nudge/</x:v>
      </x:c>
      <x:c r="Z524" s="13" t="str">
        <x:v>Review before enabling. This workbook is a living taxonomy scaffold, not a validated scientific benchmark.</x:v>
      </x:c>
      <x:c r="AA524" s="13" t="str">
        <x:v>0.1.0-draft</x:v>
      </x:c>
      <x:c r="AB524" s="12" t="str">
        <x:f>IF(ISNUMBER(SEARCH("healthy",F524)),"healthy_reasoning_patterns",IF(ISNUMBER(SEARCH("statistical",F524)),"statistical_reasoning",IF(ISNUMBER(SEARCH("causal",F524)),"causal_reasoning",IF(ISNUMBER(SEARCH("social",F524)),"social_influence",IF(ISNUMBER(SEARCH("rhetoric",F524)),"rhetoric_discourse",IF(ISNUMBER(SEARCH("behavior",F524)),"behavioural_economics",IF(ISNUMBER(SEARCH("cognitive",F524)),"cognitive_biases",IF(J524="protective_pattern","healthy_reasoning_patterns",IF(L524="P0","core_mvp","extended_fallacies")))))))))</x:f>
        <x:v>extended_fallacies</x:v>
      </x:c>
      <x:c r="AC524" s="12" t="str">
        <x:f>IF(ISNUMBER(SEARCH("operational",J524)),"operational",IF(ISNUMBER(SEARCH("deprecated",J524)),"deprecated",IF(L524="P0","canonical","recognized_subtype")))</x:f>
        <x:v>operational</x:v>
      </x:c>
      <x:c r="AD524" s="12" t="str">
        <x:f>IF(AC524="canonical","high",IF(AC524="recognized_subtype","medium",IF(AC524="operational","operational_only","debated")))</x:f>
        <x:v>operational_only</x:v>
      </x:c>
      <x:c r="AE524" s="12" t="str">
        <x:f>IF(AC524="deprecated","deprecated",IF(M524="yes","active",IF(M524="review","review_required","backlog")))</x:f>
        <x:v>backlog</x:v>
      </x:c>
      <x:c r="AF524" s="12" t="str">
        <x:f>IF(OR(AE524="active",AE524="review_required"),"yes","no")</x:f>
        <x:v>no</x:v>
      </x:c>
      <x:c r="AG524" s="12" t="str">
        <x:f>IF(AND(AE524="active",M524="yes",NOT(ISNUMBER(SEARCH("healthy",AB524)))),"yes","no")</x:f>
        <x:v>no</x:v>
      </x:c>
      <x:c r="AH524" s="12" t="str">
        <x:f>IF(OR(H524="contextual",H524="dialogue",H524="discourse",I524="claim+context",I524="discourse_segment"),"yes","no")</x:f>
        <x:v>yes</x:v>
      </x:c>
      <x:c r="AI524" s="12" t="str">
        <x:f>IF(OR(AH524="yes",AD524="debated",AC524="operational"),"yes","no")</x:f>
        <x:v>yes</x:v>
      </x:c>
      <x:c r="AJ524" s="12" t="str">
        <x:f>IF(OR(AH524="yes",AC524="operational",AD524="debated"),"high",IF(AND(AG524="yes",L524="P0"),"medium","low"))</x:f>
        <x:v>high</x:v>
      </x:c>
      <x:c r="AK524" s="12" t="str">
        <x:f>IF(ISNUMBER(SEARCH("healthy",AB524)),"yes","no")</x:f>
        <x:v>no</x:v>
      </x:c>
      <x:c r="AL524" s="12" t="str">
        <x:f>IF(AG524="yes","yes","candidate_only")</x:f>
        <x:v>candidate_only</x:v>
      </x:c>
      <x:c r="AM524" s="12" t="str">
        <x:f>IF(OR(AC524="canonical",AG524="yes"),"yes","recommended")</x:f>
        <x:v>recommended</x:v>
      </x:c>
      <x:c r="AN524" s="12" t="str">
        <x:f>IF(AC524="deprecated","exclude",IF(AND(AG524="yes",AJ524="high"),"import_but_human_review_required",IF(AG524="yes","import_as_active","import_as_backlog")))</x:f>
        <x:v>import_as_backlog</x:v>
      </x:c>
      <x:c r="AO524" s="12" t="str">
        <x:f>IF(AND(AG524="yes",OR(P524="",Q524="",R524="",S524="")),"missing_required_mvp_fields",IF(AND(AC524="canonical",Y524=""),"missing_source_ref","ok"))</x:f>
        <x:v>ok</x:v>
      </x:c>
      <x:c r="AP524" s="12" t="str">
        <x:f>IF(AO524="ok","ready_for_codex_import","needs_review")</x:f>
        <x:v>ready_for_codex_import</x:v>
      </x:c>
      <x:c r="AQ524" s="12"/>
      <x:c r="AR524" s="12" t="str">
        <x:v>Added v2 operational fields. Review before classification activation.</x:v>
      </x:c>
    </x:row>
    <x:row r="525">
      <x:c r="A525" s="13" t="str">
        <x:v>default_effect_canonical</x:v>
      </x:c>
      <x:c r="B525" s="13" t="str">
        <x:v>default_effect</x:v>
      </x:c>
      <x:c r="C525" s="13" t="str">
        <x:v>Default effect</x:v>
      </x:c>
      <x:c r="D525" s="13" t="str">
        <x:v>اثر گزینه پیش‌فرض</x:v>
      </x:c>
      <x:c r="E525" s="13" t="str">
        <x:v>Canonical form</x:v>
      </x:c>
      <x:c r="F525" s="13" t="str">
        <x:v>decision_biases_behavioural_economics</x:v>
      </x:c>
      <x:c r="G525" s="13" t="str">
        <x:v>canonical</x:v>
      </x:c>
      <x:c r="H525" s="13" t="str">
        <x:v>contextual</x:v>
      </x:c>
      <x:c r="I525" s="13" t="str">
        <x:v>claim+context</x:v>
      </x:c>
      <x:c r="J525" s="13" t="str">
        <x:v>derived_operational_subtype</x:v>
      </x:c>
      <x:c r="K525" s="13" t="str">
        <x:v>derived_from_established_parent_review_required</x:v>
      </x:c>
      <x:c r="L525" s="13" t="str">
        <x:v>P2</x:v>
      </x:c>
      <x:c r="M525" s="13" t="str">
        <x:v>no</x:v>
      </x:c>
      <x:c r="N525" s="13" t="str">
        <x:v>Operational subtype under Default effect: the parent decision tendency appears in a choice argument. Parent definition: Choosing an option disproportionately because it is preselected.</x:v>
      </x:c>
      <x:c r="O525" s="13" t="str">
        <x:v>Look for: explicit claim-level evidence; parent-family cues for Default effect; variant cue: the parent decision tendency appears in a choice argument; avoid author-level inference.</x:v>
      </x:c>
      <x:c r="P525" s="13" t="str">
        <x:v>Exact evidence span in text plus claim-level reasoning link; for contextual/discourse entries, require surrounding context.</x:v>
      </x:c>
      <x:c r="Q525" s="13" t="str">
        <x:v>Do not label merely because topic is controversial, emotional, or wrong. Do not judge intent or personality. Require textual evidence and consider healthy-reasoning cues.</x:v>
      </x:c>
      <x:c r="R525" s="13" t="str">
        <x:v>Stub: A claim relies on the parent decision tendency appears in a choice argument to support a conclusion without adequate qualification.</x:v>
      </x:c>
      <x:c r="S525" s="13" t="str">
        <x:v>Stub: A claim discusses default effect with caveats, balanced evidence, or no argumentative use of the pattern.</x:v>
      </x:c>
      <x:c r="T525" s="13" t="str">
        <x:v>Mild or ambiguous cue; do not classify without clear evidence span.</x:v>
      </x:c>
      <x:c r="U525" s="13" t="str">
        <x:v>Clear claim-level pattern with some argumentative impact.</x:v>
      </x:c>
      <x:c r="V525" s="13" t="str">
        <x:v>Strong pattern central to the conclusion and likely to materially distort reasoning.</x:v>
      </x:c>
      <x:c r="W525" s="13" t="str"/>
      <x:c r="X525" s="13" t="str">
        <x:v>thaler_sunstein_nudge</x:v>
      </x:c>
      <x:c r="Y525" s="13" t="str">
        <x:v>https://yalebooks.yale.edu/book/9780300262285/nudge/</x:v>
      </x:c>
      <x:c r="Z525" s="13" t="str">
        <x:v>Review before enabling. This workbook is a living taxonomy scaffold, not a validated scientific benchmark.</x:v>
      </x:c>
      <x:c r="AA525" s="13" t="str">
        <x:v>0.1.0-draft</x:v>
      </x:c>
      <x:c r="AB525" s="12" t="str">
        <x:f>IF(ISNUMBER(SEARCH("healthy",F525)),"healthy_reasoning_patterns",IF(ISNUMBER(SEARCH("statistical",F525)),"statistical_reasoning",IF(ISNUMBER(SEARCH("causal",F525)),"causal_reasoning",IF(ISNUMBER(SEARCH("social",F525)),"social_influence",IF(ISNUMBER(SEARCH("rhetoric",F525)),"rhetoric_discourse",IF(ISNUMBER(SEARCH("behavior",F525)),"behavioural_economics",IF(ISNUMBER(SEARCH("cognitive",F525)),"cognitive_biases",IF(J525="protective_pattern","healthy_reasoning_patterns",IF(L525="P0","core_mvp","extended_fallacies")))))))))</x:f>
        <x:v>extended_fallacies</x:v>
      </x:c>
      <x:c r="AC525" s="12" t="str">
        <x:f>IF(ISNUMBER(SEARCH("operational",J525)),"operational",IF(ISNUMBER(SEARCH("deprecated",J525)),"deprecated",IF(L525="P0","canonical","recognized_subtype")))</x:f>
        <x:v>operational</x:v>
      </x:c>
      <x:c r="AD525" s="12" t="str">
        <x:f>IF(AC525="canonical","high",IF(AC525="recognized_subtype","medium",IF(AC525="operational","operational_only","debated")))</x:f>
        <x:v>operational_only</x:v>
      </x:c>
      <x:c r="AE525" s="12" t="str">
        <x:f>IF(AC525="deprecated","deprecated",IF(M525="yes","active",IF(M525="review","review_required","backlog")))</x:f>
        <x:v>backlog</x:v>
      </x:c>
      <x:c r="AF525" s="12" t="str">
        <x:f>IF(OR(AE525="active",AE525="review_required"),"yes","no")</x:f>
        <x:v>no</x:v>
      </x:c>
      <x:c r="AG525" s="12" t="str">
        <x:f>IF(AND(AE525="active",M525="yes",NOT(ISNUMBER(SEARCH("healthy",AB525)))),"yes","no")</x:f>
        <x:v>no</x:v>
      </x:c>
      <x:c r="AH525" s="12" t="str">
        <x:f>IF(OR(H525="contextual",H525="dialogue",H525="discourse",I525="claim+context",I525="discourse_segment"),"yes","no")</x:f>
        <x:v>yes</x:v>
      </x:c>
      <x:c r="AI525" s="12" t="str">
        <x:f>IF(OR(AH525="yes",AD525="debated",AC525="operational"),"yes","no")</x:f>
        <x:v>yes</x:v>
      </x:c>
      <x:c r="AJ525" s="12" t="str">
        <x:f>IF(OR(AH525="yes",AC525="operational",AD525="debated"),"high",IF(AND(AG525="yes",L525="P0"),"medium","low"))</x:f>
        <x:v>high</x:v>
      </x:c>
      <x:c r="AK525" s="12" t="str">
        <x:f>IF(ISNUMBER(SEARCH("healthy",AB525)),"yes","no")</x:f>
        <x:v>no</x:v>
      </x:c>
      <x:c r="AL525" s="12" t="str">
        <x:f>IF(AG525="yes","yes","candidate_only")</x:f>
        <x:v>candidate_only</x:v>
      </x:c>
      <x:c r="AM525" s="12" t="str">
        <x:f>IF(OR(AC525="canonical",AG525="yes"),"yes","recommended")</x:f>
        <x:v>recommended</x:v>
      </x:c>
      <x:c r="AN525" s="12" t="str">
        <x:f>IF(AC525="deprecated","exclude",IF(AND(AG525="yes",AJ525="high"),"import_but_human_review_required",IF(AG525="yes","import_as_active","import_as_backlog")))</x:f>
        <x:v>import_as_backlog</x:v>
      </x:c>
      <x:c r="AO525" s="12" t="str">
        <x:f>IF(AND(AG525="yes",OR(P525="",Q525="",R525="",S525="")),"missing_required_mvp_fields",IF(AND(AC525="canonical",Y525=""),"missing_source_ref","ok"))</x:f>
        <x:v>ok</x:v>
      </x:c>
      <x:c r="AP525" s="12" t="str">
        <x:f>IF(AO525="ok","ready_for_codex_import","needs_review")</x:f>
        <x:v>ready_for_codex_import</x:v>
      </x:c>
      <x:c r="AQ525" s="12"/>
      <x:c r="AR525" s="12" t="str">
        <x:v>Added v2 operational fields. Review before classification activation.</x:v>
      </x:c>
    </x:row>
    <x:row r="526">
      <x:c r="A526" s="13" t="str">
        <x:v>sunk_cost_fallacy_canonical</x:v>
      </x:c>
      <x:c r="B526" s="13" t="str">
        <x:v>sunk_cost_fallacy</x:v>
      </x:c>
      <x:c r="C526" s="13" t="str">
        <x:v>Sunk-cost fallacy</x:v>
      </x:c>
      <x:c r="D526" s="13" t="str">
        <x:v>مغالطه هزینه ازدست‌رفته</x:v>
      </x:c>
      <x:c r="E526" s="13" t="str">
        <x:v>Canonical form</x:v>
      </x:c>
      <x:c r="F526" s="13" t="str">
        <x:v>decision_biases_behavioural_economics</x:v>
      </x:c>
      <x:c r="G526" s="13" t="str">
        <x:v>canonical</x:v>
      </x:c>
      <x:c r="H526" s="13" t="str">
        <x:v>contextual</x:v>
      </x:c>
      <x:c r="I526" s="13" t="str">
        <x:v>claim+context</x:v>
      </x:c>
      <x:c r="J526" s="13" t="str">
        <x:v>derived_operational_subtype</x:v>
      </x:c>
      <x:c r="K526" s="13" t="str">
        <x:v>derived_from_established_parent_review_required</x:v>
      </x:c>
      <x:c r="L526" s="13" t="str">
        <x:v>P2</x:v>
      </x:c>
      <x:c r="M526" s="13" t="str">
        <x:v>no</x:v>
      </x:c>
      <x:c r="N526" s="13" t="str">
        <x:v>Operational subtype under Sunk-cost fallacy: the parent decision tendency appears in a choice argument. Parent definition: Continuing a choice because of past costs that cannot be recovered.</x:v>
      </x:c>
      <x:c r="O526" s="13" t="str">
        <x:v>Look for: explicit claim-level evidence; parent-family cues for Sunk-cost fallacy; variant cue: the parent decision tendency appears in a choice argument; avoid author-level inference.</x:v>
      </x:c>
      <x:c r="P526" s="13" t="str">
        <x:v>Exact evidence span in text plus claim-level reasoning link; for contextual/discourse entries, require surrounding context.</x:v>
      </x:c>
      <x:c r="Q526" s="13" t="str">
        <x:v>Do not label merely because topic is controversial, emotional, or wrong. Do not judge intent or personality. Require textual evidence and consider healthy-reasoning cues.</x:v>
      </x:c>
      <x:c r="R526" s="13" t="str">
        <x:v>Stub: A claim relies on the parent decision tendency appears in a choice argument to support a conclusion without adequate qualification.</x:v>
      </x:c>
      <x:c r="S526" s="13" t="str">
        <x:v>Stub: A claim discusses sunk-cost fallacy with caveats, balanced evidence, or no argumentative use of the pattern.</x:v>
      </x:c>
      <x:c r="T526" s="13" t="str">
        <x:v>Mild or ambiguous cue; do not classify without clear evidence span.</x:v>
      </x:c>
      <x:c r="U526" s="13" t="str">
        <x:v>Clear claim-level pattern with some argumentative impact.</x:v>
      </x:c>
      <x:c r="V526" s="13" t="str">
        <x:v>Strong pattern central to the conclusion and likely to materially distort reasoning.</x:v>
      </x:c>
      <x:c r="W526" s="13" t="str"/>
      <x:c r="X526" s="13" t="str">
        <x:v>kahneman_tversky_prospect_1979</x:v>
      </x:c>
      <x:c r="Y526" s="13" t="str">
        <x:v>https://doi.org/10.2307/1914185</x:v>
      </x:c>
      <x:c r="Z526" s="13" t="str">
        <x:v>Review before enabling. This workbook is a living taxonomy scaffold, not a validated scientific benchmark.</x:v>
      </x:c>
      <x:c r="AA526" s="13" t="str">
        <x:v>0.1.0-draft</x:v>
      </x:c>
      <x:c r="AB526" s="12" t="str">
        <x:f>IF(ISNUMBER(SEARCH("healthy",F526)),"healthy_reasoning_patterns",IF(ISNUMBER(SEARCH("statistical",F526)),"statistical_reasoning",IF(ISNUMBER(SEARCH("causal",F526)),"causal_reasoning",IF(ISNUMBER(SEARCH("social",F526)),"social_influence",IF(ISNUMBER(SEARCH("rhetoric",F526)),"rhetoric_discourse",IF(ISNUMBER(SEARCH("behavior",F526)),"behavioural_economics",IF(ISNUMBER(SEARCH("cognitive",F526)),"cognitive_biases",IF(J526="protective_pattern","healthy_reasoning_patterns",IF(L526="P0","core_mvp","extended_fallacies")))))))))</x:f>
        <x:v>extended_fallacies</x:v>
      </x:c>
      <x:c r="AC526" s="12" t="str">
        <x:f>IF(ISNUMBER(SEARCH("operational",J526)),"operational",IF(ISNUMBER(SEARCH("deprecated",J526)),"deprecated",IF(L526="P0","canonical","recognized_subtype")))</x:f>
        <x:v>operational</x:v>
      </x:c>
      <x:c r="AD526" s="12" t="str">
        <x:f>IF(AC526="canonical","high",IF(AC526="recognized_subtype","medium",IF(AC526="operational","operational_only","debated")))</x:f>
        <x:v>operational_only</x:v>
      </x:c>
      <x:c r="AE526" s="12" t="str">
        <x:f>IF(AC526="deprecated","deprecated",IF(M526="yes","active",IF(M526="review","review_required","backlog")))</x:f>
        <x:v>backlog</x:v>
      </x:c>
      <x:c r="AF526" s="12" t="str">
        <x:f>IF(OR(AE526="active",AE526="review_required"),"yes","no")</x:f>
        <x:v>no</x:v>
      </x:c>
      <x:c r="AG526" s="12" t="str">
        <x:f>IF(AND(AE526="active",M526="yes",NOT(ISNUMBER(SEARCH("healthy",AB526)))),"yes","no")</x:f>
        <x:v>no</x:v>
      </x:c>
      <x:c r="AH526" s="12" t="str">
        <x:f>IF(OR(H526="contextual",H526="dialogue",H526="discourse",I526="claim+context",I526="discourse_segment"),"yes","no")</x:f>
        <x:v>yes</x:v>
      </x:c>
      <x:c r="AI526" s="12" t="str">
        <x:f>IF(OR(AH526="yes",AD526="debated",AC526="operational"),"yes","no")</x:f>
        <x:v>yes</x:v>
      </x:c>
      <x:c r="AJ526" s="12" t="str">
        <x:f>IF(OR(AH526="yes",AC526="operational",AD526="debated"),"high",IF(AND(AG526="yes",L526="P0"),"medium","low"))</x:f>
        <x:v>high</x:v>
      </x:c>
      <x:c r="AK526" s="12" t="str">
        <x:f>IF(ISNUMBER(SEARCH("healthy",AB526)),"yes","no")</x:f>
        <x:v>no</x:v>
      </x:c>
      <x:c r="AL526" s="12" t="str">
        <x:f>IF(AG526="yes","yes","candidate_only")</x:f>
        <x:v>candidate_only</x:v>
      </x:c>
      <x:c r="AM526" s="12" t="str">
        <x:f>IF(OR(AC526="canonical",AG526="yes"),"yes","recommended")</x:f>
        <x:v>recommended</x:v>
      </x:c>
      <x:c r="AN526" s="12" t="str">
        <x:f>IF(AC526="deprecated","exclude",IF(AND(AG526="yes",AJ526="high"),"import_but_human_review_required",IF(AG526="yes","import_as_active","import_as_backlog")))</x:f>
        <x:v>import_as_backlog</x:v>
      </x:c>
      <x:c r="AO526" s="12" t="str">
        <x:f>IF(AND(AG526="yes",OR(P526="",Q526="",R526="",S526="")),"missing_required_mvp_fields",IF(AND(AC526="canonical",Y526=""),"missing_source_ref","ok"))</x:f>
        <x:v>ok</x:v>
      </x:c>
      <x:c r="AP526" s="12" t="str">
        <x:f>IF(AO526="ok","ready_for_codex_import","needs_review")</x:f>
        <x:v>ready_for_codex_import</x:v>
      </x:c>
      <x:c r="AQ526" s="12"/>
      <x:c r="AR526" s="12" t="str">
        <x:v>Added v2 operational fields. Review before classification activation.</x:v>
      </x:c>
    </x:row>
    <x:row r="527">
      <x:c r="A527" s="13" t="str">
        <x:v>present_bias_canonical</x:v>
      </x:c>
      <x:c r="B527" s="13" t="str">
        <x:v>present_bias</x:v>
      </x:c>
      <x:c r="C527" s="13" t="str">
        <x:v>Present bias</x:v>
      </x:c>
      <x:c r="D527" s="13" t="str">
        <x:v>سوگیری حال</x:v>
      </x:c>
      <x:c r="E527" s="13" t="str">
        <x:v>Canonical form</x:v>
      </x:c>
      <x:c r="F527" s="13" t="str">
        <x:v>decision_biases_behavioural_economics</x:v>
      </x:c>
      <x:c r="G527" s="13" t="str">
        <x:v>canonical</x:v>
      </x:c>
      <x:c r="H527" s="13" t="str">
        <x:v>contextual</x:v>
      </x:c>
      <x:c r="I527" s="13" t="str">
        <x:v>claim+context</x:v>
      </x:c>
      <x:c r="J527" s="13" t="str">
        <x:v>derived_operational_subtype</x:v>
      </x:c>
      <x:c r="K527" s="13" t="str">
        <x:v>derived_from_established_parent_review_required</x:v>
      </x:c>
      <x:c r="L527" s="13" t="str">
        <x:v>P2</x:v>
      </x:c>
      <x:c r="M527" s="13" t="str">
        <x:v>no</x:v>
      </x:c>
      <x:c r="N527" s="13" t="str">
        <x:v>Operational subtype under Present bias: the parent decision tendency appears in a choice argument. Parent definition: Overweighting immediate costs or rewards relative to future ones.</x:v>
      </x:c>
      <x:c r="O527" s="13" t="str">
        <x:v>Look for: explicit claim-level evidence; parent-family cues for Present bias; variant cue: the parent decision tendency appears in a choice argument; avoid author-level inference.</x:v>
      </x:c>
      <x:c r="P527" s="13" t="str">
        <x:v>Exact evidence span in text plus claim-level reasoning link; for contextual/discourse entries, require surrounding context.</x:v>
      </x:c>
      <x:c r="Q527" s="13" t="str">
        <x:v>Do not label merely because topic is controversial, emotional, or wrong. Do not judge intent or personality. Require textual evidence and consider healthy-reasoning cues.</x:v>
      </x:c>
      <x:c r="R527" s="13" t="str">
        <x:v>Stub: A claim relies on the parent decision tendency appears in a choice argument to support a conclusion without adequate qualification.</x:v>
      </x:c>
      <x:c r="S527" s="13" t="str">
        <x:v>Stub: A claim discusses present bias with caveats, balanced evidence, or no argumentative use of the pattern.</x:v>
      </x:c>
      <x:c r="T527" s="13" t="str">
        <x:v>Mild or ambiguous cue; do not classify without clear evidence span.</x:v>
      </x:c>
      <x:c r="U527" s="13" t="str">
        <x:v>Clear claim-level pattern with some argumentative impact.</x:v>
      </x:c>
      <x:c r="V527" s="13" t="str">
        <x:v>Strong pattern central to the conclusion and likely to materially distort reasoning.</x:v>
      </x:c>
      <x:c r="W527" s="13" t="str"/>
      <x:c r="X527" s="13" t="str">
        <x:v>thaler_sunstein_nudge</x:v>
      </x:c>
      <x:c r="Y527" s="13" t="str">
        <x:v>https://yalebooks.yale.edu/book/9780300262285/nudge/</x:v>
      </x:c>
      <x:c r="Z527" s="13" t="str">
        <x:v>Review before enabling. This workbook is a living taxonomy scaffold, not a validated scientific benchmark.</x:v>
      </x:c>
      <x:c r="AA527" s="13" t="str">
        <x:v>0.1.0-draft</x:v>
      </x:c>
      <x:c r="AB527" s="12" t="str">
        <x:f>IF(ISNUMBER(SEARCH("healthy",F527)),"healthy_reasoning_patterns",IF(ISNUMBER(SEARCH("statistical",F527)),"statistical_reasoning",IF(ISNUMBER(SEARCH("causal",F527)),"causal_reasoning",IF(ISNUMBER(SEARCH("social",F527)),"social_influence",IF(ISNUMBER(SEARCH("rhetoric",F527)),"rhetoric_discourse",IF(ISNUMBER(SEARCH("behavior",F527)),"behavioural_economics",IF(ISNUMBER(SEARCH("cognitive",F527)),"cognitive_biases",IF(J527="protective_pattern","healthy_reasoning_patterns",IF(L527="P0","core_mvp","extended_fallacies")))))))))</x:f>
        <x:v>extended_fallacies</x:v>
      </x:c>
      <x:c r="AC527" s="12" t="str">
        <x:f>IF(ISNUMBER(SEARCH("operational",J527)),"operational",IF(ISNUMBER(SEARCH("deprecated",J527)),"deprecated",IF(L527="P0","canonical","recognized_subtype")))</x:f>
        <x:v>operational</x:v>
      </x:c>
      <x:c r="AD527" s="12" t="str">
        <x:f>IF(AC527="canonical","high",IF(AC527="recognized_subtype","medium",IF(AC527="operational","operational_only","debated")))</x:f>
        <x:v>operational_only</x:v>
      </x:c>
      <x:c r="AE527" s="12" t="str">
        <x:f>IF(AC527="deprecated","deprecated",IF(M527="yes","active",IF(M527="review","review_required","backlog")))</x:f>
        <x:v>backlog</x:v>
      </x:c>
      <x:c r="AF527" s="12" t="str">
        <x:f>IF(OR(AE527="active",AE527="review_required"),"yes","no")</x:f>
        <x:v>no</x:v>
      </x:c>
      <x:c r="AG527" s="12" t="str">
        <x:f>IF(AND(AE527="active",M527="yes",NOT(ISNUMBER(SEARCH("healthy",AB527)))),"yes","no")</x:f>
        <x:v>no</x:v>
      </x:c>
      <x:c r="AH527" s="12" t="str">
        <x:f>IF(OR(H527="contextual",H527="dialogue",H527="discourse",I527="claim+context",I527="discourse_segment"),"yes","no")</x:f>
        <x:v>yes</x:v>
      </x:c>
      <x:c r="AI527" s="12" t="str">
        <x:f>IF(OR(AH527="yes",AD527="debated",AC527="operational"),"yes","no")</x:f>
        <x:v>yes</x:v>
      </x:c>
      <x:c r="AJ527" s="12" t="str">
        <x:f>IF(OR(AH527="yes",AC527="operational",AD527="debated"),"high",IF(AND(AG527="yes",L527="P0"),"medium","low"))</x:f>
        <x:v>high</x:v>
      </x:c>
      <x:c r="AK527" s="12" t="str">
        <x:f>IF(ISNUMBER(SEARCH("healthy",AB527)),"yes","no")</x:f>
        <x:v>no</x:v>
      </x:c>
      <x:c r="AL527" s="12" t="str">
        <x:f>IF(AG527="yes","yes","candidate_only")</x:f>
        <x:v>candidate_only</x:v>
      </x:c>
      <x:c r="AM527" s="12" t="str">
        <x:f>IF(OR(AC527="canonical",AG527="yes"),"yes","recommended")</x:f>
        <x:v>recommended</x:v>
      </x:c>
      <x:c r="AN527" s="12" t="str">
        <x:f>IF(AC527="deprecated","exclude",IF(AND(AG527="yes",AJ527="high"),"import_but_human_review_required",IF(AG527="yes","import_as_active","import_as_backlog")))</x:f>
        <x:v>import_as_backlog</x:v>
      </x:c>
      <x:c r="AO527" s="12" t="str">
        <x:f>IF(AND(AG527="yes",OR(P527="",Q527="",R527="",S527="")),"missing_required_mvp_fields",IF(AND(AC527="canonical",Y527=""),"missing_source_ref","ok"))</x:f>
        <x:v>ok</x:v>
      </x:c>
      <x:c r="AP527" s="12" t="str">
        <x:f>IF(AO527="ok","ready_for_codex_import","needs_review")</x:f>
        <x:v>ready_for_codex_import</x:v>
      </x:c>
      <x:c r="AQ527" s="12"/>
      <x:c r="AR527" s="12" t="str">
        <x:v>Added v2 operational fields. Review before classification activation.</x:v>
      </x:c>
    </x:row>
    <x:row r="528">
      <x:c r="A528" s="13" t="str">
        <x:v>hyperbolic_discounting_canonical</x:v>
      </x:c>
      <x:c r="B528" s="13" t="str">
        <x:v>hyperbolic_discounting</x:v>
      </x:c>
      <x:c r="C528" s="13" t="str">
        <x:v>Hyperbolic discounting</x:v>
      </x:c>
      <x:c r="D528" s="13" t="str">
        <x:v>تنزیل هذلولوی</x:v>
      </x:c>
      <x:c r="E528" s="13" t="str">
        <x:v>Canonical form</x:v>
      </x:c>
      <x:c r="F528" s="13" t="str">
        <x:v>decision_biases_behavioural_economics</x:v>
      </x:c>
      <x:c r="G528" s="13" t="str">
        <x:v>canonical</x:v>
      </x:c>
      <x:c r="H528" s="13" t="str">
        <x:v>contextual</x:v>
      </x:c>
      <x:c r="I528" s="13" t="str">
        <x:v>claim+context</x:v>
      </x:c>
      <x:c r="J528" s="13" t="str">
        <x:v>derived_operational_subtype</x:v>
      </x:c>
      <x:c r="K528" s="13" t="str">
        <x:v>derived_from_established_parent_review_required</x:v>
      </x:c>
      <x:c r="L528" s="13" t="str">
        <x:v>P2</x:v>
      </x:c>
      <x:c r="M528" s="13" t="str">
        <x:v>no</x:v>
      </x:c>
      <x:c r="N528" s="13" t="str">
        <x:v>Operational subtype under Hyperbolic discounting: the parent decision tendency appears in a choice argument. Parent definition: Discounting future outcomes in a time-inconsistent way.</x:v>
      </x:c>
      <x:c r="O528" s="13" t="str">
        <x:v>Look for: explicit claim-level evidence; parent-family cues for Hyperbolic discounting; variant cue: the parent decision tendency appears in a choice argument; avoid author-level inference.</x:v>
      </x:c>
      <x:c r="P528" s="13" t="str">
        <x:v>Exact evidence span in text plus claim-level reasoning link; for contextual/discourse entries, require surrounding context.</x:v>
      </x:c>
      <x:c r="Q528" s="13" t="str">
        <x:v>Do not label merely because topic is controversial, emotional, or wrong. Do not judge intent or personality. Require textual evidence and consider healthy-reasoning cues.</x:v>
      </x:c>
      <x:c r="R528" s="13" t="str">
        <x:v>Stub: A claim relies on the parent decision tendency appears in a choice argument to support a conclusion without adequate qualification.</x:v>
      </x:c>
      <x:c r="S528" s="13" t="str">
        <x:v>Stub: A claim discusses hyperbolic discounting with caveats, balanced evidence, or no argumentative use of the pattern.</x:v>
      </x:c>
      <x:c r="T528" s="13" t="str">
        <x:v>Mild or ambiguous cue; do not classify without clear evidence span.</x:v>
      </x:c>
      <x:c r="U528" s="13" t="str">
        <x:v>Clear claim-level pattern with some argumentative impact.</x:v>
      </x:c>
      <x:c r="V528" s="13" t="str">
        <x:v>Strong pattern central to the conclusion and likely to materially distort reasoning.</x:v>
      </x:c>
      <x:c r="W528" s="13" t="str"/>
      <x:c r="X528" s="13" t="str">
        <x:v>thaler_sunstein_nudge</x:v>
      </x:c>
      <x:c r="Y528" s="13" t="str">
        <x:v>https://yalebooks.yale.edu/book/9780300262285/nudge/</x:v>
      </x:c>
      <x:c r="Z528" s="13" t="str">
        <x:v>Review before enabling. This workbook is a living taxonomy scaffold, not a validated scientific benchmark.</x:v>
      </x:c>
      <x:c r="AA528" s="13" t="str">
        <x:v>0.1.0-draft</x:v>
      </x:c>
      <x:c r="AB528" s="12" t="str">
        <x:f>IF(ISNUMBER(SEARCH("healthy",F528)),"healthy_reasoning_patterns",IF(ISNUMBER(SEARCH("statistical",F528)),"statistical_reasoning",IF(ISNUMBER(SEARCH("causal",F528)),"causal_reasoning",IF(ISNUMBER(SEARCH("social",F528)),"social_influence",IF(ISNUMBER(SEARCH("rhetoric",F528)),"rhetoric_discourse",IF(ISNUMBER(SEARCH("behavior",F528)),"behavioural_economics",IF(ISNUMBER(SEARCH("cognitive",F528)),"cognitive_biases",IF(J528="protective_pattern","healthy_reasoning_patterns",IF(L528="P0","core_mvp","extended_fallacies")))))))))</x:f>
        <x:v>extended_fallacies</x:v>
      </x:c>
      <x:c r="AC528" s="12" t="str">
        <x:f>IF(ISNUMBER(SEARCH("operational",J528)),"operational",IF(ISNUMBER(SEARCH("deprecated",J528)),"deprecated",IF(L528="P0","canonical","recognized_subtype")))</x:f>
        <x:v>operational</x:v>
      </x:c>
      <x:c r="AD528" s="12" t="str">
        <x:f>IF(AC528="canonical","high",IF(AC528="recognized_subtype","medium",IF(AC528="operational","operational_only","debated")))</x:f>
        <x:v>operational_only</x:v>
      </x:c>
      <x:c r="AE528" s="12" t="str">
        <x:f>IF(AC528="deprecated","deprecated",IF(M528="yes","active",IF(M528="review","review_required","backlog")))</x:f>
        <x:v>backlog</x:v>
      </x:c>
      <x:c r="AF528" s="12" t="str">
        <x:f>IF(OR(AE528="active",AE528="review_required"),"yes","no")</x:f>
        <x:v>no</x:v>
      </x:c>
      <x:c r="AG528" s="12" t="str">
        <x:f>IF(AND(AE528="active",M528="yes",NOT(ISNUMBER(SEARCH("healthy",AB528)))),"yes","no")</x:f>
        <x:v>no</x:v>
      </x:c>
      <x:c r="AH528" s="12" t="str">
        <x:f>IF(OR(H528="contextual",H528="dialogue",H528="discourse",I528="claim+context",I528="discourse_segment"),"yes","no")</x:f>
        <x:v>yes</x:v>
      </x:c>
      <x:c r="AI528" s="12" t="str">
        <x:f>IF(OR(AH528="yes",AD528="debated",AC528="operational"),"yes","no")</x:f>
        <x:v>yes</x:v>
      </x:c>
      <x:c r="AJ528" s="12" t="str">
        <x:f>IF(OR(AH528="yes",AC528="operational",AD528="debated"),"high",IF(AND(AG528="yes",L528="P0"),"medium","low"))</x:f>
        <x:v>high</x:v>
      </x:c>
      <x:c r="AK528" s="12" t="str">
        <x:f>IF(ISNUMBER(SEARCH("healthy",AB528)),"yes","no")</x:f>
        <x:v>no</x:v>
      </x:c>
      <x:c r="AL528" s="12" t="str">
        <x:f>IF(AG528="yes","yes","candidate_only")</x:f>
        <x:v>candidate_only</x:v>
      </x:c>
      <x:c r="AM528" s="12" t="str">
        <x:f>IF(OR(AC528="canonical",AG528="yes"),"yes","recommended")</x:f>
        <x:v>recommended</x:v>
      </x:c>
      <x:c r="AN528" s="12" t="str">
        <x:f>IF(AC528="deprecated","exclude",IF(AND(AG528="yes",AJ528="high"),"import_but_human_review_required",IF(AG528="yes","import_as_active","import_as_backlog")))</x:f>
        <x:v>import_as_backlog</x:v>
      </x:c>
      <x:c r="AO528" s="12" t="str">
        <x:f>IF(AND(AG528="yes",OR(P528="",Q528="",R528="",S528="")),"missing_required_mvp_fields",IF(AND(AC528="canonical",Y528=""),"missing_source_ref","ok"))</x:f>
        <x:v>ok</x:v>
      </x:c>
      <x:c r="AP528" s="12" t="str">
        <x:f>IF(AO528="ok","ready_for_codex_import","needs_review")</x:f>
        <x:v>ready_for_codex_import</x:v>
      </x:c>
      <x:c r="AQ528" s="12"/>
      <x:c r="AR528" s="12" t="str">
        <x:v>Added v2 operational fields. Review before classification activation.</x:v>
      </x:c>
    </x:row>
    <x:row r="529">
      <x:c r="A529" s="13" t="str">
        <x:v>planning_fallacy_canonical</x:v>
      </x:c>
      <x:c r="B529" s="13" t="str">
        <x:v>planning_fallacy</x:v>
      </x:c>
      <x:c r="C529" s="13" t="str">
        <x:v>Planning fallacy</x:v>
      </x:c>
      <x:c r="D529" s="13" t="str">
        <x:v>خطای برنامه‌ریزی</x:v>
      </x:c>
      <x:c r="E529" s="13" t="str">
        <x:v>Canonical form</x:v>
      </x:c>
      <x:c r="F529" s="13" t="str">
        <x:v>decision_biases_behavioural_economics</x:v>
      </x:c>
      <x:c r="G529" s="13" t="str">
        <x:v>canonical</x:v>
      </x:c>
      <x:c r="H529" s="13" t="str">
        <x:v>contextual</x:v>
      </x:c>
      <x:c r="I529" s="13" t="str">
        <x:v>claim+context</x:v>
      </x:c>
      <x:c r="J529" s="13" t="str">
        <x:v>derived_operational_subtype</x:v>
      </x:c>
      <x:c r="K529" s="13" t="str">
        <x:v>derived_from_established_parent_review_required</x:v>
      </x:c>
      <x:c r="L529" s="13" t="str">
        <x:v>P2</x:v>
      </x:c>
      <x:c r="M529" s="13" t="str">
        <x:v>no</x:v>
      </x:c>
      <x:c r="N529" s="13" t="str">
        <x:v>Operational subtype under Planning fallacy: the parent decision tendency appears in a choice argument. Parent definition: Underestimating time, costs, or risks of future tasks.</x:v>
      </x:c>
      <x:c r="O529" s="13" t="str">
        <x:v>Look for: explicit claim-level evidence; parent-family cues for Planning fallacy; variant cue: the parent decision tendency appears in a choice argument; avoid author-level inference.</x:v>
      </x:c>
      <x:c r="P529" s="13" t="str">
        <x:v>Exact evidence span in text plus claim-level reasoning link; for contextual/discourse entries, require surrounding context.</x:v>
      </x:c>
      <x:c r="Q529" s="13" t="str">
        <x:v>Do not label merely because topic is controversial, emotional, or wrong. Do not judge intent or personality. Require textual evidence and consider healthy-reasoning cues.</x:v>
      </x:c>
      <x:c r="R529" s="13" t="str">
        <x:v>Stub: A claim relies on the parent decision tendency appears in a choice argument to support a conclusion without adequate qualification.</x:v>
      </x:c>
      <x:c r="S529" s="13" t="str">
        <x:v>Stub: A claim discusses planning fallacy with caveats, balanced evidence, or no argumentative use of the pattern.</x:v>
      </x:c>
      <x:c r="T529" s="13" t="str">
        <x:v>Mild or ambiguous cue; do not classify without clear evidence span.</x:v>
      </x:c>
      <x:c r="U529" s="13" t="str">
        <x:v>Clear claim-level pattern with some argumentative impact.</x:v>
      </x:c>
      <x:c r="V529" s="13" t="str">
        <x:v>Strong pattern central to the conclusion and likely to materially distort reasoning.</x:v>
      </x:c>
      <x:c r="W529" s="13" t="str"/>
      <x:c r="X529" s="13" t="str">
        <x:v>gilovich_heuristics_biases</x:v>
      </x:c>
      <x:c r="Y529" s="13" t="str">
        <x:v>https://www.cambridge.org/core/books/heuristics-and-biases/3C30D3B05D2F190C3B8BE5E2531EFD24</x:v>
      </x:c>
      <x:c r="Z529" s="13" t="str">
        <x:v>Review before enabling. This workbook is a living taxonomy scaffold, not a validated scientific benchmark.</x:v>
      </x:c>
      <x:c r="AA529" s="13" t="str">
        <x:v>0.1.0-draft</x:v>
      </x:c>
      <x:c r="AB529" s="12" t="str">
        <x:f>IF(ISNUMBER(SEARCH("healthy",F529)),"healthy_reasoning_patterns",IF(ISNUMBER(SEARCH("statistical",F529)),"statistical_reasoning",IF(ISNUMBER(SEARCH("causal",F529)),"causal_reasoning",IF(ISNUMBER(SEARCH("social",F529)),"social_influence",IF(ISNUMBER(SEARCH("rhetoric",F529)),"rhetoric_discourse",IF(ISNUMBER(SEARCH("behavior",F529)),"behavioural_economics",IF(ISNUMBER(SEARCH("cognitive",F529)),"cognitive_biases",IF(J529="protective_pattern","healthy_reasoning_patterns",IF(L529="P0","core_mvp","extended_fallacies")))))))))</x:f>
        <x:v>extended_fallacies</x:v>
      </x:c>
      <x:c r="AC529" s="12" t="str">
        <x:f>IF(ISNUMBER(SEARCH("operational",J529)),"operational",IF(ISNUMBER(SEARCH("deprecated",J529)),"deprecated",IF(L529="P0","canonical","recognized_subtype")))</x:f>
        <x:v>operational</x:v>
      </x:c>
      <x:c r="AD529" s="12" t="str">
        <x:f>IF(AC529="canonical","high",IF(AC529="recognized_subtype","medium",IF(AC529="operational","operational_only","debated")))</x:f>
        <x:v>operational_only</x:v>
      </x:c>
      <x:c r="AE529" s="12" t="str">
        <x:f>IF(AC529="deprecated","deprecated",IF(M529="yes","active",IF(M529="review","review_required","backlog")))</x:f>
        <x:v>backlog</x:v>
      </x:c>
      <x:c r="AF529" s="12" t="str">
        <x:f>IF(OR(AE529="active",AE529="review_required"),"yes","no")</x:f>
        <x:v>no</x:v>
      </x:c>
      <x:c r="AG529" s="12" t="str">
        <x:f>IF(AND(AE529="active",M529="yes",NOT(ISNUMBER(SEARCH("healthy",AB529)))),"yes","no")</x:f>
        <x:v>no</x:v>
      </x:c>
      <x:c r="AH529" s="12" t="str">
        <x:f>IF(OR(H529="contextual",H529="dialogue",H529="discourse",I529="claim+context",I529="discourse_segment"),"yes","no")</x:f>
        <x:v>yes</x:v>
      </x:c>
      <x:c r="AI529" s="12" t="str">
        <x:f>IF(OR(AH529="yes",AD529="debated",AC529="operational"),"yes","no")</x:f>
        <x:v>yes</x:v>
      </x:c>
      <x:c r="AJ529" s="12" t="str">
        <x:f>IF(OR(AH529="yes",AC529="operational",AD529="debated"),"high",IF(AND(AG529="yes",L529="P0"),"medium","low"))</x:f>
        <x:v>high</x:v>
      </x:c>
      <x:c r="AK529" s="12" t="str">
        <x:f>IF(ISNUMBER(SEARCH("healthy",AB529)),"yes","no")</x:f>
        <x:v>no</x:v>
      </x:c>
      <x:c r="AL529" s="12" t="str">
        <x:f>IF(AG529="yes","yes","candidate_only")</x:f>
        <x:v>candidate_only</x:v>
      </x:c>
      <x:c r="AM529" s="12" t="str">
        <x:f>IF(OR(AC529="canonical",AG529="yes"),"yes","recommended")</x:f>
        <x:v>recommended</x:v>
      </x:c>
      <x:c r="AN529" s="12" t="str">
        <x:f>IF(AC529="deprecated","exclude",IF(AND(AG529="yes",AJ529="high"),"import_but_human_review_required",IF(AG529="yes","import_as_active","import_as_backlog")))</x:f>
        <x:v>import_as_backlog</x:v>
      </x:c>
      <x:c r="AO529" s="12" t="str">
        <x:f>IF(AND(AG529="yes",OR(P529="",Q529="",R529="",S529="")),"missing_required_mvp_fields",IF(AND(AC529="canonical",Y529=""),"missing_source_ref","ok"))</x:f>
        <x:v>ok</x:v>
      </x:c>
      <x:c r="AP529" s="12" t="str">
        <x:f>IF(AO529="ok","ready_for_codex_import","needs_review")</x:f>
        <x:v>ready_for_codex_import</x:v>
      </x:c>
      <x:c r="AQ529" s="12"/>
      <x:c r="AR529" s="12" t="str">
        <x:v>Added v2 operational fields. Review before classification activation.</x:v>
      </x:c>
    </x:row>
    <x:row r="530">
      <x:c r="A530" s="13" t="str">
        <x:v>choice_overload_canonical</x:v>
      </x:c>
      <x:c r="B530" s="13" t="str">
        <x:v>choice_overload</x:v>
      </x:c>
      <x:c r="C530" s="13" t="str">
        <x:v>Choice overload</x:v>
      </x:c>
      <x:c r="D530" s="13" t="str">
        <x:v>بار زیاد انتخاب</x:v>
      </x:c>
      <x:c r="E530" s="13" t="str">
        <x:v>Canonical form</x:v>
      </x:c>
      <x:c r="F530" s="13" t="str">
        <x:v>decision_biases_behavioural_economics</x:v>
      </x:c>
      <x:c r="G530" s="13" t="str">
        <x:v>canonical</x:v>
      </x:c>
      <x:c r="H530" s="13" t="str">
        <x:v>contextual</x:v>
      </x:c>
      <x:c r="I530" s="13" t="str">
        <x:v>claim+context</x:v>
      </x:c>
      <x:c r="J530" s="13" t="str">
        <x:v>derived_operational_subtype</x:v>
      </x:c>
      <x:c r="K530" s="13" t="str">
        <x:v>derived_from_established_parent_review_required</x:v>
      </x:c>
      <x:c r="L530" s="13" t="str">
        <x:v>P2</x:v>
      </x:c>
      <x:c r="M530" s="13" t="str">
        <x:v>no</x:v>
      </x:c>
      <x:c r="N530" s="13" t="str">
        <x:v>Operational subtype under Choice overload: the parent decision tendency appears in a choice argument. Parent definition: Decision quality or satisfaction decreases when options become excessive.</x:v>
      </x:c>
      <x:c r="O530" s="13" t="str">
        <x:v>Look for: explicit claim-level evidence; parent-family cues for Choice overload; variant cue: the parent decision tendency appears in a choice argument; avoid author-level inference.</x:v>
      </x:c>
      <x:c r="P530" s="13" t="str">
        <x:v>Exact evidence span in text plus claim-level reasoning link; for contextual/discourse entries, require surrounding context.</x:v>
      </x:c>
      <x:c r="Q530" s="13" t="str">
        <x:v>Do not label merely because topic is controversial, emotional, or wrong. Do not judge intent or personality. Require textual evidence and consider healthy-reasoning cues.</x:v>
      </x:c>
      <x:c r="R530" s="13" t="str">
        <x:v>Stub: A claim relies on the parent decision tendency appears in a choice argument to support a conclusion without adequate qualification.</x:v>
      </x:c>
      <x:c r="S530" s="13" t="str">
        <x:v>Stub: A claim discusses choice overload with caveats, balanced evidence, or no argumentative use of the pattern.</x:v>
      </x:c>
      <x:c r="T530" s="13" t="str">
        <x:v>Mild or ambiguous cue; do not classify without clear evidence span.</x:v>
      </x:c>
      <x:c r="U530" s="13" t="str">
        <x:v>Clear claim-level pattern with some argumentative impact.</x:v>
      </x:c>
      <x:c r="V530" s="13" t="str">
        <x:v>Strong pattern central to the conclusion and likely to materially distort reasoning.</x:v>
      </x:c>
      <x:c r="W530" s="13" t="str"/>
      <x:c r="X530" s="13" t="str">
        <x:v>thaler_sunstein_nudge</x:v>
      </x:c>
      <x:c r="Y530" s="13" t="str">
        <x:v>https://yalebooks.yale.edu/book/9780300262285/nudge/</x:v>
      </x:c>
      <x:c r="Z530" s="13" t="str">
        <x:v>Review before enabling. This workbook is a living taxonomy scaffold, not a validated scientific benchmark.</x:v>
      </x:c>
      <x:c r="AA530" s="13" t="str">
        <x:v>0.1.0-draft</x:v>
      </x:c>
      <x:c r="AB530" s="12" t="str">
        <x:f>IF(ISNUMBER(SEARCH("healthy",F530)),"healthy_reasoning_patterns",IF(ISNUMBER(SEARCH("statistical",F530)),"statistical_reasoning",IF(ISNUMBER(SEARCH("causal",F530)),"causal_reasoning",IF(ISNUMBER(SEARCH("social",F530)),"social_influence",IF(ISNUMBER(SEARCH("rhetoric",F530)),"rhetoric_discourse",IF(ISNUMBER(SEARCH("behavior",F530)),"behavioural_economics",IF(ISNUMBER(SEARCH("cognitive",F530)),"cognitive_biases",IF(J530="protective_pattern","healthy_reasoning_patterns",IF(L530="P0","core_mvp","extended_fallacies")))))))))</x:f>
        <x:v>extended_fallacies</x:v>
      </x:c>
      <x:c r="AC530" s="12" t="str">
        <x:f>IF(ISNUMBER(SEARCH("operational",J530)),"operational",IF(ISNUMBER(SEARCH("deprecated",J530)),"deprecated",IF(L530="P0","canonical","recognized_subtype")))</x:f>
        <x:v>operational</x:v>
      </x:c>
      <x:c r="AD530" s="12" t="str">
        <x:f>IF(AC530="canonical","high",IF(AC530="recognized_subtype","medium",IF(AC530="operational","operational_only","debated")))</x:f>
        <x:v>operational_only</x:v>
      </x:c>
      <x:c r="AE530" s="12" t="str">
        <x:f>IF(AC530="deprecated","deprecated",IF(M530="yes","active",IF(M530="review","review_required","backlog")))</x:f>
        <x:v>backlog</x:v>
      </x:c>
      <x:c r="AF530" s="12" t="str">
        <x:f>IF(OR(AE530="active",AE530="review_required"),"yes","no")</x:f>
        <x:v>no</x:v>
      </x:c>
      <x:c r="AG530" s="12" t="str">
        <x:f>IF(AND(AE530="active",M530="yes",NOT(ISNUMBER(SEARCH("healthy",AB530)))),"yes","no")</x:f>
        <x:v>no</x:v>
      </x:c>
      <x:c r="AH530" s="12" t="str">
        <x:f>IF(OR(H530="contextual",H530="dialogue",H530="discourse",I530="claim+context",I530="discourse_segment"),"yes","no")</x:f>
        <x:v>yes</x:v>
      </x:c>
      <x:c r="AI530" s="12" t="str">
        <x:f>IF(OR(AH530="yes",AD530="debated",AC530="operational"),"yes","no")</x:f>
        <x:v>yes</x:v>
      </x:c>
      <x:c r="AJ530" s="12" t="str">
        <x:f>IF(OR(AH530="yes",AC530="operational",AD530="debated"),"high",IF(AND(AG530="yes",L530="P0"),"medium","low"))</x:f>
        <x:v>high</x:v>
      </x:c>
      <x:c r="AK530" s="12" t="str">
        <x:f>IF(ISNUMBER(SEARCH("healthy",AB530)),"yes","no")</x:f>
        <x:v>no</x:v>
      </x:c>
      <x:c r="AL530" s="12" t="str">
        <x:f>IF(AG530="yes","yes","candidate_only")</x:f>
        <x:v>candidate_only</x:v>
      </x:c>
      <x:c r="AM530" s="12" t="str">
        <x:f>IF(OR(AC530="canonical",AG530="yes"),"yes","recommended")</x:f>
        <x:v>recommended</x:v>
      </x:c>
      <x:c r="AN530" s="12" t="str">
        <x:f>IF(AC530="deprecated","exclude",IF(AND(AG530="yes",AJ530="high"),"import_but_human_review_required",IF(AG530="yes","import_as_active","import_as_backlog")))</x:f>
        <x:v>import_as_backlog</x:v>
      </x:c>
      <x:c r="AO530" s="12" t="str">
        <x:f>IF(AND(AG530="yes",OR(P530="",Q530="",R530="",S530="")),"missing_required_mvp_fields",IF(AND(AC530="canonical",Y530=""),"missing_source_ref","ok"))</x:f>
        <x:v>ok</x:v>
      </x:c>
      <x:c r="AP530" s="12" t="str">
        <x:f>IF(AO530="ok","ready_for_codex_import","needs_review")</x:f>
        <x:v>ready_for_codex_import</x:v>
      </x:c>
      <x:c r="AQ530" s="12"/>
      <x:c r="AR530" s="12" t="str">
        <x:v>Added v2 operational fields. Review before classification activation.</x:v>
      </x:c>
    </x:row>
    <x:row r="531">
      <x:c r="A531" s="13" t="str">
        <x:v>decoy_effect_canonical</x:v>
      </x:c>
      <x:c r="B531" s="13" t="str">
        <x:v>decoy_effect</x:v>
      </x:c>
      <x:c r="C531" s="13" t="str">
        <x:v>Decoy effect</x:v>
      </x:c>
      <x:c r="D531" s="13" t="str">
        <x:v>اثر طعمه</x:v>
      </x:c>
      <x:c r="E531" s="13" t="str">
        <x:v>Canonical form</x:v>
      </x:c>
      <x:c r="F531" s="13" t="str">
        <x:v>decision_biases_behavioural_economics</x:v>
      </x:c>
      <x:c r="G531" s="13" t="str">
        <x:v>canonical</x:v>
      </x:c>
      <x:c r="H531" s="13" t="str">
        <x:v>contextual</x:v>
      </x:c>
      <x:c r="I531" s="13" t="str">
        <x:v>claim+context</x:v>
      </x:c>
      <x:c r="J531" s="13" t="str">
        <x:v>derived_operational_subtype</x:v>
      </x:c>
      <x:c r="K531" s="13" t="str">
        <x:v>derived_from_established_parent_review_required</x:v>
      </x:c>
      <x:c r="L531" s="13" t="str">
        <x:v>P2</x:v>
      </x:c>
      <x:c r="M531" s="13" t="str">
        <x:v>no</x:v>
      </x:c>
      <x:c r="N531" s="13" t="str">
        <x:v>Operational subtype under Decoy effect: the parent decision tendency appears in a choice argument. Parent definition: Preferences change when an asymmetrically dominated option is introduced.</x:v>
      </x:c>
      <x:c r="O531" s="13" t="str">
        <x:v>Look for: explicit claim-level evidence; parent-family cues for Decoy effect; variant cue: the parent decision tendency appears in a choice argument; avoid author-level inference.</x:v>
      </x:c>
      <x:c r="P531" s="13" t="str">
        <x:v>Exact evidence span in text plus claim-level reasoning link; for contextual/discourse entries, require surrounding context.</x:v>
      </x:c>
      <x:c r="Q531" s="13" t="str">
        <x:v>Do not label merely because topic is controversial, emotional, or wrong. Do not judge intent or personality. Require textual evidence and consider healthy-reasoning cues.</x:v>
      </x:c>
      <x:c r="R531" s="13" t="str">
        <x:v>Stub: A claim relies on the parent decision tendency appears in a choice argument to support a conclusion without adequate qualification.</x:v>
      </x:c>
      <x:c r="S531" s="13" t="str">
        <x:v>Stub: A claim discusses decoy effect with caveats, balanced evidence, or no argumentative use of the pattern.</x:v>
      </x:c>
      <x:c r="T531" s="13" t="str">
        <x:v>Mild or ambiguous cue; do not classify without clear evidence span.</x:v>
      </x:c>
      <x:c r="U531" s="13" t="str">
        <x:v>Clear claim-level pattern with some argumentative impact.</x:v>
      </x:c>
      <x:c r="V531" s="13" t="str">
        <x:v>Strong pattern central to the conclusion and likely to materially distort reasoning.</x:v>
      </x:c>
      <x:c r="W531" s="13" t="str"/>
      <x:c r="X531" s="13" t="str">
        <x:v>thaler_sunstein_nudge</x:v>
      </x:c>
      <x:c r="Y531" s="13" t="str">
        <x:v>https://yalebooks.yale.edu/book/9780300262285/nudge/</x:v>
      </x:c>
      <x:c r="Z531" s="13" t="str">
        <x:v>Review before enabling. This workbook is a living taxonomy scaffold, not a validated scientific benchmark.</x:v>
      </x:c>
      <x:c r="AA531" s="13" t="str">
        <x:v>0.1.0-draft</x:v>
      </x:c>
      <x:c r="AB531" s="12" t="str">
        <x:f>IF(ISNUMBER(SEARCH("healthy",F531)),"healthy_reasoning_patterns",IF(ISNUMBER(SEARCH("statistical",F531)),"statistical_reasoning",IF(ISNUMBER(SEARCH("causal",F531)),"causal_reasoning",IF(ISNUMBER(SEARCH("social",F531)),"social_influence",IF(ISNUMBER(SEARCH("rhetoric",F531)),"rhetoric_discourse",IF(ISNUMBER(SEARCH("behavior",F531)),"behavioural_economics",IF(ISNUMBER(SEARCH("cognitive",F531)),"cognitive_biases",IF(J531="protective_pattern","healthy_reasoning_patterns",IF(L531="P0","core_mvp","extended_fallacies")))))))))</x:f>
        <x:v>extended_fallacies</x:v>
      </x:c>
      <x:c r="AC531" s="12" t="str">
        <x:f>IF(ISNUMBER(SEARCH("operational",J531)),"operational",IF(ISNUMBER(SEARCH("deprecated",J531)),"deprecated",IF(L531="P0","canonical","recognized_subtype")))</x:f>
        <x:v>operational</x:v>
      </x:c>
      <x:c r="AD531" s="12" t="str">
        <x:f>IF(AC531="canonical","high",IF(AC531="recognized_subtype","medium",IF(AC531="operational","operational_only","debated")))</x:f>
        <x:v>operational_only</x:v>
      </x:c>
      <x:c r="AE531" s="12" t="str">
        <x:f>IF(AC531="deprecated","deprecated",IF(M531="yes","active",IF(M531="review","review_required","backlog")))</x:f>
        <x:v>backlog</x:v>
      </x:c>
      <x:c r="AF531" s="12" t="str">
        <x:f>IF(OR(AE531="active",AE531="review_required"),"yes","no")</x:f>
        <x:v>no</x:v>
      </x:c>
      <x:c r="AG531" s="12" t="str">
        <x:f>IF(AND(AE531="active",M531="yes",NOT(ISNUMBER(SEARCH("healthy",AB531)))),"yes","no")</x:f>
        <x:v>no</x:v>
      </x:c>
      <x:c r="AH531" s="12" t="str">
        <x:f>IF(OR(H531="contextual",H531="dialogue",H531="discourse",I531="claim+context",I531="discourse_segment"),"yes","no")</x:f>
        <x:v>yes</x:v>
      </x:c>
      <x:c r="AI531" s="12" t="str">
        <x:f>IF(OR(AH531="yes",AD531="debated",AC531="operational"),"yes","no")</x:f>
        <x:v>yes</x:v>
      </x:c>
      <x:c r="AJ531" s="12" t="str">
        <x:f>IF(OR(AH531="yes",AC531="operational",AD531="debated"),"high",IF(AND(AG531="yes",L531="P0"),"medium","low"))</x:f>
        <x:v>high</x:v>
      </x:c>
      <x:c r="AK531" s="12" t="str">
        <x:f>IF(ISNUMBER(SEARCH("healthy",AB531)),"yes","no")</x:f>
        <x:v>no</x:v>
      </x:c>
      <x:c r="AL531" s="12" t="str">
        <x:f>IF(AG531="yes","yes","candidate_only")</x:f>
        <x:v>candidate_only</x:v>
      </x:c>
      <x:c r="AM531" s="12" t="str">
        <x:f>IF(OR(AC531="canonical",AG531="yes"),"yes","recommended")</x:f>
        <x:v>recommended</x:v>
      </x:c>
      <x:c r="AN531" s="12" t="str">
        <x:f>IF(AC531="deprecated","exclude",IF(AND(AG531="yes",AJ531="high"),"import_but_human_review_required",IF(AG531="yes","import_as_active","import_as_backlog")))</x:f>
        <x:v>import_as_backlog</x:v>
      </x:c>
      <x:c r="AO531" s="12" t="str">
        <x:f>IF(AND(AG531="yes",OR(P531="",Q531="",R531="",S531="")),"missing_required_mvp_fields",IF(AND(AC531="canonical",Y531=""),"missing_source_ref","ok"))</x:f>
        <x:v>ok</x:v>
      </x:c>
      <x:c r="AP531" s="12" t="str">
        <x:f>IF(AO531="ok","ready_for_codex_import","needs_review")</x:f>
        <x:v>ready_for_codex_import</x:v>
      </x:c>
      <x:c r="AQ531" s="12"/>
      <x:c r="AR531" s="12" t="str">
        <x:v>Added v2 operational fields. Review before classification activation.</x:v>
      </x:c>
    </x:row>
    <x:row r="532">
      <x:c r="A532" s="13" t="str">
        <x:v>compromise_effect_canonical</x:v>
      </x:c>
      <x:c r="B532" s="13" t="str">
        <x:v>compromise_effect</x:v>
      </x:c>
      <x:c r="C532" s="13" t="str">
        <x:v>Compromise effect</x:v>
      </x:c>
      <x:c r="D532" s="13" t="str">
        <x:v>اثر گزینه میانی</x:v>
      </x:c>
      <x:c r="E532" s="13" t="str">
        <x:v>Canonical form</x:v>
      </x:c>
      <x:c r="F532" s="13" t="str">
        <x:v>decision_biases_behavioural_economics</x:v>
      </x:c>
      <x:c r="G532" s="13" t="str">
        <x:v>canonical</x:v>
      </x:c>
      <x:c r="H532" s="13" t="str">
        <x:v>contextual</x:v>
      </x:c>
      <x:c r="I532" s="13" t="str">
        <x:v>claim+context</x:v>
      </x:c>
      <x:c r="J532" s="13" t="str">
        <x:v>derived_operational_subtype</x:v>
      </x:c>
      <x:c r="K532" s="13" t="str">
        <x:v>derived_from_established_parent_review_required</x:v>
      </x:c>
      <x:c r="L532" s="13" t="str">
        <x:v>P2</x:v>
      </x:c>
      <x:c r="M532" s="13" t="str">
        <x:v>no</x:v>
      </x:c>
      <x:c r="N532" s="13" t="str">
        <x:v>Operational subtype under Compromise effect: the parent decision tendency appears in a choice argument. Parent definition: Preferring middle options because they appear safer or balanced.</x:v>
      </x:c>
      <x:c r="O532" s="13" t="str">
        <x:v>Look for: explicit claim-level evidence; parent-family cues for Compromise effect; variant cue: the parent decision tendency appears in a choice argument; avoid author-level inference.</x:v>
      </x:c>
      <x:c r="P532" s="13" t="str">
        <x:v>Exact evidence span in text plus claim-level reasoning link; for contextual/discourse entries, require surrounding context.</x:v>
      </x:c>
      <x:c r="Q532" s="13" t="str">
        <x:v>Do not label merely because topic is controversial, emotional, or wrong. Do not judge intent or personality. Require textual evidence and consider healthy-reasoning cues.</x:v>
      </x:c>
      <x:c r="R532" s="13" t="str">
        <x:v>Stub: A claim relies on the parent decision tendency appears in a choice argument to support a conclusion without adequate qualification.</x:v>
      </x:c>
      <x:c r="S532" s="13" t="str">
        <x:v>Stub: A claim discusses compromise effect with caveats, balanced evidence, or no argumentative use of the pattern.</x:v>
      </x:c>
      <x:c r="T532" s="13" t="str">
        <x:v>Mild or ambiguous cue; do not classify without clear evidence span.</x:v>
      </x:c>
      <x:c r="U532" s="13" t="str">
        <x:v>Clear claim-level pattern with some argumentative impact.</x:v>
      </x:c>
      <x:c r="V532" s="13" t="str">
        <x:v>Strong pattern central to the conclusion and likely to materially distort reasoning.</x:v>
      </x:c>
      <x:c r="W532" s="13" t="str"/>
      <x:c r="X532" s="13" t="str">
        <x:v>thaler_sunstein_nudge</x:v>
      </x:c>
      <x:c r="Y532" s="13" t="str">
        <x:v>https://yalebooks.yale.edu/book/9780300262285/nudge/</x:v>
      </x:c>
      <x:c r="Z532" s="13" t="str">
        <x:v>Review before enabling. This workbook is a living taxonomy scaffold, not a validated scientific benchmark.</x:v>
      </x:c>
      <x:c r="AA532" s="13" t="str">
        <x:v>0.1.0-draft</x:v>
      </x:c>
      <x:c r="AB532" s="12" t="str">
        <x:f>IF(ISNUMBER(SEARCH("healthy",F532)),"healthy_reasoning_patterns",IF(ISNUMBER(SEARCH("statistical",F532)),"statistical_reasoning",IF(ISNUMBER(SEARCH("causal",F532)),"causal_reasoning",IF(ISNUMBER(SEARCH("social",F532)),"social_influence",IF(ISNUMBER(SEARCH("rhetoric",F532)),"rhetoric_discourse",IF(ISNUMBER(SEARCH("behavior",F532)),"behavioural_economics",IF(ISNUMBER(SEARCH("cognitive",F532)),"cognitive_biases",IF(J532="protective_pattern","healthy_reasoning_patterns",IF(L532="P0","core_mvp","extended_fallacies")))))))))</x:f>
        <x:v>extended_fallacies</x:v>
      </x:c>
      <x:c r="AC532" s="12" t="str">
        <x:f>IF(ISNUMBER(SEARCH("operational",J532)),"operational",IF(ISNUMBER(SEARCH("deprecated",J532)),"deprecated",IF(L532="P0","canonical","recognized_subtype")))</x:f>
        <x:v>operational</x:v>
      </x:c>
      <x:c r="AD532" s="12" t="str">
        <x:f>IF(AC532="canonical","high",IF(AC532="recognized_subtype","medium",IF(AC532="operational","operational_only","debated")))</x:f>
        <x:v>operational_only</x:v>
      </x:c>
      <x:c r="AE532" s="12" t="str">
        <x:f>IF(AC532="deprecated","deprecated",IF(M532="yes","active",IF(M532="review","review_required","backlog")))</x:f>
        <x:v>backlog</x:v>
      </x:c>
      <x:c r="AF532" s="12" t="str">
        <x:f>IF(OR(AE532="active",AE532="review_required"),"yes","no")</x:f>
        <x:v>no</x:v>
      </x:c>
      <x:c r="AG532" s="12" t="str">
        <x:f>IF(AND(AE532="active",M532="yes",NOT(ISNUMBER(SEARCH("healthy",AB532)))),"yes","no")</x:f>
        <x:v>no</x:v>
      </x:c>
      <x:c r="AH532" s="12" t="str">
        <x:f>IF(OR(H532="contextual",H532="dialogue",H532="discourse",I532="claim+context",I532="discourse_segment"),"yes","no")</x:f>
        <x:v>yes</x:v>
      </x:c>
      <x:c r="AI532" s="12" t="str">
        <x:f>IF(OR(AH532="yes",AD532="debated",AC532="operational"),"yes","no")</x:f>
        <x:v>yes</x:v>
      </x:c>
      <x:c r="AJ532" s="12" t="str">
        <x:f>IF(OR(AH532="yes",AC532="operational",AD532="debated"),"high",IF(AND(AG532="yes",L532="P0"),"medium","low"))</x:f>
        <x:v>high</x:v>
      </x:c>
      <x:c r="AK532" s="12" t="str">
        <x:f>IF(ISNUMBER(SEARCH("healthy",AB532)),"yes","no")</x:f>
        <x:v>no</x:v>
      </x:c>
      <x:c r="AL532" s="12" t="str">
        <x:f>IF(AG532="yes","yes","candidate_only")</x:f>
        <x:v>candidate_only</x:v>
      </x:c>
      <x:c r="AM532" s="12" t="str">
        <x:f>IF(OR(AC532="canonical",AG532="yes"),"yes","recommended")</x:f>
        <x:v>recommended</x:v>
      </x:c>
      <x:c r="AN532" s="12" t="str">
        <x:f>IF(AC532="deprecated","exclude",IF(AND(AG532="yes",AJ532="high"),"import_but_human_review_required",IF(AG532="yes","import_as_active","import_as_backlog")))</x:f>
        <x:v>import_as_backlog</x:v>
      </x:c>
      <x:c r="AO532" s="12" t="str">
        <x:f>IF(AND(AG532="yes",OR(P532="",Q532="",R532="",S532="")),"missing_required_mvp_fields",IF(AND(AC532="canonical",Y532=""),"missing_source_ref","ok"))</x:f>
        <x:v>ok</x:v>
      </x:c>
      <x:c r="AP532" s="12" t="str">
        <x:f>IF(AO532="ok","ready_for_codex_import","needs_review")</x:f>
        <x:v>ready_for_codex_import</x:v>
      </x:c>
      <x:c r="AQ532" s="12"/>
      <x:c r="AR532" s="12" t="str">
        <x:v>Added v2 operational fields. Review before classification activation.</x:v>
      </x:c>
    </x:row>
    <x:row r="533">
      <x:c r="A533" s="13" t="str">
        <x:v>scarcity_bias_canonical</x:v>
      </x:c>
      <x:c r="B533" s="13" t="str">
        <x:v>scarcity_bias</x:v>
      </x:c>
      <x:c r="C533" s="13" t="str">
        <x:v>Scarcity bias</x:v>
      </x:c>
      <x:c r="D533" s="13" t="str">
        <x:v>سوگیری کمیابی</x:v>
      </x:c>
      <x:c r="E533" s="13" t="str">
        <x:v>Canonical form</x:v>
      </x:c>
      <x:c r="F533" s="13" t="str">
        <x:v>decision_biases_behavioural_economics</x:v>
      </x:c>
      <x:c r="G533" s="13" t="str">
        <x:v>canonical</x:v>
      </x:c>
      <x:c r="H533" s="13" t="str">
        <x:v>discourse</x:v>
      </x:c>
      <x:c r="I533" s="13" t="str">
        <x:v>discourse_segment</x:v>
      </x:c>
      <x:c r="J533" s="13" t="str">
        <x:v>derived_operational_subtype</x:v>
      </x:c>
      <x:c r="K533" s="13" t="str">
        <x:v>derived_from_established_parent_review_required</x:v>
      </x:c>
      <x:c r="L533" s="13" t="str">
        <x:v>P2</x:v>
      </x:c>
      <x:c r="M533" s="13" t="str">
        <x:v>no</x:v>
      </x:c>
      <x:c r="N533" s="13" t="str">
        <x:v>Operational subtype under Scarcity bias: the parent decision tendency appears in a choice argument. Parent definition: Overvaluing something because it is framed as scarce.</x:v>
      </x:c>
      <x:c r="O533" s="13" t="str">
        <x:v>Look for: explicit claim-level evidence; parent-family cues for Scarcity bias; variant cue: the parent decision tendency appears in a choice argument; avoid author-level inference.</x:v>
      </x:c>
      <x:c r="P533" s="13" t="str">
        <x:v>Exact evidence span in text plus claim-level reasoning link; for contextual/discourse entries, require surrounding context.</x:v>
      </x:c>
      <x:c r="Q533" s="13" t="str">
        <x:v>Do not label merely because topic is controversial, emotional, or wrong. Do not judge intent or personality. Require textual evidence and consider healthy-reasoning cues.</x:v>
      </x:c>
      <x:c r="R533" s="13" t="str">
        <x:v>Stub: A claim relies on the parent decision tendency appears in a choice argument to support a conclusion without adequate qualification.</x:v>
      </x:c>
      <x:c r="S533" s="13" t="str">
        <x:v>Stub: A claim discusses scarcity bias with caveats, balanced evidence, or no argumentative use of the pattern.</x:v>
      </x:c>
      <x:c r="T533" s="13" t="str">
        <x:v>Mild or ambiguous cue; do not classify without clear evidence span.</x:v>
      </x:c>
      <x:c r="U533" s="13" t="str">
        <x:v>Clear claim-level pattern with some argumentative impact.</x:v>
      </x:c>
      <x:c r="V533" s="13" t="str">
        <x:v>Strong pattern central to the conclusion and likely to materially distort reasoning.</x:v>
      </x:c>
      <x:c r="W533" s="13" t="str"/>
      <x:c r="X533" s="13" t="str">
        <x:v>cialdini_influence</x:v>
      </x:c>
      <x:c r="Y533" s="13" t="str">
        <x:v>https://www.pearson.com/en-us/subject-catalog/p/influence-science-and-practice/P200000003004</x:v>
      </x:c>
      <x:c r="Z533" s="13" t="str">
        <x:v>Review before enabling. This workbook is a living taxonomy scaffold, not a validated scientific benchmark.</x:v>
      </x:c>
      <x:c r="AA533" s="13" t="str">
        <x:v>0.1.0-draft</x:v>
      </x:c>
      <x:c r="AB533" s="12" t="str">
        <x:f>IF(ISNUMBER(SEARCH("healthy",F533)),"healthy_reasoning_patterns",IF(ISNUMBER(SEARCH("statistical",F533)),"statistical_reasoning",IF(ISNUMBER(SEARCH("causal",F533)),"causal_reasoning",IF(ISNUMBER(SEARCH("social",F533)),"social_influence",IF(ISNUMBER(SEARCH("rhetoric",F533)),"rhetoric_discourse",IF(ISNUMBER(SEARCH("behavior",F533)),"behavioural_economics",IF(ISNUMBER(SEARCH("cognitive",F533)),"cognitive_biases",IF(J533="protective_pattern","healthy_reasoning_patterns",IF(L533="P0","core_mvp","extended_fallacies")))))))))</x:f>
        <x:v>extended_fallacies</x:v>
      </x:c>
      <x:c r="AC533" s="12" t="str">
        <x:f>IF(ISNUMBER(SEARCH("operational",J533)),"operational",IF(ISNUMBER(SEARCH("deprecated",J533)),"deprecated",IF(L533="P0","canonical","recognized_subtype")))</x:f>
        <x:v>operational</x:v>
      </x:c>
      <x:c r="AD533" s="12" t="str">
        <x:f>IF(AC533="canonical","high",IF(AC533="recognized_subtype","medium",IF(AC533="operational","operational_only","debated")))</x:f>
        <x:v>operational_only</x:v>
      </x:c>
      <x:c r="AE533" s="12" t="str">
        <x:f>IF(AC533="deprecated","deprecated",IF(M533="yes","active",IF(M533="review","review_required","backlog")))</x:f>
        <x:v>backlog</x:v>
      </x:c>
      <x:c r="AF533" s="12" t="str">
        <x:f>IF(OR(AE533="active",AE533="review_required"),"yes","no")</x:f>
        <x:v>no</x:v>
      </x:c>
      <x:c r="AG533" s="12" t="str">
        <x:f>IF(AND(AE533="active",M533="yes",NOT(ISNUMBER(SEARCH("healthy",AB533)))),"yes","no")</x:f>
        <x:v>no</x:v>
      </x:c>
      <x:c r="AH533" s="12" t="str">
        <x:f>IF(OR(H533="contextual",H533="dialogue",H533="discourse",I533="claim+context",I533="discourse_segment"),"yes","no")</x:f>
        <x:v>yes</x:v>
      </x:c>
      <x:c r="AI533" s="12" t="str">
        <x:f>IF(OR(AH533="yes",AD533="debated",AC533="operational"),"yes","no")</x:f>
        <x:v>yes</x:v>
      </x:c>
      <x:c r="AJ533" s="12" t="str">
        <x:f>IF(OR(AH533="yes",AC533="operational",AD533="debated"),"high",IF(AND(AG533="yes",L533="P0"),"medium","low"))</x:f>
        <x:v>high</x:v>
      </x:c>
      <x:c r="AK533" s="12" t="str">
        <x:f>IF(ISNUMBER(SEARCH("healthy",AB533)),"yes","no")</x:f>
        <x:v>no</x:v>
      </x:c>
      <x:c r="AL533" s="12" t="str">
        <x:f>IF(AG533="yes","yes","candidate_only")</x:f>
        <x:v>candidate_only</x:v>
      </x:c>
      <x:c r="AM533" s="12" t="str">
        <x:f>IF(OR(AC533="canonical",AG533="yes"),"yes","recommended")</x:f>
        <x:v>recommended</x:v>
      </x:c>
      <x:c r="AN533" s="12" t="str">
        <x:f>IF(AC533="deprecated","exclude",IF(AND(AG533="yes",AJ533="high"),"import_but_human_review_required",IF(AG533="yes","import_as_active","import_as_backlog")))</x:f>
        <x:v>import_as_backlog</x:v>
      </x:c>
      <x:c r="AO533" s="12" t="str">
        <x:f>IF(AND(AG533="yes",OR(P533="",Q533="",R533="",S533="")),"missing_required_mvp_fields",IF(AND(AC533="canonical",Y533=""),"missing_source_ref","ok"))</x:f>
        <x:v>ok</x:v>
      </x:c>
      <x:c r="AP533" s="12" t="str">
        <x:f>IF(AO533="ok","ready_for_codex_import","needs_review")</x:f>
        <x:v>ready_for_codex_import</x:v>
      </x:c>
      <x:c r="AQ533" s="12"/>
      <x:c r="AR533" s="12" t="str">
        <x:v>Added v2 operational fields. Review before classification activation.</x:v>
      </x:c>
    </x:row>
    <x:row r="534">
      <x:c r="A534" s="13" t="str">
        <x:v>zero_price_effect_canonical</x:v>
      </x:c>
      <x:c r="B534" s="13" t="str">
        <x:v>zero_price_effect</x:v>
      </x:c>
      <x:c r="C534" s="13" t="str">
        <x:v>Zero-price effect</x:v>
      </x:c>
      <x:c r="D534" s="13" t="str">
        <x:v>اثر قیمت صفر</x:v>
      </x:c>
      <x:c r="E534" s="13" t="str">
        <x:v>Canonical form</x:v>
      </x:c>
      <x:c r="F534" s="13" t="str">
        <x:v>decision_biases_behavioural_economics</x:v>
      </x:c>
      <x:c r="G534" s="13" t="str">
        <x:v>canonical</x:v>
      </x:c>
      <x:c r="H534" s="13" t="str">
        <x:v>contextual</x:v>
      </x:c>
      <x:c r="I534" s="13" t="str">
        <x:v>claim+context</x:v>
      </x:c>
      <x:c r="J534" s="13" t="str">
        <x:v>derived_operational_subtype</x:v>
      </x:c>
      <x:c r="K534" s="13" t="str">
        <x:v>derived_from_established_parent_review_required</x:v>
      </x:c>
      <x:c r="L534" s="13" t="str">
        <x:v>P2</x:v>
      </x:c>
      <x:c r="M534" s="13" t="str">
        <x:v>no</x:v>
      </x:c>
      <x:c r="N534" s="13" t="str">
        <x:v>Operational subtype under Zero-price effect: the parent decision tendency appears in a choice argument. Parent definition: Overvaluing free options relative to small-cost alternatives.</x:v>
      </x:c>
      <x:c r="O534" s="13" t="str">
        <x:v>Look for: explicit claim-level evidence; parent-family cues for Zero-price effect; variant cue: the parent decision tendency appears in a choice argument; avoid author-level inference.</x:v>
      </x:c>
      <x:c r="P534" s="13" t="str">
        <x:v>Exact evidence span in text plus claim-level reasoning link; for contextual/discourse entries, require surrounding context.</x:v>
      </x:c>
      <x:c r="Q534" s="13" t="str">
        <x:v>Do not label merely because topic is controversial, emotional, or wrong. Do not judge intent or personality. Require textual evidence and consider healthy-reasoning cues.</x:v>
      </x:c>
      <x:c r="R534" s="13" t="str">
        <x:v>Stub: A claim relies on the parent decision tendency appears in a choice argument to support a conclusion without adequate qualification.</x:v>
      </x:c>
      <x:c r="S534" s="13" t="str">
        <x:v>Stub: A claim discusses zero-price effect with caveats, balanced evidence, or no argumentative use of the pattern.</x:v>
      </x:c>
      <x:c r="T534" s="13" t="str">
        <x:v>Mild or ambiguous cue; do not classify without clear evidence span.</x:v>
      </x:c>
      <x:c r="U534" s="13" t="str">
        <x:v>Clear claim-level pattern with some argumentative impact.</x:v>
      </x:c>
      <x:c r="V534" s="13" t="str">
        <x:v>Strong pattern central to the conclusion and likely to materially distort reasoning.</x:v>
      </x:c>
      <x:c r="W534" s="13" t="str"/>
      <x:c r="X534" s="13" t="str">
        <x:v>thaler_sunstein_nudge</x:v>
      </x:c>
      <x:c r="Y534" s="13" t="str">
        <x:v>https://yalebooks.yale.edu/book/9780300262285/nudge/</x:v>
      </x:c>
      <x:c r="Z534" s="13" t="str">
        <x:v>Review before enabling. This workbook is a living taxonomy scaffold, not a validated scientific benchmark.</x:v>
      </x:c>
      <x:c r="AA534" s="13" t="str">
        <x:v>0.1.0-draft</x:v>
      </x:c>
      <x:c r="AB534" s="12" t="str">
        <x:f>IF(ISNUMBER(SEARCH("healthy",F534)),"healthy_reasoning_patterns",IF(ISNUMBER(SEARCH("statistical",F534)),"statistical_reasoning",IF(ISNUMBER(SEARCH("causal",F534)),"causal_reasoning",IF(ISNUMBER(SEARCH("social",F534)),"social_influence",IF(ISNUMBER(SEARCH("rhetoric",F534)),"rhetoric_discourse",IF(ISNUMBER(SEARCH("behavior",F534)),"behavioural_economics",IF(ISNUMBER(SEARCH("cognitive",F534)),"cognitive_biases",IF(J534="protective_pattern","healthy_reasoning_patterns",IF(L534="P0","core_mvp","extended_fallacies")))))))))</x:f>
        <x:v>extended_fallacies</x:v>
      </x:c>
      <x:c r="AC534" s="12" t="str">
        <x:f>IF(ISNUMBER(SEARCH("operational",J534)),"operational",IF(ISNUMBER(SEARCH("deprecated",J534)),"deprecated",IF(L534="P0","canonical","recognized_subtype")))</x:f>
        <x:v>operational</x:v>
      </x:c>
      <x:c r="AD534" s="12" t="str">
        <x:f>IF(AC534="canonical","high",IF(AC534="recognized_subtype","medium",IF(AC534="operational","operational_only","debated")))</x:f>
        <x:v>operational_only</x:v>
      </x:c>
      <x:c r="AE534" s="12" t="str">
        <x:f>IF(AC534="deprecated","deprecated",IF(M534="yes","active",IF(M534="review","review_required","backlog")))</x:f>
        <x:v>backlog</x:v>
      </x:c>
      <x:c r="AF534" s="12" t="str">
        <x:f>IF(OR(AE534="active",AE534="review_required"),"yes","no")</x:f>
        <x:v>no</x:v>
      </x:c>
      <x:c r="AG534" s="12" t="str">
        <x:f>IF(AND(AE534="active",M534="yes",NOT(ISNUMBER(SEARCH("healthy",AB534)))),"yes","no")</x:f>
        <x:v>no</x:v>
      </x:c>
      <x:c r="AH534" s="12" t="str">
        <x:f>IF(OR(H534="contextual",H534="dialogue",H534="discourse",I534="claim+context",I534="discourse_segment"),"yes","no")</x:f>
        <x:v>yes</x:v>
      </x:c>
      <x:c r="AI534" s="12" t="str">
        <x:f>IF(OR(AH534="yes",AD534="debated",AC534="operational"),"yes","no")</x:f>
        <x:v>yes</x:v>
      </x:c>
      <x:c r="AJ534" s="12" t="str">
        <x:f>IF(OR(AH534="yes",AC534="operational",AD534="debated"),"high",IF(AND(AG534="yes",L534="P0"),"medium","low"))</x:f>
        <x:v>high</x:v>
      </x:c>
      <x:c r="AK534" s="12" t="str">
        <x:f>IF(ISNUMBER(SEARCH("healthy",AB534)),"yes","no")</x:f>
        <x:v>no</x:v>
      </x:c>
      <x:c r="AL534" s="12" t="str">
        <x:f>IF(AG534="yes","yes","candidate_only")</x:f>
        <x:v>candidate_only</x:v>
      </x:c>
      <x:c r="AM534" s="12" t="str">
        <x:f>IF(OR(AC534="canonical",AG534="yes"),"yes","recommended")</x:f>
        <x:v>recommended</x:v>
      </x:c>
      <x:c r="AN534" s="12" t="str">
        <x:f>IF(AC534="deprecated","exclude",IF(AND(AG534="yes",AJ534="high"),"import_but_human_review_required",IF(AG534="yes","import_as_active","import_as_backlog")))</x:f>
        <x:v>import_as_backlog</x:v>
      </x:c>
      <x:c r="AO534" s="12" t="str">
        <x:f>IF(AND(AG534="yes",OR(P534="",Q534="",R534="",S534="")),"missing_required_mvp_fields",IF(AND(AC534="canonical",Y534=""),"missing_source_ref","ok"))</x:f>
        <x:v>ok</x:v>
      </x:c>
      <x:c r="AP534" s="12" t="str">
        <x:f>IF(AO534="ok","ready_for_codex_import","needs_review")</x:f>
        <x:v>ready_for_codex_import</x:v>
      </x:c>
      <x:c r="AQ534" s="12"/>
      <x:c r="AR534" s="12" t="str">
        <x:v>Added v2 operational fields. Review before classification activation.</x:v>
      </x:c>
    </x:row>
    <x:row r="535">
      <x:c r="A535" s="13" t="str">
        <x:v>mental_accounting_canonical</x:v>
      </x:c>
      <x:c r="B535" s="13" t="str">
        <x:v>mental_accounting</x:v>
      </x:c>
      <x:c r="C535" s="13" t="str">
        <x:v>Mental accounting</x:v>
      </x:c>
      <x:c r="D535" s="13" t="str">
        <x:v>حسابداری ذهنی</x:v>
      </x:c>
      <x:c r="E535" s="13" t="str">
        <x:v>Canonical form</x:v>
      </x:c>
      <x:c r="F535" s="13" t="str">
        <x:v>decision_biases_behavioural_economics</x:v>
      </x:c>
      <x:c r="G535" s="13" t="str">
        <x:v>canonical</x:v>
      </x:c>
      <x:c r="H535" s="13" t="str">
        <x:v>contextual</x:v>
      </x:c>
      <x:c r="I535" s="13" t="str">
        <x:v>claim+context</x:v>
      </x:c>
      <x:c r="J535" s="13" t="str">
        <x:v>derived_operational_subtype</x:v>
      </x:c>
      <x:c r="K535" s="13" t="str">
        <x:v>derived_from_established_parent_review_required</x:v>
      </x:c>
      <x:c r="L535" s="13" t="str">
        <x:v>P2</x:v>
      </x:c>
      <x:c r="M535" s="13" t="str">
        <x:v>no</x:v>
      </x:c>
      <x:c r="N535" s="13" t="str">
        <x:v>Operational subtype under Mental accounting: the parent decision tendency appears in a choice argument. Parent definition: Treating money or resources differently based on arbitrary mental categories.</x:v>
      </x:c>
      <x:c r="O535" s="13" t="str">
        <x:v>Look for: explicit claim-level evidence; parent-family cues for Mental accounting; variant cue: the parent decision tendency appears in a choice argument; avoid author-level inference.</x:v>
      </x:c>
      <x:c r="P535" s="13" t="str">
        <x:v>Exact evidence span in text plus claim-level reasoning link; for contextual/discourse entries, require surrounding context.</x:v>
      </x:c>
      <x:c r="Q535" s="13" t="str">
        <x:v>Do not label merely because topic is controversial, emotional, or wrong. Do not judge intent or personality. Require textual evidence and consider healthy-reasoning cues.</x:v>
      </x:c>
      <x:c r="R535" s="13" t="str">
        <x:v>Stub: A claim relies on the parent decision tendency appears in a choice argument to support a conclusion without adequate qualification.</x:v>
      </x:c>
      <x:c r="S535" s="13" t="str">
        <x:v>Stub: A claim discusses mental accounting with caveats, balanced evidence, or no argumentative use of the pattern.</x:v>
      </x:c>
      <x:c r="T535" s="13" t="str">
        <x:v>Mild or ambiguous cue; do not classify without clear evidence span.</x:v>
      </x:c>
      <x:c r="U535" s="13" t="str">
        <x:v>Clear claim-level pattern with some argumentative impact.</x:v>
      </x:c>
      <x:c r="V535" s="13" t="str">
        <x:v>Strong pattern central to the conclusion and likely to materially distort reasoning.</x:v>
      </x:c>
      <x:c r="W535" s="13" t="str"/>
      <x:c r="X535" s="13" t="str">
        <x:v>thaler_sunstein_nudge</x:v>
      </x:c>
      <x:c r="Y535" s="13" t="str">
        <x:v>https://yalebooks.yale.edu/book/9780300262285/nudge/</x:v>
      </x:c>
      <x:c r="Z535" s="13" t="str">
        <x:v>Review before enabling. This workbook is a living taxonomy scaffold, not a validated scientific benchmark.</x:v>
      </x:c>
      <x:c r="AA535" s="13" t="str">
        <x:v>0.1.0-draft</x:v>
      </x:c>
      <x:c r="AB535" s="12" t="str">
        <x:f>IF(ISNUMBER(SEARCH("healthy",F535)),"healthy_reasoning_patterns",IF(ISNUMBER(SEARCH("statistical",F535)),"statistical_reasoning",IF(ISNUMBER(SEARCH("causal",F535)),"causal_reasoning",IF(ISNUMBER(SEARCH("social",F535)),"social_influence",IF(ISNUMBER(SEARCH("rhetoric",F535)),"rhetoric_discourse",IF(ISNUMBER(SEARCH("behavior",F535)),"behavioural_economics",IF(ISNUMBER(SEARCH("cognitive",F535)),"cognitive_biases",IF(J535="protective_pattern","healthy_reasoning_patterns",IF(L535="P0","core_mvp","extended_fallacies")))))))))</x:f>
        <x:v>extended_fallacies</x:v>
      </x:c>
      <x:c r="AC535" s="12" t="str">
        <x:f>IF(ISNUMBER(SEARCH("operational",J535)),"operational",IF(ISNUMBER(SEARCH("deprecated",J535)),"deprecated",IF(L535="P0","canonical","recognized_subtype")))</x:f>
        <x:v>operational</x:v>
      </x:c>
      <x:c r="AD535" s="12" t="str">
        <x:f>IF(AC535="canonical","high",IF(AC535="recognized_subtype","medium",IF(AC535="operational","operational_only","debated")))</x:f>
        <x:v>operational_only</x:v>
      </x:c>
      <x:c r="AE535" s="12" t="str">
        <x:f>IF(AC535="deprecated","deprecated",IF(M535="yes","active",IF(M535="review","review_required","backlog")))</x:f>
        <x:v>backlog</x:v>
      </x:c>
      <x:c r="AF535" s="12" t="str">
        <x:f>IF(OR(AE535="active",AE535="review_required"),"yes","no")</x:f>
        <x:v>no</x:v>
      </x:c>
      <x:c r="AG535" s="12" t="str">
        <x:f>IF(AND(AE535="active",M535="yes",NOT(ISNUMBER(SEARCH("healthy",AB535)))),"yes","no")</x:f>
        <x:v>no</x:v>
      </x:c>
      <x:c r="AH535" s="12" t="str">
        <x:f>IF(OR(H535="contextual",H535="dialogue",H535="discourse",I535="claim+context",I535="discourse_segment"),"yes","no")</x:f>
        <x:v>yes</x:v>
      </x:c>
      <x:c r="AI535" s="12" t="str">
        <x:f>IF(OR(AH535="yes",AD535="debated",AC535="operational"),"yes","no")</x:f>
        <x:v>yes</x:v>
      </x:c>
      <x:c r="AJ535" s="12" t="str">
        <x:f>IF(OR(AH535="yes",AC535="operational",AD535="debated"),"high",IF(AND(AG535="yes",L535="P0"),"medium","low"))</x:f>
        <x:v>high</x:v>
      </x:c>
      <x:c r="AK535" s="12" t="str">
        <x:f>IF(ISNUMBER(SEARCH("healthy",AB535)),"yes","no")</x:f>
        <x:v>no</x:v>
      </x:c>
      <x:c r="AL535" s="12" t="str">
        <x:f>IF(AG535="yes","yes","candidate_only")</x:f>
        <x:v>candidate_only</x:v>
      </x:c>
      <x:c r="AM535" s="12" t="str">
        <x:f>IF(OR(AC535="canonical",AG535="yes"),"yes","recommended")</x:f>
        <x:v>recommended</x:v>
      </x:c>
      <x:c r="AN535" s="12" t="str">
        <x:f>IF(AC535="deprecated","exclude",IF(AND(AG535="yes",AJ535="high"),"import_but_human_review_required",IF(AG535="yes","import_as_active","import_as_backlog")))</x:f>
        <x:v>import_as_backlog</x:v>
      </x:c>
      <x:c r="AO535" s="12" t="str">
        <x:f>IF(AND(AG535="yes",OR(P535="",Q535="",R535="",S535="")),"missing_required_mvp_fields",IF(AND(AC535="canonical",Y535=""),"missing_source_ref","ok"))</x:f>
        <x:v>ok</x:v>
      </x:c>
      <x:c r="AP535" s="12" t="str">
        <x:f>IF(AO535="ok","ready_for_codex_import","needs_review")</x:f>
        <x:v>ready_for_codex_import</x:v>
      </x:c>
      <x:c r="AQ535" s="12"/>
      <x:c r="AR535" s="12" t="str">
        <x:v>Added v2 operational fields. Review before classification activation.</x:v>
      </x:c>
    </x:row>
    <x:row r="536">
      <x:c r="A536" s="13" t="str">
        <x:v>reference_dependence_canonical</x:v>
      </x:c>
      <x:c r="B536" s="13" t="str">
        <x:v>reference_dependence</x:v>
      </x:c>
      <x:c r="C536" s="13" t="str">
        <x:v>Reference dependence</x:v>
      </x:c>
      <x:c r="D536" s="13" t="str">
        <x:v>وابستگی به نقطه مرجع</x:v>
      </x:c>
      <x:c r="E536" s="13" t="str">
        <x:v>Canonical form</x:v>
      </x:c>
      <x:c r="F536" s="13" t="str">
        <x:v>decision_biases_behavioural_economics</x:v>
      </x:c>
      <x:c r="G536" s="13" t="str">
        <x:v>canonical</x:v>
      </x:c>
      <x:c r="H536" s="13" t="str">
        <x:v>contextual</x:v>
      </x:c>
      <x:c r="I536" s="13" t="str">
        <x:v>claim+context</x:v>
      </x:c>
      <x:c r="J536" s="13" t="str">
        <x:v>derived_operational_subtype</x:v>
      </x:c>
      <x:c r="K536" s="13" t="str">
        <x:v>derived_from_established_parent_review_required</x:v>
      </x:c>
      <x:c r="L536" s="13" t="str">
        <x:v>P2</x:v>
      </x:c>
      <x:c r="M536" s="13" t="str">
        <x:v>no</x:v>
      </x:c>
      <x:c r="N536" s="13" t="str">
        <x:v>Operational subtype under Reference dependence: the parent decision tendency appears in a choice argument. Parent definition: Evaluating outcomes relative to a reference point rather than final state.</x:v>
      </x:c>
      <x:c r="O536" s="13" t="str">
        <x:v>Look for: explicit claim-level evidence; parent-family cues for Reference dependence; variant cue: the parent decision tendency appears in a choice argument; avoid author-level inference.</x:v>
      </x:c>
      <x:c r="P536" s="13" t="str">
        <x:v>Exact evidence span in text plus claim-level reasoning link; for contextual/discourse entries, require surrounding context.</x:v>
      </x:c>
      <x:c r="Q536" s="13" t="str">
        <x:v>Do not label merely because topic is controversial, emotional, or wrong. Do not judge intent or personality. Require textual evidence and consider healthy-reasoning cues.</x:v>
      </x:c>
      <x:c r="R536" s="13" t="str">
        <x:v>Stub: A claim relies on the parent decision tendency appears in a choice argument to support a conclusion without adequate qualification.</x:v>
      </x:c>
      <x:c r="S536" s="13" t="str">
        <x:v>Stub: A claim discusses reference dependence with caveats, balanced evidence, or no argumentative use of the pattern.</x:v>
      </x:c>
      <x:c r="T536" s="13" t="str">
        <x:v>Mild or ambiguous cue; do not classify without clear evidence span.</x:v>
      </x:c>
      <x:c r="U536" s="13" t="str">
        <x:v>Clear claim-level pattern with some argumentative impact.</x:v>
      </x:c>
      <x:c r="V536" s="13" t="str">
        <x:v>Strong pattern central to the conclusion and likely to materially distort reasoning.</x:v>
      </x:c>
      <x:c r="W536" s="13" t="str"/>
      <x:c r="X536" s="13" t="str">
        <x:v>kahneman_tversky_prospect_1979</x:v>
      </x:c>
      <x:c r="Y536" s="13" t="str">
        <x:v>https://doi.org/10.2307/1914185</x:v>
      </x:c>
      <x:c r="Z536" s="13" t="str">
        <x:v>Review before enabling. This workbook is a living taxonomy scaffold, not a validated scientific benchmark.</x:v>
      </x:c>
      <x:c r="AA536" s="13" t="str">
        <x:v>0.1.0-draft</x:v>
      </x:c>
      <x:c r="AB536" s="12" t="str">
        <x:f>IF(ISNUMBER(SEARCH("healthy",F536)),"healthy_reasoning_patterns",IF(ISNUMBER(SEARCH("statistical",F536)),"statistical_reasoning",IF(ISNUMBER(SEARCH("causal",F536)),"causal_reasoning",IF(ISNUMBER(SEARCH("social",F536)),"social_influence",IF(ISNUMBER(SEARCH("rhetoric",F536)),"rhetoric_discourse",IF(ISNUMBER(SEARCH("behavior",F536)),"behavioural_economics",IF(ISNUMBER(SEARCH("cognitive",F536)),"cognitive_biases",IF(J536="protective_pattern","healthy_reasoning_patterns",IF(L536="P0","core_mvp","extended_fallacies")))))))))</x:f>
        <x:v>extended_fallacies</x:v>
      </x:c>
      <x:c r="AC536" s="12" t="str">
        <x:f>IF(ISNUMBER(SEARCH("operational",J536)),"operational",IF(ISNUMBER(SEARCH("deprecated",J536)),"deprecated",IF(L536="P0","canonical","recognized_subtype")))</x:f>
        <x:v>operational</x:v>
      </x:c>
      <x:c r="AD536" s="12" t="str">
        <x:f>IF(AC536="canonical","high",IF(AC536="recognized_subtype","medium",IF(AC536="operational","operational_only","debated")))</x:f>
        <x:v>operational_only</x:v>
      </x:c>
      <x:c r="AE536" s="12" t="str">
        <x:f>IF(AC536="deprecated","deprecated",IF(M536="yes","active",IF(M536="review","review_required","backlog")))</x:f>
        <x:v>backlog</x:v>
      </x:c>
      <x:c r="AF536" s="12" t="str">
        <x:f>IF(OR(AE536="active",AE536="review_required"),"yes","no")</x:f>
        <x:v>no</x:v>
      </x:c>
      <x:c r="AG536" s="12" t="str">
        <x:f>IF(AND(AE536="active",M536="yes",NOT(ISNUMBER(SEARCH("healthy",AB536)))),"yes","no")</x:f>
        <x:v>no</x:v>
      </x:c>
      <x:c r="AH536" s="12" t="str">
        <x:f>IF(OR(H536="contextual",H536="dialogue",H536="discourse",I536="claim+context",I536="discourse_segment"),"yes","no")</x:f>
        <x:v>yes</x:v>
      </x:c>
      <x:c r="AI536" s="12" t="str">
        <x:f>IF(OR(AH536="yes",AD536="debated",AC536="operational"),"yes","no")</x:f>
        <x:v>yes</x:v>
      </x:c>
      <x:c r="AJ536" s="12" t="str">
        <x:f>IF(OR(AH536="yes",AC536="operational",AD536="debated"),"high",IF(AND(AG536="yes",L536="P0"),"medium","low"))</x:f>
        <x:v>high</x:v>
      </x:c>
      <x:c r="AK536" s="12" t="str">
        <x:f>IF(ISNUMBER(SEARCH("healthy",AB536)),"yes","no")</x:f>
        <x:v>no</x:v>
      </x:c>
      <x:c r="AL536" s="12" t="str">
        <x:f>IF(AG536="yes","yes","candidate_only")</x:f>
        <x:v>candidate_only</x:v>
      </x:c>
      <x:c r="AM536" s="12" t="str">
        <x:f>IF(OR(AC536="canonical",AG536="yes"),"yes","recommended")</x:f>
        <x:v>recommended</x:v>
      </x:c>
      <x:c r="AN536" s="12" t="str">
        <x:f>IF(AC536="deprecated","exclude",IF(AND(AG536="yes",AJ536="high"),"import_but_human_review_required",IF(AG536="yes","import_as_active","import_as_backlog")))</x:f>
        <x:v>import_as_backlog</x:v>
      </x:c>
      <x:c r="AO536" s="12" t="str">
        <x:f>IF(AND(AG536="yes",OR(P536="",Q536="",R536="",S536="")),"missing_required_mvp_fields",IF(AND(AC536="canonical",Y536=""),"missing_source_ref","ok"))</x:f>
        <x:v>ok</x:v>
      </x:c>
      <x:c r="AP536" s="12" t="str">
        <x:f>IF(AO536="ok","ready_for_codex_import","needs_review")</x:f>
        <x:v>ready_for_codex_import</x:v>
      </x:c>
      <x:c r="AQ536" s="12"/>
      <x:c r="AR536" s="12" t="str">
        <x:v>Added v2 operational fields. Review before classification activation.</x:v>
      </x:c>
    </x:row>
    <x:row r="537">
      <x:c r="A537" s="13" t="str">
        <x:v>risk_seeking_in_losses_canonical</x:v>
      </x:c>
      <x:c r="B537" s="13" t="str">
        <x:v>risk_seeking_in_losses</x:v>
      </x:c>
      <x:c r="C537" s="13" t="str">
        <x:v>Risk seeking in losses</x:v>
      </x:c>
      <x:c r="D537" s="13" t="str">
        <x:v>ریسک‌پذیری در چارچوب زیان</x:v>
      </x:c>
      <x:c r="E537" s="13" t="str">
        <x:v>Canonical form</x:v>
      </x:c>
      <x:c r="F537" s="13" t="str">
        <x:v>decision_biases_behavioural_economics</x:v>
      </x:c>
      <x:c r="G537" s="13" t="str">
        <x:v>canonical</x:v>
      </x:c>
      <x:c r="H537" s="13" t="str">
        <x:v>contextual</x:v>
      </x:c>
      <x:c r="I537" s="13" t="str">
        <x:v>claim+context</x:v>
      </x:c>
      <x:c r="J537" s="13" t="str">
        <x:v>derived_operational_subtype</x:v>
      </x:c>
      <x:c r="K537" s="13" t="str">
        <x:v>derived_from_established_parent_review_required</x:v>
      </x:c>
      <x:c r="L537" s="13" t="str">
        <x:v>P2</x:v>
      </x:c>
      <x:c r="M537" s="13" t="str">
        <x:v>no</x:v>
      </x:c>
      <x:c r="N537" s="13" t="str">
        <x:v>Operational subtype under Risk seeking in losses: the parent decision tendency appears in a choice argument. Parent definition: Choosing riskier options to avoid a framed loss.</x:v>
      </x:c>
      <x:c r="O537" s="13" t="str">
        <x:v>Look for: explicit claim-level evidence; parent-family cues for Risk seeking in losses; variant cue: the parent decision tendency appears in a choice argument; avoid author-level inference.</x:v>
      </x:c>
      <x:c r="P537" s="13" t="str">
        <x:v>Exact evidence span in text plus claim-level reasoning link; for contextual/discourse entries, require surrounding context.</x:v>
      </x:c>
      <x:c r="Q537" s="13" t="str">
        <x:v>Do not label merely because topic is controversial, emotional, or wrong. Do not judge intent or personality. Require textual evidence and consider healthy-reasoning cues.</x:v>
      </x:c>
      <x:c r="R537" s="13" t="str">
        <x:v>Stub: A claim relies on the parent decision tendency appears in a choice argument to support a conclusion without adequate qualification.</x:v>
      </x:c>
      <x:c r="S537" s="13" t="str">
        <x:v>Stub: A claim discusses risk seeking in losses with caveats, balanced evidence, or no argumentative use of the pattern.</x:v>
      </x:c>
      <x:c r="T537" s="13" t="str">
        <x:v>Mild or ambiguous cue; do not classify without clear evidence span.</x:v>
      </x:c>
      <x:c r="U537" s="13" t="str">
        <x:v>Clear claim-level pattern with some argumentative impact.</x:v>
      </x:c>
      <x:c r="V537" s="13" t="str">
        <x:v>Strong pattern central to the conclusion and likely to materially distort reasoning.</x:v>
      </x:c>
      <x:c r="W537" s="13" t="str"/>
      <x:c r="X537" s="13" t="str">
        <x:v>kahneman_tversky_prospect_1979</x:v>
      </x:c>
      <x:c r="Y537" s="13" t="str">
        <x:v>https://doi.org/10.2307/1914185</x:v>
      </x:c>
      <x:c r="Z537" s="13" t="str">
        <x:v>Review before enabling. This workbook is a living taxonomy scaffold, not a validated scientific benchmark.</x:v>
      </x:c>
      <x:c r="AA537" s="13" t="str">
        <x:v>0.1.0-draft</x:v>
      </x:c>
      <x:c r="AB537" s="12" t="str">
        <x:f>IF(ISNUMBER(SEARCH("healthy",F537)),"healthy_reasoning_patterns",IF(ISNUMBER(SEARCH("statistical",F537)),"statistical_reasoning",IF(ISNUMBER(SEARCH("causal",F537)),"causal_reasoning",IF(ISNUMBER(SEARCH("social",F537)),"social_influence",IF(ISNUMBER(SEARCH("rhetoric",F537)),"rhetoric_discourse",IF(ISNUMBER(SEARCH("behavior",F537)),"behavioural_economics",IF(ISNUMBER(SEARCH("cognitive",F537)),"cognitive_biases",IF(J537="protective_pattern","healthy_reasoning_patterns",IF(L537="P0","core_mvp","extended_fallacies")))))))))</x:f>
        <x:v>extended_fallacies</x:v>
      </x:c>
      <x:c r="AC537" s="12" t="str">
        <x:f>IF(ISNUMBER(SEARCH("operational",J537)),"operational",IF(ISNUMBER(SEARCH("deprecated",J537)),"deprecated",IF(L537="P0","canonical","recognized_subtype")))</x:f>
        <x:v>operational</x:v>
      </x:c>
      <x:c r="AD537" s="12" t="str">
        <x:f>IF(AC537="canonical","high",IF(AC537="recognized_subtype","medium",IF(AC537="operational","operational_only","debated")))</x:f>
        <x:v>operational_only</x:v>
      </x:c>
      <x:c r="AE537" s="12" t="str">
        <x:f>IF(AC537="deprecated","deprecated",IF(M537="yes","active",IF(M537="review","review_required","backlog")))</x:f>
        <x:v>backlog</x:v>
      </x:c>
      <x:c r="AF537" s="12" t="str">
        <x:f>IF(OR(AE537="active",AE537="review_required"),"yes","no")</x:f>
        <x:v>no</x:v>
      </x:c>
      <x:c r="AG537" s="12" t="str">
        <x:f>IF(AND(AE537="active",M537="yes",NOT(ISNUMBER(SEARCH("healthy",AB537)))),"yes","no")</x:f>
        <x:v>no</x:v>
      </x:c>
      <x:c r="AH537" s="12" t="str">
        <x:f>IF(OR(H537="contextual",H537="dialogue",H537="discourse",I537="claim+context",I537="discourse_segment"),"yes","no")</x:f>
        <x:v>yes</x:v>
      </x:c>
      <x:c r="AI537" s="12" t="str">
        <x:f>IF(OR(AH537="yes",AD537="debated",AC537="operational"),"yes","no")</x:f>
        <x:v>yes</x:v>
      </x:c>
      <x:c r="AJ537" s="12" t="str">
        <x:f>IF(OR(AH537="yes",AC537="operational",AD537="debated"),"high",IF(AND(AG537="yes",L537="P0"),"medium","low"))</x:f>
        <x:v>high</x:v>
      </x:c>
      <x:c r="AK537" s="12" t="str">
        <x:f>IF(ISNUMBER(SEARCH("healthy",AB537)),"yes","no")</x:f>
        <x:v>no</x:v>
      </x:c>
      <x:c r="AL537" s="12" t="str">
        <x:f>IF(AG537="yes","yes","candidate_only")</x:f>
        <x:v>candidate_only</x:v>
      </x:c>
      <x:c r="AM537" s="12" t="str">
        <x:f>IF(OR(AC537="canonical",AG537="yes"),"yes","recommended")</x:f>
        <x:v>recommended</x:v>
      </x:c>
      <x:c r="AN537" s="12" t="str">
        <x:f>IF(AC537="deprecated","exclude",IF(AND(AG537="yes",AJ537="high"),"import_but_human_review_required",IF(AG537="yes","import_as_active","import_as_backlog")))</x:f>
        <x:v>import_as_backlog</x:v>
      </x:c>
      <x:c r="AO537" s="12" t="str">
        <x:f>IF(AND(AG537="yes",OR(P537="",Q537="",R537="",S537="")),"missing_required_mvp_fields",IF(AND(AC537="canonical",Y537=""),"missing_source_ref","ok"))</x:f>
        <x:v>ok</x:v>
      </x:c>
      <x:c r="AP537" s="12" t="str">
        <x:f>IF(AO537="ok","ready_for_codex_import","needs_review")</x:f>
        <x:v>ready_for_codex_import</x:v>
      </x:c>
      <x:c r="AQ537" s="12"/>
      <x:c r="AR537" s="12" t="str">
        <x:v>Added v2 operational fields. Review before classification activation.</x:v>
      </x:c>
    </x:row>
    <x:row r="538">
      <x:c r="A538" s="13" t="str">
        <x:v>risk_aversion_in_gains_canonical</x:v>
      </x:c>
      <x:c r="B538" s="13" t="str">
        <x:v>risk_aversion_in_gains</x:v>
      </x:c>
      <x:c r="C538" s="13" t="str">
        <x:v>Risk aversion in gains</x:v>
      </x:c>
      <x:c r="D538" s="13" t="str">
        <x:v>ریسک‌گریزی در چارچوب سود</x:v>
      </x:c>
      <x:c r="E538" s="13" t="str">
        <x:v>Canonical form</x:v>
      </x:c>
      <x:c r="F538" s="13" t="str">
        <x:v>decision_biases_behavioural_economics</x:v>
      </x:c>
      <x:c r="G538" s="13" t="str">
        <x:v>canonical</x:v>
      </x:c>
      <x:c r="H538" s="13" t="str">
        <x:v>contextual</x:v>
      </x:c>
      <x:c r="I538" s="13" t="str">
        <x:v>claim+context</x:v>
      </x:c>
      <x:c r="J538" s="13" t="str">
        <x:v>derived_operational_subtype</x:v>
      </x:c>
      <x:c r="K538" s="13" t="str">
        <x:v>derived_from_established_parent_review_required</x:v>
      </x:c>
      <x:c r="L538" s="13" t="str">
        <x:v>P2</x:v>
      </x:c>
      <x:c r="M538" s="13" t="str">
        <x:v>no</x:v>
      </x:c>
      <x:c r="N538" s="13" t="str">
        <x:v>Operational subtype under Risk aversion in gains: the parent decision tendency appears in a choice argument. Parent definition: Preferring sure gains over higher expected but risky gains.</x:v>
      </x:c>
      <x:c r="O538" s="13" t="str">
        <x:v>Look for: explicit claim-level evidence; parent-family cues for Risk aversion in gains; variant cue: the parent decision tendency appears in a choice argument; avoid author-level inference.</x:v>
      </x:c>
      <x:c r="P538" s="13" t="str">
        <x:v>Exact evidence span in text plus claim-level reasoning link; for contextual/discourse entries, require surrounding context.</x:v>
      </x:c>
      <x:c r="Q538" s="13" t="str">
        <x:v>Do not label merely because topic is controversial, emotional, or wrong. Do not judge intent or personality. Require textual evidence and consider healthy-reasoning cues.</x:v>
      </x:c>
      <x:c r="R538" s="13" t="str">
        <x:v>Stub: A claim relies on the parent decision tendency appears in a choice argument to support a conclusion without adequate qualification.</x:v>
      </x:c>
      <x:c r="S538" s="13" t="str">
        <x:v>Stub: A claim discusses risk aversion in gains with caveats, balanced evidence, or no argumentative use of the pattern.</x:v>
      </x:c>
      <x:c r="T538" s="13" t="str">
        <x:v>Mild or ambiguous cue; do not classify without clear evidence span.</x:v>
      </x:c>
      <x:c r="U538" s="13" t="str">
        <x:v>Clear claim-level pattern with some argumentative impact.</x:v>
      </x:c>
      <x:c r="V538" s="13" t="str">
        <x:v>Strong pattern central to the conclusion and likely to materially distort reasoning.</x:v>
      </x:c>
      <x:c r="W538" s="13" t="str"/>
      <x:c r="X538" s="13" t="str">
        <x:v>kahneman_tversky_prospect_1979</x:v>
      </x:c>
      <x:c r="Y538" s="13" t="str">
        <x:v>https://doi.org/10.2307/1914185</x:v>
      </x:c>
      <x:c r="Z538" s="13" t="str">
        <x:v>Review before enabling. This workbook is a living taxonomy scaffold, not a validated scientific benchmark.</x:v>
      </x:c>
      <x:c r="AA538" s="13" t="str">
        <x:v>0.1.0-draft</x:v>
      </x:c>
      <x:c r="AB538" s="12" t="str">
        <x:f>IF(ISNUMBER(SEARCH("healthy",F538)),"healthy_reasoning_patterns",IF(ISNUMBER(SEARCH("statistical",F538)),"statistical_reasoning",IF(ISNUMBER(SEARCH("causal",F538)),"causal_reasoning",IF(ISNUMBER(SEARCH("social",F538)),"social_influence",IF(ISNUMBER(SEARCH("rhetoric",F538)),"rhetoric_discourse",IF(ISNUMBER(SEARCH("behavior",F538)),"behavioural_economics",IF(ISNUMBER(SEARCH("cognitive",F538)),"cognitive_biases",IF(J538="protective_pattern","healthy_reasoning_patterns",IF(L538="P0","core_mvp","extended_fallacies")))))))))</x:f>
        <x:v>extended_fallacies</x:v>
      </x:c>
      <x:c r="AC538" s="12" t="str">
        <x:f>IF(ISNUMBER(SEARCH("operational",J538)),"operational",IF(ISNUMBER(SEARCH("deprecated",J538)),"deprecated",IF(L538="P0","canonical","recognized_subtype")))</x:f>
        <x:v>operational</x:v>
      </x:c>
      <x:c r="AD538" s="12" t="str">
        <x:f>IF(AC538="canonical","high",IF(AC538="recognized_subtype","medium",IF(AC538="operational","operational_only","debated")))</x:f>
        <x:v>operational_only</x:v>
      </x:c>
      <x:c r="AE538" s="12" t="str">
        <x:f>IF(AC538="deprecated","deprecated",IF(M538="yes","active",IF(M538="review","review_required","backlog")))</x:f>
        <x:v>backlog</x:v>
      </x:c>
      <x:c r="AF538" s="12" t="str">
        <x:f>IF(OR(AE538="active",AE538="review_required"),"yes","no")</x:f>
        <x:v>no</x:v>
      </x:c>
      <x:c r="AG538" s="12" t="str">
        <x:f>IF(AND(AE538="active",M538="yes",NOT(ISNUMBER(SEARCH("healthy",AB538)))),"yes","no")</x:f>
        <x:v>no</x:v>
      </x:c>
      <x:c r="AH538" s="12" t="str">
        <x:f>IF(OR(H538="contextual",H538="dialogue",H538="discourse",I538="claim+context",I538="discourse_segment"),"yes","no")</x:f>
        <x:v>yes</x:v>
      </x:c>
      <x:c r="AI538" s="12" t="str">
        <x:f>IF(OR(AH538="yes",AD538="debated",AC538="operational"),"yes","no")</x:f>
        <x:v>yes</x:v>
      </x:c>
      <x:c r="AJ538" s="12" t="str">
        <x:f>IF(OR(AH538="yes",AC538="operational",AD538="debated"),"high",IF(AND(AG538="yes",L538="P0"),"medium","low"))</x:f>
        <x:v>high</x:v>
      </x:c>
      <x:c r="AK538" s="12" t="str">
        <x:f>IF(ISNUMBER(SEARCH("healthy",AB538)),"yes","no")</x:f>
        <x:v>no</x:v>
      </x:c>
      <x:c r="AL538" s="12" t="str">
        <x:f>IF(AG538="yes","yes","candidate_only")</x:f>
        <x:v>candidate_only</x:v>
      </x:c>
      <x:c r="AM538" s="12" t="str">
        <x:f>IF(OR(AC538="canonical",AG538="yes"),"yes","recommended")</x:f>
        <x:v>recommended</x:v>
      </x:c>
      <x:c r="AN538" s="12" t="str">
        <x:f>IF(AC538="deprecated","exclude",IF(AND(AG538="yes",AJ538="high"),"import_but_human_review_required",IF(AG538="yes","import_as_active","import_as_backlog")))</x:f>
        <x:v>import_as_backlog</x:v>
      </x:c>
      <x:c r="AO538" s="12" t="str">
        <x:f>IF(AND(AG538="yes",OR(P538="",Q538="",R538="",S538="")),"missing_required_mvp_fields",IF(AND(AC538="canonical",Y538=""),"missing_source_ref","ok"))</x:f>
        <x:v>ok</x:v>
      </x:c>
      <x:c r="AP538" s="12" t="str">
        <x:f>IF(AO538="ok","ready_for_codex_import","needs_review")</x:f>
        <x:v>ready_for_codex_import</x:v>
      </x:c>
      <x:c r="AQ538" s="12"/>
      <x:c r="AR538" s="12" t="str">
        <x:v>Added v2 operational fields. Review before classification activation.</x:v>
      </x:c>
    </x:row>
    <x:row r="539">
      <x:c r="A539" s="13" t="str">
        <x:v>omission_bias_canonical</x:v>
      </x:c>
      <x:c r="B539" s="13" t="str">
        <x:v>omission_bias</x:v>
      </x:c>
      <x:c r="C539" s="13" t="str">
        <x:v>Omission bias</x:v>
      </x:c>
      <x:c r="D539" s="13" t="str">
        <x:v>سوگیری ترک فعل</x:v>
      </x:c>
      <x:c r="E539" s="13" t="str">
        <x:v>Canonical form</x:v>
      </x:c>
      <x:c r="F539" s="13" t="str">
        <x:v>decision_biases_behavioural_economics</x:v>
      </x:c>
      <x:c r="G539" s="13" t="str">
        <x:v>canonical</x:v>
      </x:c>
      <x:c r="H539" s="13" t="str">
        <x:v>contextual</x:v>
      </x:c>
      <x:c r="I539" s="13" t="str">
        <x:v>claim+context</x:v>
      </x:c>
      <x:c r="J539" s="13" t="str">
        <x:v>derived_operational_subtype</x:v>
      </x:c>
      <x:c r="K539" s="13" t="str">
        <x:v>derived_from_established_parent_review_required</x:v>
      </x:c>
      <x:c r="L539" s="13" t="str">
        <x:v>P2</x:v>
      </x:c>
      <x:c r="M539" s="13" t="str">
        <x:v>no</x:v>
      </x:c>
      <x:c r="N539" s="13" t="str">
        <x:v>Operational subtype under Omission bias: the parent decision tendency appears in a choice argument. Parent definition: Judging harmful inaction more leniently than harmful action.</x:v>
      </x:c>
      <x:c r="O539" s="13" t="str">
        <x:v>Look for: explicit claim-level evidence; parent-family cues for Omission bias; variant cue: the parent decision tendency appears in a choice argument; avoid author-level inference.</x:v>
      </x:c>
      <x:c r="P539" s="13" t="str">
        <x:v>Exact evidence span in text plus claim-level reasoning link; for contextual/discourse entries, require surrounding context.</x:v>
      </x:c>
      <x:c r="Q539" s="13" t="str">
        <x:v>Do not label merely because topic is controversial, emotional, or wrong. Do not judge intent or personality. Require textual evidence and consider healthy-reasoning cues.</x:v>
      </x:c>
      <x:c r="R539" s="13" t="str">
        <x:v>Stub: A claim relies on the parent decision tendency appears in a choice argument to support a conclusion without adequate qualification.</x:v>
      </x:c>
      <x:c r="S539" s="13" t="str">
        <x:v>Stub: A claim discusses omission bias with caveats, balanced evidence, or no argumentative use of the pattern.</x:v>
      </x:c>
      <x:c r="T539" s="13" t="str">
        <x:v>Mild or ambiguous cue; do not classify without clear evidence span.</x:v>
      </x:c>
      <x:c r="U539" s="13" t="str">
        <x:v>Clear claim-level pattern with some argumentative impact.</x:v>
      </x:c>
      <x:c r="V539" s="13" t="str">
        <x:v>Strong pattern central to the conclusion and likely to materially distort reasoning.</x:v>
      </x:c>
      <x:c r="W539" s="13" t="str"/>
      <x:c r="X539" s="13" t="str">
        <x:v>gilovich_heuristics_biases</x:v>
      </x:c>
      <x:c r="Y539" s="13" t="str">
        <x:v>https://www.cambridge.org/core/books/heuristics-and-biases/3C30D3B05D2F190C3B8BE5E2531EFD24</x:v>
      </x:c>
      <x:c r="Z539" s="13" t="str">
        <x:v>Review before enabling. This workbook is a living taxonomy scaffold, not a validated scientific benchmark.</x:v>
      </x:c>
      <x:c r="AA539" s="13" t="str">
        <x:v>0.1.0-draft</x:v>
      </x:c>
      <x:c r="AB539" s="12" t="str">
        <x:f>IF(ISNUMBER(SEARCH("healthy",F539)),"healthy_reasoning_patterns",IF(ISNUMBER(SEARCH("statistical",F539)),"statistical_reasoning",IF(ISNUMBER(SEARCH("causal",F539)),"causal_reasoning",IF(ISNUMBER(SEARCH("social",F539)),"social_influence",IF(ISNUMBER(SEARCH("rhetoric",F539)),"rhetoric_discourse",IF(ISNUMBER(SEARCH("behavior",F539)),"behavioural_economics",IF(ISNUMBER(SEARCH("cognitive",F539)),"cognitive_biases",IF(J539="protective_pattern","healthy_reasoning_patterns",IF(L539="P0","core_mvp","extended_fallacies")))))))))</x:f>
        <x:v>extended_fallacies</x:v>
      </x:c>
      <x:c r="AC539" s="12" t="str">
        <x:f>IF(ISNUMBER(SEARCH("operational",J539)),"operational",IF(ISNUMBER(SEARCH("deprecated",J539)),"deprecated",IF(L539="P0","canonical","recognized_subtype")))</x:f>
        <x:v>operational</x:v>
      </x:c>
      <x:c r="AD539" s="12" t="str">
        <x:f>IF(AC539="canonical","high",IF(AC539="recognized_subtype","medium",IF(AC539="operational","operational_only","debated")))</x:f>
        <x:v>operational_only</x:v>
      </x:c>
      <x:c r="AE539" s="12" t="str">
        <x:f>IF(AC539="deprecated","deprecated",IF(M539="yes","active",IF(M539="review","review_required","backlog")))</x:f>
        <x:v>backlog</x:v>
      </x:c>
      <x:c r="AF539" s="12" t="str">
        <x:f>IF(OR(AE539="active",AE539="review_required"),"yes","no")</x:f>
        <x:v>no</x:v>
      </x:c>
      <x:c r="AG539" s="12" t="str">
        <x:f>IF(AND(AE539="active",M539="yes",NOT(ISNUMBER(SEARCH("healthy",AB539)))),"yes","no")</x:f>
        <x:v>no</x:v>
      </x:c>
      <x:c r="AH539" s="12" t="str">
        <x:f>IF(OR(H539="contextual",H539="dialogue",H539="discourse",I539="claim+context",I539="discourse_segment"),"yes","no")</x:f>
        <x:v>yes</x:v>
      </x:c>
      <x:c r="AI539" s="12" t="str">
        <x:f>IF(OR(AH539="yes",AD539="debated",AC539="operational"),"yes","no")</x:f>
        <x:v>yes</x:v>
      </x:c>
      <x:c r="AJ539" s="12" t="str">
        <x:f>IF(OR(AH539="yes",AC539="operational",AD539="debated"),"high",IF(AND(AG539="yes",L539="P0"),"medium","low"))</x:f>
        <x:v>high</x:v>
      </x:c>
      <x:c r="AK539" s="12" t="str">
        <x:f>IF(ISNUMBER(SEARCH("healthy",AB539)),"yes","no")</x:f>
        <x:v>no</x:v>
      </x:c>
      <x:c r="AL539" s="12" t="str">
        <x:f>IF(AG539="yes","yes","candidate_only")</x:f>
        <x:v>candidate_only</x:v>
      </x:c>
      <x:c r="AM539" s="12" t="str">
        <x:f>IF(OR(AC539="canonical",AG539="yes"),"yes","recommended")</x:f>
        <x:v>recommended</x:v>
      </x:c>
      <x:c r="AN539" s="12" t="str">
        <x:f>IF(AC539="deprecated","exclude",IF(AND(AG539="yes",AJ539="high"),"import_but_human_review_required",IF(AG539="yes","import_as_active","import_as_backlog")))</x:f>
        <x:v>import_as_backlog</x:v>
      </x:c>
      <x:c r="AO539" s="12" t="str">
        <x:f>IF(AND(AG539="yes",OR(P539="",Q539="",R539="",S539="")),"missing_required_mvp_fields",IF(AND(AC539="canonical",Y539=""),"missing_source_ref","ok"))</x:f>
        <x:v>ok</x:v>
      </x:c>
      <x:c r="AP539" s="12" t="str">
        <x:f>IF(AO539="ok","ready_for_codex_import","needs_review")</x:f>
        <x:v>ready_for_codex_import</x:v>
      </x:c>
      <x:c r="AQ539" s="12"/>
      <x:c r="AR539" s="12" t="str">
        <x:v>Added v2 operational fields. Review before classification activation.</x:v>
      </x:c>
    </x:row>
    <x:row r="540">
      <x:c r="A540" s="13" t="str">
        <x:v>action_bias_canonical</x:v>
      </x:c>
      <x:c r="B540" s="13" t="str">
        <x:v>action_bias</x:v>
      </x:c>
      <x:c r="C540" s="13" t="str">
        <x:v>Action bias</x:v>
      </x:c>
      <x:c r="D540" s="13" t="str">
        <x:v>سوگیری اقدام</x:v>
      </x:c>
      <x:c r="E540" s="13" t="str">
        <x:v>Canonical form</x:v>
      </x:c>
      <x:c r="F540" s="13" t="str">
        <x:v>decision_biases_behavioural_economics</x:v>
      </x:c>
      <x:c r="G540" s="13" t="str">
        <x:v>canonical</x:v>
      </x:c>
      <x:c r="H540" s="13" t="str">
        <x:v>contextual</x:v>
      </x:c>
      <x:c r="I540" s="13" t="str">
        <x:v>claim+context</x:v>
      </x:c>
      <x:c r="J540" s="13" t="str">
        <x:v>derived_operational_subtype</x:v>
      </x:c>
      <x:c r="K540" s="13" t="str">
        <x:v>derived_from_established_parent_review_required</x:v>
      </x:c>
      <x:c r="L540" s="13" t="str">
        <x:v>P2</x:v>
      </x:c>
      <x:c r="M540" s="13" t="str">
        <x:v>no</x:v>
      </x:c>
      <x:c r="N540" s="13" t="str">
        <x:v>Operational subtype under Action bias: the parent decision tendency appears in a choice argument. Parent definition: Preferring action even when waiting or gathering evidence would be better.</x:v>
      </x:c>
      <x:c r="O540" s="13" t="str">
        <x:v>Look for: explicit claim-level evidence; parent-family cues for Action bias; variant cue: the parent decision tendency appears in a choice argument; avoid author-level inference.</x:v>
      </x:c>
      <x:c r="P540" s="13" t="str">
        <x:v>Exact evidence span in text plus claim-level reasoning link; for contextual/discourse entries, require surrounding context.</x:v>
      </x:c>
      <x:c r="Q540" s="13" t="str">
        <x:v>Do not label merely because topic is controversial, emotional, or wrong. Do not judge intent or personality. Require textual evidence and consider healthy-reasoning cues.</x:v>
      </x:c>
      <x:c r="R540" s="13" t="str">
        <x:v>Stub: A claim relies on the parent decision tendency appears in a choice argument to support a conclusion without adequate qualification.</x:v>
      </x:c>
      <x:c r="S540" s="13" t="str">
        <x:v>Stub: A claim discusses action bias with caveats, balanced evidence, or no argumentative use of the pattern.</x:v>
      </x:c>
      <x:c r="T540" s="13" t="str">
        <x:v>Mild or ambiguous cue; do not classify without clear evidence span.</x:v>
      </x:c>
      <x:c r="U540" s="13" t="str">
        <x:v>Clear claim-level pattern with some argumentative impact.</x:v>
      </x:c>
      <x:c r="V540" s="13" t="str">
        <x:v>Strong pattern central to the conclusion and likely to materially distort reasoning.</x:v>
      </x:c>
      <x:c r="W540" s="13" t="str">
        <x:v>cherry_picking; missing_counterevidence; evidence_grading</x:v>
      </x:c>
      <x:c r="X540" s="13" t="str">
        <x:v>gilovich_heuristics_biases</x:v>
      </x:c>
      <x:c r="Y540" s="13" t="str">
        <x:v>https://www.cambridge.org/core/books/heuristics-and-biases/3C30D3B05D2F190C3B8BE5E2531EFD24</x:v>
      </x:c>
      <x:c r="Z540" s="13" t="str">
        <x:v>Review before enabling. This workbook is a living taxonomy scaffold, not a validated scientific benchmark.</x:v>
      </x:c>
      <x:c r="AA540" s="13" t="str">
        <x:v>0.1.0-draft</x:v>
      </x:c>
      <x:c r="AB540" s="12" t="str">
        <x:f>IF(ISNUMBER(SEARCH("healthy",F540)),"healthy_reasoning_patterns",IF(ISNUMBER(SEARCH("statistical",F540)),"statistical_reasoning",IF(ISNUMBER(SEARCH("causal",F540)),"causal_reasoning",IF(ISNUMBER(SEARCH("social",F540)),"social_influence",IF(ISNUMBER(SEARCH("rhetoric",F540)),"rhetoric_discourse",IF(ISNUMBER(SEARCH("behavior",F540)),"behavioural_economics",IF(ISNUMBER(SEARCH("cognitive",F540)),"cognitive_biases",IF(J540="protective_pattern","healthy_reasoning_patterns",IF(L540="P0","core_mvp","extended_fallacies")))))))))</x:f>
        <x:v>extended_fallacies</x:v>
      </x:c>
      <x:c r="AC540" s="12" t="str">
        <x:f>IF(ISNUMBER(SEARCH("operational",J540)),"operational",IF(ISNUMBER(SEARCH("deprecated",J540)),"deprecated",IF(L540="P0","canonical","recognized_subtype")))</x:f>
        <x:v>operational</x:v>
      </x:c>
      <x:c r="AD540" s="12" t="str">
        <x:f>IF(AC540="canonical","high",IF(AC540="recognized_subtype","medium",IF(AC540="operational","operational_only","debated")))</x:f>
        <x:v>operational_only</x:v>
      </x:c>
      <x:c r="AE540" s="12" t="str">
        <x:f>IF(AC540="deprecated","deprecated",IF(M540="yes","active",IF(M540="review","review_required","backlog")))</x:f>
        <x:v>backlog</x:v>
      </x:c>
      <x:c r="AF540" s="12" t="str">
        <x:f>IF(OR(AE540="active",AE540="review_required"),"yes","no")</x:f>
        <x:v>no</x:v>
      </x:c>
      <x:c r="AG540" s="12" t="str">
        <x:f>IF(AND(AE540="active",M540="yes",NOT(ISNUMBER(SEARCH("healthy",AB540)))),"yes","no")</x:f>
        <x:v>no</x:v>
      </x:c>
      <x:c r="AH540" s="12" t="str">
        <x:f>IF(OR(H540="contextual",H540="dialogue",H540="discourse",I540="claim+context",I540="discourse_segment"),"yes","no")</x:f>
        <x:v>yes</x:v>
      </x:c>
      <x:c r="AI540" s="12" t="str">
        <x:f>IF(OR(AH540="yes",AD540="debated",AC540="operational"),"yes","no")</x:f>
        <x:v>yes</x:v>
      </x:c>
      <x:c r="AJ540" s="12" t="str">
        <x:f>IF(OR(AH540="yes",AC540="operational",AD540="debated"),"high",IF(AND(AG540="yes",L540="P0"),"medium","low"))</x:f>
        <x:v>high</x:v>
      </x:c>
      <x:c r="AK540" s="12" t="str">
        <x:f>IF(ISNUMBER(SEARCH("healthy",AB540)),"yes","no")</x:f>
        <x:v>no</x:v>
      </x:c>
      <x:c r="AL540" s="12" t="str">
        <x:f>IF(AG540="yes","yes","candidate_only")</x:f>
        <x:v>candidate_only</x:v>
      </x:c>
      <x:c r="AM540" s="12" t="str">
        <x:f>IF(OR(AC540="canonical",AG540="yes"),"yes","recommended")</x:f>
        <x:v>recommended</x:v>
      </x:c>
      <x:c r="AN540" s="12" t="str">
        <x:f>IF(AC540="deprecated","exclude",IF(AND(AG540="yes",AJ540="high"),"import_but_human_review_required",IF(AG540="yes","import_as_active","import_as_backlog")))</x:f>
        <x:v>import_as_backlog</x:v>
      </x:c>
      <x:c r="AO540" s="12" t="str">
        <x:f>IF(AND(AG540="yes",OR(P540="",Q540="",R540="",S540="")),"missing_required_mvp_fields",IF(AND(AC540="canonical",Y540=""),"missing_source_ref","ok"))</x:f>
        <x:v>ok</x:v>
      </x:c>
      <x:c r="AP540" s="12" t="str">
        <x:f>IF(AO540="ok","ready_for_codex_import","needs_review")</x:f>
        <x:v>ready_for_codex_import</x:v>
      </x:c>
      <x:c r="AQ540" s="12"/>
      <x:c r="AR540" s="12" t="str">
        <x:v>Added v2 operational fields. Review before classification activation.</x:v>
      </x:c>
    </x:row>
    <x:row r="541">
      <x:c r="A541" s="13" t="str">
        <x:v>time_inconsistency_canonical</x:v>
      </x:c>
      <x:c r="B541" s="13" t="str">
        <x:v>time_inconsistency</x:v>
      </x:c>
      <x:c r="C541" s="13" t="str">
        <x:v>Time inconsistency</x:v>
      </x:c>
      <x:c r="D541" s="13" t="str">
        <x:v>ناسازگاری زمانی ترجیح</x:v>
      </x:c>
      <x:c r="E541" s="13" t="str">
        <x:v>Canonical form</x:v>
      </x:c>
      <x:c r="F541" s="13" t="str">
        <x:v>decision_biases_behavioural_economics</x:v>
      </x:c>
      <x:c r="G541" s="13" t="str">
        <x:v>canonical</x:v>
      </x:c>
      <x:c r="H541" s="13" t="str">
        <x:v>contextual</x:v>
      </x:c>
      <x:c r="I541" s="13" t="str">
        <x:v>claim+context</x:v>
      </x:c>
      <x:c r="J541" s="13" t="str">
        <x:v>derived_operational_subtype</x:v>
      </x:c>
      <x:c r="K541" s="13" t="str">
        <x:v>derived_from_established_parent_review_required</x:v>
      </x:c>
      <x:c r="L541" s="13" t="str">
        <x:v>P2</x:v>
      </x:c>
      <x:c r="M541" s="13" t="str">
        <x:v>no</x:v>
      </x:c>
      <x:c r="N541" s="13" t="str">
        <x:v>Operational subtype under Time inconsistency: the parent decision tendency appears in a choice argument. Parent definition: Preferences change over time in ways that undermine prior plans.</x:v>
      </x:c>
      <x:c r="O541" s="13" t="str">
        <x:v>Look for: explicit claim-level evidence; parent-family cues for Time inconsistency; variant cue: the parent decision tendency appears in a choice argument; avoid author-level inference.</x:v>
      </x:c>
      <x:c r="P541" s="13" t="str">
        <x:v>Exact evidence span in text plus claim-level reasoning link; for contextual/discourse entries, require surrounding context.</x:v>
      </x:c>
      <x:c r="Q541" s="13" t="str">
        <x:v>Do not label merely because topic is controversial, emotional, or wrong. Do not judge intent or personality. Require textual evidence and consider healthy-reasoning cues.</x:v>
      </x:c>
      <x:c r="R541" s="13" t="str">
        <x:v>Stub: A claim relies on the parent decision tendency appears in a choice argument to support a conclusion without adequate qualification.</x:v>
      </x:c>
      <x:c r="S541" s="13" t="str">
        <x:v>Stub: A claim discusses time inconsistency with caveats, balanced evidence, or no argumentative use of the pattern.</x:v>
      </x:c>
      <x:c r="T541" s="13" t="str">
        <x:v>Mild or ambiguous cue; do not classify without clear evidence span.</x:v>
      </x:c>
      <x:c r="U541" s="13" t="str">
        <x:v>Clear claim-level pattern with some argumentative impact.</x:v>
      </x:c>
      <x:c r="V541" s="13" t="str">
        <x:v>Strong pattern central to the conclusion and likely to materially distort reasoning.</x:v>
      </x:c>
      <x:c r="W541" s="13" t="str"/>
      <x:c r="X541" s="13" t="str">
        <x:v>thaler_sunstein_nudge</x:v>
      </x:c>
      <x:c r="Y541" s="13" t="str">
        <x:v>https://yalebooks.yale.edu/book/9780300262285/nudge/</x:v>
      </x:c>
      <x:c r="Z541" s="13" t="str">
        <x:v>Review before enabling. This workbook is a living taxonomy scaffold, not a validated scientific benchmark.</x:v>
      </x:c>
      <x:c r="AA541" s="13" t="str">
        <x:v>0.1.0-draft</x:v>
      </x:c>
      <x:c r="AB541" s="12" t="str">
        <x:f>IF(ISNUMBER(SEARCH("healthy",F541)),"healthy_reasoning_patterns",IF(ISNUMBER(SEARCH("statistical",F541)),"statistical_reasoning",IF(ISNUMBER(SEARCH("causal",F541)),"causal_reasoning",IF(ISNUMBER(SEARCH("social",F541)),"social_influence",IF(ISNUMBER(SEARCH("rhetoric",F541)),"rhetoric_discourse",IF(ISNUMBER(SEARCH("behavior",F541)),"behavioural_economics",IF(ISNUMBER(SEARCH("cognitive",F541)),"cognitive_biases",IF(J541="protective_pattern","healthy_reasoning_patterns",IF(L541="P0","core_mvp","extended_fallacies")))))))))</x:f>
        <x:v>extended_fallacies</x:v>
      </x:c>
      <x:c r="AC541" s="12" t="str">
        <x:f>IF(ISNUMBER(SEARCH("operational",J541)),"operational",IF(ISNUMBER(SEARCH("deprecated",J541)),"deprecated",IF(L541="P0","canonical","recognized_subtype")))</x:f>
        <x:v>operational</x:v>
      </x:c>
      <x:c r="AD541" s="12" t="str">
        <x:f>IF(AC541="canonical","high",IF(AC541="recognized_subtype","medium",IF(AC541="operational","operational_only","debated")))</x:f>
        <x:v>operational_only</x:v>
      </x:c>
      <x:c r="AE541" s="12" t="str">
        <x:f>IF(AC541="deprecated","deprecated",IF(M541="yes","active",IF(M541="review","review_required","backlog")))</x:f>
        <x:v>backlog</x:v>
      </x:c>
      <x:c r="AF541" s="12" t="str">
        <x:f>IF(OR(AE541="active",AE541="review_required"),"yes","no")</x:f>
        <x:v>no</x:v>
      </x:c>
      <x:c r="AG541" s="12" t="str">
        <x:f>IF(AND(AE541="active",M541="yes",NOT(ISNUMBER(SEARCH("healthy",AB541)))),"yes","no")</x:f>
        <x:v>no</x:v>
      </x:c>
      <x:c r="AH541" s="12" t="str">
        <x:f>IF(OR(H541="contextual",H541="dialogue",H541="discourse",I541="claim+context",I541="discourse_segment"),"yes","no")</x:f>
        <x:v>yes</x:v>
      </x:c>
      <x:c r="AI541" s="12" t="str">
        <x:f>IF(OR(AH541="yes",AD541="debated",AC541="operational"),"yes","no")</x:f>
        <x:v>yes</x:v>
      </x:c>
      <x:c r="AJ541" s="12" t="str">
        <x:f>IF(OR(AH541="yes",AC541="operational",AD541="debated"),"high",IF(AND(AG541="yes",L541="P0"),"medium","low"))</x:f>
        <x:v>high</x:v>
      </x:c>
      <x:c r="AK541" s="12" t="str">
        <x:f>IF(ISNUMBER(SEARCH("healthy",AB541)),"yes","no")</x:f>
        <x:v>no</x:v>
      </x:c>
      <x:c r="AL541" s="12" t="str">
        <x:f>IF(AG541="yes","yes","candidate_only")</x:f>
        <x:v>candidate_only</x:v>
      </x:c>
      <x:c r="AM541" s="12" t="str">
        <x:f>IF(OR(AC541="canonical",AG541="yes"),"yes","recommended")</x:f>
        <x:v>recommended</x:v>
      </x:c>
      <x:c r="AN541" s="12" t="str">
        <x:f>IF(AC541="deprecated","exclude",IF(AND(AG541="yes",AJ541="high"),"import_but_human_review_required",IF(AG541="yes","import_as_active","import_as_backlog")))</x:f>
        <x:v>import_as_backlog</x:v>
      </x:c>
      <x:c r="AO541" s="12" t="str">
        <x:f>IF(AND(AG541="yes",OR(P541="",Q541="",R541="",S541="")),"missing_required_mvp_fields",IF(AND(AC541="canonical",Y541=""),"missing_source_ref","ok"))</x:f>
        <x:v>ok</x:v>
      </x:c>
      <x:c r="AP541" s="12" t="str">
        <x:f>IF(AO541="ok","ready_for_codex_import","needs_review")</x:f>
        <x:v>ready_for_codex_import</x:v>
      </x:c>
      <x:c r="AQ541" s="12"/>
      <x:c r="AR541" s="12" t="str">
        <x:v>Added v2 operational fields. Review before classification activation.</x:v>
      </x:c>
    </x:row>
    <x:row r="542">
      <x:c r="A542" s="13" t="str">
        <x:v>commitment_escalation_canonical</x:v>
      </x:c>
      <x:c r="B542" s="13" t="str">
        <x:v>commitment_escalation</x:v>
      </x:c>
      <x:c r="C542" s="13" t="str">
        <x:v>Escalation of commitment</x:v>
      </x:c>
      <x:c r="D542" s="13" t="str">
        <x:v>افزایش تعهد به تصمیم قبلی</x:v>
      </x:c>
      <x:c r="E542" s="13" t="str">
        <x:v>Canonical form</x:v>
      </x:c>
      <x:c r="F542" s="13" t="str">
        <x:v>decision_biases_behavioural_economics</x:v>
      </x:c>
      <x:c r="G542" s="13" t="str">
        <x:v>canonical</x:v>
      </x:c>
      <x:c r="H542" s="13" t="str">
        <x:v>contextual</x:v>
      </x:c>
      <x:c r="I542" s="13" t="str">
        <x:v>claim+context</x:v>
      </x:c>
      <x:c r="J542" s="13" t="str">
        <x:v>derived_operational_subtype</x:v>
      </x:c>
      <x:c r="K542" s="13" t="str">
        <x:v>derived_from_established_parent_review_required</x:v>
      </x:c>
      <x:c r="L542" s="13" t="str">
        <x:v>P2</x:v>
      </x:c>
      <x:c r="M542" s="13" t="str">
        <x:v>no</x:v>
      </x:c>
      <x:c r="N542" s="13" t="str">
        <x:v>Operational subtype under Escalation of commitment: the parent decision tendency appears in a choice argument. Parent definition: Increasing commitment to a failing course of action.</x:v>
      </x:c>
      <x:c r="O542" s="13" t="str">
        <x:v>Look for: explicit claim-level evidence; parent-family cues for Escalation of commitment; variant cue: the parent decision tendency appears in a choice argument; avoid author-level inference.</x:v>
      </x:c>
      <x:c r="P542" s="13" t="str">
        <x:v>Exact evidence span in text plus claim-level reasoning link; for contextual/discourse entries, require surrounding context.</x:v>
      </x:c>
      <x:c r="Q542" s="13" t="str">
        <x:v>Do not label merely because topic is controversial, emotional, or wrong. Do not judge intent or personality. Require textual evidence and consider healthy-reasoning cues.</x:v>
      </x:c>
      <x:c r="R542" s="13" t="str">
        <x:v>Stub: A claim relies on the parent decision tendency appears in a choice argument to support a conclusion without adequate qualification.</x:v>
      </x:c>
      <x:c r="S542" s="13" t="str">
        <x:v>Stub: A claim discusses escalation of commitment with caveats, balanced evidence, or no argumentative use of the pattern.</x:v>
      </x:c>
      <x:c r="T542" s="13" t="str">
        <x:v>Mild or ambiguous cue; do not classify without clear evidence span.</x:v>
      </x:c>
      <x:c r="U542" s="13" t="str">
        <x:v>Clear claim-level pattern with some argumentative impact.</x:v>
      </x:c>
      <x:c r="V542" s="13" t="str">
        <x:v>Strong pattern central to the conclusion and likely to materially distort reasoning.</x:v>
      </x:c>
      <x:c r="W542" s="13" t="str"/>
      <x:c r="X542" s="13" t="str">
        <x:v>thaler_sunstein_nudge</x:v>
      </x:c>
      <x:c r="Y542" s="13" t="str">
        <x:v>https://yalebooks.yale.edu/book/9780300262285/nudge/</x:v>
      </x:c>
      <x:c r="Z542" s="13" t="str">
        <x:v>Review before enabling. This workbook is a living taxonomy scaffold, not a validated scientific benchmark.</x:v>
      </x:c>
      <x:c r="AA542" s="13" t="str">
        <x:v>0.1.0-draft</x:v>
      </x:c>
      <x:c r="AB542" s="12" t="str">
        <x:f>IF(ISNUMBER(SEARCH("healthy",F542)),"healthy_reasoning_patterns",IF(ISNUMBER(SEARCH("statistical",F542)),"statistical_reasoning",IF(ISNUMBER(SEARCH("causal",F542)),"causal_reasoning",IF(ISNUMBER(SEARCH("social",F542)),"social_influence",IF(ISNUMBER(SEARCH("rhetoric",F542)),"rhetoric_discourse",IF(ISNUMBER(SEARCH("behavior",F542)),"behavioural_economics",IF(ISNUMBER(SEARCH("cognitive",F542)),"cognitive_biases",IF(J542="protective_pattern","healthy_reasoning_patterns",IF(L542="P0","core_mvp","extended_fallacies")))))))))</x:f>
        <x:v>extended_fallacies</x:v>
      </x:c>
      <x:c r="AC542" s="12" t="str">
        <x:f>IF(ISNUMBER(SEARCH("operational",J542)),"operational",IF(ISNUMBER(SEARCH("deprecated",J542)),"deprecated",IF(L542="P0","canonical","recognized_subtype")))</x:f>
        <x:v>operational</x:v>
      </x:c>
      <x:c r="AD542" s="12" t="str">
        <x:f>IF(AC542="canonical","high",IF(AC542="recognized_subtype","medium",IF(AC542="operational","operational_only","debated")))</x:f>
        <x:v>operational_only</x:v>
      </x:c>
      <x:c r="AE542" s="12" t="str">
        <x:f>IF(AC542="deprecated","deprecated",IF(M542="yes","active",IF(M542="review","review_required","backlog")))</x:f>
        <x:v>backlog</x:v>
      </x:c>
      <x:c r="AF542" s="12" t="str">
        <x:f>IF(OR(AE542="active",AE542="review_required"),"yes","no")</x:f>
        <x:v>no</x:v>
      </x:c>
      <x:c r="AG542" s="12" t="str">
        <x:f>IF(AND(AE542="active",M542="yes",NOT(ISNUMBER(SEARCH("healthy",AB542)))),"yes","no")</x:f>
        <x:v>no</x:v>
      </x:c>
      <x:c r="AH542" s="12" t="str">
        <x:f>IF(OR(H542="contextual",H542="dialogue",H542="discourse",I542="claim+context",I542="discourse_segment"),"yes","no")</x:f>
        <x:v>yes</x:v>
      </x:c>
      <x:c r="AI542" s="12" t="str">
        <x:f>IF(OR(AH542="yes",AD542="debated",AC542="operational"),"yes","no")</x:f>
        <x:v>yes</x:v>
      </x:c>
      <x:c r="AJ542" s="12" t="str">
        <x:f>IF(OR(AH542="yes",AC542="operational",AD542="debated"),"high",IF(AND(AG542="yes",L542="P0"),"medium","low"))</x:f>
        <x:v>high</x:v>
      </x:c>
      <x:c r="AK542" s="12" t="str">
        <x:f>IF(ISNUMBER(SEARCH("healthy",AB542)),"yes","no")</x:f>
        <x:v>no</x:v>
      </x:c>
      <x:c r="AL542" s="12" t="str">
        <x:f>IF(AG542="yes","yes","candidate_only")</x:f>
        <x:v>candidate_only</x:v>
      </x:c>
      <x:c r="AM542" s="12" t="str">
        <x:f>IF(OR(AC542="canonical",AG542="yes"),"yes","recommended")</x:f>
        <x:v>recommended</x:v>
      </x:c>
      <x:c r="AN542" s="12" t="str">
        <x:f>IF(AC542="deprecated","exclude",IF(AND(AG542="yes",AJ542="high"),"import_but_human_review_required",IF(AG542="yes","import_as_active","import_as_backlog")))</x:f>
        <x:v>import_as_backlog</x:v>
      </x:c>
      <x:c r="AO542" s="12" t="str">
        <x:f>IF(AND(AG542="yes",OR(P542="",Q542="",R542="",S542="")),"missing_required_mvp_fields",IF(AND(AC542="canonical",Y542=""),"missing_source_ref","ok"))</x:f>
        <x:v>ok</x:v>
      </x:c>
      <x:c r="AP542" s="12" t="str">
        <x:f>IF(AO542="ok","ready_for_codex_import","needs_review")</x:f>
        <x:v>ready_for_codex_import</x:v>
      </x:c>
      <x:c r="AQ542" s="12"/>
      <x:c r="AR542" s="12" t="str">
        <x:v>Added v2 operational fields. Review before classification activation.</x:v>
      </x:c>
    </x:row>
    <x:row r="543">
      <x:c r="A543" s="13" t="str">
        <x:v>disposition_effect_canonical</x:v>
      </x:c>
      <x:c r="B543" s="13" t="str">
        <x:v>disposition_effect</x:v>
      </x:c>
      <x:c r="C543" s="13" t="str">
        <x:v>Disposition effect</x:v>
      </x:c>
      <x:c r="D543" s="13" t="str">
        <x:v>اثر تمایل به نگهداری بازنده</x:v>
      </x:c>
      <x:c r="E543" s="13" t="str">
        <x:v>Canonical form</x:v>
      </x:c>
      <x:c r="F543" s="13" t="str">
        <x:v>decision_biases_behavioural_economics</x:v>
      </x:c>
      <x:c r="G543" s="13" t="str">
        <x:v>canonical</x:v>
      </x:c>
      <x:c r="H543" s="13" t="str">
        <x:v>contextual</x:v>
      </x:c>
      <x:c r="I543" s="13" t="str">
        <x:v>claim+context</x:v>
      </x:c>
      <x:c r="J543" s="13" t="str">
        <x:v>derived_operational_subtype</x:v>
      </x:c>
      <x:c r="K543" s="13" t="str">
        <x:v>derived_from_established_parent_review_required</x:v>
      </x:c>
      <x:c r="L543" s="13" t="str">
        <x:v>P2</x:v>
      </x:c>
      <x:c r="M543" s="13" t="str">
        <x:v>no</x:v>
      </x:c>
      <x:c r="N543" s="13" t="str">
        <x:v>Operational subtype under Disposition effect: the parent decision tendency appears in a choice argument. Parent definition: Selling gains too quickly and holding losses too long.</x:v>
      </x:c>
      <x:c r="O543" s="13" t="str">
        <x:v>Look for: explicit claim-level evidence; parent-family cues for Disposition effect; variant cue: the parent decision tendency appears in a choice argument; avoid author-level inference.</x:v>
      </x:c>
      <x:c r="P543" s="13" t="str">
        <x:v>Exact evidence span in text plus claim-level reasoning link; for contextual/discourse entries, require surrounding context.</x:v>
      </x:c>
      <x:c r="Q543" s="13" t="str">
        <x:v>Do not label merely because topic is controversial, emotional, or wrong. Do not judge intent or personality. Require textual evidence and consider healthy-reasoning cues.</x:v>
      </x:c>
      <x:c r="R543" s="13" t="str">
        <x:v>Stub: A claim relies on the parent decision tendency appears in a choice argument to support a conclusion without adequate qualification.</x:v>
      </x:c>
      <x:c r="S543" s="13" t="str">
        <x:v>Stub: A claim discusses disposition effect with caveats, balanced evidence, or no argumentative use of the pattern.</x:v>
      </x:c>
      <x:c r="T543" s="13" t="str">
        <x:v>Mild or ambiguous cue; do not classify without clear evidence span.</x:v>
      </x:c>
      <x:c r="U543" s="13" t="str">
        <x:v>Clear claim-level pattern with some argumentative impact.</x:v>
      </x:c>
      <x:c r="V543" s="13" t="str">
        <x:v>Strong pattern central to the conclusion and likely to materially distort reasoning.</x:v>
      </x:c>
      <x:c r="W543" s="13" t="str"/>
      <x:c r="X543" s="13" t="str">
        <x:v>kahneman_tversky_prospect_1979</x:v>
      </x:c>
      <x:c r="Y543" s="13" t="str">
        <x:v>https://doi.org/10.2307/1914185</x:v>
      </x:c>
      <x:c r="Z543" s="13" t="str">
        <x:v>Review before enabling. This workbook is a living taxonomy scaffold, not a validated scientific benchmark.</x:v>
      </x:c>
      <x:c r="AA543" s="13" t="str">
        <x:v>0.1.0-draft</x:v>
      </x:c>
      <x:c r="AB543" s="12" t="str">
        <x:f>IF(ISNUMBER(SEARCH("healthy",F543)),"healthy_reasoning_patterns",IF(ISNUMBER(SEARCH("statistical",F543)),"statistical_reasoning",IF(ISNUMBER(SEARCH("causal",F543)),"causal_reasoning",IF(ISNUMBER(SEARCH("social",F543)),"social_influence",IF(ISNUMBER(SEARCH("rhetoric",F543)),"rhetoric_discourse",IF(ISNUMBER(SEARCH("behavior",F543)),"behavioural_economics",IF(ISNUMBER(SEARCH("cognitive",F543)),"cognitive_biases",IF(J543="protective_pattern","healthy_reasoning_patterns",IF(L543="P0","core_mvp","extended_fallacies")))))))))</x:f>
        <x:v>extended_fallacies</x:v>
      </x:c>
      <x:c r="AC543" s="12" t="str">
        <x:f>IF(ISNUMBER(SEARCH("operational",J543)),"operational",IF(ISNUMBER(SEARCH("deprecated",J543)),"deprecated",IF(L543="P0","canonical","recognized_subtype")))</x:f>
        <x:v>operational</x:v>
      </x:c>
      <x:c r="AD543" s="12" t="str">
        <x:f>IF(AC543="canonical","high",IF(AC543="recognized_subtype","medium",IF(AC543="operational","operational_only","debated")))</x:f>
        <x:v>operational_only</x:v>
      </x:c>
      <x:c r="AE543" s="12" t="str">
        <x:f>IF(AC543="deprecated","deprecated",IF(M543="yes","active",IF(M543="review","review_required","backlog")))</x:f>
        <x:v>backlog</x:v>
      </x:c>
      <x:c r="AF543" s="12" t="str">
        <x:f>IF(OR(AE543="active",AE543="review_required"),"yes","no")</x:f>
        <x:v>no</x:v>
      </x:c>
      <x:c r="AG543" s="12" t="str">
        <x:f>IF(AND(AE543="active",M543="yes",NOT(ISNUMBER(SEARCH("healthy",AB543)))),"yes","no")</x:f>
        <x:v>no</x:v>
      </x:c>
      <x:c r="AH543" s="12" t="str">
        <x:f>IF(OR(H543="contextual",H543="dialogue",H543="discourse",I543="claim+context",I543="discourse_segment"),"yes","no")</x:f>
        <x:v>yes</x:v>
      </x:c>
      <x:c r="AI543" s="12" t="str">
        <x:f>IF(OR(AH543="yes",AD543="debated",AC543="operational"),"yes","no")</x:f>
        <x:v>yes</x:v>
      </x:c>
      <x:c r="AJ543" s="12" t="str">
        <x:f>IF(OR(AH543="yes",AC543="operational",AD543="debated"),"high",IF(AND(AG543="yes",L543="P0"),"medium","low"))</x:f>
        <x:v>high</x:v>
      </x:c>
      <x:c r="AK543" s="12" t="str">
        <x:f>IF(ISNUMBER(SEARCH("healthy",AB543)),"yes","no")</x:f>
        <x:v>no</x:v>
      </x:c>
      <x:c r="AL543" s="12" t="str">
        <x:f>IF(AG543="yes","yes","candidate_only")</x:f>
        <x:v>candidate_only</x:v>
      </x:c>
      <x:c r="AM543" s="12" t="str">
        <x:f>IF(OR(AC543="canonical",AG543="yes"),"yes","recommended")</x:f>
        <x:v>recommended</x:v>
      </x:c>
      <x:c r="AN543" s="12" t="str">
        <x:f>IF(AC543="deprecated","exclude",IF(AND(AG543="yes",AJ543="high"),"import_but_human_review_required",IF(AG543="yes","import_as_active","import_as_backlog")))</x:f>
        <x:v>import_as_backlog</x:v>
      </x:c>
      <x:c r="AO543" s="12" t="str">
        <x:f>IF(AND(AG543="yes",OR(P543="",Q543="",R543="",S543="")),"missing_required_mvp_fields",IF(AND(AC543="canonical",Y543=""),"missing_source_ref","ok"))</x:f>
        <x:v>ok</x:v>
      </x:c>
      <x:c r="AP543" s="12" t="str">
        <x:f>IF(AO543="ok","ready_for_codex_import","needs_review")</x:f>
        <x:v>ready_for_codex_import</x:v>
      </x:c>
      <x:c r="AQ543" s="12"/>
      <x:c r="AR543" s="12" t="str">
        <x:v>Added v2 operational fields. Review before classification activation.</x:v>
      </x:c>
    </x:row>
    <x:row r="544">
      <x:c r="A544" s="13" t="str">
        <x:v>availability_in_decision_canonical</x:v>
      </x:c>
      <x:c r="B544" s="13" t="str">
        <x:v>availability_in_decision</x:v>
      </x:c>
      <x:c r="C544" s="13" t="str">
        <x:v>Availability in decision-making</x:v>
      </x:c>
      <x:c r="D544" s="13" t="str">
        <x:v>دسترسی‌پذیری در تصمیم</x:v>
      </x:c>
      <x:c r="E544" s="13" t="str">
        <x:v>Canonical form</x:v>
      </x:c>
      <x:c r="F544" s="13" t="str">
        <x:v>decision_biases_behavioural_economics</x:v>
      </x:c>
      <x:c r="G544" s="13" t="str">
        <x:v>canonical</x:v>
      </x:c>
      <x:c r="H544" s="13" t="str">
        <x:v>contextual</x:v>
      </x:c>
      <x:c r="I544" s="13" t="str">
        <x:v>claim+context</x:v>
      </x:c>
      <x:c r="J544" s="13" t="str">
        <x:v>derived_operational_subtype</x:v>
      </x:c>
      <x:c r="K544" s="13" t="str">
        <x:v>derived_from_established_parent_review_required</x:v>
      </x:c>
      <x:c r="L544" s="13" t="str">
        <x:v>P2</x:v>
      </x:c>
      <x:c r="M544" s="13" t="str">
        <x:v>no</x:v>
      </x:c>
      <x:c r="N544" s="13" t="str">
        <x:v>Operational subtype under Availability in decision-making: the parent decision tendency appears in a choice argument. Parent definition: Choosing based on memorable cases rather than representative evidence.</x:v>
      </x:c>
      <x:c r="O544" s="13" t="str">
        <x:v>Look for: explicit claim-level evidence; parent-family cues for Availability in decision-making; variant cue: the parent decision tendency appears in a choice argument; avoid author-level inference.</x:v>
      </x:c>
      <x:c r="P544" s="13" t="str">
        <x:v>Exact evidence span in text plus claim-level reasoning link; for contextual/discourse entries, require surrounding context.</x:v>
      </x:c>
      <x:c r="Q544" s="13" t="str">
        <x:v>Do not label merely because topic is controversial, emotional, or wrong. Do not judge intent or personality. Require textual evidence and consider healthy-reasoning cues.</x:v>
      </x:c>
      <x:c r="R544" s="13" t="str">
        <x:v>Stub: A claim relies on the parent decision tendency appears in a choice argument to support a conclusion without adequate qualification.</x:v>
      </x:c>
      <x:c r="S544" s="13" t="str">
        <x:v>Stub: A claim discusses availability in decision-making with caveats, balanced evidence, or no argumentative use of the pattern.</x:v>
      </x:c>
      <x:c r="T544" s="13" t="str">
        <x:v>Mild or ambiguous cue; do not classify without clear evidence span.</x:v>
      </x:c>
      <x:c r="U544" s="13" t="str">
        <x:v>Clear claim-level pattern with some argumentative impact.</x:v>
      </x:c>
      <x:c r="V544" s="13" t="str">
        <x:v>Strong pattern central to the conclusion and likely to materially distort reasoning.</x:v>
      </x:c>
      <x:c r="W544" s="13" t="str">
        <x:v>cherry_picking; missing_counterevidence; evidence_grading</x:v>
      </x:c>
      <x:c r="X544" s="13" t="str">
        <x:v>kahneman_tversky_heuristics_1974</x:v>
      </x:c>
      <x:c r="Y544" s="13" t="str">
        <x:v>https://doi.org/10.1126/science.185.4157.1124</x:v>
      </x:c>
      <x:c r="Z544" s="13" t="str">
        <x:v>Review before enabling. This workbook is a living taxonomy scaffold, not a validated scientific benchmark.</x:v>
      </x:c>
      <x:c r="AA544" s="13" t="str">
        <x:v>0.1.0-draft</x:v>
      </x:c>
      <x:c r="AB544" s="12" t="str">
        <x:f>IF(ISNUMBER(SEARCH("healthy",F544)),"healthy_reasoning_patterns",IF(ISNUMBER(SEARCH("statistical",F544)),"statistical_reasoning",IF(ISNUMBER(SEARCH("causal",F544)),"causal_reasoning",IF(ISNUMBER(SEARCH("social",F544)),"social_influence",IF(ISNUMBER(SEARCH("rhetoric",F544)),"rhetoric_discourse",IF(ISNUMBER(SEARCH("behavior",F544)),"behavioural_economics",IF(ISNUMBER(SEARCH("cognitive",F544)),"cognitive_biases",IF(J544="protective_pattern","healthy_reasoning_patterns",IF(L544="P0","core_mvp","extended_fallacies")))))))))</x:f>
        <x:v>extended_fallacies</x:v>
      </x:c>
      <x:c r="AC544" s="12" t="str">
        <x:f>IF(ISNUMBER(SEARCH("operational",J544)),"operational",IF(ISNUMBER(SEARCH("deprecated",J544)),"deprecated",IF(L544="P0","canonical","recognized_subtype")))</x:f>
        <x:v>operational</x:v>
      </x:c>
      <x:c r="AD544" s="12" t="str">
        <x:f>IF(AC544="canonical","high",IF(AC544="recognized_subtype","medium",IF(AC544="operational","operational_only","debated")))</x:f>
        <x:v>operational_only</x:v>
      </x:c>
      <x:c r="AE544" s="12" t="str">
        <x:f>IF(AC544="deprecated","deprecated",IF(M544="yes","active",IF(M544="review","review_required","backlog")))</x:f>
        <x:v>backlog</x:v>
      </x:c>
      <x:c r="AF544" s="12" t="str">
        <x:f>IF(OR(AE544="active",AE544="review_required"),"yes","no")</x:f>
        <x:v>no</x:v>
      </x:c>
      <x:c r="AG544" s="12" t="str">
        <x:f>IF(AND(AE544="active",M544="yes",NOT(ISNUMBER(SEARCH("healthy",AB544)))),"yes","no")</x:f>
        <x:v>no</x:v>
      </x:c>
      <x:c r="AH544" s="12" t="str">
        <x:f>IF(OR(H544="contextual",H544="dialogue",H544="discourse",I544="claim+context",I544="discourse_segment"),"yes","no")</x:f>
        <x:v>yes</x:v>
      </x:c>
      <x:c r="AI544" s="12" t="str">
        <x:f>IF(OR(AH544="yes",AD544="debated",AC544="operational"),"yes","no")</x:f>
        <x:v>yes</x:v>
      </x:c>
      <x:c r="AJ544" s="12" t="str">
        <x:f>IF(OR(AH544="yes",AC544="operational",AD544="debated"),"high",IF(AND(AG544="yes",L544="P0"),"medium","low"))</x:f>
        <x:v>high</x:v>
      </x:c>
      <x:c r="AK544" s="12" t="str">
        <x:f>IF(ISNUMBER(SEARCH("healthy",AB544)),"yes","no")</x:f>
        <x:v>no</x:v>
      </x:c>
      <x:c r="AL544" s="12" t="str">
        <x:f>IF(AG544="yes","yes","candidate_only")</x:f>
        <x:v>candidate_only</x:v>
      </x:c>
      <x:c r="AM544" s="12" t="str">
        <x:f>IF(OR(AC544="canonical",AG544="yes"),"yes","recommended")</x:f>
        <x:v>recommended</x:v>
      </x:c>
      <x:c r="AN544" s="12" t="str">
        <x:f>IF(AC544="deprecated","exclude",IF(AND(AG544="yes",AJ544="high"),"import_but_human_review_required",IF(AG544="yes","import_as_active","import_as_backlog")))</x:f>
        <x:v>import_as_backlog</x:v>
      </x:c>
      <x:c r="AO544" s="12" t="str">
        <x:f>IF(AND(AG544="yes",OR(P544="",Q544="",R544="",S544="")),"missing_required_mvp_fields",IF(AND(AC544="canonical",Y544=""),"missing_source_ref","ok"))</x:f>
        <x:v>ok</x:v>
      </x:c>
      <x:c r="AP544" s="12" t="str">
        <x:f>IF(AO544="ok","ready_for_codex_import","needs_review")</x:f>
        <x:v>ready_for_codex_import</x:v>
      </x:c>
      <x:c r="AQ544" s="12"/>
      <x:c r="AR544" s="12" t="str">
        <x:v>Added v2 operational fields. Review before classification activation.</x:v>
      </x:c>
    </x:row>
    <x:row r="545">
      <x:c r="A545" s="13" t="str">
        <x:v>friction_cost_neglect_canonical</x:v>
      </x:c>
      <x:c r="B545" s="13" t="str">
        <x:v>friction_cost_neglect</x:v>
      </x:c>
      <x:c r="C545" s="13" t="str">
        <x:v>Friction-cost neglect</x:v>
      </x:c>
      <x:c r="D545" s="13" t="str">
        <x:v>نادیده‌گرفتن هزینه اصطکاکی</x:v>
      </x:c>
      <x:c r="E545" s="13" t="str">
        <x:v>Canonical form</x:v>
      </x:c>
      <x:c r="F545" s="13" t="str">
        <x:v>decision_biases_behavioural_economics</x:v>
      </x:c>
      <x:c r="G545" s="13" t="str">
        <x:v>canonical</x:v>
      </x:c>
      <x:c r="H545" s="13" t="str">
        <x:v>contextual</x:v>
      </x:c>
      <x:c r="I545" s="13" t="str">
        <x:v>claim+context</x:v>
      </x:c>
      <x:c r="J545" s="13" t="str">
        <x:v>derived_operational_subtype</x:v>
      </x:c>
      <x:c r="K545" s="13" t="str">
        <x:v>derived_from_established_parent_review_required</x:v>
      </x:c>
      <x:c r="L545" s="13" t="str">
        <x:v>P2</x:v>
      </x:c>
      <x:c r="M545" s="13" t="str">
        <x:v>no</x:v>
      </x:c>
      <x:c r="N545" s="13" t="str">
        <x:v>Operational subtype under Friction-cost neglect: the parent decision tendency appears in a choice argument. Parent definition: Ignoring transaction costs, cognitive load, or access barriers in choices.</x:v>
      </x:c>
      <x:c r="O545" s="13" t="str">
        <x:v>Look for: explicit claim-level evidence; parent-family cues for Friction-cost neglect; variant cue: the parent decision tendency appears in a choice argument; avoid author-level inference.</x:v>
      </x:c>
      <x:c r="P545" s="13" t="str">
        <x:v>Exact evidence span in text plus claim-level reasoning link; for contextual/discourse entries, require surrounding context.</x:v>
      </x:c>
      <x:c r="Q545" s="13" t="str">
        <x:v>Do not label merely because topic is controversial, emotional, or wrong. Do not judge intent or personality. Require textual evidence and consider healthy-reasoning cues.</x:v>
      </x:c>
      <x:c r="R545" s="13" t="str">
        <x:v>Stub: A claim relies on the parent decision tendency appears in a choice argument to support a conclusion without adequate qualification.</x:v>
      </x:c>
      <x:c r="S545" s="13" t="str">
        <x:v>Stub: A claim discusses friction-cost neglect with caveats, balanced evidence, or no argumentative use of the pattern.</x:v>
      </x:c>
      <x:c r="T545" s="13" t="str">
        <x:v>Mild or ambiguous cue; do not classify without clear evidence span.</x:v>
      </x:c>
      <x:c r="U545" s="13" t="str">
        <x:v>Clear claim-level pattern with some argumentative impact.</x:v>
      </x:c>
      <x:c r="V545" s="13" t="str">
        <x:v>Strong pattern central to the conclusion and likely to materially distort reasoning.</x:v>
      </x:c>
      <x:c r="W545" s="13" t="str"/>
      <x:c r="X545" s="13" t="str">
        <x:v>thaler_sunstein_nudge</x:v>
      </x:c>
      <x:c r="Y545" s="13" t="str">
        <x:v>https://yalebooks.yale.edu/book/9780300262285/nudge/</x:v>
      </x:c>
      <x:c r="Z545" s="13" t="str">
        <x:v>Review before enabling. This workbook is a living taxonomy scaffold, not a validated scientific benchmark.</x:v>
      </x:c>
      <x:c r="AA545" s="13" t="str">
        <x:v>0.1.0-draft</x:v>
      </x:c>
      <x:c r="AB545" s="12" t="str">
        <x:f>IF(ISNUMBER(SEARCH("healthy",F545)),"healthy_reasoning_patterns",IF(ISNUMBER(SEARCH("statistical",F545)),"statistical_reasoning",IF(ISNUMBER(SEARCH("causal",F545)),"causal_reasoning",IF(ISNUMBER(SEARCH("social",F545)),"social_influence",IF(ISNUMBER(SEARCH("rhetoric",F545)),"rhetoric_discourse",IF(ISNUMBER(SEARCH("behavior",F545)),"behavioural_economics",IF(ISNUMBER(SEARCH("cognitive",F545)),"cognitive_biases",IF(J545="protective_pattern","healthy_reasoning_patterns",IF(L545="P0","core_mvp","extended_fallacies")))))))))</x:f>
        <x:v>extended_fallacies</x:v>
      </x:c>
      <x:c r="AC545" s="12" t="str">
        <x:f>IF(ISNUMBER(SEARCH("operational",J545)),"operational",IF(ISNUMBER(SEARCH("deprecated",J545)),"deprecated",IF(L545="P0","canonical","recognized_subtype")))</x:f>
        <x:v>operational</x:v>
      </x:c>
      <x:c r="AD545" s="12" t="str">
        <x:f>IF(AC545="canonical","high",IF(AC545="recognized_subtype","medium",IF(AC545="operational","operational_only","debated")))</x:f>
        <x:v>operational_only</x:v>
      </x:c>
      <x:c r="AE545" s="12" t="str">
        <x:f>IF(AC545="deprecated","deprecated",IF(M545="yes","active",IF(M545="review","review_required","backlog")))</x:f>
        <x:v>backlog</x:v>
      </x:c>
      <x:c r="AF545" s="12" t="str">
        <x:f>IF(OR(AE545="active",AE545="review_required"),"yes","no")</x:f>
        <x:v>no</x:v>
      </x:c>
      <x:c r="AG545" s="12" t="str">
        <x:f>IF(AND(AE545="active",M545="yes",NOT(ISNUMBER(SEARCH("healthy",AB545)))),"yes","no")</x:f>
        <x:v>no</x:v>
      </x:c>
      <x:c r="AH545" s="12" t="str">
        <x:f>IF(OR(H545="contextual",H545="dialogue",H545="discourse",I545="claim+context",I545="discourse_segment"),"yes","no")</x:f>
        <x:v>yes</x:v>
      </x:c>
      <x:c r="AI545" s="12" t="str">
        <x:f>IF(OR(AH545="yes",AD545="debated",AC545="operational"),"yes","no")</x:f>
        <x:v>yes</x:v>
      </x:c>
      <x:c r="AJ545" s="12" t="str">
        <x:f>IF(OR(AH545="yes",AC545="operational",AD545="debated"),"high",IF(AND(AG545="yes",L545="P0"),"medium","low"))</x:f>
        <x:v>high</x:v>
      </x:c>
      <x:c r="AK545" s="12" t="str">
        <x:f>IF(ISNUMBER(SEARCH("healthy",AB545)),"yes","no")</x:f>
        <x:v>no</x:v>
      </x:c>
      <x:c r="AL545" s="12" t="str">
        <x:f>IF(AG545="yes","yes","candidate_only")</x:f>
        <x:v>candidate_only</x:v>
      </x:c>
      <x:c r="AM545" s="12" t="str">
        <x:f>IF(OR(AC545="canonical",AG545="yes"),"yes","recommended")</x:f>
        <x:v>recommended</x:v>
      </x:c>
      <x:c r="AN545" s="12" t="str">
        <x:f>IF(AC545="deprecated","exclude",IF(AND(AG545="yes",AJ545="high"),"import_but_human_review_required",IF(AG545="yes","import_as_active","import_as_backlog")))</x:f>
        <x:v>import_as_backlog</x:v>
      </x:c>
      <x:c r="AO545" s="12" t="str">
        <x:f>IF(AND(AG545="yes",OR(P545="",Q545="",R545="",S545="")),"missing_required_mvp_fields",IF(AND(AC545="canonical",Y545=""),"missing_source_ref","ok"))</x:f>
        <x:v>ok</x:v>
      </x:c>
      <x:c r="AP545" s="12" t="str">
        <x:f>IF(AO545="ok","ready_for_codex_import","needs_review")</x:f>
        <x:v>ready_for_codex_import</x:v>
      </x:c>
      <x:c r="AQ545" s="12"/>
      <x:c r="AR545" s="12" t="str">
        <x:v>Added v2 operational fields. Review before classification activation.</x:v>
      </x:c>
    </x:row>
    <x:row r="546">
      <x:c r="A546" s="13" t="str">
        <x:v>loss_aversion_gain_frame_variant</x:v>
      </x:c>
      <x:c r="B546" s="13" t="str">
        <x:v>loss_aversion</x:v>
      </x:c>
      <x:c r="C546" s="13" t="str">
        <x:v>Loss aversion</x:v>
      </x:c>
      <x:c r="D546" s="13" t="str">
        <x:v>اجتناب از زیان</x:v>
      </x:c>
      <x:c r="E546" s="13" t="str">
        <x:v>Gain-frame variant</x:v>
      </x:c>
      <x:c r="F546" s="13" t="str">
        <x:v>decision_biases_behavioural_economics</x:v>
      </x:c>
      <x:c r="G546" s="13" t="str">
        <x:v>operational_variant</x:v>
      </x:c>
      <x:c r="H546" s="13" t="str">
        <x:v>contextual</x:v>
      </x:c>
      <x:c r="I546" s="13" t="str">
        <x:v>claim+context</x:v>
      </x:c>
      <x:c r="J546" s="13" t="str">
        <x:v>derived_operational_subtype</x:v>
      </x:c>
      <x:c r="K546" s="13" t="str">
        <x:v>derived_from_established_parent_review_required</x:v>
      </x:c>
      <x:c r="L546" s="13" t="str">
        <x:v>P2</x:v>
      </x:c>
      <x:c r="M546" s="13" t="str">
        <x:v>no</x:v>
      </x:c>
      <x:c r="N546" s="13" t="str">
        <x:v>Operational subtype under Loss aversion: the reasoning depends on a gain framing. Parent definition: Losses are weighted more strongly than comparable gains.</x:v>
      </x:c>
      <x:c r="O546" s="13" t="str">
        <x:v>Look for: explicit claim-level evidence; parent-family cues for Loss aversion; variant cue: the reasoning depends on a gain framing; avoid author-level inference.</x:v>
      </x:c>
      <x:c r="P546" s="13" t="str">
        <x:v>Exact evidence span in text plus claim-level reasoning link; for contextual/discourse entries, require surrounding context.</x:v>
      </x:c>
      <x:c r="Q546" s="13" t="str">
        <x:v>Do not label merely because topic is controversial, emotional, or wrong. Do not judge intent or personality. Require textual evidence and consider healthy-reasoning cues.</x:v>
      </x:c>
      <x:c r="R546" s="13" t="str">
        <x:v>Stub: A claim relies on the reasoning depends on a gain framing to support a conclusion without adequate qualification.</x:v>
      </x:c>
      <x:c r="S546" s="13" t="str">
        <x:v>Stub: A claim discusses loss aversion with caveats, balanced evidence, or no argumentative use of the pattern.</x:v>
      </x:c>
      <x:c r="T546" s="13" t="str">
        <x:v>Mild or ambiguous cue; do not classify without clear evidence span.</x:v>
      </x:c>
      <x:c r="U546" s="13" t="str">
        <x:v>Clear claim-level pattern with some argumentative impact.</x:v>
      </x:c>
      <x:c r="V546" s="13" t="str">
        <x:v>Strong pattern central to the conclusion and likely to materially distort reasoning.</x:v>
      </x:c>
      <x:c r="W546" s="13" t="str"/>
      <x:c r="X546" s="13" t="str">
        <x:v>kahneman_tversky_prospect_1979</x:v>
      </x:c>
      <x:c r="Y546" s="13" t="str">
        <x:v>https://doi.org/10.2307/1914185</x:v>
      </x:c>
      <x:c r="Z546" s="13" t="str">
        <x:v>Review before enabling. This workbook is a living taxonomy scaffold, not a validated scientific benchmark.</x:v>
      </x:c>
      <x:c r="AA546" s="13" t="str">
        <x:v>0.1.0-draft</x:v>
      </x:c>
      <x:c r="AB546" s="12" t="str">
        <x:f>IF(ISNUMBER(SEARCH("healthy",F546)),"healthy_reasoning_patterns",IF(ISNUMBER(SEARCH("statistical",F546)),"statistical_reasoning",IF(ISNUMBER(SEARCH("causal",F546)),"causal_reasoning",IF(ISNUMBER(SEARCH("social",F546)),"social_influence",IF(ISNUMBER(SEARCH("rhetoric",F546)),"rhetoric_discourse",IF(ISNUMBER(SEARCH("behavior",F546)),"behavioural_economics",IF(ISNUMBER(SEARCH("cognitive",F546)),"cognitive_biases",IF(J546="protective_pattern","healthy_reasoning_patterns",IF(L546="P0","core_mvp","extended_fallacies")))))))))</x:f>
        <x:v>extended_fallacies</x:v>
      </x:c>
      <x:c r="AC546" s="12" t="str">
        <x:f>IF(ISNUMBER(SEARCH("operational",J546)),"operational",IF(ISNUMBER(SEARCH("deprecated",J546)),"deprecated",IF(L546="P0","canonical","recognized_subtype")))</x:f>
        <x:v>operational</x:v>
      </x:c>
      <x:c r="AD546" s="12" t="str">
        <x:f>IF(AC546="canonical","high",IF(AC546="recognized_subtype","medium",IF(AC546="operational","operational_only","debated")))</x:f>
        <x:v>operational_only</x:v>
      </x:c>
      <x:c r="AE546" s="12" t="str">
        <x:f>IF(AC546="deprecated","deprecated",IF(M546="yes","active",IF(M546="review","review_required","backlog")))</x:f>
        <x:v>backlog</x:v>
      </x:c>
      <x:c r="AF546" s="12" t="str">
        <x:f>IF(OR(AE546="active",AE546="review_required"),"yes","no")</x:f>
        <x:v>no</x:v>
      </x:c>
      <x:c r="AG546" s="12" t="str">
        <x:f>IF(AND(AE546="active",M546="yes",NOT(ISNUMBER(SEARCH("healthy",AB546)))),"yes","no")</x:f>
        <x:v>no</x:v>
      </x:c>
      <x:c r="AH546" s="12" t="str">
        <x:f>IF(OR(H546="contextual",H546="dialogue",H546="discourse",I546="claim+context",I546="discourse_segment"),"yes","no")</x:f>
        <x:v>yes</x:v>
      </x:c>
      <x:c r="AI546" s="12" t="str">
        <x:f>IF(OR(AH546="yes",AD546="debated",AC546="operational"),"yes","no")</x:f>
        <x:v>yes</x:v>
      </x:c>
      <x:c r="AJ546" s="12" t="str">
        <x:f>IF(OR(AH546="yes",AC546="operational",AD546="debated"),"high",IF(AND(AG546="yes",L546="P0"),"medium","low"))</x:f>
        <x:v>high</x:v>
      </x:c>
      <x:c r="AK546" s="12" t="str">
        <x:f>IF(ISNUMBER(SEARCH("healthy",AB546)),"yes","no")</x:f>
        <x:v>no</x:v>
      </x:c>
      <x:c r="AL546" s="12" t="str">
        <x:f>IF(AG546="yes","yes","candidate_only")</x:f>
        <x:v>candidate_only</x:v>
      </x:c>
      <x:c r="AM546" s="12" t="str">
        <x:f>IF(OR(AC546="canonical",AG546="yes"),"yes","recommended")</x:f>
        <x:v>recommended</x:v>
      </x:c>
      <x:c r="AN546" s="12" t="str">
        <x:f>IF(AC546="deprecated","exclude",IF(AND(AG546="yes",AJ546="high"),"import_but_human_review_required",IF(AG546="yes","import_as_active","import_as_backlog")))</x:f>
        <x:v>import_as_backlog</x:v>
      </x:c>
      <x:c r="AO546" s="12" t="str">
        <x:f>IF(AND(AG546="yes",OR(P546="",Q546="",R546="",S546="")),"missing_required_mvp_fields",IF(AND(AC546="canonical",Y546=""),"missing_source_ref","ok"))</x:f>
        <x:v>ok</x:v>
      </x:c>
      <x:c r="AP546" s="12" t="str">
        <x:f>IF(AO546="ok","ready_for_codex_import","needs_review")</x:f>
        <x:v>ready_for_codex_import</x:v>
      </x:c>
      <x:c r="AQ546" s="12"/>
      <x:c r="AR546" s="12" t="str">
        <x:v>Added v2 operational fields. Review before classification activation.</x:v>
      </x:c>
    </x:row>
    <x:row r="547">
      <x:c r="A547" s="13" t="str">
        <x:v>endowment_effect_gain_frame_variant</x:v>
      </x:c>
      <x:c r="B547" s="13" t="str">
        <x:v>endowment_effect</x:v>
      </x:c>
      <x:c r="C547" s="13" t="str">
        <x:v>Endowment effect</x:v>
      </x:c>
      <x:c r="D547" s="13" t="str">
        <x:v>اثر مالکیت</x:v>
      </x:c>
      <x:c r="E547" s="13" t="str">
        <x:v>Gain-frame variant</x:v>
      </x:c>
      <x:c r="F547" s="13" t="str">
        <x:v>decision_biases_behavioural_economics</x:v>
      </x:c>
      <x:c r="G547" s="13" t="str">
        <x:v>operational_variant</x:v>
      </x:c>
      <x:c r="H547" s="13" t="str">
        <x:v>contextual</x:v>
      </x:c>
      <x:c r="I547" s="13" t="str">
        <x:v>claim+context</x:v>
      </x:c>
      <x:c r="J547" s="13" t="str">
        <x:v>derived_operational_subtype</x:v>
      </x:c>
      <x:c r="K547" s="13" t="str">
        <x:v>derived_from_established_parent_review_required</x:v>
      </x:c>
      <x:c r="L547" s="13" t="str">
        <x:v>P2</x:v>
      </x:c>
      <x:c r="M547" s="13" t="str">
        <x:v>no</x:v>
      </x:c>
      <x:c r="N547" s="13" t="str">
        <x:v>Operational subtype under Endowment effect: the reasoning depends on a gain framing. Parent definition: Valuing something more highly because one owns it.</x:v>
      </x:c>
      <x:c r="O547" s="13" t="str">
        <x:v>Look for: explicit claim-level evidence; parent-family cues for Endowment effect; variant cue: the reasoning depends on a gain framing; avoid author-level inference.</x:v>
      </x:c>
      <x:c r="P547" s="13" t="str">
        <x:v>Exact evidence span in text plus claim-level reasoning link; for contextual/discourse entries, require surrounding context.</x:v>
      </x:c>
      <x:c r="Q547" s="13" t="str">
        <x:v>Do not label merely because topic is controversial, emotional, or wrong. Do not judge intent or personality. Require textual evidence and consider healthy-reasoning cues.</x:v>
      </x:c>
      <x:c r="R547" s="13" t="str">
        <x:v>Stub: A claim relies on the reasoning depends on a gain framing to support a conclusion without adequate qualification.</x:v>
      </x:c>
      <x:c r="S547" s="13" t="str">
        <x:v>Stub: A claim discusses endowment effect with caveats, balanced evidence, or no argumentative use of the pattern.</x:v>
      </x:c>
      <x:c r="T547" s="13" t="str">
        <x:v>Mild or ambiguous cue; do not classify without clear evidence span.</x:v>
      </x:c>
      <x:c r="U547" s="13" t="str">
        <x:v>Clear claim-level pattern with some argumentative impact.</x:v>
      </x:c>
      <x:c r="V547" s="13" t="str">
        <x:v>Strong pattern central to the conclusion and likely to materially distort reasoning.</x:v>
      </x:c>
      <x:c r="W547" s="13" t="str"/>
      <x:c r="X547" s="13" t="str">
        <x:v>kahneman_tversky_prospect_1979</x:v>
      </x:c>
      <x:c r="Y547" s="13" t="str">
        <x:v>https://doi.org/10.2307/1914185</x:v>
      </x:c>
      <x:c r="Z547" s="13" t="str">
        <x:v>Review before enabling. This workbook is a living taxonomy scaffold, not a validated scientific benchmark.</x:v>
      </x:c>
      <x:c r="AA547" s="13" t="str">
        <x:v>0.1.0-draft</x:v>
      </x:c>
      <x:c r="AB547" s="12" t="str">
        <x:f>IF(ISNUMBER(SEARCH("healthy",F547)),"healthy_reasoning_patterns",IF(ISNUMBER(SEARCH("statistical",F547)),"statistical_reasoning",IF(ISNUMBER(SEARCH("causal",F547)),"causal_reasoning",IF(ISNUMBER(SEARCH("social",F547)),"social_influence",IF(ISNUMBER(SEARCH("rhetoric",F547)),"rhetoric_discourse",IF(ISNUMBER(SEARCH("behavior",F547)),"behavioural_economics",IF(ISNUMBER(SEARCH("cognitive",F547)),"cognitive_biases",IF(J547="protective_pattern","healthy_reasoning_patterns",IF(L547="P0","core_mvp","extended_fallacies")))))))))</x:f>
        <x:v>extended_fallacies</x:v>
      </x:c>
      <x:c r="AC547" s="12" t="str">
        <x:f>IF(ISNUMBER(SEARCH("operational",J547)),"operational",IF(ISNUMBER(SEARCH("deprecated",J547)),"deprecated",IF(L547="P0","canonical","recognized_subtype")))</x:f>
        <x:v>operational</x:v>
      </x:c>
      <x:c r="AD547" s="12" t="str">
        <x:f>IF(AC547="canonical","high",IF(AC547="recognized_subtype","medium",IF(AC547="operational","operational_only","debated")))</x:f>
        <x:v>operational_only</x:v>
      </x:c>
      <x:c r="AE547" s="12" t="str">
        <x:f>IF(AC547="deprecated","deprecated",IF(M547="yes","active",IF(M547="review","review_required","backlog")))</x:f>
        <x:v>backlog</x:v>
      </x:c>
      <x:c r="AF547" s="12" t="str">
        <x:f>IF(OR(AE547="active",AE547="review_required"),"yes","no")</x:f>
        <x:v>no</x:v>
      </x:c>
      <x:c r="AG547" s="12" t="str">
        <x:f>IF(AND(AE547="active",M547="yes",NOT(ISNUMBER(SEARCH("healthy",AB547)))),"yes","no")</x:f>
        <x:v>no</x:v>
      </x:c>
      <x:c r="AH547" s="12" t="str">
        <x:f>IF(OR(H547="contextual",H547="dialogue",H547="discourse",I547="claim+context",I547="discourse_segment"),"yes","no")</x:f>
        <x:v>yes</x:v>
      </x:c>
      <x:c r="AI547" s="12" t="str">
        <x:f>IF(OR(AH547="yes",AD547="debated",AC547="operational"),"yes","no")</x:f>
        <x:v>yes</x:v>
      </x:c>
      <x:c r="AJ547" s="12" t="str">
        <x:f>IF(OR(AH547="yes",AC547="operational",AD547="debated"),"high",IF(AND(AG547="yes",L547="P0"),"medium","low"))</x:f>
        <x:v>high</x:v>
      </x:c>
      <x:c r="AK547" s="12" t="str">
        <x:f>IF(ISNUMBER(SEARCH("healthy",AB547)),"yes","no")</x:f>
        <x:v>no</x:v>
      </x:c>
      <x:c r="AL547" s="12" t="str">
        <x:f>IF(AG547="yes","yes","candidate_only")</x:f>
        <x:v>candidate_only</x:v>
      </x:c>
      <x:c r="AM547" s="12" t="str">
        <x:f>IF(OR(AC547="canonical",AG547="yes"),"yes","recommended")</x:f>
        <x:v>recommended</x:v>
      </x:c>
      <x:c r="AN547" s="12" t="str">
        <x:f>IF(AC547="deprecated","exclude",IF(AND(AG547="yes",AJ547="high"),"import_but_human_review_required",IF(AG547="yes","import_as_active","import_as_backlog")))</x:f>
        <x:v>import_as_backlog</x:v>
      </x:c>
      <x:c r="AO547" s="12" t="str">
        <x:f>IF(AND(AG547="yes",OR(P547="",Q547="",R547="",S547="")),"missing_required_mvp_fields",IF(AND(AC547="canonical",Y547=""),"missing_source_ref","ok"))</x:f>
        <x:v>ok</x:v>
      </x:c>
      <x:c r="AP547" s="12" t="str">
        <x:f>IF(AO547="ok","ready_for_codex_import","needs_review")</x:f>
        <x:v>ready_for_codex_import</x:v>
      </x:c>
      <x:c r="AQ547" s="12"/>
      <x:c r="AR547" s="12" t="str">
        <x:v>Added v2 operational fields. Review before classification activation.</x:v>
      </x:c>
    </x:row>
    <x:row r="548">
      <x:c r="A548" s="13" t="str">
        <x:v>status_quo_bias_gain_frame_variant</x:v>
      </x:c>
      <x:c r="B548" s="13" t="str">
        <x:v>status_quo_bias</x:v>
      </x:c>
      <x:c r="C548" s="13" t="str">
        <x:v>Status quo bias</x:v>
      </x:c>
      <x:c r="D548" s="13" t="str">
        <x:v>سوگیری وضع موجود</x:v>
      </x:c>
      <x:c r="E548" s="13" t="str">
        <x:v>Gain-frame variant</x:v>
      </x:c>
      <x:c r="F548" s="13" t="str">
        <x:v>decision_biases_behavioural_economics</x:v>
      </x:c>
      <x:c r="G548" s="13" t="str">
        <x:v>operational_variant</x:v>
      </x:c>
      <x:c r="H548" s="13" t="str">
        <x:v>contextual</x:v>
      </x:c>
      <x:c r="I548" s="13" t="str">
        <x:v>claim+context</x:v>
      </x:c>
      <x:c r="J548" s="13" t="str">
        <x:v>derived_operational_subtype</x:v>
      </x:c>
      <x:c r="K548" s="13" t="str">
        <x:v>derived_from_established_parent_review_required</x:v>
      </x:c>
      <x:c r="L548" s="13" t="str">
        <x:v>P2</x:v>
      </x:c>
      <x:c r="M548" s="13" t="str">
        <x:v>no</x:v>
      </x:c>
      <x:c r="N548" s="13" t="str">
        <x:v>Operational subtype under Status quo bias: the reasoning depends on a gain framing. Parent definition: Preferring the existing state partly because it is the default.</x:v>
      </x:c>
      <x:c r="O548" s="13" t="str">
        <x:v>Look for: explicit claim-level evidence; parent-family cues for Status quo bias; variant cue: the reasoning depends on a gain framing; avoid author-level inference.</x:v>
      </x:c>
      <x:c r="P548" s="13" t="str">
        <x:v>Exact evidence span in text plus claim-level reasoning link; for contextual/discourse entries, require surrounding context.</x:v>
      </x:c>
      <x:c r="Q548" s="13" t="str">
        <x:v>Do not label merely because topic is controversial, emotional, or wrong. Do not judge intent or personality. Require textual evidence and consider healthy-reasoning cues.</x:v>
      </x:c>
      <x:c r="R548" s="13" t="str">
        <x:v>Stub: A claim relies on the reasoning depends on a gain framing to support a conclusion without adequate qualification.</x:v>
      </x:c>
      <x:c r="S548" s="13" t="str">
        <x:v>Stub: A claim discusses status quo bias with caveats, balanced evidence, or no argumentative use of the pattern.</x:v>
      </x:c>
      <x:c r="T548" s="13" t="str">
        <x:v>Mild or ambiguous cue; do not classify without clear evidence span.</x:v>
      </x:c>
      <x:c r="U548" s="13" t="str">
        <x:v>Clear claim-level pattern with some argumentative impact.</x:v>
      </x:c>
      <x:c r="V548" s="13" t="str">
        <x:v>Strong pattern central to the conclusion and likely to materially distort reasoning.</x:v>
      </x:c>
      <x:c r="W548" s="13" t="str"/>
      <x:c r="X548" s="13" t="str">
        <x:v>thaler_sunstein_nudge</x:v>
      </x:c>
      <x:c r="Y548" s="13" t="str">
        <x:v>https://yalebooks.yale.edu/book/9780300262285/nudge/</x:v>
      </x:c>
      <x:c r="Z548" s="13" t="str">
        <x:v>Review before enabling. This workbook is a living taxonomy scaffold, not a validated scientific benchmark.</x:v>
      </x:c>
      <x:c r="AA548" s="13" t="str">
        <x:v>0.1.0-draft</x:v>
      </x:c>
      <x:c r="AB548" s="12" t="str">
        <x:f>IF(ISNUMBER(SEARCH("healthy",F548)),"healthy_reasoning_patterns",IF(ISNUMBER(SEARCH("statistical",F548)),"statistical_reasoning",IF(ISNUMBER(SEARCH("causal",F548)),"causal_reasoning",IF(ISNUMBER(SEARCH("social",F548)),"social_influence",IF(ISNUMBER(SEARCH("rhetoric",F548)),"rhetoric_discourse",IF(ISNUMBER(SEARCH("behavior",F548)),"behavioural_economics",IF(ISNUMBER(SEARCH("cognitive",F548)),"cognitive_biases",IF(J548="protective_pattern","healthy_reasoning_patterns",IF(L548="P0","core_mvp","extended_fallacies")))))))))</x:f>
        <x:v>extended_fallacies</x:v>
      </x:c>
      <x:c r="AC548" s="12" t="str">
        <x:f>IF(ISNUMBER(SEARCH("operational",J548)),"operational",IF(ISNUMBER(SEARCH("deprecated",J548)),"deprecated",IF(L548="P0","canonical","recognized_subtype")))</x:f>
        <x:v>operational</x:v>
      </x:c>
      <x:c r="AD548" s="12" t="str">
        <x:f>IF(AC548="canonical","high",IF(AC548="recognized_subtype","medium",IF(AC548="operational","operational_only","debated")))</x:f>
        <x:v>operational_only</x:v>
      </x:c>
      <x:c r="AE548" s="12" t="str">
        <x:f>IF(AC548="deprecated","deprecated",IF(M548="yes","active",IF(M548="review","review_required","backlog")))</x:f>
        <x:v>backlog</x:v>
      </x:c>
      <x:c r="AF548" s="12" t="str">
        <x:f>IF(OR(AE548="active",AE548="review_required"),"yes","no")</x:f>
        <x:v>no</x:v>
      </x:c>
      <x:c r="AG548" s="12" t="str">
        <x:f>IF(AND(AE548="active",M548="yes",NOT(ISNUMBER(SEARCH("healthy",AB548)))),"yes","no")</x:f>
        <x:v>no</x:v>
      </x:c>
      <x:c r="AH548" s="12" t="str">
        <x:f>IF(OR(H548="contextual",H548="dialogue",H548="discourse",I548="claim+context",I548="discourse_segment"),"yes","no")</x:f>
        <x:v>yes</x:v>
      </x:c>
      <x:c r="AI548" s="12" t="str">
        <x:f>IF(OR(AH548="yes",AD548="debated",AC548="operational"),"yes","no")</x:f>
        <x:v>yes</x:v>
      </x:c>
      <x:c r="AJ548" s="12" t="str">
        <x:f>IF(OR(AH548="yes",AC548="operational",AD548="debated"),"high",IF(AND(AG548="yes",L548="P0"),"medium","low"))</x:f>
        <x:v>high</x:v>
      </x:c>
      <x:c r="AK548" s="12" t="str">
        <x:f>IF(ISNUMBER(SEARCH("healthy",AB548)),"yes","no")</x:f>
        <x:v>no</x:v>
      </x:c>
      <x:c r="AL548" s="12" t="str">
        <x:f>IF(AG548="yes","yes","candidate_only")</x:f>
        <x:v>candidate_only</x:v>
      </x:c>
      <x:c r="AM548" s="12" t="str">
        <x:f>IF(OR(AC548="canonical",AG548="yes"),"yes","recommended")</x:f>
        <x:v>recommended</x:v>
      </x:c>
      <x:c r="AN548" s="12" t="str">
        <x:f>IF(AC548="deprecated","exclude",IF(AND(AG548="yes",AJ548="high"),"import_but_human_review_required",IF(AG548="yes","import_as_active","import_as_backlog")))</x:f>
        <x:v>import_as_backlog</x:v>
      </x:c>
      <x:c r="AO548" s="12" t="str">
        <x:f>IF(AND(AG548="yes",OR(P548="",Q548="",R548="",S548="")),"missing_required_mvp_fields",IF(AND(AC548="canonical",Y548=""),"missing_source_ref","ok"))</x:f>
        <x:v>ok</x:v>
      </x:c>
      <x:c r="AP548" s="12" t="str">
        <x:f>IF(AO548="ok","ready_for_codex_import","needs_review")</x:f>
        <x:v>ready_for_codex_import</x:v>
      </x:c>
      <x:c r="AQ548" s="12"/>
      <x:c r="AR548" s="12" t="str">
        <x:v>Added v2 operational fields. Review before classification activation.</x:v>
      </x:c>
    </x:row>
    <x:row r="549">
      <x:c r="A549" s="13" t="str">
        <x:v>default_effect_gain_frame_variant</x:v>
      </x:c>
      <x:c r="B549" s="13" t="str">
        <x:v>default_effect</x:v>
      </x:c>
      <x:c r="C549" s="13" t="str">
        <x:v>Default effect</x:v>
      </x:c>
      <x:c r="D549" s="13" t="str">
        <x:v>اثر گزینه پیش‌فرض</x:v>
      </x:c>
      <x:c r="E549" s="13" t="str">
        <x:v>Gain-frame variant</x:v>
      </x:c>
      <x:c r="F549" s="13" t="str">
        <x:v>decision_biases_behavioural_economics</x:v>
      </x:c>
      <x:c r="G549" s="13" t="str">
        <x:v>operational_variant</x:v>
      </x:c>
      <x:c r="H549" s="13" t="str">
        <x:v>contextual</x:v>
      </x:c>
      <x:c r="I549" s="13" t="str">
        <x:v>claim+context</x:v>
      </x:c>
      <x:c r="J549" s="13" t="str">
        <x:v>derived_operational_subtype</x:v>
      </x:c>
      <x:c r="K549" s="13" t="str">
        <x:v>derived_from_established_parent_review_required</x:v>
      </x:c>
      <x:c r="L549" s="13" t="str">
        <x:v>P2</x:v>
      </x:c>
      <x:c r="M549" s="13" t="str">
        <x:v>no</x:v>
      </x:c>
      <x:c r="N549" s="13" t="str">
        <x:v>Operational subtype under Default effect: the reasoning depends on a gain framing. Parent definition: Choosing an option disproportionately because it is preselected.</x:v>
      </x:c>
      <x:c r="O549" s="13" t="str">
        <x:v>Look for: explicit claim-level evidence; parent-family cues for Default effect; variant cue: the reasoning depends on a gain framing; avoid author-level inference.</x:v>
      </x:c>
      <x:c r="P549" s="13" t="str">
        <x:v>Exact evidence span in text plus claim-level reasoning link; for contextual/discourse entries, require surrounding context.</x:v>
      </x:c>
      <x:c r="Q549" s="13" t="str">
        <x:v>Do not label merely because topic is controversial, emotional, or wrong. Do not judge intent or personality. Require textual evidence and consider healthy-reasoning cues.</x:v>
      </x:c>
      <x:c r="R549" s="13" t="str">
        <x:v>Stub: A claim relies on the reasoning depends on a gain framing to support a conclusion without adequate qualification.</x:v>
      </x:c>
      <x:c r="S549" s="13" t="str">
        <x:v>Stub: A claim discusses default effect with caveats, balanced evidence, or no argumentative use of the pattern.</x:v>
      </x:c>
      <x:c r="T549" s="13" t="str">
        <x:v>Mild or ambiguous cue; do not classify without clear evidence span.</x:v>
      </x:c>
      <x:c r="U549" s="13" t="str">
        <x:v>Clear claim-level pattern with some argumentative impact.</x:v>
      </x:c>
      <x:c r="V549" s="13" t="str">
        <x:v>Strong pattern central to the conclusion and likely to materially distort reasoning.</x:v>
      </x:c>
      <x:c r="W549" s="13" t="str"/>
      <x:c r="X549" s="13" t="str">
        <x:v>thaler_sunstein_nudge</x:v>
      </x:c>
      <x:c r="Y549" s="13" t="str">
        <x:v>https://yalebooks.yale.edu/book/9780300262285/nudge/</x:v>
      </x:c>
      <x:c r="Z549" s="13" t="str">
        <x:v>Review before enabling. This workbook is a living taxonomy scaffold, not a validated scientific benchmark.</x:v>
      </x:c>
      <x:c r="AA549" s="13" t="str">
        <x:v>0.1.0-draft</x:v>
      </x:c>
      <x:c r="AB549" s="12" t="str">
        <x:f>IF(ISNUMBER(SEARCH("healthy",F549)),"healthy_reasoning_patterns",IF(ISNUMBER(SEARCH("statistical",F549)),"statistical_reasoning",IF(ISNUMBER(SEARCH("causal",F549)),"causal_reasoning",IF(ISNUMBER(SEARCH("social",F549)),"social_influence",IF(ISNUMBER(SEARCH("rhetoric",F549)),"rhetoric_discourse",IF(ISNUMBER(SEARCH("behavior",F549)),"behavioural_economics",IF(ISNUMBER(SEARCH("cognitive",F549)),"cognitive_biases",IF(J549="protective_pattern","healthy_reasoning_patterns",IF(L549="P0","core_mvp","extended_fallacies")))))))))</x:f>
        <x:v>extended_fallacies</x:v>
      </x:c>
      <x:c r="AC549" s="12" t="str">
        <x:f>IF(ISNUMBER(SEARCH("operational",J549)),"operational",IF(ISNUMBER(SEARCH("deprecated",J549)),"deprecated",IF(L549="P0","canonical","recognized_subtype")))</x:f>
        <x:v>operational</x:v>
      </x:c>
      <x:c r="AD549" s="12" t="str">
        <x:f>IF(AC549="canonical","high",IF(AC549="recognized_subtype","medium",IF(AC549="operational","operational_only","debated")))</x:f>
        <x:v>operational_only</x:v>
      </x:c>
      <x:c r="AE549" s="12" t="str">
        <x:f>IF(AC549="deprecated","deprecated",IF(M549="yes","active",IF(M549="review","review_required","backlog")))</x:f>
        <x:v>backlog</x:v>
      </x:c>
      <x:c r="AF549" s="12" t="str">
        <x:f>IF(OR(AE549="active",AE549="review_required"),"yes","no")</x:f>
        <x:v>no</x:v>
      </x:c>
      <x:c r="AG549" s="12" t="str">
        <x:f>IF(AND(AE549="active",M549="yes",NOT(ISNUMBER(SEARCH("healthy",AB549)))),"yes","no")</x:f>
        <x:v>no</x:v>
      </x:c>
      <x:c r="AH549" s="12" t="str">
        <x:f>IF(OR(H549="contextual",H549="dialogue",H549="discourse",I549="claim+context",I549="discourse_segment"),"yes","no")</x:f>
        <x:v>yes</x:v>
      </x:c>
      <x:c r="AI549" s="12" t="str">
        <x:f>IF(OR(AH549="yes",AD549="debated",AC549="operational"),"yes","no")</x:f>
        <x:v>yes</x:v>
      </x:c>
      <x:c r="AJ549" s="12" t="str">
        <x:f>IF(OR(AH549="yes",AC549="operational",AD549="debated"),"high",IF(AND(AG549="yes",L549="P0"),"medium","low"))</x:f>
        <x:v>high</x:v>
      </x:c>
      <x:c r="AK549" s="12" t="str">
        <x:f>IF(ISNUMBER(SEARCH("healthy",AB549)),"yes","no")</x:f>
        <x:v>no</x:v>
      </x:c>
      <x:c r="AL549" s="12" t="str">
        <x:f>IF(AG549="yes","yes","candidate_only")</x:f>
        <x:v>candidate_only</x:v>
      </x:c>
      <x:c r="AM549" s="12" t="str">
        <x:f>IF(OR(AC549="canonical",AG549="yes"),"yes","recommended")</x:f>
        <x:v>recommended</x:v>
      </x:c>
      <x:c r="AN549" s="12" t="str">
        <x:f>IF(AC549="deprecated","exclude",IF(AND(AG549="yes",AJ549="high"),"import_but_human_review_required",IF(AG549="yes","import_as_active","import_as_backlog")))</x:f>
        <x:v>import_as_backlog</x:v>
      </x:c>
      <x:c r="AO549" s="12" t="str">
        <x:f>IF(AND(AG549="yes",OR(P549="",Q549="",R549="",S549="")),"missing_required_mvp_fields",IF(AND(AC549="canonical",Y549=""),"missing_source_ref","ok"))</x:f>
        <x:v>ok</x:v>
      </x:c>
      <x:c r="AP549" s="12" t="str">
        <x:f>IF(AO549="ok","ready_for_codex_import","needs_review")</x:f>
        <x:v>ready_for_codex_import</x:v>
      </x:c>
      <x:c r="AQ549" s="12"/>
      <x:c r="AR549" s="12" t="str">
        <x:v>Added v2 operational fields. Review before classification activation.</x:v>
      </x:c>
    </x:row>
    <x:row r="550">
      <x:c r="A550" s="13" t="str">
        <x:v>sunk_cost_fallacy_gain_frame_variant</x:v>
      </x:c>
      <x:c r="B550" s="13" t="str">
        <x:v>sunk_cost_fallacy</x:v>
      </x:c>
      <x:c r="C550" s="13" t="str">
        <x:v>Sunk-cost fallacy</x:v>
      </x:c>
      <x:c r="D550" s="13" t="str">
        <x:v>مغالطه هزینه ازدست‌رفته</x:v>
      </x:c>
      <x:c r="E550" s="13" t="str">
        <x:v>Gain-frame variant</x:v>
      </x:c>
      <x:c r="F550" s="13" t="str">
        <x:v>decision_biases_behavioural_economics</x:v>
      </x:c>
      <x:c r="G550" s="13" t="str">
        <x:v>operational_variant</x:v>
      </x:c>
      <x:c r="H550" s="13" t="str">
        <x:v>contextual</x:v>
      </x:c>
      <x:c r="I550" s="13" t="str">
        <x:v>claim+context</x:v>
      </x:c>
      <x:c r="J550" s="13" t="str">
        <x:v>derived_operational_subtype</x:v>
      </x:c>
      <x:c r="K550" s="13" t="str">
        <x:v>derived_from_established_parent_review_required</x:v>
      </x:c>
      <x:c r="L550" s="13" t="str">
        <x:v>P2</x:v>
      </x:c>
      <x:c r="M550" s="13" t="str">
        <x:v>no</x:v>
      </x:c>
      <x:c r="N550" s="13" t="str">
        <x:v>Operational subtype under Sunk-cost fallacy: the reasoning depends on a gain framing. Parent definition: Continuing a choice because of past costs that cannot be recovered.</x:v>
      </x:c>
      <x:c r="O550" s="13" t="str">
        <x:v>Look for: explicit claim-level evidence; parent-family cues for Sunk-cost fallacy; variant cue: the reasoning depends on a gain framing; avoid author-level inference.</x:v>
      </x:c>
      <x:c r="P550" s="13" t="str">
        <x:v>Exact evidence span in text plus claim-level reasoning link; for contextual/discourse entries, require surrounding context.</x:v>
      </x:c>
      <x:c r="Q550" s="13" t="str">
        <x:v>Do not label merely because topic is controversial, emotional, or wrong. Do not judge intent or personality. Require textual evidence and consider healthy-reasoning cues.</x:v>
      </x:c>
      <x:c r="R550" s="13" t="str">
        <x:v>Stub: A claim relies on the reasoning depends on a gain framing to support a conclusion without adequate qualification.</x:v>
      </x:c>
      <x:c r="S550" s="13" t="str">
        <x:v>Stub: A claim discusses sunk-cost fallacy with caveats, balanced evidence, or no argumentative use of the pattern.</x:v>
      </x:c>
      <x:c r="T550" s="13" t="str">
        <x:v>Mild or ambiguous cue; do not classify without clear evidence span.</x:v>
      </x:c>
      <x:c r="U550" s="13" t="str">
        <x:v>Clear claim-level pattern with some argumentative impact.</x:v>
      </x:c>
      <x:c r="V550" s="13" t="str">
        <x:v>Strong pattern central to the conclusion and likely to materially distort reasoning.</x:v>
      </x:c>
      <x:c r="W550" s="13" t="str"/>
      <x:c r="X550" s="13" t="str">
        <x:v>kahneman_tversky_prospect_1979</x:v>
      </x:c>
      <x:c r="Y550" s="13" t="str">
        <x:v>https://doi.org/10.2307/1914185</x:v>
      </x:c>
      <x:c r="Z550" s="13" t="str">
        <x:v>Review before enabling. This workbook is a living taxonomy scaffold, not a validated scientific benchmark.</x:v>
      </x:c>
      <x:c r="AA550" s="13" t="str">
        <x:v>0.1.0-draft</x:v>
      </x:c>
      <x:c r="AB550" s="12" t="str">
        <x:f>IF(ISNUMBER(SEARCH("healthy",F550)),"healthy_reasoning_patterns",IF(ISNUMBER(SEARCH("statistical",F550)),"statistical_reasoning",IF(ISNUMBER(SEARCH("causal",F550)),"causal_reasoning",IF(ISNUMBER(SEARCH("social",F550)),"social_influence",IF(ISNUMBER(SEARCH("rhetoric",F550)),"rhetoric_discourse",IF(ISNUMBER(SEARCH("behavior",F550)),"behavioural_economics",IF(ISNUMBER(SEARCH("cognitive",F550)),"cognitive_biases",IF(J550="protective_pattern","healthy_reasoning_patterns",IF(L550="P0","core_mvp","extended_fallacies")))))))))</x:f>
        <x:v>extended_fallacies</x:v>
      </x:c>
      <x:c r="AC550" s="12" t="str">
        <x:f>IF(ISNUMBER(SEARCH("operational",J550)),"operational",IF(ISNUMBER(SEARCH("deprecated",J550)),"deprecated",IF(L550="P0","canonical","recognized_subtype")))</x:f>
        <x:v>operational</x:v>
      </x:c>
      <x:c r="AD550" s="12" t="str">
        <x:f>IF(AC550="canonical","high",IF(AC550="recognized_subtype","medium",IF(AC550="operational","operational_only","debated")))</x:f>
        <x:v>operational_only</x:v>
      </x:c>
      <x:c r="AE550" s="12" t="str">
        <x:f>IF(AC550="deprecated","deprecated",IF(M550="yes","active",IF(M550="review","review_required","backlog")))</x:f>
        <x:v>backlog</x:v>
      </x:c>
      <x:c r="AF550" s="12" t="str">
        <x:f>IF(OR(AE550="active",AE550="review_required"),"yes","no")</x:f>
        <x:v>no</x:v>
      </x:c>
      <x:c r="AG550" s="12" t="str">
        <x:f>IF(AND(AE550="active",M550="yes",NOT(ISNUMBER(SEARCH("healthy",AB550)))),"yes","no")</x:f>
        <x:v>no</x:v>
      </x:c>
      <x:c r="AH550" s="12" t="str">
        <x:f>IF(OR(H550="contextual",H550="dialogue",H550="discourse",I550="claim+context",I550="discourse_segment"),"yes","no")</x:f>
        <x:v>yes</x:v>
      </x:c>
      <x:c r="AI550" s="12" t="str">
        <x:f>IF(OR(AH550="yes",AD550="debated",AC550="operational"),"yes","no")</x:f>
        <x:v>yes</x:v>
      </x:c>
      <x:c r="AJ550" s="12" t="str">
        <x:f>IF(OR(AH550="yes",AC550="operational",AD550="debated"),"high",IF(AND(AG550="yes",L550="P0"),"medium","low"))</x:f>
        <x:v>high</x:v>
      </x:c>
      <x:c r="AK550" s="12" t="str">
        <x:f>IF(ISNUMBER(SEARCH("healthy",AB550)),"yes","no")</x:f>
        <x:v>no</x:v>
      </x:c>
      <x:c r="AL550" s="12" t="str">
        <x:f>IF(AG550="yes","yes","candidate_only")</x:f>
        <x:v>candidate_only</x:v>
      </x:c>
      <x:c r="AM550" s="12" t="str">
        <x:f>IF(OR(AC550="canonical",AG550="yes"),"yes","recommended")</x:f>
        <x:v>recommended</x:v>
      </x:c>
      <x:c r="AN550" s="12" t="str">
        <x:f>IF(AC550="deprecated","exclude",IF(AND(AG550="yes",AJ550="high"),"import_but_human_review_required",IF(AG550="yes","import_as_active","import_as_backlog")))</x:f>
        <x:v>import_as_backlog</x:v>
      </x:c>
      <x:c r="AO550" s="12" t="str">
        <x:f>IF(AND(AG550="yes",OR(P550="",Q550="",R550="",S550="")),"missing_required_mvp_fields",IF(AND(AC550="canonical",Y550=""),"missing_source_ref","ok"))</x:f>
        <x:v>ok</x:v>
      </x:c>
      <x:c r="AP550" s="12" t="str">
        <x:f>IF(AO550="ok","ready_for_codex_import","needs_review")</x:f>
        <x:v>ready_for_codex_import</x:v>
      </x:c>
      <x:c r="AQ550" s="12"/>
      <x:c r="AR550" s="12" t="str">
        <x:v>Added v2 operational fields. Review before classification activation.</x:v>
      </x:c>
    </x:row>
    <x:row r="551">
      <x:c r="A551" s="13" t="str">
        <x:v>present_bias_gain_frame_variant</x:v>
      </x:c>
      <x:c r="B551" s="13" t="str">
        <x:v>present_bias</x:v>
      </x:c>
      <x:c r="C551" s="13" t="str">
        <x:v>Present bias</x:v>
      </x:c>
      <x:c r="D551" s="13" t="str">
        <x:v>سوگیری حال</x:v>
      </x:c>
      <x:c r="E551" s="13" t="str">
        <x:v>Gain-frame variant</x:v>
      </x:c>
      <x:c r="F551" s="13" t="str">
        <x:v>decision_biases_behavioural_economics</x:v>
      </x:c>
      <x:c r="G551" s="13" t="str">
        <x:v>operational_variant</x:v>
      </x:c>
      <x:c r="H551" s="13" t="str">
        <x:v>contextual</x:v>
      </x:c>
      <x:c r="I551" s="13" t="str">
        <x:v>claim+context</x:v>
      </x:c>
      <x:c r="J551" s="13" t="str">
        <x:v>derived_operational_subtype</x:v>
      </x:c>
      <x:c r="K551" s="13" t="str">
        <x:v>derived_from_established_parent_review_required</x:v>
      </x:c>
      <x:c r="L551" s="13" t="str">
        <x:v>P2</x:v>
      </x:c>
      <x:c r="M551" s="13" t="str">
        <x:v>no</x:v>
      </x:c>
      <x:c r="N551" s="13" t="str">
        <x:v>Operational subtype under Present bias: the reasoning depends on a gain framing. Parent definition: Overweighting immediate costs or rewards relative to future ones.</x:v>
      </x:c>
      <x:c r="O551" s="13" t="str">
        <x:v>Look for: explicit claim-level evidence; parent-family cues for Present bias; variant cue: the reasoning depends on a gain framing; avoid author-level inference.</x:v>
      </x:c>
      <x:c r="P551" s="13" t="str">
        <x:v>Exact evidence span in text plus claim-level reasoning link; for contextual/discourse entries, require surrounding context.</x:v>
      </x:c>
      <x:c r="Q551" s="13" t="str">
        <x:v>Do not label merely because topic is controversial, emotional, or wrong. Do not judge intent or personality. Require textual evidence and consider healthy-reasoning cues.</x:v>
      </x:c>
      <x:c r="R551" s="13" t="str">
        <x:v>Stub: A claim relies on the reasoning depends on a gain framing to support a conclusion without adequate qualification.</x:v>
      </x:c>
      <x:c r="S551" s="13" t="str">
        <x:v>Stub: A claim discusses present bias with caveats, balanced evidence, or no argumentative use of the pattern.</x:v>
      </x:c>
      <x:c r="T551" s="13" t="str">
        <x:v>Mild or ambiguous cue; do not classify without clear evidence span.</x:v>
      </x:c>
      <x:c r="U551" s="13" t="str">
        <x:v>Clear claim-level pattern with some argumentative impact.</x:v>
      </x:c>
      <x:c r="V551" s="13" t="str">
        <x:v>Strong pattern central to the conclusion and likely to materially distort reasoning.</x:v>
      </x:c>
      <x:c r="W551" s="13" t="str"/>
      <x:c r="X551" s="13" t="str">
        <x:v>thaler_sunstein_nudge</x:v>
      </x:c>
      <x:c r="Y551" s="13" t="str">
        <x:v>https://yalebooks.yale.edu/book/9780300262285/nudge/</x:v>
      </x:c>
      <x:c r="Z551" s="13" t="str">
        <x:v>Review before enabling. This workbook is a living taxonomy scaffold, not a validated scientific benchmark.</x:v>
      </x:c>
      <x:c r="AA551" s="13" t="str">
        <x:v>0.1.0-draft</x:v>
      </x:c>
      <x:c r="AB551" s="12" t="str">
        <x:f>IF(ISNUMBER(SEARCH("healthy",F551)),"healthy_reasoning_patterns",IF(ISNUMBER(SEARCH("statistical",F551)),"statistical_reasoning",IF(ISNUMBER(SEARCH("causal",F551)),"causal_reasoning",IF(ISNUMBER(SEARCH("social",F551)),"social_influence",IF(ISNUMBER(SEARCH("rhetoric",F551)),"rhetoric_discourse",IF(ISNUMBER(SEARCH("behavior",F551)),"behavioural_economics",IF(ISNUMBER(SEARCH("cognitive",F551)),"cognitive_biases",IF(J551="protective_pattern","healthy_reasoning_patterns",IF(L551="P0","core_mvp","extended_fallacies")))))))))</x:f>
        <x:v>extended_fallacies</x:v>
      </x:c>
      <x:c r="AC551" s="12" t="str">
        <x:f>IF(ISNUMBER(SEARCH("operational",J551)),"operational",IF(ISNUMBER(SEARCH("deprecated",J551)),"deprecated",IF(L551="P0","canonical","recognized_subtype")))</x:f>
        <x:v>operational</x:v>
      </x:c>
      <x:c r="AD551" s="12" t="str">
        <x:f>IF(AC551="canonical","high",IF(AC551="recognized_subtype","medium",IF(AC551="operational","operational_only","debated")))</x:f>
        <x:v>operational_only</x:v>
      </x:c>
      <x:c r="AE551" s="12" t="str">
        <x:f>IF(AC551="deprecated","deprecated",IF(M551="yes","active",IF(M551="review","review_required","backlog")))</x:f>
        <x:v>backlog</x:v>
      </x:c>
      <x:c r="AF551" s="12" t="str">
        <x:f>IF(OR(AE551="active",AE551="review_required"),"yes","no")</x:f>
        <x:v>no</x:v>
      </x:c>
      <x:c r="AG551" s="12" t="str">
        <x:f>IF(AND(AE551="active",M551="yes",NOT(ISNUMBER(SEARCH("healthy",AB551)))),"yes","no")</x:f>
        <x:v>no</x:v>
      </x:c>
      <x:c r="AH551" s="12" t="str">
        <x:f>IF(OR(H551="contextual",H551="dialogue",H551="discourse",I551="claim+context",I551="discourse_segment"),"yes","no")</x:f>
        <x:v>yes</x:v>
      </x:c>
      <x:c r="AI551" s="12" t="str">
        <x:f>IF(OR(AH551="yes",AD551="debated",AC551="operational"),"yes","no")</x:f>
        <x:v>yes</x:v>
      </x:c>
      <x:c r="AJ551" s="12" t="str">
        <x:f>IF(OR(AH551="yes",AC551="operational",AD551="debated"),"high",IF(AND(AG551="yes",L551="P0"),"medium","low"))</x:f>
        <x:v>high</x:v>
      </x:c>
      <x:c r="AK551" s="12" t="str">
        <x:f>IF(ISNUMBER(SEARCH("healthy",AB551)),"yes","no")</x:f>
        <x:v>no</x:v>
      </x:c>
      <x:c r="AL551" s="12" t="str">
        <x:f>IF(AG551="yes","yes","candidate_only")</x:f>
        <x:v>candidate_only</x:v>
      </x:c>
      <x:c r="AM551" s="12" t="str">
        <x:f>IF(OR(AC551="canonical",AG551="yes"),"yes","recommended")</x:f>
        <x:v>recommended</x:v>
      </x:c>
      <x:c r="AN551" s="12" t="str">
        <x:f>IF(AC551="deprecated","exclude",IF(AND(AG551="yes",AJ551="high"),"import_but_human_review_required",IF(AG551="yes","import_as_active","import_as_backlog")))</x:f>
        <x:v>import_as_backlog</x:v>
      </x:c>
      <x:c r="AO551" s="12" t="str">
        <x:f>IF(AND(AG551="yes",OR(P551="",Q551="",R551="",S551="")),"missing_required_mvp_fields",IF(AND(AC551="canonical",Y551=""),"missing_source_ref","ok"))</x:f>
        <x:v>ok</x:v>
      </x:c>
      <x:c r="AP551" s="12" t="str">
        <x:f>IF(AO551="ok","ready_for_codex_import","needs_review")</x:f>
        <x:v>ready_for_codex_import</x:v>
      </x:c>
      <x:c r="AQ551" s="12"/>
      <x:c r="AR551" s="12" t="str">
        <x:v>Added v2 operational fields. Review before classification activation.</x:v>
      </x:c>
    </x:row>
    <x:row r="552">
      <x:c r="A552" s="13" t="str">
        <x:v>hyperbolic_discounting_gain_frame_variant</x:v>
      </x:c>
      <x:c r="B552" s="13" t="str">
        <x:v>hyperbolic_discounting</x:v>
      </x:c>
      <x:c r="C552" s="13" t="str">
        <x:v>Hyperbolic discounting</x:v>
      </x:c>
      <x:c r="D552" s="13" t="str">
        <x:v>تنزیل هذلولوی</x:v>
      </x:c>
      <x:c r="E552" s="13" t="str">
        <x:v>Gain-frame variant</x:v>
      </x:c>
      <x:c r="F552" s="13" t="str">
        <x:v>decision_biases_behavioural_economics</x:v>
      </x:c>
      <x:c r="G552" s="13" t="str">
        <x:v>operational_variant</x:v>
      </x:c>
      <x:c r="H552" s="13" t="str">
        <x:v>contextual</x:v>
      </x:c>
      <x:c r="I552" s="13" t="str">
        <x:v>claim+context</x:v>
      </x:c>
      <x:c r="J552" s="13" t="str">
        <x:v>derived_operational_subtype</x:v>
      </x:c>
      <x:c r="K552" s="13" t="str">
        <x:v>derived_from_established_parent_review_required</x:v>
      </x:c>
      <x:c r="L552" s="13" t="str">
        <x:v>P2</x:v>
      </x:c>
      <x:c r="M552" s="13" t="str">
        <x:v>no</x:v>
      </x:c>
      <x:c r="N552" s="13" t="str">
        <x:v>Operational subtype under Hyperbolic discounting: the reasoning depends on a gain framing. Parent definition: Discounting future outcomes in a time-inconsistent way.</x:v>
      </x:c>
      <x:c r="O552" s="13" t="str">
        <x:v>Look for: explicit claim-level evidence; parent-family cues for Hyperbolic discounting; variant cue: the reasoning depends on a gain framing; avoid author-level inference.</x:v>
      </x:c>
      <x:c r="P552" s="13" t="str">
        <x:v>Exact evidence span in text plus claim-level reasoning link; for contextual/discourse entries, require surrounding context.</x:v>
      </x:c>
      <x:c r="Q552" s="13" t="str">
        <x:v>Do not label merely because topic is controversial, emotional, or wrong. Do not judge intent or personality. Require textual evidence and consider healthy-reasoning cues.</x:v>
      </x:c>
      <x:c r="R552" s="13" t="str">
        <x:v>Stub: A claim relies on the reasoning depends on a gain framing to support a conclusion without adequate qualification.</x:v>
      </x:c>
      <x:c r="S552" s="13" t="str">
        <x:v>Stub: A claim discusses hyperbolic discounting with caveats, balanced evidence, or no argumentative use of the pattern.</x:v>
      </x:c>
      <x:c r="T552" s="13" t="str">
        <x:v>Mild or ambiguous cue; do not classify without clear evidence span.</x:v>
      </x:c>
      <x:c r="U552" s="13" t="str">
        <x:v>Clear claim-level pattern with some argumentative impact.</x:v>
      </x:c>
      <x:c r="V552" s="13" t="str">
        <x:v>Strong pattern central to the conclusion and likely to materially distort reasoning.</x:v>
      </x:c>
      <x:c r="W552" s="13" t="str"/>
      <x:c r="X552" s="13" t="str">
        <x:v>thaler_sunstein_nudge</x:v>
      </x:c>
      <x:c r="Y552" s="13" t="str">
        <x:v>https://yalebooks.yale.edu/book/9780300262285/nudge/</x:v>
      </x:c>
      <x:c r="Z552" s="13" t="str">
        <x:v>Review before enabling. This workbook is a living taxonomy scaffold, not a validated scientific benchmark.</x:v>
      </x:c>
      <x:c r="AA552" s="13" t="str">
        <x:v>0.1.0-draft</x:v>
      </x:c>
      <x:c r="AB552" s="12" t="str">
        <x:f>IF(ISNUMBER(SEARCH("healthy",F552)),"healthy_reasoning_patterns",IF(ISNUMBER(SEARCH("statistical",F552)),"statistical_reasoning",IF(ISNUMBER(SEARCH("causal",F552)),"causal_reasoning",IF(ISNUMBER(SEARCH("social",F552)),"social_influence",IF(ISNUMBER(SEARCH("rhetoric",F552)),"rhetoric_discourse",IF(ISNUMBER(SEARCH("behavior",F552)),"behavioural_economics",IF(ISNUMBER(SEARCH("cognitive",F552)),"cognitive_biases",IF(J552="protective_pattern","healthy_reasoning_patterns",IF(L552="P0","core_mvp","extended_fallacies")))))))))</x:f>
        <x:v>extended_fallacies</x:v>
      </x:c>
      <x:c r="AC552" s="12" t="str">
        <x:f>IF(ISNUMBER(SEARCH("operational",J552)),"operational",IF(ISNUMBER(SEARCH("deprecated",J552)),"deprecated",IF(L552="P0","canonical","recognized_subtype")))</x:f>
        <x:v>operational</x:v>
      </x:c>
      <x:c r="AD552" s="12" t="str">
        <x:f>IF(AC552="canonical","high",IF(AC552="recognized_subtype","medium",IF(AC552="operational","operational_only","debated")))</x:f>
        <x:v>operational_only</x:v>
      </x:c>
      <x:c r="AE552" s="12" t="str">
        <x:f>IF(AC552="deprecated","deprecated",IF(M552="yes","active",IF(M552="review","review_required","backlog")))</x:f>
        <x:v>backlog</x:v>
      </x:c>
      <x:c r="AF552" s="12" t="str">
        <x:f>IF(OR(AE552="active",AE552="review_required"),"yes","no")</x:f>
        <x:v>no</x:v>
      </x:c>
      <x:c r="AG552" s="12" t="str">
        <x:f>IF(AND(AE552="active",M552="yes",NOT(ISNUMBER(SEARCH("healthy",AB552)))),"yes","no")</x:f>
        <x:v>no</x:v>
      </x:c>
      <x:c r="AH552" s="12" t="str">
        <x:f>IF(OR(H552="contextual",H552="dialogue",H552="discourse",I552="claim+context",I552="discourse_segment"),"yes","no")</x:f>
        <x:v>yes</x:v>
      </x:c>
      <x:c r="AI552" s="12" t="str">
        <x:f>IF(OR(AH552="yes",AD552="debated",AC552="operational"),"yes","no")</x:f>
        <x:v>yes</x:v>
      </x:c>
      <x:c r="AJ552" s="12" t="str">
        <x:f>IF(OR(AH552="yes",AC552="operational",AD552="debated"),"high",IF(AND(AG552="yes",L552="P0"),"medium","low"))</x:f>
        <x:v>high</x:v>
      </x:c>
      <x:c r="AK552" s="12" t="str">
        <x:f>IF(ISNUMBER(SEARCH("healthy",AB552)),"yes","no")</x:f>
        <x:v>no</x:v>
      </x:c>
      <x:c r="AL552" s="12" t="str">
        <x:f>IF(AG552="yes","yes","candidate_only")</x:f>
        <x:v>candidate_only</x:v>
      </x:c>
      <x:c r="AM552" s="12" t="str">
        <x:f>IF(OR(AC552="canonical",AG552="yes"),"yes","recommended")</x:f>
        <x:v>recommended</x:v>
      </x:c>
      <x:c r="AN552" s="12" t="str">
        <x:f>IF(AC552="deprecated","exclude",IF(AND(AG552="yes",AJ552="high"),"import_but_human_review_required",IF(AG552="yes","import_as_active","import_as_backlog")))</x:f>
        <x:v>import_as_backlog</x:v>
      </x:c>
      <x:c r="AO552" s="12" t="str">
        <x:f>IF(AND(AG552="yes",OR(P552="",Q552="",R552="",S552="")),"missing_required_mvp_fields",IF(AND(AC552="canonical",Y552=""),"missing_source_ref","ok"))</x:f>
        <x:v>ok</x:v>
      </x:c>
      <x:c r="AP552" s="12" t="str">
        <x:f>IF(AO552="ok","ready_for_codex_import","needs_review")</x:f>
        <x:v>ready_for_codex_import</x:v>
      </x:c>
      <x:c r="AQ552" s="12"/>
      <x:c r="AR552" s="12" t="str">
        <x:v>Added v2 operational fields. Review before classification activation.</x:v>
      </x:c>
    </x:row>
    <x:row r="553">
      <x:c r="A553" s="13" t="str">
        <x:v>planning_fallacy_gain_frame_variant</x:v>
      </x:c>
      <x:c r="B553" s="13" t="str">
        <x:v>planning_fallacy</x:v>
      </x:c>
      <x:c r="C553" s="13" t="str">
        <x:v>Planning fallacy</x:v>
      </x:c>
      <x:c r="D553" s="13" t="str">
        <x:v>خطای برنامه‌ریزی</x:v>
      </x:c>
      <x:c r="E553" s="13" t="str">
        <x:v>Gain-frame variant</x:v>
      </x:c>
      <x:c r="F553" s="13" t="str">
        <x:v>decision_biases_behavioural_economics</x:v>
      </x:c>
      <x:c r="G553" s="13" t="str">
        <x:v>operational_variant</x:v>
      </x:c>
      <x:c r="H553" s="13" t="str">
        <x:v>contextual</x:v>
      </x:c>
      <x:c r="I553" s="13" t="str">
        <x:v>claim+context</x:v>
      </x:c>
      <x:c r="J553" s="13" t="str">
        <x:v>derived_operational_subtype</x:v>
      </x:c>
      <x:c r="K553" s="13" t="str">
        <x:v>derived_from_established_parent_review_required</x:v>
      </x:c>
      <x:c r="L553" s="13" t="str">
        <x:v>P2</x:v>
      </x:c>
      <x:c r="M553" s="13" t="str">
        <x:v>no</x:v>
      </x:c>
      <x:c r="N553" s="13" t="str">
        <x:v>Operational subtype under Planning fallacy: the reasoning depends on a gain framing. Parent definition: Underestimating time, costs, or risks of future tasks.</x:v>
      </x:c>
      <x:c r="O553" s="13" t="str">
        <x:v>Look for: explicit claim-level evidence; parent-family cues for Planning fallacy; variant cue: the reasoning depends on a gain framing; avoid author-level inference.</x:v>
      </x:c>
      <x:c r="P553" s="13" t="str">
        <x:v>Exact evidence span in text plus claim-level reasoning link; for contextual/discourse entries, require surrounding context.</x:v>
      </x:c>
      <x:c r="Q553" s="13" t="str">
        <x:v>Do not label merely because topic is controversial, emotional, or wrong. Do not judge intent or personality. Require textual evidence and consider healthy-reasoning cues.</x:v>
      </x:c>
      <x:c r="R553" s="13" t="str">
        <x:v>Stub: A claim relies on the reasoning depends on a gain framing to support a conclusion without adequate qualification.</x:v>
      </x:c>
      <x:c r="S553" s="13" t="str">
        <x:v>Stub: A claim discusses planning fallacy with caveats, balanced evidence, or no argumentative use of the pattern.</x:v>
      </x:c>
      <x:c r="T553" s="13" t="str">
        <x:v>Mild or ambiguous cue; do not classify without clear evidence span.</x:v>
      </x:c>
      <x:c r="U553" s="13" t="str">
        <x:v>Clear claim-level pattern with some argumentative impact.</x:v>
      </x:c>
      <x:c r="V553" s="13" t="str">
        <x:v>Strong pattern central to the conclusion and likely to materially distort reasoning.</x:v>
      </x:c>
      <x:c r="W553" s="13" t="str"/>
      <x:c r="X553" s="13" t="str">
        <x:v>gilovich_heuristics_biases</x:v>
      </x:c>
      <x:c r="Y553" s="13" t="str">
        <x:v>https://www.cambridge.org/core/books/heuristics-and-biases/3C30D3B05D2F190C3B8BE5E2531EFD24</x:v>
      </x:c>
      <x:c r="Z553" s="13" t="str">
        <x:v>Review before enabling. This workbook is a living taxonomy scaffold, not a validated scientific benchmark.</x:v>
      </x:c>
      <x:c r="AA553" s="13" t="str">
        <x:v>0.1.0-draft</x:v>
      </x:c>
      <x:c r="AB553" s="12" t="str">
        <x:f>IF(ISNUMBER(SEARCH("healthy",F553)),"healthy_reasoning_patterns",IF(ISNUMBER(SEARCH("statistical",F553)),"statistical_reasoning",IF(ISNUMBER(SEARCH("causal",F553)),"causal_reasoning",IF(ISNUMBER(SEARCH("social",F553)),"social_influence",IF(ISNUMBER(SEARCH("rhetoric",F553)),"rhetoric_discourse",IF(ISNUMBER(SEARCH("behavior",F553)),"behavioural_economics",IF(ISNUMBER(SEARCH("cognitive",F553)),"cognitive_biases",IF(J553="protective_pattern","healthy_reasoning_patterns",IF(L553="P0","core_mvp","extended_fallacies")))))))))</x:f>
        <x:v>extended_fallacies</x:v>
      </x:c>
      <x:c r="AC553" s="12" t="str">
        <x:f>IF(ISNUMBER(SEARCH("operational",J553)),"operational",IF(ISNUMBER(SEARCH("deprecated",J553)),"deprecated",IF(L553="P0","canonical","recognized_subtype")))</x:f>
        <x:v>operational</x:v>
      </x:c>
      <x:c r="AD553" s="12" t="str">
        <x:f>IF(AC553="canonical","high",IF(AC553="recognized_subtype","medium",IF(AC553="operational","operational_only","debated")))</x:f>
        <x:v>operational_only</x:v>
      </x:c>
      <x:c r="AE553" s="12" t="str">
        <x:f>IF(AC553="deprecated","deprecated",IF(M553="yes","active",IF(M553="review","review_required","backlog")))</x:f>
        <x:v>backlog</x:v>
      </x:c>
      <x:c r="AF553" s="12" t="str">
        <x:f>IF(OR(AE553="active",AE553="review_required"),"yes","no")</x:f>
        <x:v>no</x:v>
      </x:c>
      <x:c r="AG553" s="12" t="str">
        <x:f>IF(AND(AE553="active",M553="yes",NOT(ISNUMBER(SEARCH("healthy",AB553)))),"yes","no")</x:f>
        <x:v>no</x:v>
      </x:c>
      <x:c r="AH553" s="12" t="str">
        <x:f>IF(OR(H553="contextual",H553="dialogue",H553="discourse",I553="claim+context",I553="discourse_segment"),"yes","no")</x:f>
        <x:v>yes</x:v>
      </x:c>
      <x:c r="AI553" s="12" t="str">
        <x:f>IF(OR(AH553="yes",AD553="debated",AC553="operational"),"yes","no")</x:f>
        <x:v>yes</x:v>
      </x:c>
      <x:c r="AJ553" s="12" t="str">
        <x:f>IF(OR(AH553="yes",AC553="operational",AD553="debated"),"high",IF(AND(AG553="yes",L553="P0"),"medium","low"))</x:f>
        <x:v>high</x:v>
      </x:c>
      <x:c r="AK553" s="12" t="str">
        <x:f>IF(ISNUMBER(SEARCH("healthy",AB553)),"yes","no")</x:f>
        <x:v>no</x:v>
      </x:c>
      <x:c r="AL553" s="12" t="str">
        <x:f>IF(AG553="yes","yes","candidate_only")</x:f>
        <x:v>candidate_only</x:v>
      </x:c>
      <x:c r="AM553" s="12" t="str">
        <x:f>IF(OR(AC553="canonical",AG553="yes"),"yes","recommended")</x:f>
        <x:v>recommended</x:v>
      </x:c>
      <x:c r="AN553" s="12" t="str">
        <x:f>IF(AC553="deprecated","exclude",IF(AND(AG553="yes",AJ553="high"),"import_but_human_review_required",IF(AG553="yes","import_as_active","import_as_backlog")))</x:f>
        <x:v>import_as_backlog</x:v>
      </x:c>
      <x:c r="AO553" s="12" t="str">
        <x:f>IF(AND(AG553="yes",OR(P553="",Q553="",R553="",S553="")),"missing_required_mvp_fields",IF(AND(AC553="canonical",Y553=""),"missing_source_ref","ok"))</x:f>
        <x:v>ok</x:v>
      </x:c>
      <x:c r="AP553" s="12" t="str">
        <x:f>IF(AO553="ok","ready_for_codex_import","needs_review")</x:f>
        <x:v>ready_for_codex_import</x:v>
      </x:c>
      <x:c r="AQ553" s="12"/>
      <x:c r="AR553" s="12" t="str">
        <x:v>Added v2 operational fields. Review before classification activation.</x:v>
      </x:c>
    </x:row>
    <x:row r="554">
      <x:c r="A554" s="13" t="str">
        <x:v>choice_overload_gain_frame_variant</x:v>
      </x:c>
      <x:c r="B554" s="13" t="str">
        <x:v>choice_overload</x:v>
      </x:c>
      <x:c r="C554" s="13" t="str">
        <x:v>Choice overload</x:v>
      </x:c>
      <x:c r="D554" s="13" t="str">
        <x:v>بار زیاد انتخاب</x:v>
      </x:c>
      <x:c r="E554" s="13" t="str">
        <x:v>Gain-frame variant</x:v>
      </x:c>
      <x:c r="F554" s="13" t="str">
        <x:v>decision_biases_behavioural_economics</x:v>
      </x:c>
      <x:c r="G554" s="13" t="str">
        <x:v>operational_variant</x:v>
      </x:c>
      <x:c r="H554" s="13" t="str">
        <x:v>contextual</x:v>
      </x:c>
      <x:c r="I554" s="13" t="str">
        <x:v>claim+context</x:v>
      </x:c>
      <x:c r="J554" s="13" t="str">
        <x:v>derived_operational_subtype</x:v>
      </x:c>
      <x:c r="K554" s="13" t="str">
        <x:v>derived_from_established_parent_review_required</x:v>
      </x:c>
      <x:c r="L554" s="13" t="str">
        <x:v>P2</x:v>
      </x:c>
      <x:c r="M554" s="13" t="str">
        <x:v>no</x:v>
      </x:c>
      <x:c r="N554" s="13" t="str">
        <x:v>Operational subtype under Choice overload: the reasoning depends on a gain framing. Parent definition: Decision quality or satisfaction decreases when options become excessive.</x:v>
      </x:c>
      <x:c r="O554" s="13" t="str">
        <x:v>Look for: explicit claim-level evidence; parent-family cues for Choice overload; variant cue: the reasoning depends on a gain framing; avoid author-level inference.</x:v>
      </x:c>
      <x:c r="P554" s="13" t="str">
        <x:v>Exact evidence span in text plus claim-level reasoning link; for contextual/discourse entries, require surrounding context.</x:v>
      </x:c>
      <x:c r="Q554" s="13" t="str">
        <x:v>Do not label merely because topic is controversial, emotional, or wrong. Do not judge intent or personality. Require textual evidence and consider healthy-reasoning cues.</x:v>
      </x:c>
      <x:c r="R554" s="13" t="str">
        <x:v>Stub: A claim relies on the reasoning depends on a gain framing to support a conclusion without adequate qualification.</x:v>
      </x:c>
      <x:c r="S554" s="13" t="str">
        <x:v>Stub: A claim discusses choice overload with caveats, balanced evidence, or no argumentative use of the pattern.</x:v>
      </x:c>
      <x:c r="T554" s="13" t="str">
        <x:v>Mild or ambiguous cue; do not classify without clear evidence span.</x:v>
      </x:c>
      <x:c r="U554" s="13" t="str">
        <x:v>Clear claim-level pattern with some argumentative impact.</x:v>
      </x:c>
      <x:c r="V554" s="13" t="str">
        <x:v>Strong pattern central to the conclusion and likely to materially distort reasoning.</x:v>
      </x:c>
      <x:c r="W554" s="13" t="str"/>
      <x:c r="X554" s="13" t="str">
        <x:v>thaler_sunstein_nudge</x:v>
      </x:c>
      <x:c r="Y554" s="13" t="str">
        <x:v>https://yalebooks.yale.edu/book/9780300262285/nudge/</x:v>
      </x:c>
      <x:c r="Z554" s="13" t="str">
        <x:v>Review before enabling. This workbook is a living taxonomy scaffold, not a validated scientific benchmark.</x:v>
      </x:c>
      <x:c r="AA554" s="13" t="str">
        <x:v>0.1.0-draft</x:v>
      </x:c>
      <x:c r="AB554" s="12" t="str">
        <x:f>IF(ISNUMBER(SEARCH("healthy",F554)),"healthy_reasoning_patterns",IF(ISNUMBER(SEARCH("statistical",F554)),"statistical_reasoning",IF(ISNUMBER(SEARCH("causal",F554)),"causal_reasoning",IF(ISNUMBER(SEARCH("social",F554)),"social_influence",IF(ISNUMBER(SEARCH("rhetoric",F554)),"rhetoric_discourse",IF(ISNUMBER(SEARCH("behavior",F554)),"behavioural_economics",IF(ISNUMBER(SEARCH("cognitive",F554)),"cognitive_biases",IF(J554="protective_pattern","healthy_reasoning_patterns",IF(L554="P0","core_mvp","extended_fallacies")))))))))</x:f>
        <x:v>extended_fallacies</x:v>
      </x:c>
      <x:c r="AC554" s="12" t="str">
        <x:f>IF(ISNUMBER(SEARCH("operational",J554)),"operational",IF(ISNUMBER(SEARCH("deprecated",J554)),"deprecated",IF(L554="P0","canonical","recognized_subtype")))</x:f>
        <x:v>operational</x:v>
      </x:c>
      <x:c r="AD554" s="12" t="str">
        <x:f>IF(AC554="canonical","high",IF(AC554="recognized_subtype","medium",IF(AC554="operational","operational_only","debated")))</x:f>
        <x:v>operational_only</x:v>
      </x:c>
      <x:c r="AE554" s="12" t="str">
        <x:f>IF(AC554="deprecated","deprecated",IF(M554="yes","active",IF(M554="review","review_required","backlog")))</x:f>
        <x:v>backlog</x:v>
      </x:c>
      <x:c r="AF554" s="12" t="str">
        <x:f>IF(OR(AE554="active",AE554="review_required"),"yes","no")</x:f>
        <x:v>no</x:v>
      </x:c>
      <x:c r="AG554" s="12" t="str">
        <x:f>IF(AND(AE554="active",M554="yes",NOT(ISNUMBER(SEARCH("healthy",AB554)))),"yes","no")</x:f>
        <x:v>no</x:v>
      </x:c>
      <x:c r="AH554" s="12" t="str">
        <x:f>IF(OR(H554="contextual",H554="dialogue",H554="discourse",I554="claim+context",I554="discourse_segment"),"yes","no")</x:f>
        <x:v>yes</x:v>
      </x:c>
      <x:c r="AI554" s="12" t="str">
        <x:f>IF(OR(AH554="yes",AD554="debated",AC554="operational"),"yes","no")</x:f>
        <x:v>yes</x:v>
      </x:c>
      <x:c r="AJ554" s="12" t="str">
        <x:f>IF(OR(AH554="yes",AC554="operational",AD554="debated"),"high",IF(AND(AG554="yes",L554="P0"),"medium","low"))</x:f>
        <x:v>high</x:v>
      </x:c>
      <x:c r="AK554" s="12" t="str">
        <x:f>IF(ISNUMBER(SEARCH("healthy",AB554)),"yes","no")</x:f>
        <x:v>no</x:v>
      </x:c>
      <x:c r="AL554" s="12" t="str">
        <x:f>IF(AG554="yes","yes","candidate_only")</x:f>
        <x:v>candidate_only</x:v>
      </x:c>
      <x:c r="AM554" s="12" t="str">
        <x:f>IF(OR(AC554="canonical",AG554="yes"),"yes","recommended")</x:f>
        <x:v>recommended</x:v>
      </x:c>
      <x:c r="AN554" s="12" t="str">
        <x:f>IF(AC554="deprecated","exclude",IF(AND(AG554="yes",AJ554="high"),"import_but_human_review_required",IF(AG554="yes","import_as_active","import_as_backlog")))</x:f>
        <x:v>import_as_backlog</x:v>
      </x:c>
      <x:c r="AO554" s="12" t="str">
        <x:f>IF(AND(AG554="yes",OR(P554="",Q554="",R554="",S554="")),"missing_required_mvp_fields",IF(AND(AC554="canonical",Y554=""),"missing_source_ref","ok"))</x:f>
        <x:v>ok</x:v>
      </x:c>
      <x:c r="AP554" s="12" t="str">
        <x:f>IF(AO554="ok","ready_for_codex_import","needs_review")</x:f>
        <x:v>ready_for_codex_import</x:v>
      </x:c>
      <x:c r="AQ554" s="12"/>
      <x:c r="AR554" s="12" t="str">
        <x:v>Added v2 operational fields. Review before classification activation.</x:v>
      </x:c>
    </x:row>
    <x:row r="555">
      <x:c r="A555" s="13" t="str">
        <x:v>decoy_effect_gain_frame_variant</x:v>
      </x:c>
      <x:c r="B555" s="13" t="str">
        <x:v>decoy_effect</x:v>
      </x:c>
      <x:c r="C555" s="13" t="str">
        <x:v>Decoy effect</x:v>
      </x:c>
      <x:c r="D555" s="13" t="str">
        <x:v>اثر طعمه</x:v>
      </x:c>
      <x:c r="E555" s="13" t="str">
        <x:v>Gain-frame variant</x:v>
      </x:c>
      <x:c r="F555" s="13" t="str">
        <x:v>decision_biases_behavioural_economics</x:v>
      </x:c>
      <x:c r="G555" s="13" t="str">
        <x:v>operational_variant</x:v>
      </x:c>
      <x:c r="H555" s="13" t="str">
        <x:v>contextual</x:v>
      </x:c>
      <x:c r="I555" s="13" t="str">
        <x:v>claim+context</x:v>
      </x:c>
      <x:c r="J555" s="13" t="str">
        <x:v>derived_operational_subtype</x:v>
      </x:c>
      <x:c r="K555" s="13" t="str">
        <x:v>derived_from_established_parent_review_required</x:v>
      </x:c>
      <x:c r="L555" s="13" t="str">
        <x:v>P2</x:v>
      </x:c>
      <x:c r="M555" s="13" t="str">
        <x:v>no</x:v>
      </x:c>
      <x:c r="N555" s="13" t="str">
        <x:v>Operational subtype under Decoy effect: the reasoning depends on a gain framing. Parent definition: Preferences change when an asymmetrically dominated option is introduced.</x:v>
      </x:c>
      <x:c r="O555" s="13" t="str">
        <x:v>Look for: explicit claim-level evidence; parent-family cues for Decoy effect; variant cue: the reasoning depends on a gain framing; avoid author-level inference.</x:v>
      </x:c>
      <x:c r="P555" s="13" t="str">
        <x:v>Exact evidence span in text plus claim-level reasoning link; for contextual/discourse entries, require surrounding context.</x:v>
      </x:c>
      <x:c r="Q555" s="13" t="str">
        <x:v>Do not label merely because topic is controversial, emotional, or wrong. Do not judge intent or personality. Require textual evidence and consider healthy-reasoning cues.</x:v>
      </x:c>
      <x:c r="R555" s="13" t="str">
        <x:v>Stub: A claim relies on the reasoning depends on a gain framing to support a conclusion without adequate qualification.</x:v>
      </x:c>
      <x:c r="S555" s="13" t="str">
        <x:v>Stub: A claim discusses decoy effect with caveats, balanced evidence, or no argumentative use of the pattern.</x:v>
      </x:c>
      <x:c r="T555" s="13" t="str">
        <x:v>Mild or ambiguous cue; do not classify without clear evidence span.</x:v>
      </x:c>
      <x:c r="U555" s="13" t="str">
        <x:v>Clear claim-level pattern with some argumentative impact.</x:v>
      </x:c>
      <x:c r="V555" s="13" t="str">
        <x:v>Strong pattern central to the conclusion and likely to materially distort reasoning.</x:v>
      </x:c>
      <x:c r="W555" s="13" t="str"/>
      <x:c r="X555" s="13" t="str">
        <x:v>thaler_sunstein_nudge</x:v>
      </x:c>
      <x:c r="Y555" s="13" t="str">
        <x:v>https://yalebooks.yale.edu/book/9780300262285/nudge/</x:v>
      </x:c>
      <x:c r="Z555" s="13" t="str">
        <x:v>Review before enabling. This workbook is a living taxonomy scaffold, not a validated scientific benchmark.</x:v>
      </x:c>
      <x:c r="AA555" s="13" t="str">
        <x:v>0.1.0-draft</x:v>
      </x:c>
      <x:c r="AB555" s="12" t="str">
        <x:f>IF(ISNUMBER(SEARCH("healthy",F555)),"healthy_reasoning_patterns",IF(ISNUMBER(SEARCH("statistical",F555)),"statistical_reasoning",IF(ISNUMBER(SEARCH("causal",F555)),"causal_reasoning",IF(ISNUMBER(SEARCH("social",F555)),"social_influence",IF(ISNUMBER(SEARCH("rhetoric",F555)),"rhetoric_discourse",IF(ISNUMBER(SEARCH("behavior",F555)),"behavioural_economics",IF(ISNUMBER(SEARCH("cognitive",F555)),"cognitive_biases",IF(J555="protective_pattern","healthy_reasoning_patterns",IF(L555="P0","core_mvp","extended_fallacies")))))))))</x:f>
        <x:v>extended_fallacies</x:v>
      </x:c>
      <x:c r="AC555" s="12" t="str">
        <x:f>IF(ISNUMBER(SEARCH("operational",J555)),"operational",IF(ISNUMBER(SEARCH("deprecated",J555)),"deprecated",IF(L555="P0","canonical","recognized_subtype")))</x:f>
        <x:v>operational</x:v>
      </x:c>
      <x:c r="AD555" s="12" t="str">
        <x:f>IF(AC555="canonical","high",IF(AC555="recognized_subtype","medium",IF(AC555="operational","operational_only","debated")))</x:f>
        <x:v>operational_only</x:v>
      </x:c>
      <x:c r="AE555" s="12" t="str">
        <x:f>IF(AC555="deprecated","deprecated",IF(M555="yes","active",IF(M555="review","review_required","backlog")))</x:f>
        <x:v>backlog</x:v>
      </x:c>
      <x:c r="AF555" s="12" t="str">
        <x:f>IF(OR(AE555="active",AE555="review_required"),"yes","no")</x:f>
        <x:v>no</x:v>
      </x:c>
      <x:c r="AG555" s="12" t="str">
        <x:f>IF(AND(AE555="active",M555="yes",NOT(ISNUMBER(SEARCH("healthy",AB555)))),"yes","no")</x:f>
        <x:v>no</x:v>
      </x:c>
      <x:c r="AH555" s="12" t="str">
        <x:f>IF(OR(H555="contextual",H555="dialogue",H555="discourse",I555="claim+context",I555="discourse_segment"),"yes","no")</x:f>
        <x:v>yes</x:v>
      </x:c>
      <x:c r="AI555" s="12" t="str">
        <x:f>IF(OR(AH555="yes",AD555="debated",AC555="operational"),"yes","no")</x:f>
        <x:v>yes</x:v>
      </x:c>
      <x:c r="AJ555" s="12" t="str">
        <x:f>IF(OR(AH555="yes",AC555="operational",AD555="debated"),"high",IF(AND(AG555="yes",L555="P0"),"medium","low"))</x:f>
        <x:v>high</x:v>
      </x:c>
      <x:c r="AK555" s="12" t="str">
        <x:f>IF(ISNUMBER(SEARCH("healthy",AB555)),"yes","no")</x:f>
        <x:v>no</x:v>
      </x:c>
      <x:c r="AL555" s="12" t="str">
        <x:f>IF(AG555="yes","yes","candidate_only")</x:f>
        <x:v>candidate_only</x:v>
      </x:c>
      <x:c r="AM555" s="12" t="str">
        <x:f>IF(OR(AC555="canonical",AG555="yes"),"yes","recommended")</x:f>
        <x:v>recommended</x:v>
      </x:c>
      <x:c r="AN555" s="12" t="str">
        <x:f>IF(AC555="deprecated","exclude",IF(AND(AG555="yes",AJ555="high"),"import_but_human_review_required",IF(AG555="yes","import_as_active","import_as_backlog")))</x:f>
        <x:v>import_as_backlog</x:v>
      </x:c>
      <x:c r="AO555" s="12" t="str">
        <x:f>IF(AND(AG555="yes",OR(P555="",Q555="",R555="",S555="")),"missing_required_mvp_fields",IF(AND(AC555="canonical",Y555=""),"missing_source_ref","ok"))</x:f>
        <x:v>ok</x:v>
      </x:c>
      <x:c r="AP555" s="12" t="str">
        <x:f>IF(AO555="ok","ready_for_codex_import","needs_review")</x:f>
        <x:v>ready_for_codex_import</x:v>
      </x:c>
      <x:c r="AQ555" s="12"/>
      <x:c r="AR555" s="12" t="str">
        <x:v>Added v2 operational fields. Review before classification activation.</x:v>
      </x:c>
    </x:row>
    <x:row r="556">
      <x:c r="A556" s="13" t="str">
        <x:v>compromise_effect_gain_frame_variant</x:v>
      </x:c>
      <x:c r="B556" s="13" t="str">
        <x:v>compromise_effect</x:v>
      </x:c>
      <x:c r="C556" s="13" t="str">
        <x:v>Compromise effect</x:v>
      </x:c>
      <x:c r="D556" s="13" t="str">
        <x:v>اثر گزینه میانی</x:v>
      </x:c>
      <x:c r="E556" s="13" t="str">
        <x:v>Gain-frame variant</x:v>
      </x:c>
      <x:c r="F556" s="13" t="str">
        <x:v>decision_biases_behavioural_economics</x:v>
      </x:c>
      <x:c r="G556" s="13" t="str">
        <x:v>operational_variant</x:v>
      </x:c>
      <x:c r="H556" s="13" t="str">
        <x:v>contextual</x:v>
      </x:c>
      <x:c r="I556" s="13" t="str">
        <x:v>claim+context</x:v>
      </x:c>
      <x:c r="J556" s="13" t="str">
        <x:v>derived_operational_subtype</x:v>
      </x:c>
      <x:c r="K556" s="13" t="str">
        <x:v>derived_from_established_parent_review_required</x:v>
      </x:c>
      <x:c r="L556" s="13" t="str">
        <x:v>P2</x:v>
      </x:c>
      <x:c r="M556" s="13" t="str">
        <x:v>no</x:v>
      </x:c>
      <x:c r="N556" s="13" t="str">
        <x:v>Operational subtype under Compromise effect: the reasoning depends on a gain framing. Parent definition: Preferring middle options because they appear safer or balanced.</x:v>
      </x:c>
      <x:c r="O556" s="13" t="str">
        <x:v>Look for: explicit claim-level evidence; parent-family cues for Compromise effect; variant cue: the reasoning depends on a gain framing; avoid author-level inference.</x:v>
      </x:c>
      <x:c r="P556" s="13" t="str">
        <x:v>Exact evidence span in text plus claim-level reasoning link; for contextual/discourse entries, require surrounding context.</x:v>
      </x:c>
      <x:c r="Q556" s="13" t="str">
        <x:v>Do not label merely because topic is controversial, emotional, or wrong. Do not judge intent or personality. Require textual evidence and consider healthy-reasoning cues.</x:v>
      </x:c>
      <x:c r="R556" s="13" t="str">
        <x:v>Stub: A claim relies on the reasoning depends on a gain framing to support a conclusion without adequate qualification.</x:v>
      </x:c>
      <x:c r="S556" s="13" t="str">
        <x:v>Stub: A claim discusses compromise effect with caveats, balanced evidence, or no argumentative use of the pattern.</x:v>
      </x:c>
      <x:c r="T556" s="13" t="str">
        <x:v>Mild or ambiguous cue; do not classify without clear evidence span.</x:v>
      </x:c>
      <x:c r="U556" s="13" t="str">
        <x:v>Clear claim-level pattern with some argumentative impact.</x:v>
      </x:c>
      <x:c r="V556" s="13" t="str">
        <x:v>Strong pattern central to the conclusion and likely to materially distort reasoning.</x:v>
      </x:c>
      <x:c r="W556" s="13" t="str"/>
      <x:c r="X556" s="13" t="str">
        <x:v>thaler_sunstein_nudge</x:v>
      </x:c>
      <x:c r="Y556" s="13" t="str">
        <x:v>https://yalebooks.yale.edu/book/9780300262285/nudge/</x:v>
      </x:c>
      <x:c r="Z556" s="13" t="str">
        <x:v>Review before enabling. This workbook is a living taxonomy scaffold, not a validated scientific benchmark.</x:v>
      </x:c>
      <x:c r="AA556" s="13" t="str">
        <x:v>0.1.0-draft</x:v>
      </x:c>
      <x:c r="AB556" s="12" t="str">
        <x:f>IF(ISNUMBER(SEARCH("healthy",F556)),"healthy_reasoning_patterns",IF(ISNUMBER(SEARCH("statistical",F556)),"statistical_reasoning",IF(ISNUMBER(SEARCH("causal",F556)),"causal_reasoning",IF(ISNUMBER(SEARCH("social",F556)),"social_influence",IF(ISNUMBER(SEARCH("rhetoric",F556)),"rhetoric_discourse",IF(ISNUMBER(SEARCH("behavior",F556)),"behavioural_economics",IF(ISNUMBER(SEARCH("cognitive",F556)),"cognitive_biases",IF(J556="protective_pattern","healthy_reasoning_patterns",IF(L556="P0","core_mvp","extended_fallacies")))))))))</x:f>
        <x:v>extended_fallacies</x:v>
      </x:c>
      <x:c r="AC556" s="12" t="str">
        <x:f>IF(ISNUMBER(SEARCH("operational",J556)),"operational",IF(ISNUMBER(SEARCH("deprecated",J556)),"deprecated",IF(L556="P0","canonical","recognized_subtype")))</x:f>
        <x:v>operational</x:v>
      </x:c>
      <x:c r="AD556" s="12" t="str">
        <x:f>IF(AC556="canonical","high",IF(AC556="recognized_subtype","medium",IF(AC556="operational","operational_only","debated")))</x:f>
        <x:v>operational_only</x:v>
      </x:c>
      <x:c r="AE556" s="12" t="str">
        <x:f>IF(AC556="deprecated","deprecated",IF(M556="yes","active",IF(M556="review","review_required","backlog")))</x:f>
        <x:v>backlog</x:v>
      </x:c>
      <x:c r="AF556" s="12" t="str">
        <x:f>IF(OR(AE556="active",AE556="review_required"),"yes","no")</x:f>
        <x:v>no</x:v>
      </x:c>
      <x:c r="AG556" s="12" t="str">
        <x:f>IF(AND(AE556="active",M556="yes",NOT(ISNUMBER(SEARCH("healthy",AB556)))),"yes","no")</x:f>
        <x:v>no</x:v>
      </x:c>
      <x:c r="AH556" s="12" t="str">
        <x:f>IF(OR(H556="contextual",H556="dialogue",H556="discourse",I556="claim+context",I556="discourse_segment"),"yes","no")</x:f>
        <x:v>yes</x:v>
      </x:c>
      <x:c r="AI556" s="12" t="str">
        <x:f>IF(OR(AH556="yes",AD556="debated",AC556="operational"),"yes","no")</x:f>
        <x:v>yes</x:v>
      </x:c>
      <x:c r="AJ556" s="12" t="str">
        <x:f>IF(OR(AH556="yes",AC556="operational",AD556="debated"),"high",IF(AND(AG556="yes",L556="P0"),"medium","low"))</x:f>
        <x:v>high</x:v>
      </x:c>
      <x:c r="AK556" s="12" t="str">
        <x:f>IF(ISNUMBER(SEARCH("healthy",AB556)),"yes","no")</x:f>
        <x:v>no</x:v>
      </x:c>
      <x:c r="AL556" s="12" t="str">
        <x:f>IF(AG556="yes","yes","candidate_only")</x:f>
        <x:v>candidate_only</x:v>
      </x:c>
      <x:c r="AM556" s="12" t="str">
        <x:f>IF(OR(AC556="canonical",AG556="yes"),"yes","recommended")</x:f>
        <x:v>recommended</x:v>
      </x:c>
      <x:c r="AN556" s="12" t="str">
        <x:f>IF(AC556="deprecated","exclude",IF(AND(AG556="yes",AJ556="high"),"import_but_human_review_required",IF(AG556="yes","import_as_active","import_as_backlog")))</x:f>
        <x:v>import_as_backlog</x:v>
      </x:c>
      <x:c r="AO556" s="12" t="str">
        <x:f>IF(AND(AG556="yes",OR(P556="",Q556="",R556="",S556="")),"missing_required_mvp_fields",IF(AND(AC556="canonical",Y556=""),"missing_source_ref","ok"))</x:f>
        <x:v>ok</x:v>
      </x:c>
      <x:c r="AP556" s="12" t="str">
        <x:f>IF(AO556="ok","ready_for_codex_import","needs_review")</x:f>
        <x:v>ready_for_codex_import</x:v>
      </x:c>
      <x:c r="AQ556" s="12"/>
      <x:c r="AR556" s="12" t="str">
        <x:v>Added v2 operational fields. Review before classification activation.</x:v>
      </x:c>
    </x:row>
    <x:row r="557">
      <x:c r="A557" s="13" t="str">
        <x:v>scarcity_bias_gain_frame_variant</x:v>
      </x:c>
      <x:c r="B557" s="13" t="str">
        <x:v>scarcity_bias</x:v>
      </x:c>
      <x:c r="C557" s="13" t="str">
        <x:v>Scarcity bias</x:v>
      </x:c>
      <x:c r="D557" s="13" t="str">
        <x:v>سوگیری کمیابی</x:v>
      </x:c>
      <x:c r="E557" s="13" t="str">
        <x:v>Gain-frame variant</x:v>
      </x:c>
      <x:c r="F557" s="13" t="str">
        <x:v>decision_biases_behavioural_economics</x:v>
      </x:c>
      <x:c r="G557" s="13" t="str">
        <x:v>operational_variant</x:v>
      </x:c>
      <x:c r="H557" s="13" t="str">
        <x:v>discourse</x:v>
      </x:c>
      <x:c r="I557" s="13" t="str">
        <x:v>discourse_segment</x:v>
      </x:c>
      <x:c r="J557" s="13" t="str">
        <x:v>derived_operational_subtype</x:v>
      </x:c>
      <x:c r="K557" s="13" t="str">
        <x:v>derived_from_established_parent_review_required</x:v>
      </x:c>
      <x:c r="L557" s="13" t="str">
        <x:v>P2</x:v>
      </x:c>
      <x:c r="M557" s="13" t="str">
        <x:v>no</x:v>
      </x:c>
      <x:c r="N557" s="13" t="str">
        <x:v>Operational subtype under Scarcity bias: the reasoning depends on a gain framing. Parent definition: Overvaluing something because it is framed as scarce.</x:v>
      </x:c>
      <x:c r="O557" s="13" t="str">
        <x:v>Look for: explicit claim-level evidence; parent-family cues for Scarcity bias; variant cue: the reasoning depends on a gain framing; avoid author-level inference.</x:v>
      </x:c>
      <x:c r="P557" s="13" t="str">
        <x:v>Exact evidence span in text plus claim-level reasoning link; for contextual/discourse entries, require surrounding context.</x:v>
      </x:c>
      <x:c r="Q557" s="13" t="str">
        <x:v>Do not label merely because topic is controversial, emotional, or wrong. Do not judge intent or personality. Require textual evidence and consider healthy-reasoning cues.</x:v>
      </x:c>
      <x:c r="R557" s="13" t="str">
        <x:v>Stub: A claim relies on the reasoning depends on a gain framing to support a conclusion without adequate qualification.</x:v>
      </x:c>
      <x:c r="S557" s="13" t="str">
        <x:v>Stub: A claim discusses scarcity bias with caveats, balanced evidence, or no argumentative use of the pattern.</x:v>
      </x:c>
      <x:c r="T557" s="13" t="str">
        <x:v>Mild or ambiguous cue; do not classify without clear evidence span.</x:v>
      </x:c>
      <x:c r="U557" s="13" t="str">
        <x:v>Clear claim-level pattern with some argumentative impact.</x:v>
      </x:c>
      <x:c r="V557" s="13" t="str">
        <x:v>Strong pattern central to the conclusion and likely to materially distort reasoning.</x:v>
      </x:c>
      <x:c r="W557" s="13" t="str"/>
      <x:c r="X557" s="13" t="str">
        <x:v>cialdini_influence</x:v>
      </x:c>
      <x:c r="Y557" s="13" t="str">
        <x:v>https://www.pearson.com/en-us/subject-catalog/p/influence-science-and-practice/P200000003004</x:v>
      </x:c>
      <x:c r="Z557" s="13" t="str">
        <x:v>Review before enabling. This workbook is a living taxonomy scaffold, not a validated scientific benchmark.</x:v>
      </x:c>
      <x:c r="AA557" s="13" t="str">
        <x:v>0.1.0-draft</x:v>
      </x:c>
      <x:c r="AB557" s="12" t="str">
        <x:f>IF(ISNUMBER(SEARCH("healthy",F557)),"healthy_reasoning_patterns",IF(ISNUMBER(SEARCH("statistical",F557)),"statistical_reasoning",IF(ISNUMBER(SEARCH("causal",F557)),"causal_reasoning",IF(ISNUMBER(SEARCH("social",F557)),"social_influence",IF(ISNUMBER(SEARCH("rhetoric",F557)),"rhetoric_discourse",IF(ISNUMBER(SEARCH("behavior",F557)),"behavioural_economics",IF(ISNUMBER(SEARCH("cognitive",F557)),"cognitive_biases",IF(J557="protective_pattern","healthy_reasoning_patterns",IF(L557="P0","core_mvp","extended_fallacies")))))))))</x:f>
        <x:v>extended_fallacies</x:v>
      </x:c>
      <x:c r="AC557" s="12" t="str">
        <x:f>IF(ISNUMBER(SEARCH("operational",J557)),"operational",IF(ISNUMBER(SEARCH("deprecated",J557)),"deprecated",IF(L557="P0","canonical","recognized_subtype")))</x:f>
        <x:v>operational</x:v>
      </x:c>
      <x:c r="AD557" s="12" t="str">
        <x:f>IF(AC557="canonical","high",IF(AC557="recognized_subtype","medium",IF(AC557="operational","operational_only","debated")))</x:f>
        <x:v>operational_only</x:v>
      </x:c>
      <x:c r="AE557" s="12" t="str">
        <x:f>IF(AC557="deprecated","deprecated",IF(M557="yes","active",IF(M557="review","review_required","backlog")))</x:f>
        <x:v>backlog</x:v>
      </x:c>
      <x:c r="AF557" s="12" t="str">
        <x:f>IF(OR(AE557="active",AE557="review_required"),"yes","no")</x:f>
        <x:v>no</x:v>
      </x:c>
      <x:c r="AG557" s="12" t="str">
        <x:f>IF(AND(AE557="active",M557="yes",NOT(ISNUMBER(SEARCH("healthy",AB557)))),"yes","no")</x:f>
        <x:v>no</x:v>
      </x:c>
      <x:c r="AH557" s="12" t="str">
        <x:f>IF(OR(H557="contextual",H557="dialogue",H557="discourse",I557="claim+context",I557="discourse_segment"),"yes","no")</x:f>
        <x:v>yes</x:v>
      </x:c>
      <x:c r="AI557" s="12" t="str">
        <x:f>IF(OR(AH557="yes",AD557="debated",AC557="operational"),"yes","no")</x:f>
        <x:v>yes</x:v>
      </x:c>
      <x:c r="AJ557" s="12" t="str">
        <x:f>IF(OR(AH557="yes",AC557="operational",AD557="debated"),"high",IF(AND(AG557="yes",L557="P0"),"medium","low"))</x:f>
        <x:v>high</x:v>
      </x:c>
      <x:c r="AK557" s="12" t="str">
        <x:f>IF(ISNUMBER(SEARCH("healthy",AB557)),"yes","no")</x:f>
        <x:v>no</x:v>
      </x:c>
      <x:c r="AL557" s="12" t="str">
        <x:f>IF(AG557="yes","yes","candidate_only")</x:f>
        <x:v>candidate_only</x:v>
      </x:c>
      <x:c r="AM557" s="12" t="str">
        <x:f>IF(OR(AC557="canonical",AG557="yes"),"yes","recommended")</x:f>
        <x:v>recommended</x:v>
      </x:c>
      <x:c r="AN557" s="12" t="str">
        <x:f>IF(AC557="deprecated","exclude",IF(AND(AG557="yes",AJ557="high"),"import_but_human_review_required",IF(AG557="yes","import_as_active","import_as_backlog")))</x:f>
        <x:v>import_as_backlog</x:v>
      </x:c>
      <x:c r="AO557" s="12" t="str">
        <x:f>IF(AND(AG557="yes",OR(P557="",Q557="",R557="",S557="")),"missing_required_mvp_fields",IF(AND(AC557="canonical",Y557=""),"missing_source_ref","ok"))</x:f>
        <x:v>ok</x:v>
      </x:c>
      <x:c r="AP557" s="12" t="str">
        <x:f>IF(AO557="ok","ready_for_codex_import","needs_review")</x:f>
        <x:v>ready_for_codex_import</x:v>
      </x:c>
      <x:c r="AQ557" s="12"/>
      <x:c r="AR557" s="12" t="str">
        <x:v>Added v2 operational fields. Review before classification activation.</x:v>
      </x:c>
    </x:row>
    <x:row r="558">
      <x:c r="A558" s="13" t="str">
        <x:v>zero_price_effect_gain_frame_variant</x:v>
      </x:c>
      <x:c r="B558" s="13" t="str">
        <x:v>zero_price_effect</x:v>
      </x:c>
      <x:c r="C558" s="13" t="str">
        <x:v>Zero-price effect</x:v>
      </x:c>
      <x:c r="D558" s="13" t="str">
        <x:v>اثر قیمت صفر</x:v>
      </x:c>
      <x:c r="E558" s="13" t="str">
        <x:v>Gain-frame variant</x:v>
      </x:c>
      <x:c r="F558" s="13" t="str">
        <x:v>decision_biases_behavioural_economics</x:v>
      </x:c>
      <x:c r="G558" s="13" t="str">
        <x:v>operational_variant</x:v>
      </x:c>
      <x:c r="H558" s="13" t="str">
        <x:v>contextual</x:v>
      </x:c>
      <x:c r="I558" s="13" t="str">
        <x:v>claim+context</x:v>
      </x:c>
      <x:c r="J558" s="13" t="str">
        <x:v>derived_operational_subtype</x:v>
      </x:c>
      <x:c r="K558" s="13" t="str">
        <x:v>derived_from_established_parent_review_required</x:v>
      </x:c>
      <x:c r="L558" s="13" t="str">
        <x:v>P2</x:v>
      </x:c>
      <x:c r="M558" s="13" t="str">
        <x:v>no</x:v>
      </x:c>
      <x:c r="N558" s="13" t="str">
        <x:v>Operational subtype under Zero-price effect: the reasoning depends on a gain framing. Parent definition: Overvaluing free options relative to small-cost alternatives.</x:v>
      </x:c>
      <x:c r="O558" s="13" t="str">
        <x:v>Look for: explicit claim-level evidence; parent-family cues for Zero-price effect; variant cue: the reasoning depends on a gain framing; avoid author-level inference.</x:v>
      </x:c>
      <x:c r="P558" s="13" t="str">
        <x:v>Exact evidence span in text plus claim-level reasoning link; for contextual/discourse entries, require surrounding context.</x:v>
      </x:c>
      <x:c r="Q558" s="13" t="str">
        <x:v>Do not label merely because topic is controversial, emotional, or wrong. Do not judge intent or personality. Require textual evidence and consider healthy-reasoning cues.</x:v>
      </x:c>
      <x:c r="R558" s="13" t="str">
        <x:v>Stub: A claim relies on the reasoning depends on a gain framing to support a conclusion without adequate qualification.</x:v>
      </x:c>
      <x:c r="S558" s="13" t="str">
        <x:v>Stub: A claim discusses zero-price effect with caveats, balanced evidence, or no argumentative use of the pattern.</x:v>
      </x:c>
      <x:c r="T558" s="13" t="str">
        <x:v>Mild or ambiguous cue; do not classify without clear evidence span.</x:v>
      </x:c>
      <x:c r="U558" s="13" t="str">
        <x:v>Clear claim-level pattern with some argumentative impact.</x:v>
      </x:c>
      <x:c r="V558" s="13" t="str">
        <x:v>Strong pattern central to the conclusion and likely to materially distort reasoning.</x:v>
      </x:c>
      <x:c r="W558" s="13" t="str"/>
      <x:c r="X558" s="13" t="str">
        <x:v>thaler_sunstein_nudge</x:v>
      </x:c>
      <x:c r="Y558" s="13" t="str">
        <x:v>https://yalebooks.yale.edu/book/9780300262285/nudge/</x:v>
      </x:c>
      <x:c r="Z558" s="13" t="str">
        <x:v>Review before enabling. This workbook is a living taxonomy scaffold, not a validated scientific benchmark.</x:v>
      </x:c>
      <x:c r="AA558" s="13" t="str">
        <x:v>0.1.0-draft</x:v>
      </x:c>
      <x:c r="AB558" s="12" t="str">
        <x:f>IF(ISNUMBER(SEARCH("healthy",F558)),"healthy_reasoning_patterns",IF(ISNUMBER(SEARCH("statistical",F558)),"statistical_reasoning",IF(ISNUMBER(SEARCH("causal",F558)),"causal_reasoning",IF(ISNUMBER(SEARCH("social",F558)),"social_influence",IF(ISNUMBER(SEARCH("rhetoric",F558)),"rhetoric_discourse",IF(ISNUMBER(SEARCH("behavior",F558)),"behavioural_economics",IF(ISNUMBER(SEARCH("cognitive",F558)),"cognitive_biases",IF(J558="protective_pattern","healthy_reasoning_patterns",IF(L558="P0","core_mvp","extended_fallacies")))))))))</x:f>
        <x:v>extended_fallacies</x:v>
      </x:c>
      <x:c r="AC558" s="12" t="str">
        <x:f>IF(ISNUMBER(SEARCH("operational",J558)),"operational",IF(ISNUMBER(SEARCH("deprecated",J558)),"deprecated",IF(L558="P0","canonical","recognized_subtype")))</x:f>
        <x:v>operational</x:v>
      </x:c>
      <x:c r="AD558" s="12" t="str">
        <x:f>IF(AC558="canonical","high",IF(AC558="recognized_subtype","medium",IF(AC558="operational","operational_only","debated")))</x:f>
        <x:v>operational_only</x:v>
      </x:c>
      <x:c r="AE558" s="12" t="str">
        <x:f>IF(AC558="deprecated","deprecated",IF(M558="yes","active",IF(M558="review","review_required","backlog")))</x:f>
        <x:v>backlog</x:v>
      </x:c>
      <x:c r="AF558" s="12" t="str">
        <x:f>IF(OR(AE558="active",AE558="review_required"),"yes","no")</x:f>
        <x:v>no</x:v>
      </x:c>
      <x:c r="AG558" s="12" t="str">
        <x:f>IF(AND(AE558="active",M558="yes",NOT(ISNUMBER(SEARCH("healthy",AB558)))),"yes","no")</x:f>
        <x:v>no</x:v>
      </x:c>
      <x:c r="AH558" s="12" t="str">
        <x:f>IF(OR(H558="contextual",H558="dialogue",H558="discourse",I558="claim+context",I558="discourse_segment"),"yes","no")</x:f>
        <x:v>yes</x:v>
      </x:c>
      <x:c r="AI558" s="12" t="str">
        <x:f>IF(OR(AH558="yes",AD558="debated",AC558="operational"),"yes","no")</x:f>
        <x:v>yes</x:v>
      </x:c>
      <x:c r="AJ558" s="12" t="str">
        <x:f>IF(OR(AH558="yes",AC558="operational",AD558="debated"),"high",IF(AND(AG558="yes",L558="P0"),"medium","low"))</x:f>
        <x:v>high</x:v>
      </x:c>
      <x:c r="AK558" s="12" t="str">
        <x:f>IF(ISNUMBER(SEARCH("healthy",AB558)),"yes","no")</x:f>
        <x:v>no</x:v>
      </x:c>
      <x:c r="AL558" s="12" t="str">
        <x:f>IF(AG558="yes","yes","candidate_only")</x:f>
        <x:v>candidate_only</x:v>
      </x:c>
      <x:c r="AM558" s="12" t="str">
        <x:f>IF(OR(AC558="canonical",AG558="yes"),"yes","recommended")</x:f>
        <x:v>recommended</x:v>
      </x:c>
      <x:c r="AN558" s="12" t="str">
        <x:f>IF(AC558="deprecated","exclude",IF(AND(AG558="yes",AJ558="high"),"import_but_human_review_required",IF(AG558="yes","import_as_active","import_as_backlog")))</x:f>
        <x:v>import_as_backlog</x:v>
      </x:c>
      <x:c r="AO558" s="12" t="str">
        <x:f>IF(AND(AG558="yes",OR(P558="",Q558="",R558="",S558="")),"missing_required_mvp_fields",IF(AND(AC558="canonical",Y558=""),"missing_source_ref","ok"))</x:f>
        <x:v>ok</x:v>
      </x:c>
      <x:c r="AP558" s="12" t="str">
        <x:f>IF(AO558="ok","ready_for_codex_import","needs_review")</x:f>
        <x:v>ready_for_codex_import</x:v>
      </x:c>
      <x:c r="AQ558" s="12"/>
      <x:c r="AR558" s="12" t="str">
        <x:v>Added v2 operational fields. Review before classification activation.</x:v>
      </x:c>
    </x:row>
    <x:row r="559">
      <x:c r="A559" s="13" t="str">
        <x:v>mental_accounting_gain_frame_variant</x:v>
      </x:c>
      <x:c r="B559" s="13" t="str">
        <x:v>mental_accounting</x:v>
      </x:c>
      <x:c r="C559" s="13" t="str">
        <x:v>Mental accounting</x:v>
      </x:c>
      <x:c r="D559" s="13" t="str">
        <x:v>حسابداری ذهنی</x:v>
      </x:c>
      <x:c r="E559" s="13" t="str">
        <x:v>Gain-frame variant</x:v>
      </x:c>
      <x:c r="F559" s="13" t="str">
        <x:v>decision_biases_behavioural_economics</x:v>
      </x:c>
      <x:c r="G559" s="13" t="str">
        <x:v>operational_variant</x:v>
      </x:c>
      <x:c r="H559" s="13" t="str">
        <x:v>contextual</x:v>
      </x:c>
      <x:c r="I559" s="13" t="str">
        <x:v>claim+context</x:v>
      </x:c>
      <x:c r="J559" s="13" t="str">
        <x:v>derived_operational_subtype</x:v>
      </x:c>
      <x:c r="K559" s="13" t="str">
        <x:v>derived_from_established_parent_review_required</x:v>
      </x:c>
      <x:c r="L559" s="13" t="str">
        <x:v>P2</x:v>
      </x:c>
      <x:c r="M559" s="13" t="str">
        <x:v>no</x:v>
      </x:c>
      <x:c r="N559" s="13" t="str">
        <x:v>Operational subtype under Mental accounting: the reasoning depends on a gain framing. Parent definition: Treating money or resources differently based on arbitrary mental categories.</x:v>
      </x:c>
      <x:c r="O559" s="13" t="str">
        <x:v>Look for: explicit claim-level evidence; parent-family cues for Mental accounting; variant cue: the reasoning depends on a gain framing; avoid author-level inference.</x:v>
      </x:c>
      <x:c r="P559" s="13" t="str">
        <x:v>Exact evidence span in text plus claim-level reasoning link; for contextual/discourse entries, require surrounding context.</x:v>
      </x:c>
      <x:c r="Q559" s="13" t="str">
        <x:v>Do not label merely because topic is controversial, emotional, or wrong. Do not judge intent or personality. Require textual evidence and consider healthy-reasoning cues.</x:v>
      </x:c>
      <x:c r="R559" s="13" t="str">
        <x:v>Stub: A claim relies on the reasoning depends on a gain framing to support a conclusion without adequate qualification.</x:v>
      </x:c>
      <x:c r="S559" s="13" t="str">
        <x:v>Stub: A claim discusses mental accounting with caveats, balanced evidence, or no argumentative use of the pattern.</x:v>
      </x:c>
      <x:c r="T559" s="13" t="str">
        <x:v>Mild or ambiguous cue; do not classify without clear evidence span.</x:v>
      </x:c>
      <x:c r="U559" s="13" t="str">
        <x:v>Clear claim-level pattern with some argumentative impact.</x:v>
      </x:c>
      <x:c r="V559" s="13" t="str">
        <x:v>Strong pattern central to the conclusion and likely to materially distort reasoning.</x:v>
      </x:c>
      <x:c r="W559" s="13" t="str"/>
      <x:c r="X559" s="13" t="str">
        <x:v>thaler_sunstein_nudge</x:v>
      </x:c>
      <x:c r="Y559" s="13" t="str">
        <x:v>https://yalebooks.yale.edu/book/9780300262285/nudge/</x:v>
      </x:c>
      <x:c r="Z559" s="13" t="str">
        <x:v>Review before enabling. This workbook is a living taxonomy scaffold, not a validated scientific benchmark.</x:v>
      </x:c>
      <x:c r="AA559" s="13" t="str">
        <x:v>0.1.0-draft</x:v>
      </x:c>
      <x:c r="AB559" s="12" t="str">
        <x:f>IF(ISNUMBER(SEARCH("healthy",F559)),"healthy_reasoning_patterns",IF(ISNUMBER(SEARCH("statistical",F559)),"statistical_reasoning",IF(ISNUMBER(SEARCH("causal",F559)),"causal_reasoning",IF(ISNUMBER(SEARCH("social",F559)),"social_influence",IF(ISNUMBER(SEARCH("rhetoric",F559)),"rhetoric_discourse",IF(ISNUMBER(SEARCH("behavior",F559)),"behavioural_economics",IF(ISNUMBER(SEARCH("cognitive",F559)),"cognitive_biases",IF(J559="protective_pattern","healthy_reasoning_patterns",IF(L559="P0","core_mvp","extended_fallacies")))))))))</x:f>
        <x:v>extended_fallacies</x:v>
      </x:c>
      <x:c r="AC559" s="12" t="str">
        <x:f>IF(ISNUMBER(SEARCH("operational",J559)),"operational",IF(ISNUMBER(SEARCH("deprecated",J559)),"deprecated",IF(L559="P0","canonical","recognized_subtype")))</x:f>
        <x:v>operational</x:v>
      </x:c>
      <x:c r="AD559" s="12" t="str">
        <x:f>IF(AC559="canonical","high",IF(AC559="recognized_subtype","medium",IF(AC559="operational","operational_only","debated")))</x:f>
        <x:v>operational_only</x:v>
      </x:c>
      <x:c r="AE559" s="12" t="str">
        <x:f>IF(AC559="deprecated","deprecated",IF(M559="yes","active",IF(M559="review","review_required","backlog")))</x:f>
        <x:v>backlog</x:v>
      </x:c>
      <x:c r="AF559" s="12" t="str">
        <x:f>IF(OR(AE559="active",AE559="review_required"),"yes","no")</x:f>
        <x:v>no</x:v>
      </x:c>
      <x:c r="AG559" s="12" t="str">
        <x:f>IF(AND(AE559="active",M559="yes",NOT(ISNUMBER(SEARCH("healthy",AB559)))),"yes","no")</x:f>
        <x:v>no</x:v>
      </x:c>
      <x:c r="AH559" s="12" t="str">
        <x:f>IF(OR(H559="contextual",H559="dialogue",H559="discourse",I559="claim+context",I559="discourse_segment"),"yes","no")</x:f>
        <x:v>yes</x:v>
      </x:c>
      <x:c r="AI559" s="12" t="str">
        <x:f>IF(OR(AH559="yes",AD559="debated",AC559="operational"),"yes","no")</x:f>
        <x:v>yes</x:v>
      </x:c>
      <x:c r="AJ559" s="12" t="str">
        <x:f>IF(OR(AH559="yes",AC559="operational",AD559="debated"),"high",IF(AND(AG559="yes",L559="P0"),"medium","low"))</x:f>
        <x:v>high</x:v>
      </x:c>
      <x:c r="AK559" s="12" t="str">
        <x:f>IF(ISNUMBER(SEARCH("healthy",AB559)),"yes","no")</x:f>
        <x:v>no</x:v>
      </x:c>
      <x:c r="AL559" s="12" t="str">
        <x:f>IF(AG559="yes","yes","candidate_only")</x:f>
        <x:v>candidate_only</x:v>
      </x:c>
      <x:c r="AM559" s="12" t="str">
        <x:f>IF(OR(AC559="canonical",AG559="yes"),"yes","recommended")</x:f>
        <x:v>recommended</x:v>
      </x:c>
      <x:c r="AN559" s="12" t="str">
        <x:f>IF(AC559="deprecated","exclude",IF(AND(AG559="yes",AJ559="high"),"import_but_human_review_required",IF(AG559="yes","import_as_active","import_as_backlog")))</x:f>
        <x:v>import_as_backlog</x:v>
      </x:c>
      <x:c r="AO559" s="12" t="str">
        <x:f>IF(AND(AG559="yes",OR(P559="",Q559="",R559="",S559="")),"missing_required_mvp_fields",IF(AND(AC559="canonical",Y559=""),"missing_source_ref","ok"))</x:f>
        <x:v>ok</x:v>
      </x:c>
      <x:c r="AP559" s="12" t="str">
        <x:f>IF(AO559="ok","ready_for_codex_import","needs_review")</x:f>
        <x:v>ready_for_codex_import</x:v>
      </x:c>
      <x:c r="AQ559" s="12"/>
      <x:c r="AR559" s="12" t="str">
        <x:v>Added v2 operational fields. Review before classification activation.</x:v>
      </x:c>
    </x:row>
    <x:row r="560">
      <x:c r="A560" s="13" t="str">
        <x:v>reference_dependence_gain_frame_variant</x:v>
      </x:c>
      <x:c r="B560" s="13" t="str">
        <x:v>reference_dependence</x:v>
      </x:c>
      <x:c r="C560" s="13" t="str">
        <x:v>Reference dependence</x:v>
      </x:c>
      <x:c r="D560" s="13" t="str">
        <x:v>وابستگی به نقطه مرجع</x:v>
      </x:c>
      <x:c r="E560" s="13" t="str">
        <x:v>Gain-frame variant</x:v>
      </x:c>
      <x:c r="F560" s="13" t="str">
        <x:v>decision_biases_behavioural_economics</x:v>
      </x:c>
      <x:c r="G560" s="13" t="str">
        <x:v>operational_variant</x:v>
      </x:c>
      <x:c r="H560" s="13" t="str">
        <x:v>contextual</x:v>
      </x:c>
      <x:c r="I560" s="13" t="str">
        <x:v>claim+context</x:v>
      </x:c>
      <x:c r="J560" s="13" t="str">
        <x:v>derived_operational_subtype</x:v>
      </x:c>
      <x:c r="K560" s="13" t="str">
        <x:v>derived_from_established_parent_review_required</x:v>
      </x:c>
      <x:c r="L560" s="13" t="str">
        <x:v>P2</x:v>
      </x:c>
      <x:c r="M560" s="13" t="str">
        <x:v>no</x:v>
      </x:c>
      <x:c r="N560" s="13" t="str">
        <x:v>Operational subtype under Reference dependence: the reasoning depends on a gain framing. Parent definition: Evaluating outcomes relative to a reference point rather than final state.</x:v>
      </x:c>
      <x:c r="O560" s="13" t="str">
        <x:v>Look for: explicit claim-level evidence; parent-family cues for Reference dependence; variant cue: the reasoning depends on a gain framing; avoid author-level inference.</x:v>
      </x:c>
      <x:c r="P560" s="13" t="str">
        <x:v>Exact evidence span in text plus claim-level reasoning link; for contextual/discourse entries, require surrounding context.</x:v>
      </x:c>
      <x:c r="Q560" s="13" t="str">
        <x:v>Do not label merely because topic is controversial, emotional, or wrong. Do not judge intent or personality. Require textual evidence and consider healthy-reasoning cues.</x:v>
      </x:c>
      <x:c r="R560" s="13" t="str">
        <x:v>Stub: A claim relies on the reasoning depends on a gain framing to support a conclusion without adequate qualification.</x:v>
      </x:c>
      <x:c r="S560" s="13" t="str">
        <x:v>Stub: A claim discusses reference dependence with caveats, balanced evidence, or no argumentative use of the pattern.</x:v>
      </x:c>
      <x:c r="T560" s="13" t="str">
        <x:v>Mild or ambiguous cue; do not classify without clear evidence span.</x:v>
      </x:c>
      <x:c r="U560" s="13" t="str">
        <x:v>Clear claim-level pattern with some argumentative impact.</x:v>
      </x:c>
      <x:c r="V560" s="13" t="str">
        <x:v>Strong pattern central to the conclusion and likely to materially distort reasoning.</x:v>
      </x:c>
      <x:c r="W560" s="13" t="str"/>
      <x:c r="X560" s="13" t="str">
        <x:v>kahneman_tversky_prospect_1979</x:v>
      </x:c>
      <x:c r="Y560" s="13" t="str">
        <x:v>https://doi.org/10.2307/1914185</x:v>
      </x:c>
      <x:c r="Z560" s="13" t="str">
        <x:v>Review before enabling. This workbook is a living taxonomy scaffold, not a validated scientific benchmark.</x:v>
      </x:c>
      <x:c r="AA560" s="13" t="str">
        <x:v>0.1.0-draft</x:v>
      </x:c>
      <x:c r="AB560" s="12" t="str">
        <x:f>IF(ISNUMBER(SEARCH("healthy",F560)),"healthy_reasoning_patterns",IF(ISNUMBER(SEARCH("statistical",F560)),"statistical_reasoning",IF(ISNUMBER(SEARCH("causal",F560)),"causal_reasoning",IF(ISNUMBER(SEARCH("social",F560)),"social_influence",IF(ISNUMBER(SEARCH("rhetoric",F560)),"rhetoric_discourse",IF(ISNUMBER(SEARCH("behavior",F560)),"behavioural_economics",IF(ISNUMBER(SEARCH("cognitive",F560)),"cognitive_biases",IF(J560="protective_pattern","healthy_reasoning_patterns",IF(L560="P0","core_mvp","extended_fallacies")))))))))</x:f>
        <x:v>extended_fallacies</x:v>
      </x:c>
      <x:c r="AC560" s="12" t="str">
        <x:f>IF(ISNUMBER(SEARCH("operational",J560)),"operational",IF(ISNUMBER(SEARCH("deprecated",J560)),"deprecated",IF(L560="P0","canonical","recognized_subtype")))</x:f>
        <x:v>operational</x:v>
      </x:c>
      <x:c r="AD560" s="12" t="str">
        <x:f>IF(AC560="canonical","high",IF(AC560="recognized_subtype","medium",IF(AC560="operational","operational_only","debated")))</x:f>
        <x:v>operational_only</x:v>
      </x:c>
      <x:c r="AE560" s="12" t="str">
        <x:f>IF(AC560="deprecated","deprecated",IF(M560="yes","active",IF(M560="review","review_required","backlog")))</x:f>
        <x:v>backlog</x:v>
      </x:c>
      <x:c r="AF560" s="12" t="str">
        <x:f>IF(OR(AE560="active",AE560="review_required"),"yes","no")</x:f>
        <x:v>no</x:v>
      </x:c>
      <x:c r="AG560" s="12" t="str">
        <x:f>IF(AND(AE560="active",M560="yes",NOT(ISNUMBER(SEARCH("healthy",AB560)))),"yes","no")</x:f>
        <x:v>no</x:v>
      </x:c>
      <x:c r="AH560" s="12" t="str">
        <x:f>IF(OR(H560="contextual",H560="dialogue",H560="discourse",I560="claim+context",I560="discourse_segment"),"yes","no")</x:f>
        <x:v>yes</x:v>
      </x:c>
      <x:c r="AI560" s="12" t="str">
        <x:f>IF(OR(AH560="yes",AD560="debated",AC560="operational"),"yes","no")</x:f>
        <x:v>yes</x:v>
      </x:c>
      <x:c r="AJ560" s="12" t="str">
        <x:f>IF(OR(AH560="yes",AC560="operational",AD560="debated"),"high",IF(AND(AG560="yes",L560="P0"),"medium","low"))</x:f>
        <x:v>high</x:v>
      </x:c>
      <x:c r="AK560" s="12" t="str">
        <x:f>IF(ISNUMBER(SEARCH("healthy",AB560)),"yes","no")</x:f>
        <x:v>no</x:v>
      </x:c>
      <x:c r="AL560" s="12" t="str">
        <x:f>IF(AG560="yes","yes","candidate_only")</x:f>
        <x:v>candidate_only</x:v>
      </x:c>
      <x:c r="AM560" s="12" t="str">
        <x:f>IF(OR(AC560="canonical",AG560="yes"),"yes","recommended")</x:f>
        <x:v>recommended</x:v>
      </x:c>
      <x:c r="AN560" s="12" t="str">
        <x:f>IF(AC560="deprecated","exclude",IF(AND(AG560="yes",AJ560="high"),"import_but_human_review_required",IF(AG560="yes","import_as_active","import_as_backlog")))</x:f>
        <x:v>import_as_backlog</x:v>
      </x:c>
      <x:c r="AO560" s="12" t="str">
        <x:f>IF(AND(AG560="yes",OR(P560="",Q560="",R560="",S560="")),"missing_required_mvp_fields",IF(AND(AC560="canonical",Y560=""),"missing_source_ref","ok"))</x:f>
        <x:v>ok</x:v>
      </x:c>
      <x:c r="AP560" s="12" t="str">
        <x:f>IF(AO560="ok","ready_for_codex_import","needs_review")</x:f>
        <x:v>ready_for_codex_import</x:v>
      </x:c>
      <x:c r="AQ560" s="12"/>
      <x:c r="AR560" s="12" t="str">
        <x:v>Added v2 operational fields. Review before classification activation.</x:v>
      </x:c>
    </x:row>
    <x:row r="561">
      <x:c r="A561" s="13" t="str">
        <x:v>risk_seeking_in_losses_gain_frame_variant</x:v>
      </x:c>
      <x:c r="B561" s="13" t="str">
        <x:v>risk_seeking_in_losses</x:v>
      </x:c>
      <x:c r="C561" s="13" t="str">
        <x:v>Risk seeking in losses</x:v>
      </x:c>
      <x:c r="D561" s="13" t="str">
        <x:v>ریسک‌پذیری در چارچوب زیان</x:v>
      </x:c>
      <x:c r="E561" s="13" t="str">
        <x:v>Gain-frame variant</x:v>
      </x:c>
      <x:c r="F561" s="13" t="str">
        <x:v>decision_biases_behavioural_economics</x:v>
      </x:c>
      <x:c r="G561" s="13" t="str">
        <x:v>operational_variant</x:v>
      </x:c>
      <x:c r="H561" s="13" t="str">
        <x:v>contextual</x:v>
      </x:c>
      <x:c r="I561" s="13" t="str">
        <x:v>claim+context</x:v>
      </x:c>
      <x:c r="J561" s="13" t="str">
        <x:v>derived_operational_subtype</x:v>
      </x:c>
      <x:c r="K561" s="13" t="str">
        <x:v>derived_from_established_parent_review_required</x:v>
      </x:c>
      <x:c r="L561" s="13" t="str">
        <x:v>P2</x:v>
      </x:c>
      <x:c r="M561" s="13" t="str">
        <x:v>no</x:v>
      </x:c>
      <x:c r="N561" s="13" t="str">
        <x:v>Operational subtype under Risk seeking in losses: the reasoning depends on a gain framing. Parent definition: Choosing riskier options to avoid a framed loss.</x:v>
      </x:c>
      <x:c r="O561" s="13" t="str">
        <x:v>Look for: explicit claim-level evidence; parent-family cues for Risk seeking in losses; variant cue: the reasoning depends on a gain framing; avoid author-level inference.</x:v>
      </x:c>
      <x:c r="P561" s="13" t="str">
        <x:v>Exact evidence span in text plus claim-level reasoning link; for contextual/discourse entries, require surrounding context.</x:v>
      </x:c>
      <x:c r="Q561" s="13" t="str">
        <x:v>Do not label merely because topic is controversial, emotional, or wrong. Do not judge intent or personality. Require textual evidence and consider healthy-reasoning cues.</x:v>
      </x:c>
      <x:c r="R561" s="13" t="str">
        <x:v>Stub: A claim relies on the reasoning depends on a gain framing to support a conclusion without adequate qualification.</x:v>
      </x:c>
      <x:c r="S561" s="13" t="str">
        <x:v>Stub: A claim discusses risk seeking in losses with caveats, balanced evidence, or no argumentative use of the pattern.</x:v>
      </x:c>
      <x:c r="T561" s="13" t="str">
        <x:v>Mild or ambiguous cue; do not classify without clear evidence span.</x:v>
      </x:c>
      <x:c r="U561" s="13" t="str">
        <x:v>Clear claim-level pattern with some argumentative impact.</x:v>
      </x:c>
      <x:c r="V561" s="13" t="str">
        <x:v>Strong pattern central to the conclusion and likely to materially distort reasoning.</x:v>
      </x:c>
      <x:c r="W561" s="13" t="str"/>
      <x:c r="X561" s="13" t="str">
        <x:v>kahneman_tversky_prospect_1979</x:v>
      </x:c>
      <x:c r="Y561" s="13" t="str">
        <x:v>https://doi.org/10.2307/1914185</x:v>
      </x:c>
      <x:c r="Z561" s="13" t="str">
        <x:v>Review before enabling. This workbook is a living taxonomy scaffold, not a validated scientific benchmark.</x:v>
      </x:c>
      <x:c r="AA561" s="13" t="str">
        <x:v>0.1.0-draft</x:v>
      </x:c>
      <x:c r="AB561" s="12" t="str">
        <x:f>IF(ISNUMBER(SEARCH("healthy",F561)),"healthy_reasoning_patterns",IF(ISNUMBER(SEARCH("statistical",F561)),"statistical_reasoning",IF(ISNUMBER(SEARCH("causal",F561)),"causal_reasoning",IF(ISNUMBER(SEARCH("social",F561)),"social_influence",IF(ISNUMBER(SEARCH("rhetoric",F561)),"rhetoric_discourse",IF(ISNUMBER(SEARCH("behavior",F561)),"behavioural_economics",IF(ISNUMBER(SEARCH("cognitive",F561)),"cognitive_biases",IF(J561="protective_pattern","healthy_reasoning_patterns",IF(L561="P0","core_mvp","extended_fallacies")))))))))</x:f>
        <x:v>extended_fallacies</x:v>
      </x:c>
      <x:c r="AC561" s="12" t="str">
        <x:f>IF(ISNUMBER(SEARCH("operational",J561)),"operational",IF(ISNUMBER(SEARCH("deprecated",J561)),"deprecated",IF(L561="P0","canonical","recognized_subtype")))</x:f>
        <x:v>operational</x:v>
      </x:c>
      <x:c r="AD561" s="12" t="str">
        <x:f>IF(AC561="canonical","high",IF(AC561="recognized_subtype","medium",IF(AC561="operational","operational_only","debated")))</x:f>
        <x:v>operational_only</x:v>
      </x:c>
      <x:c r="AE561" s="12" t="str">
        <x:f>IF(AC561="deprecated","deprecated",IF(M561="yes","active",IF(M561="review","review_required","backlog")))</x:f>
        <x:v>backlog</x:v>
      </x:c>
      <x:c r="AF561" s="12" t="str">
        <x:f>IF(OR(AE561="active",AE561="review_required"),"yes","no")</x:f>
        <x:v>no</x:v>
      </x:c>
      <x:c r="AG561" s="12" t="str">
        <x:f>IF(AND(AE561="active",M561="yes",NOT(ISNUMBER(SEARCH("healthy",AB561)))),"yes","no")</x:f>
        <x:v>no</x:v>
      </x:c>
      <x:c r="AH561" s="12" t="str">
        <x:f>IF(OR(H561="contextual",H561="dialogue",H561="discourse",I561="claim+context",I561="discourse_segment"),"yes","no")</x:f>
        <x:v>yes</x:v>
      </x:c>
      <x:c r="AI561" s="12" t="str">
        <x:f>IF(OR(AH561="yes",AD561="debated",AC561="operational"),"yes","no")</x:f>
        <x:v>yes</x:v>
      </x:c>
      <x:c r="AJ561" s="12" t="str">
        <x:f>IF(OR(AH561="yes",AC561="operational",AD561="debated"),"high",IF(AND(AG561="yes",L561="P0"),"medium","low"))</x:f>
        <x:v>high</x:v>
      </x:c>
      <x:c r="AK561" s="12" t="str">
        <x:f>IF(ISNUMBER(SEARCH("healthy",AB561)),"yes","no")</x:f>
        <x:v>no</x:v>
      </x:c>
      <x:c r="AL561" s="12" t="str">
        <x:f>IF(AG561="yes","yes","candidate_only")</x:f>
        <x:v>candidate_only</x:v>
      </x:c>
      <x:c r="AM561" s="12" t="str">
        <x:f>IF(OR(AC561="canonical",AG561="yes"),"yes","recommended")</x:f>
        <x:v>recommended</x:v>
      </x:c>
      <x:c r="AN561" s="12" t="str">
        <x:f>IF(AC561="deprecated","exclude",IF(AND(AG561="yes",AJ561="high"),"import_but_human_review_required",IF(AG561="yes","import_as_active","import_as_backlog")))</x:f>
        <x:v>import_as_backlog</x:v>
      </x:c>
      <x:c r="AO561" s="12" t="str">
        <x:f>IF(AND(AG561="yes",OR(P561="",Q561="",R561="",S561="")),"missing_required_mvp_fields",IF(AND(AC561="canonical",Y561=""),"missing_source_ref","ok"))</x:f>
        <x:v>ok</x:v>
      </x:c>
      <x:c r="AP561" s="12" t="str">
        <x:f>IF(AO561="ok","ready_for_codex_import","needs_review")</x:f>
        <x:v>ready_for_codex_import</x:v>
      </x:c>
      <x:c r="AQ561" s="12"/>
      <x:c r="AR561" s="12" t="str">
        <x:v>Added v2 operational fields. Review before classification activation.</x:v>
      </x:c>
    </x:row>
    <x:row r="562">
      <x:c r="A562" s="13" t="str">
        <x:v>risk_aversion_in_gains_gain_frame_variant</x:v>
      </x:c>
      <x:c r="B562" s="13" t="str">
        <x:v>risk_aversion_in_gains</x:v>
      </x:c>
      <x:c r="C562" s="13" t="str">
        <x:v>Risk aversion in gains</x:v>
      </x:c>
      <x:c r="D562" s="13" t="str">
        <x:v>ریسک‌گریزی در چارچوب سود</x:v>
      </x:c>
      <x:c r="E562" s="13" t="str">
        <x:v>Gain-frame variant</x:v>
      </x:c>
      <x:c r="F562" s="13" t="str">
        <x:v>decision_biases_behavioural_economics</x:v>
      </x:c>
      <x:c r="G562" s="13" t="str">
        <x:v>operational_variant</x:v>
      </x:c>
      <x:c r="H562" s="13" t="str">
        <x:v>contextual</x:v>
      </x:c>
      <x:c r="I562" s="13" t="str">
        <x:v>claim+context</x:v>
      </x:c>
      <x:c r="J562" s="13" t="str">
        <x:v>derived_operational_subtype</x:v>
      </x:c>
      <x:c r="K562" s="13" t="str">
        <x:v>derived_from_established_parent_review_required</x:v>
      </x:c>
      <x:c r="L562" s="13" t="str">
        <x:v>P2</x:v>
      </x:c>
      <x:c r="M562" s="13" t="str">
        <x:v>no</x:v>
      </x:c>
      <x:c r="N562" s="13" t="str">
        <x:v>Operational subtype under Risk aversion in gains: the reasoning depends on a gain framing. Parent definition: Preferring sure gains over higher expected but risky gains.</x:v>
      </x:c>
      <x:c r="O562" s="13" t="str">
        <x:v>Look for: explicit claim-level evidence; parent-family cues for Risk aversion in gains; variant cue: the reasoning depends on a gain framing; avoid author-level inference.</x:v>
      </x:c>
      <x:c r="P562" s="13" t="str">
        <x:v>Exact evidence span in text plus claim-level reasoning link; for contextual/discourse entries, require surrounding context.</x:v>
      </x:c>
      <x:c r="Q562" s="13" t="str">
        <x:v>Do not label merely because topic is controversial, emotional, or wrong. Do not judge intent or personality. Require textual evidence and consider healthy-reasoning cues.</x:v>
      </x:c>
      <x:c r="R562" s="13" t="str">
        <x:v>Stub: A claim relies on the reasoning depends on a gain framing to support a conclusion without adequate qualification.</x:v>
      </x:c>
      <x:c r="S562" s="13" t="str">
        <x:v>Stub: A claim discusses risk aversion in gains with caveats, balanced evidence, or no argumentative use of the pattern.</x:v>
      </x:c>
      <x:c r="T562" s="13" t="str">
        <x:v>Mild or ambiguous cue; do not classify without clear evidence span.</x:v>
      </x:c>
      <x:c r="U562" s="13" t="str">
        <x:v>Clear claim-level pattern with some argumentative impact.</x:v>
      </x:c>
      <x:c r="V562" s="13" t="str">
        <x:v>Strong pattern central to the conclusion and likely to materially distort reasoning.</x:v>
      </x:c>
      <x:c r="W562" s="13" t="str"/>
      <x:c r="X562" s="13" t="str">
        <x:v>kahneman_tversky_prospect_1979</x:v>
      </x:c>
      <x:c r="Y562" s="13" t="str">
        <x:v>https://doi.org/10.2307/1914185</x:v>
      </x:c>
      <x:c r="Z562" s="13" t="str">
        <x:v>Review before enabling. This workbook is a living taxonomy scaffold, not a validated scientific benchmark.</x:v>
      </x:c>
      <x:c r="AA562" s="13" t="str">
        <x:v>0.1.0-draft</x:v>
      </x:c>
      <x:c r="AB562" s="12" t="str">
        <x:f>IF(ISNUMBER(SEARCH("healthy",F562)),"healthy_reasoning_patterns",IF(ISNUMBER(SEARCH("statistical",F562)),"statistical_reasoning",IF(ISNUMBER(SEARCH("causal",F562)),"causal_reasoning",IF(ISNUMBER(SEARCH("social",F562)),"social_influence",IF(ISNUMBER(SEARCH("rhetoric",F562)),"rhetoric_discourse",IF(ISNUMBER(SEARCH("behavior",F562)),"behavioural_economics",IF(ISNUMBER(SEARCH("cognitive",F562)),"cognitive_biases",IF(J562="protective_pattern","healthy_reasoning_patterns",IF(L562="P0","core_mvp","extended_fallacies")))))))))</x:f>
        <x:v>extended_fallacies</x:v>
      </x:c>
      <x:c r="AC562" s="12" t="str">
        <x:f>IF(ISNUMBER(SEARCH("operational",J562)),"operational",IF(ISNUMBER(SEARCH("deprecated",J562)),"deprecated",IF(L562="P0","canonical","recognized_subtype")))</x:f>
        <x:v>operational</x:v>
      </x:c>
      <x:c r="AD562" s="12" t="str">
        <x:f>IF(AC562="canonical","high",IF(AC562="recognized_subtype","medium",IF(AC562="operational","operational_only","debated")))</x:f>
        <x:v>operational_only</x:v>
      </x:c>
      <x:c r="AE562" s="12" t="str">
        <x:f>IF(AC562="deprecated","deprecated",IF(M562="yes","active",IF(M562="review","review_required","backlog")))</x:f>
        <x:v>backlog</x:v>
      </x:c>
      <x:c r="AF562" s="12" t="str">
        <x:f>IF(OR(AE562="active",AE562="review_required"),"yes","no")</x:f>
        <x:v>no</x:v>
      </x:c>
      <x:c r="AG562" s="12" t="str">
        <x:f>IF(AND(AE562="active",M562="yes",NOT(ISNUMBER(SEARCH("healthy",AB562)))),"yes","no")</x:f>
        <x:v>no</x:v>
      </x:c>
      <x:c r="AH562" s="12" t="str">
        <x:f>IF(OR(H562="contextual",H562="dialogue",H562="discourse",I562="claim+context",I562="discourse_segment"),"yes","no")</x:f>
        <x:v>yes</x:v>
      </x:c>
      <x:c r="AI562" s="12" t="str">
        <x:f>IF(OR(AH562="yes",AD562="debated",AC562="operational"),"yes","no")</x:f>
        <x:v>yes</x:v>
      </x:c>
      <x:c r="AJ562" s="12" t="str">
        <x:f>IF(OR(AH562="yes",AC562="operational",AD562="debated"),"high",IF(AND(AG562="yes",L562="P0"),"medium","low"))</x:f>
        <x:v>high</x:v>
      </x:c>
      <x:c r="AK562" s="12" t="str">
        <x:f>IF(ISNUMBER(SEARCH("healthy",AB562)),"yes","no")</x:f>
        <x:v>no</x:v>
      </x:c>
      <x:c r="AL562" s="12" t="str">
        <x:f>IF(AG562="yes","yes","candidate_only")</x:f>
        <x:v>candidate_only</x:v>
      </x:c>
      <x:c r="AM562" s="12" t="str">
        <x:f>IF(OR(AC562="canonical",AG562="yes"),"yes","recommended")</x:f>
        <x:v>recommended</x:v>
      </x:c>
      <x:c r="AN562" s="12" t="str">
        <x:f>IF(AC562="deprecated","exclude",IF(AND(AG562="yes",AJ562="high"),"import_but_human_review_required",IF(AG562="yes","import_as_active","import_as_backlog")))</x:f>
        <x:v>import_as_backlog</x:v>
      </x:c>
      <x:c r="AO562" s="12" t="str">
        <x:f>IF(AND(AG562="yes",OR(P562="",Q562="",R562="",S562="")),"missing_required_mvp_fields",IF(AND(AC562="canonical",Y562=""),"missing_source_ref","ok"))</x:f>
        <x:v>ok</x:v>
      </x:c>
      <x:c r="AP562" s="12" t="str">
        <x:f>IF(AO562="ok","ready_for_codex_import","needs_review")</x:f>
        <x:v>ready_for_codex_import</x:v>
      </x:c>
      <x:c r="AQ562" s="12"/>
      <x:c r="AR562" s="12" t="str">
        <x:v>Added v2 operational fields. Review before classification activation.</x:v>
      </x:c>
    </x:row>
    <x:row r="563">
      <x:c r="A563" s="13" t="str">
        <x:v>omission_bias_gain_frame_variant</x:v>
      </x:c>
      <x:c r="B563" s="13" t="str">
        <x:v>omission_bias</x:v>
      </x:c>
      <x:c r="C563" s="13" t="str">
        <x:v>Omission bias</x:v>
      </x:c>
      <x:c r="D563" s="13" t="str">
        <x:v>سوگیری ترک فعل</x:v>
      </x:c>
      <x:c r="E563" s="13" t="str">
        <x:v>Gain-frame variant</x:v>
      </x:c>
      <x:c r="F563" s="13" t="str">
        <x:v>decision_biases_behavioural_economics</x:v>
      </x:c>
      <x:c r="G563" s="13" t="str">
        <x:v>operational_variant</x:v>
      </x:c>
      <x:c r="H563" s="13" t="str">
        <x:v>contextual</x:v>
      </x:c>
      <x:c r="I563" s="13" t="str">
        <x:v>claim+context</x:v>
      </x:c>
      <x:c r="J563" s="13" t="str">
        <x:v>derived_operational_subtype</x:v>
      </x:c>
      <x:c r="K563" s="13" t="str">
        <x:v>derived_from_established_parent_review_required</x:v>
      </x:c>
      <x:c r="L563" s="13" t="str">
        <x:v>P2</x:v>
      </x:c>
      <x:c r="M563" s="13" t="str">
        <x:v>no</x:v>
      </x:c>
      <x:c r="N563" s="13" t="str">
        <x:v>Operational subtype under Omission bias: the reasoning depends on a gain framing. Parent definition: Judging harmful inaction more leniently than harmful action.</x:v>
      </x:c>
      <x:c r="O563" s="13" t="str">
        <x:v>Look for: explicit claim-level evidence; parent-family cues for Omission bias; variant cue: the reasoning depends on a gain framing; avoid author-level inference.</x:v>
      </x:c>
      <x:c r="P563" s="13" t="str">
        <x:v>Exact evidence span in text plus claim-level reasoning link; for contextual/discourse entries, require surrounding context.</x:v>
      </x:c>
      <x:c r="Q563" s="13" t="str">
        <x:v>Do not label merely because topic is controversial, emotional, or wrong. Do not judge intent or personality. Require textual evidence and consider healthy-reasoning cues.</x:v>
      </x:c>
      <x:c r="R563" s="13" t="str">
        <x:v>Stub: A claim relies on the reasoning depends on a gain framing to support a conclusion without adequate qualification.</x:v>
      </x:c>
      <x:c r="S563" s="13" t="str">
        <x:v>Stub: A claim discusses omission bias with caveats, balanced evidence, or no argumentative use of the pattern.</x:v>
      </x:c>
      <x:c r="T563" s="13" t="str">
        <x:v>Mild or ambiguous cue; do not classify without clear evidence span.</x:v>
      </x:c>
      <x:c r="U563" s="13" t="str">
        <x:v>Clear claim-level pattern with some argumentative impact.</x:v>
      </x:c>
      <x:c r="V563" s="13" t="str">
        <x:v>Strong pattern central to the conclusion and likely to materially distort reasoning.</x:v>
      </x:c>
      <x:c r="W563" s="13" t="str"/>
      <x:c r="X563" s="13" t="str">
        <x:v>gilovich_heuristics_biases</x:v>
      </x:c>
      <x:c r="Y563" s="13" t="str">
        <x:v>https://www.cambridge.org/core/books/heuristics-and-biases/3C30D3B05D2F190C3B8BE5E2531EFD24</x:v>
      </x:c>
      <x:c r="Z563" s="13" t="str">
        <x:v>Review before enabling. This workbook is a living taxonomy scaffold, not a validated scientific benchmark.</x:v>
      </x:c>
      <x:c r="AA563" s="13" t="str">
        <x:v>0.1.0-draft</x:v>
      </x:c>
      <x:c r="AB563" s="12" t="str">
        <x:f>IF(ISNUMBER(SEARCH("healthy",F563)),"healthy_reasoning_patterns",IF(ISNUMBER(SEARCH("statistical",F563)),"statistical_reasoning",IF(ISNUMBER(SEARCH("causal",F563)),"causal_reasoning",IF(ISNUMBER(SEARCH("social",F563)),"social_influence",IF(ISNUMBER(SEARCH("rhetoric",F563)),"rhetoric_discourse",IF(ISNUMBER(SEARCH("behavior",F563)),"behavioural_economics",IF(ISNUMBER(SEARCH("cognitive",F563)),"cognitive_biases",IF(J563="protective_pattern","healthy_reasoning_patterns",IF(L563="P0","core_mvp","extended_fallacies")))))))))</x:f>
        <x:v>extended_fallacies</x:v>
      </x:c>
      <x:c r="AC563" s="12" t="str">
        <x:f>IF(ISNUMBER(SEARCH("operational",J563)),"operational",IF(ISNUMBER(SEARCH("deprecated",J563)),"deprecated",IF(L563="P0","canonical","recognized_subtype")))</x:f>
        <x:v>operational</x:v>
      </x:c>
      <x:c r="AD563" s="12" t="str">
        <x:f>IF(AC563="canonical","high",IF(AC563="recognized_subtype","medium",IF(AC563="operational","operational_only","debated")))</x:f>
        <x:v>operational_only</x:v>
      </x:c>
      <x:c r="AE563" s="12" t="str">
        <x:f>IF(AC563="deprecated","deprecated",IF(M563="yes","active",IF(M563="review","review_required","backlog")))</x:f>
        <x:v>backlog</x:v>
      </x:c>
      <x:c r="AF563" s="12" t="str">
        <x:f>IF(OR(AE563="active",AE563="review_required"),"yes","no")</x:f>
        <x:v>no</x:v>
      </x:c>
      <x:c r="AG563" s="12" t="str">
        <x:f>IF(AND(AE563="active",M563="yes",NOT(ISNUMBER(SEARCH("healthy",AB563)))),"yes","no")</x:f>
        <x:v>no</x:v>
      </x:c>
      <x:c r="AH563" s="12" t="str">
        <x:f>IF(OR(H563="contextual",H563="dialogue",H563="discourse",I563="claim+context",I563="discourse_segment"),"yes","no")</x:f>
        <x:v>yes</x:v>
      </x:c>
      <x:c r="AI563" s="12" t="str">
        <x:f>IF(OR(AH563="yes",AD563="debated",AC563="operational"),"yes","no")</x:f>
        <x:v>yes</x:v>
      </x:c>
      <x:c r="AJ563" s="12" t="str">
        <x:f>IF(OR(AH563="yes",AC563="operational",AD563="debated"),"high",IF(AND(AG563="yes",L563="P0"),"medium","low"))</x:f>
        <x:v>high</x:v>
      </x:c>
      <x:c r="AK563" s="12" t="str">
        <x:f>IF(ISNUMBER(SEARCH("healthy",AB563)),"yes","no")</x:f>
        <x:v>no</x:v>
      </x:c>
      <x:c r="AL563" s="12" t="str">
        <x:f>IF(AG563="yes","yes","candidate_only")</x:f>
        <x:v>candidate_only</x:v>
      </x:c>
      <x:c r="AM563" s="12" t="str">
        <x:f>IF(OR(AC563="canonical",AG563="yes"),"yes","recommended")</x:f>
        <x:v>recommended</x:v>
      </x:c>
      <x:c r="AN563" s="12" t="str">
        <x:f>IF(AC563="deprecated","exclude",IF(AND(AG563="yes",AJ563="high"),"import_but_human_review_required",IF(AG563="yes","import_as_active","import_as_backlog")))</x:f>
        <x:v>import_as_backlog</x:v>
      </x:c>
      <x:c r="AO563" s="12" t="str">
        <x:f>IF(AND(AG563="yes",OR(P563="",Q563="",R563="",S563="")),"missing_required_mvp_fields",IF(AND(AC563="canonical",Y563=""),"missing_source_ref","ok"))</x:f>
        <x:v>ok</x:v>
      </x:c>
      <x:c r="AP563" s="12" t="str">
        <x:f>IF(AO563="ok","ready_for_codex_import","needs_review")</x:f>
        <x:v>ready_for_codex_import</x:v>
      </x:c>
      <x:c r="AQ563" s="12"/>
      <x:c r="AR563" s="12" t="str">
        <x:v>Added v2 operational fields. Review before classification activation.</x:v>
      </x:c>
    </x:row>
    <x:row r="564">
      <x:c r="A564" s="13" t="str">
        <x:v>action_bias_gain_frame_variant</x:v>
      </x:c>
      <x:c r="B564" s="13" t="str">
        <x:v>action_bias</x:v>
      </x:c>
      <x:c r="C564" s="13" t="str">
        <x:v>Action bias</x:v>
      </x:c>
      <x:c r="D564" s="13" t="str">
        <x:v>سوگیری اقدام</x:v>
      </x:c>
      <x:c r="E564" s="13" t="str">
        <x:v>Gain-frame variant</x:v>
      </x:c>
      <x:c r="F564" s="13" t="str">
        <x:v>decision_biases_behavioural_economics</x:v>
      </x:c>
      <x:c r="G564" s="13" t="str">
        <x:v>operational_variant</x:v>
      </x:c>
      <x:c r="H564" s="13" t="str">
        <x:v>contextual</x:v>
      </x:c>
      <x:c r="I564" s="13" t="str">
        <x:v>claim+context</x:v>
      </x:c>
      <x:c r="J564" s="13" t="str">
        <x:v>derived_operational_subtype</x:v>
      </x:c>
      <x:c r="K564" s="13" t="str">
        <x:v>derived_from_established_parent_review_required</x:v>
      </x:c>
      <x:c r="L564" s="13" t="str">
        <x:v>P2</x:v>
      </x:c>
      <x:c r="M564" s="13" t="str">
        <x:v>no</x:v>
      </x:c>
      <x:c r="N564" s="13" t="str">
        <x:v>Operational subtype under Action bias: the reasoning depends on a gain framing. Parent definition: Preferring action even when waiting or gathering evidence would be better.</x:v>
      </x:c>
      <x:c r="O564" s="13" t="str">
        <x:v>Look for: explicit claim-level evidence; parent-family cues for Action bias; variant cue: the reasoning depends on a gain framing; avoid author-level inference.</x:v>
      </x:c>
      <x:c r="P564" s="13" t="str">
        <x:v>Exact evidence span in text plus claim-level reasoning link; for contextual/discourse entries, require surrounding context.</x:v>
      </x:c>
      <x:c r="Q564" s="13" t="str">
        <x:v>Do not label merely because topic is controversial, emotional, or wrong. Do not judge intent or personality. Require textual evidence and consider healthy-reasoning cues.</x:v>
      </x:c>
      <x:c r="R564" s="13" t="str">
        <x:v>Stub: A claim relies on the reasoning depends on a gain framing to support a conclusion without adequate qualification.</x:v>
      </x:c>
      <x:c r="S564" s="13" t="str">
        <x:v>Stub: A claim discusses action bias with caveats, balanced evidence, or no argumentative use of the pattern.</x:v>
      </x:c>
      <x:c r="T564" s="13" t="str">
        <x:v>Mild or ambiguous cue; do not classify without clear evidence span.</x:v>
      </x:c>
      <x:c r="U564" s="13" t="str">
        <x:v>Clear claim-level pattern with some argumentative impact.</x:v>
      </x:c>
      <x:c r="V564" s="13" t="str">
        <x:v>Strong pattern central to the conclusion and likely to materially distort reasoning.</x:v>
      </x:c>
      <x:c r="W564" s="13" t="str">
        <x:v>cherry_picking; missing_counterevidence; evidence_grading</x:v>
      </x:c>
      <x:c r="X564" s="13" t="str">
        <x:v>gilovich_heuristics_biases</x:v>
      </x:c>
      <x:c r="Y564" s="13" t="str">
        <x:v>https://www.cambridge.org/core/books/heuristics-and-biases/3C30D3B05D2F190C3B8BE5E2531EFD24</x:v>
      </x:c>
      <x:c r="Z564" s="13" t="str">
        <x:v>Review before enabling. This workbook is a living taxonomy scaffold, not a validated scientific benchmark.</x:v>
      </x:c>
      <x:c r="AA564" s="13" t="str">
        <x:v>0.1.0-draft</x:v>
      </x:c>
      <x:c r="AB564" s="12" t="str">
        <x:f>IF(ISNUMBER(SEARCH("healthy",F564)),"healthy_reasoning_patterns",IF(ISNUMBER(SEARCH("statistical",F564)),"statistical_reasoning",IF(ISNUMBER(SEARCH("causal",F564)),"causal_reasoning",IF(ISNUMBER(SEARCH("social",F564)),"social_influence",IF(ISNUMBER(SEARCH("rhetoric",F564)),"rhetoric_discourse",IF(ISNUMBER(SEARCH("behavior",F564)),"behavioural_economics",IF(ISNUMBER(SEARCH("cognitive",F564)),"cognitive_biases",IF(J564="protective_pattern","healthy_reasoning_patterns",IF(L564="P0","core_mvp","extended_fallacies")))))))))</x:f>
        <x:v>extended_fallacies</x:v>
      </x:c>
      <x:c r="AC564" s="12" t="str">
        <x:f>IF(ISNUMBER(SEARCH("operational",J564)),"operational",IF(ISNUMBER(SEARCH("deprecated",J564)),"deprecated",IF(L564="P0","canonical","recognized_subtype")))</x:f>
        <x:v>operational</x:v>
      </x:c>
      <x:c r="AD564" s="12" t="str">
        <x:f>IF(AC564="canonical","high",IF(AC564="recognized_subtype","medium",IF(AC564="operational","operational_only","debated")))</x:f>
        <x:v>operational_only</x:v>
      </x:c>
      <x:c r="AE564" s="12" t="str">
        <x:f>IF(AC564="deprecated","deprecated",IF(M564="yes","active",IF(M564="review","review_required","backlog")))</x:f>
        <x:v>backlog</x:v>
      </x:c>
      <x:c r="AF564" s="12" t="str">
        <x:f>IF(OR(AE564="active",AE564="review_required"),"yes","no")</x:f>
        <x:v>no</x:v>
      </x:c>
      <x:c r="AG564" s="12" t="str">
        <x:f>IF(AND(AE564="active",M564="yes",NOT(ISNUMBER(SEARCH("healthy",AB564)))),"yes","no")</x:f>
        <x:v>no</x:v>
      </x:c>
      <x:c r="AH564" s="12" t="str">
        <x:f>IF(OR(H564="contextual",H564="dialogue",H564="discourse",I564="claim+context",I564="discourse_segment"),"yes","no")</x:f>
        <x:v>yes</x:v>
      </x:c>
      <x:c r="AI564" s="12" t="str">
        <x:f>IF(OR(AH564="yes",AD564="debated",AC564="operational"),"yes","no")</x:f>
        <x:v>yes</x:v>
      </x:c>
      <x:c r="AJ564" s="12" t="str">
        <x:f>IF(OR(AH564="yes",AC564="operational",AD564="debated"),"high",IF(AND(AG564="yes",L564="P0"),"medium","low"))</x:f>
        <x:v>high</x:v>
      </x:c>
      <x:c r="AK564" s="12" t="str">
        <x:f>IF(ISNUMBER(SEARCH("healthy",AB564)),"yes","no")</x:f>
        <x:v>no</x:v>
      </x:c>
      <x:c r="AL564" s="12" t="str">
        <x:f>IF(AG564="yes","yes","candidate_only")</x:f>
        <x:v>candidate_only</x:v>
      </x:c>
      <x:c r="AM564" s="12" t="str">
        <x:f>IF(OR(AC564="canonical",AG564="yes"),"yes","recommended")</x:f>
        <x:v>recommended</x:v>
      </x:c>
      <x:c r="AN564" s="12" t="str">
        <x:f>IF(AC564="deprecated","exclude",IF(AND(AG564="yes",AJ564="high"),"import_but_human_review_required",IF(AG564="yes","import_as_active","import_as_backlog")))</x:f>
        <x:v>import_as_backlog</x:v>
      </x:c>
      <x:c r="AO564" s="12" t="str">
        <x:f>IF(AND(AG564="yes",OR(P564="",Q564="",R564="",S564="")),"missing_required_mvp_fields",IF(AND(AC564="canonical",Y564=""),"missing_source_ref","ok"))</x:f>
        <x:v>ok</x:v>
      </x:c>
      <x:c r="AP564" s="12" t="str">
        <x:f>IF(AO564="ok","ready_for_codex_import","needs_review")</x:f>
        <x:v>ready_for_codex_import</x:v>
      </x:c>
      <x:c r="AQ564" s="12"/>
      <x:c r="AR564" s="12" t="str">
        <x:v>Added v2 operational fields. Review before classification activation.</x:v>
      </x:c>
    </x:row>
    <x:row r="565">
      <x:c r="A565" s="13" t="str">
        <x:v>time_inconsistency_gain_frame_variant</x:v>
      </x:c>
      <x:c r="B565" s="13" t="str">
        <x:v>time_inconsistency</x:v>
      </x:c>
      <x:c r="C565" s="13" t="str">
        <x:v>Time inconsistency</x:v>
      </x:c>
      <x:c r="D565" s="13" t="str">
        <x:v>ناسازگاری زمانی ترجیح</x:v>
      </x:c>
      <x:c r="E565" s="13" t="str">
        <x:v>Gain-frame variant</x:v>
      </x:c>
      <x:c r="F565" s="13" t="str">
        <x:v>decision_biases_behavioural_economics</x:v>
      </x:c>
      <x:c r="G565" s="13" t="str">
        <x:v>operational_variant</x:v>
      </x:c>
      <x:c r="H565" s="13" t="str">
        <x:v>contextual</x:v>
      </x:c>
      <x:c r="I565" s="13" t="str">
        <x:v>claim+context</x:v>
      </x:c>
      <x:c r="J565" s="13" t="str">
        <x:v>derived_operational_subtype</x:v>
      </x:c>
      <x:c r="K565" s="13" t="str">
        <x:v>derived_from_established_parent_review_required</x:v>
      </x:c>
      <x:c r="L565" s="13" t="str">
        <x:v>P2</x:v>
      </x:c>
      <x:c r="M565" s="13" t="str">
        <x:v>no</x:v>
      </x:c>
      <x:c r="N565" s="13" t="str">
        <x:v>Operational subtype under Time inconsistency: the reasoning depends on a gain framing. Parent definition: Preferences change over time in ways that undermine prior plans.</x:v>
      </x:c>
      <x:c r="O565" s="13" t="str">
        <x:v>Look for: explicit claim-level evidence; parent-family cues for Time inconsistency; variant cue: the reasoning depends on a gain framing; avoid author-level inference.</x:v>
      </x:c>
      <x:c r="P565" s="13" t="str">
        <x:v>Exact evidence span in text plus claim-level reasoning link; for contextual/discourse entries, require surrounding context.</x:v>
      </x:c>
      <x:c r="Q565" s="13" t="str">
        <x:v>Do not label merely because topic is controversial, emotional, or wrong. Do not judge intent or personality. Require textual evidence and consider healthy-reasoning cues.</x:v>
      </x:c>
      <x:c r="R565" s="13" t="str">
        <x:v>Stub: A claim relies on the reasoning depends on a gain framing to support a conclusion without adequate qualification.</x:v>
      </x:c>
      <x:c r="S565" s="13" t="str">
        <x:v>Stub: A claim discusses time inconsistency with caveats, balanced evidence, or no argumentative use of the pattern.</x:v>
      </x:c>
      <x:c r="T565" s="13" t="str">
        <x:v>Mild or ambiguous cue; do not classify without clear evidence span.</x:v>
      </x:c>
      <x:c r="U565" s="13" t="str">
        <x:v>Clear claim-level pattern with some argumentative impact.</x:v>
      </x:c>
      <x:c r="V565" s="13" t="str">
        <x:v>Strong pattern central to the conclusion and likely to materially distort reasoning.</x:v>
      </x:c>
      <x:c r="W565" s="13" t="str"/>
      <x:c r="X565" s="13" t="str">
        <x:v>thaler_sunstein_nudge</x:v>
      </x:c>
      <x:c r="Y565" s="13" t="str">
        <x:v>https://yalebooks.yale.edu/book/9780300262285/nudge/</x:v>
      </x:c>
      <x:c r="Z565" s="13" t="str">
        <x:v>Review before enabling. This workbook is a living taxonomy scaffold, not a validated scientific benchmark.</x:v>
      </x:c>
      <x:c r="AA565" s="13" t="str">
        <x:v>0.1.0-draft</x:v>
      </x:c>
      <x:c r="AB565" s="12" t="str">
        <x:f>IF(ISNUMBER(SEARCH("healthy",F565)),"healthy_reasoning_patterns",IF(ISNUMBER(SEARCH("statistical",F565)),"statistical_reasoning",IF(ISNUMBER(SEARCH("causal",F565)),"causal_reasoning",IF(ISNUMBER(SEARCH("social",F565)),"social_influence",IF(ISNUMBER(SEARCH("rhetoric",F565)),"rhetoric_discourse",IF(ISNUMBER(SEARCH("behavior",F565)),"behavioural_economics",IF(ISNUMBER(SEARCH("cognitive",F565)),"cognitive_biases",IF(J565="protective_pattern","healthy_reasoning_patterns",IF(L565="P0","core_mvp","extended_fallacies")))))))))</x:f>
        <x:v>extended_fallacies</x:v>
      </x:c>
      <x:c r="AC565" s="12" t="str">
        <x:f>IF(ISNUMBER(SEARCH("operational",J565)),"operational",IF(ISNUMBER(SEARCH("deprecated",J565)),"deprecated",IF(L565="P0","canonical","recognized_subtype")))</x:f>
        <x:v>operational</x:v>
      </x:c>
      <x:c r="AD565" s="12" t="str">
        <x:f>IF(AC565="canonical","high",IF(AC565="recognized_subtype","medium",IF(AC565="operational","operational_only","debated")))</x:f>
        <x:v>operational_only</x:v>
      </x:c>
      <x:c r="AE565" s="12" t="str">
        <x:f>IF(AC565="deprecated","deprecated",IF(M565="yes","active",IF(M565="review","review_required","backlog")))</x:f>
        <x:v>backlog</x:v>
      </x:c>
      <x:c r="AF565" s="12" t="str">
        <x:f>IF(OR(AE565="active",AE565="review_required"),"yes","no")</x:f>
        <x:v>no</x:v>
      </x:c>
      <x:c r="AG565" s="12" t="str">
        <x:f>IF(AND(AE565="active",M565="yes",NOT(ISNUMBER(SEARCH("healthy",AB565)))),"yes","no")</x:f>
        <x:v>no</x:v>
      </x:c>
      <x:c r="AH565" s="12" t="str">
        <x:f>IF(OR(H565="contextual",H565="dialogue",H565="discourse",I565="claim+context",I565="discourse_segment"),"yes","no")</x:f>
        <x:v>yes</x:v>
      </x:c>
      <x:c r="AI565" s="12" t="str">
        <x:f>IF(OR(AH565="yes",AD565="debated",AC565="operational"),"yes","no")</x:f>
        <x:v>yes</x:v>
      </x:c>
      <x:c r="AJ565" s="12" t="str">
        <x:f>IF(OR(AH565="yes",AC565="operational",AD565="debated"),"high",IF(AND(AG565="yes",L565="P0"),"medium","low"))</x:f>
        <x:v>high</x:v>
      </x:c>
      <x:c r="AK565" s="12" t="str">
        <x:f>IF(ISNUMBER(SEARCH("healthy",AB565)),"yes","no")</x:f>
        <x:v>no</x:v>
      </x:c>
      <x:c r="AL565" s="12" t="str">
        <x:f>IF(AG565="yes","yes","candidate_only")</x:f>
        <x:v>candidate_only</x:v>
      </x:c>
      <x:c r="AM565" s="12" t="str">
        <x:f>IF(OR(AC565="canonical",AG565="yes"),"yes","recommended")</x:f>
        <x:v>recommended</x:v>
      </x:c>
      <x:c r="AN565" s="12" t="str">
        <x:f>IF(AC565="deprecated","exclude",IF(AND(AG565="yes",AJ565="high"),"import_but_human_review_required",IF(AG565="yes","import_as_active","import_as_backlog")))</x:f>
        <x:v>import_as_backlog</x:v>
      </x:c>
      <x:c r="AO565" s="12" t="str">
        <x:f>IF(AND(AG565="yes",OR(P565="",Q565="",R565="",S565="")),"missing_required_mvp_fields",IF(AND(AC565="canonical",Y565=""),"missing_source_ref","ok"))</x:f>
        <x:v>ok</x:v>
      </x:c>
      <x:c r="AP565" s="12" t="str">
        <x:f>IF(AO565="ok","ready_for_codex_import","needs_review")</x:f>
        <x:v>ready_for_codex_import</x:v>
      </x:c>
      <x:c r="AQ565" s="12"/>
      <x:c r="AR565" s="12" t="str">
        <x:v>Added v2 operational fields. Review before classification activation.</x:v>
      </x:c>
    </x:row>
    <x:row r="566">
      <x:c r="A566" s="13" t="str">
        <x:v>commitment_escalation_gain_frame_variant</x:v>
      </x:c>
      <x:c r="B566" s="13" t="str">
        <x:v>commitment_escalation</x:v>
      </x:c>
      <x:c r="C566" s="13" t="str">
        <x:v>Escalation of commitment</x:v>
      </x:c>
      <x:c r="D566" s="13" t="str">
        <x:v>افزایش تعهد به تصمیم قبلی</x:v>
      </x:c>
      <x:c r="E566" s="13" t="str">
        <x:v>Gain-frame variant</x:v>
      </x:c>
      <x:c r="F566" s="13" t="str">
        <x:v>decision_biases_behavioural_economics</x:v>
      </x:c>
      <x:c r="G566" s="13" t="str">
        <x:v>operational_variant</x:v>
      </x:c>
      <x:c r="H566" s="13" t="str">
        <x:v>contextual</x:v>
      </x:c>
      <x:c r="I566" s="13" t="str">
        <x:v>claim+context</x:v>
      </x:c>
      <x:c r="J566" s="13" t="str">
        <x:v>derived_operational_subtype</x:v>
      </x:c>
      <x:c r="K566" s="13" t="str">
        <x:v>derived_from_established_parent_review_required</x:v>
      </x:c>
      <x:c r="L566" s="13" t="str">
        <x:v>P2</x:v>
      </x:c>
      <x:c r="M566" s="13" t="str">
        <x:v>no</x:v>
      </x:c>
      <x:c r="N566" s="13" t="str">
        <x:v>Operational subtype under Escalation of commitment: the reasoning depends on a gain framing. Parent definition: Increasing commitment to a failing course of action.</x:v>
      </x:c>
      <x:c r="O566" s="13" t="str">
        <x:v>Look for: explicit claim-level evidence; parent-family cues for Escalation of commitment; variant cue: the reasoning depends on a gain framing; avoid author-level inference.</x:v>
      </x:c>
      <x:c r="P566" s="13" t="str">
        <x:v>Exact evidence span in text plus claim-level reasoning link; for contextual/discourse entries, require surrounding context.</x:v>
      </x:c>
      <x:c r="Q566" s="13" t="str">
        <x:v>Do not label merely because topic is controversial, emotional, or wrong. Do not judge intent or personality. Require textual evidence and consider healthy-reasoning cues.</x:v>
      </x:c>
      <x:c r="R566" s="13" t="str">
        <x:v>Stub: A claim relies on the reasoning depends on a gain framing to support a conclusion without adequate qualification.</x:v>
      </x:c>
      <x:c r="S566" s="13" t="str">
        <x:v>Stub: A claim discusses escalation of commitment with caveats, balanced evidence, or no argumentative use of the pattern.</x:v>
      </x:c>
      <x:c r="T566" s="13" t="str">
        <x:v>Mild or ambiguous cue; do not classify without clear evidence span.</x:v>
      </x:c>
      <x:c r="U566" s="13" t="str">
        <x:v>Clear claim-level pattern with some argumentative impact.</x:v>
      </x:c>
      <x:c r="V566" s="13" t="str">
        <x:v>Strong pattern central to the conclusion and likely to materially distort reasoning.</x:v>
      </x:c>
      <x:c r="W566" s="13" t="str"/>
      <x:c r="X566" s="13" t="str">
        <x:v>thaler_sunstein_nudge</x:v>
      </x:c>
      <x:c r="Y566" s="13" t="str">
        <x:v>https://yalebooks.yale.edu/book/9780300262285/nudge/</x:v>
      </x:c>
      <x:c r="Z566" s="13" t="str">
        <x:v>Review before enabling. This workbook is a living taxonomy scaffold, not a validated scientific benchmark.</x:v>
      </x:c>
      <x:c r="AA566" s="13" t="str">
        <x:v>0.1.0-draft</x:v>
      </x:c>
      <x:c r="AB566" s="12" t="str">
        <x:f>IF(ISNUMBER(SEARCH("healthy",F566)),"healthy_reasoning_patterns",IF(ISNUMBER(SEARCH("statistical",F566)),"statistical_reasoning",IF(ISNUMBER(SEARCH("causal",F566)),"causal_reasoning",IF(ISNUMBER(SEARCH("social",F566)),"social_influence",IF(ISNUMBER(SEARCH("rhetoric",F566)),"rhetoric_discourse",IF(ISNUMBER(SEARCH("behavior",F566)),"behavioural_economics",IF(ISNUMBER(SEARCH("cognitive",F566)),"cognitive_biases",IF(J566="protective_pattern","healthy_reasoning_patterns",IF(L566="P0","core_mvp","extended_fallacies")))))))))</x:f>
        <x:v>extended_fallacies</x:v>
      </x:c>
      <x:c r="AC566" s="12" t="str">
        <x:f>IF(ISNUMBER(SEARCH("operational",J566)),"operational",IF(ISNUMBER(SEARCH("deprecated",J566)),"deprecated",IF(L566="P0","canonical","recognized_subtype")))</x:f>
        <x:v>operational</x:v>
      </x:c>
      <x:c r="AD566" s="12" t="str">
        <x:f>IF(AC566="canonical","high",IF(AC566="recognized_subtype","medium",IF(AC566="operational","operational_only","debated")))</x:f>
        <x:v>operational_only</x:v>
      </x:c>
      <x:c r="AE566" s="12" t="str">
        <x:f>IF(AC566="deprecated","deprecated",IF(M566="yes","active",IF(M566="review","review_required","backlog")))</x:f>
        <x:v>backlog</x:v>
      </x:c>
      <x:c r="AF566" s="12" t="str">
        <x:f>IF(OR(AE566="active",AE566="review_required"),"yes","no")</x:f>
        <x:v>no</x:v>
      </x:c>
      <x:c r="AG566" s="12" t="str">
        <x:f>IF(AND(AE566="active",M566="yes",NOT(ISNUMBER(SEARCH("healthy",AB566)))),"yes","no")</x:f>
        <x:v>no</x:v>
      </x:c>
      <x:c r="AH566" s="12" t="str">
        <x:f>IF(OR(H566="contextual",H566="dialogue",H566="discourse",I566="claim+context",I566="discourse_segment"),"yes","no")</x:f>
        <x:v>yes</x:v>
      </x:c>
      <x:c r="AI566" s="12" t="str">
        <x:f>IF(OR(AH566="yes",AD566="debated",AC566="operational"),"yes","no")</x:f>
        <x:v>yes</x:v>
      </x:c>
      <x:c r="AJ566" s="12" t="str">
        <x:f>IF(OR(AH566="yes",AC566="operational",AD566="debated"),"high",IF(AND(AG566="yes",L566="P0"),"medium","low"))</x:f>
        <x:v>high</x:v>
      </x:c>
      <x:c r="AK566" s="12" t="str">
        <x:f>IF(ISNUMBER(SEARCH("healthy",AB566)),"yes","no")</x:f>
        <x:v>no</x:v>
      </x:c>
      <x:c r="AL566" s="12" t="str">
        <x:f>IF(AG566="yes","yes","candidate_only")</x:f>
        <x:v>candidate_only</x:v>
      </x:c>
      <x:c r="AM566" s="12" t="str">
        <x:f>IF(OR(AC566="canonical",AG566="yes"),"yes","recommended")</x:f>
        <x:v>recommended</x:v>
      </x:c>
      <x:c r="AN566" s="12" t="str">
        <x:f>IF(AC566="deprecated","exclude",IF(AND(AG566="yes",AJ566="high"),"import_but_human_review_required",IF(AG566="yes","import_as_active","import_as_backlog")))</x:f>
        <x:v>import_as_backlog</x:v>
      </x:c>
      <x:c r="AO566" s="12" t="str">
        <x:f>IF(AND(AG566="yes",OR(P566="",Q566="",R566="",S566="")),"missing_required_mvp_fields",IF(AND(AC566="canonical",Y566=""),"missing_source_ref","ok"))</x:f>
        <x:v>ok</x:v>
      </x:c>
      <x:c r="AP566" s="12" t="str">
        <x:f>IF(AO566="ok","ready_for_codex_import","needs_review")</x:f>
        <x:v>ready_for_codex_import</x:v>
      </x:c>
      <x:c r="AQ566" s="12"/>
      <x:c r="AR566" s="12" t="str">
        <x:v>Added v2 operational fields. Review before classification activation.</x:v>
      </x:c>
    </x:row>
    <x:row r="567">
      <x:c r="A567" s="13" t="str">
        <x:v>disposition_effect_gain_frame_variant</x:v>
      </x:c>
      <x:c r="B567" s="13" t="str">
        <x:v>disposition_effect</x:v>
      </x:c>
      <x:c r="C567" s="13" t="str">
        <x:v>Disposition effect</x:v>
      </x:c>
      <x:c r="D567" s="13" t="str">
        <x:v>اثر تمایل به نگهداری بازنده</x:v>
      </x:c>
      <x:c r="E567" s="13" t="str">
        <x:v>Gain-frame variant</x:v>
      </x:c>
      <x:c r="F567" s="13" t="str">
        <x:v>decision_biases_behavioural_economics</x:v>
      </x:c>
      <x:c r="G567" s="13" t="str">
        <x:v>operational_variant</x:v>
      </x:c>
      <x:c r="H567" s="13" t="str">
        <x:v>contextual</x:v>
      </x:c>
      <x:c r="I567" s="13" t="str">
        <x:v>claim+context</x:v>
      </x:c>
      <x:c r="J567" s="13" t="str">
        <x:v>derived_operational_subtype</x:v>
      </x:c>
      <x:c r="K567" s="13" t="str">
        <x:v>derived_from_established_parent_review_required</x:v>
      </x:c>
      <x:c r="L567" s="13" t="str">
        <x:v>P2</x:v>
      </x:c>
      <x:c r="M567" s="13" t="str">
        <x:v>no</x:v>
      </x:c>
      <x:c r="N567" s="13" t="str">
        <x:v>Operational subtype under Disposition effect: the reasoning depends on a gain framing. Parent definition: Selling gains too quickly and holding losses too long.</x:v>
      </x:c>
      <x:c r="O567" s="13" t="str">
        <x:v>Look for: explicit claim-level evidence; parent-family cues for Disposition effect; variant cue: the reasoning depends on a gain framing; avoid author-level inference.</x:v>
      </x:c>
      <x:c r="P567" s="13" t="str">
        <x:v>Exact evidence span in text plus claim-level reasoning link; for contextual/discourse entries, require surrounding context.</x:v>
      </x:c>
      <x:c r="Q567" s="13" t="str">
        <x:v>Do not label merely because topic is controversial, emotional, or wrong. Do not judge intent or personality. Require textual evidence and consider healthy-reasoning cues.</x:v>
      </x:c>
      <x:c r="R567" s="13" t="str">
        <x:v>Stub: A claim relies on the reasoning depends on a gain framing to support a conclusion without adequate qualification.</x:v>
      </x:c>
      <x:c r="S567" s="13" t="str">
        <x:v>Stub: A claim discusses disposition effect with caveats, balanced evidence, or no argumentative use of the pattern.</x:v>
      </x:c>
      <x:c r="T567" s="13" t="str">
        <x:v>Mild or ambiguous cue; do not classify without clear evidence span.</x:v>
      </x:c>
      <x:c r="U567" s="13" t="str">
        <x:v>Clear claim-level pattern with some argumentative impact.</x:v>
      </x:c>
      <x:c r="V567" s="13" t="str">
        <x:v>Strong pattern central to the conclusion and likely to materially distort reasoning.</x:v>
      </x:c>
      <x:c r="W567" s="13" t="str"/>
      <x:c r="X567" s="13" t="str">
        <x:v>kahneman_tversky_prospect_1979</x:v>
      </x:c>
      <x:c r="Y567" s="13" t="str">
        <x:v>https://doi.org/10.2307/1914185</x:v>
      </x:c>
      <x:c r="Z567" s="13" t="str">
        <x:v>Review before enabling. This workbook is a living taxonomy scaffold, not a validated scientific benchmark.</x:v>
      </x:c>
      <x:c r="AA567" s="13" t="str">
        <x:v>0.1.0-draft</x:v>
      </x:c>
      <x:c r="AB567" s="12" t="str">
        <x:f>IF(ISNUMBER(SEARCH("healthy",F567)),"healthy_reasoning_patterns",IF(ISNUMBER(SEARCH("statistical",F567)),"statistical_reasoning",IF(ISNUMBER(SEARCH("causal",F567)),"causal_reasoning",IF(ISNUMBER(SEARCH("social",F567)),"social_influence",IF(ISNUMBER(SEARCH("rhetoric",F567)),"rhetoric_discourse",IF(ISNUMBER(SEARCH("behavior",F567)),"behavioural_economics",IF(ISNUMBER(SEARCH("cognitive",F567)),"cognitive_biases",IF(J567="protective_pattern","healthy_reasoning_patterns",IF(L567="P0","core_mvp","extended_fallacies")))))))))</x:f>
        <x:v>extended_fallacies</x:v>
      </x:c>
      <x:c r="AC567" s="12" t="str">
        <x:f>IF(ISNUMBER(SEARCH("operational",J567)),"operational",IF(ISNUMBER(SEARCH("deprecated",J567)),"deprecated",IF(L567="P0","canonical","recognized_subtype")))</x:f>
        <x:v>operational</x:v>
      </x:c>
      <x:c r="AD567" s="12" t="str">
        <x:f>IF(AC567="canonical","high",IF(AC567="recognized_subtype","medium",IF(AC567="operational","operational_only","debated")))</x:f>
        <x:v>operational_only</x:v>
      </x:c>
      <x:c r="AE567" s="12" t="str">
        <x:f>IF(AC567="deprecated","deprecated",IF(M567="yes","active",IF(M567="review","review_required","backlog")))</x:f>
        <x:v>backlog</x:v>
      </x:c>
      <x:c r="AF567" s="12" t="str">
        <x:f>IF(OR(AE567="active",AE567="review_required"),"yes","no")</x:f>
        <x:v>no</x:v>
      </x:c>
      <x:c r="AG567" s="12" t="str">
        <x:f>IF(AND(AE567="active",M567="yes",NOT(ISNUMBER(SEARCH("healthy",AB567)))),"yes","no")</x:f>
        <x:v>no</x:v>
      </x:c>
      <x:c r="AH567" s="12" t="str">
        <x:f>IF(OR(H567="contextual",H567="dialogue",H567="discourse",I567="claim+context",I567="discourse_segment"),"yes","no")</x:f>
        <x:v>yes</x:v>
      </x:c>
      <x:c r="AI567" s="12" t="str">
        <x:f>IF(OR(AH567="yes",AD567="debated",AC567="operational"),"yes","no")</x:f>
        <x:v>yes</x:v>
      </x:c>
      <x:c r="AJ567" s="12" t="str">
        <x:f>IF(OR(AH567="yes",AC567="operational",AD567="debated"),"high",IF(AND(AG567="yes",L567="P0"),"medium","low"))</x:f>
        <x:v>high</x:v>
      </x:c>
      <x:c r="AK567" s="12" t="str">
        <x:f>IF(ISNUMBER(SEARCH("healthy",AB567)),"yes","no")</x:f>
        <x:v>no</x:v>
      </x:c>
      <x:c r="AL567" s="12" t="str">
        <x:f>IF(AG567="yes","yes","candidate_only")</x:f>
        <x:v>candidate_only</x:v>
      </x:c>
      <x:c r="AM567" s="12" t="str">
        <x:f>IF(OR(AC567="canonical",AG567="yes"),"yes","recommended")</x:f>
        <x:v>recommended</x:v>
      </x:c>
      <x:c r="AN567" s="12" t="str">
        <x:f>IF(AC567="deprecated","exclude",IF(AND(AG567="yes",AJ567="high"),"import_but_human_review_required",IF(AG567="yes","import_as_active","import_as_backlog")))</x:f>
        <x:v>import_as_backlog</x:v>
      </x:c>
      <x:c r="AO567" s="12" t="str">
        <x:f>IF(AND(AG567="yes",OR(P567="",Q567="",R567="",S567="")),"missing_required_mvp_fields",IF(AND(AC567="canonical",Y567=""),"missing_source_ref","ok"))</x:f>
        <x:v>ok</x:v>
      </x:c>
      <x:c r="AP567" s="12" t="str">
        <x:f>IF(AO567="ok","ready_for_codex_import","needs_review")</x:f>
        <x:v>ready_for_codex_import</x:v>
      </x:c>
      <x:c r="AQ567" s="12"/>
      <x:c r="AR567" s="12" t="str">
        <x:v>Added v2 operational fields. Review before classification activation.</x:v>
      </x:c>
    </x:row>
    <x:row r="568">
      <x:c r="A568" s="13" t="str">
        <x:v>availability_in_decision_gain_frame_variant</x:v>
      </x:c>
      <x:c r="B568" s="13" t="str">
        <x:v>availability_in_decision</x:v>
      </x:c>
      <x:c r="C568" s="13" t="str">
        <x:v>Availability in decision-making</x:v>
      </x:c>
      <x:c r="D568" s="13" t="str">
        <x:v>دسترسی‌پذیری در تصمیم</x:v>
      </x:c>
      <x:c r="E568" s="13" t="str">
        <x:v>Gain-frame variant</x:v>
      </x:c>
      <x:c r="F568" s="13" t="str">
        <x:v>decision_biases_behavioural_economics</x:v>
      </x:c>
      <x:c r="G568" s="13" t="str">
        <x:v>operational_variant</x:v>
      </x:c>
      <x:c r="H568" s="13" t="str">
        <x:v>contextual</x:v>
      </x:c>
      <x:c r="I568" s="13" t="str">
        <x:v>claim+context</x:v>
      </x:c>
      <x:c r="J568" s="13" t="str">
        <x:v>derived_operational_subtype</x:v>
      </x:c>
      <x:c r="K568" s="13" t="str">
        <x:v>derived_from_established_parent_review_required</x:v>
      </x:c>
      <x:c r="L568" s="13" t="str">
        <x:v>P2</x:v>
      </x:c>
      <x:c r="M568" s="13" t="str">
        <x:v>no</x:v>
      </x:c>
      <x:c r="N568" s="13" t="str">
        <x:v>Operational subtype under Availability in decision-making: the reasoning depends on a gain framing. Parent definition: Choosing based on memorable cases rather than representative evidence.</x:v>
      </x:c>
      <x:c r="O568" s="13" t="str">
        <x:v>Look for: explicit claim-level evidence; parent-family cues for Availability in decision-making; variant cue: the reasoning depends on a gain framing; avoid author-level inference.</x:v>
      </x:c>
      <x:c r="P568" s="13" t="str">
        <x:v>Exact evidence span in text plus claim-level reasoning link; for contextual/discourse entries, require surrounding context.</x:v>
      </x:c>
      <x:c r="Q568" s="13" t="str">
        <x:v>Do not label merely because topic is controversial, emotional, or wrong. Do not judge intent or personality. Require textual evidence and consider healthy-reasoning cues.</x:v>
      </x:c>
      <x:c r="R568" s="13" t="str">
        <x:v>Stub: A claim relies on the reasoning depends on a gain framing to support a conclusion without adequate qualification.</x:v>
      </x:c>
      <x:c r="S568" s="13" t="str">
        <x:v>Stub: A claim discusses availability in decision-making with caveats, balanced evidence, or no argumentative use of the pattern.</x:v>
      </x:c>
      <x:c r="T568" s="13" t="str">
        <x:v>Mild or ambiguous cue; do not classify without clear evidence span.</x:v>
      </x:c>
      <x:c r="U568" s="13" t="str">
        <x:v>Clear claim-level pattern with some argumentative impact.</x:v>
      </x:c>
      <x:c r="V568" s="13" t="str">
        <x:v>Strong pattern central to the conclusion and likely to materially distort reasoning.</x:v>
      </x:c>
      <x:c r="W568" s="13" t="str">
        <x:v>cherry_picking; missing_counterevidence; evidence_grading</x:v>
      </x:c>
      <x:c r="X568" s="13" t="str">
        <x:v>kahneman_tversky_heuristics_1974</x:v>
      </x:c>
      <x:c r="Y568" s="13" t="str">
        <x:v>https://doi.org/10.1126/science.185.4157.1124</x:v>
      </x:c>
      <x:c r="Z568" s="13" t="str">
        <x:v>Review before enabling. This workbook is a living taxonomy scaffold, not a validated scientific benchmark.</x:v>
      </x:c>
      <x:c r="AA568" s="13" t="str">
        <x:v>0.1.0-draft</x:v>
      </x:c>
      <x:c r="AB568" s="12" t="str">
        <x:f>IF(ISNUMBER(SEARCH("healthy",F568)),"healthy_reasoning_patterns",IF(ISNUMBER(SEARCH("statistical",F568)),"statistical_reasoning",IF(ISNUMBER(SEARCH("causal",F568)),"causal_reasoning",IF(ISNUMBER(SEARCH("social",F568)),"social_influence",IF(ISNUMBER(SEARCH("rhetoric",F568)),"rhetoric_discourse",IF(ISNUMBER(SEARCH("behavior",F568)),"behavioural_economics",IF(ISNUMBER(SEARCH("cognitive",F568)),"cognitive_biases",IF(J568="protective_pattern","healthy_reasoning_patterns",IF(L568="P0","core_mvp","extended_fallacies")))))))))</x:f>
        <x:v>extended_fallacies</x:v>
      </x:c>
      <x:c r="AC568" s="12" t="str">
        <x:f>IF(ISNUMBER(SEARCH("operational",J568)),"operational",IF(ISNUMBER(SEARCH("deprecated",J568)),"deprecated",IF(L568="P0","canonical","recognized_subtype")))</x:f>
        <x:v>operational</x:v>
      </x:c>
      <x:c r="AD568" s="12" t="str">
        <x:f>IF(AC568="canonical","high",IF(AC568="recognized_subtype","medium",IF(AC568="operational","operational_only","debated")))</x:f>
        <x:v>operational_only</x:v>
      </x:c>
      <x:c r="AE568" s="12" t="str">
        <x:f>IF(AC568="deprecated","deprecated",IF(M568="yes","active",IF(M568="review","review_required","backlog")))</x:f>
        <x:v>backlog</x:v>
      </x:c>
      <x:c r="AF568" s="12" t="str">
        <x:f>IF(OR(AE568="active",AE568="review_required"),"yes","no")</x:f>
        <x:v>no</x:v>
      </x:c>
      <x:c r="AG568" s="12" t="str">
        <x:f>IF(AND(AE568="active",M568="yes",NOT(ISNUMBER(SEARCH("healthy",AB568)))),"yes","no")</x:f>
        <x:v>no</x:v>
      </x:c>
      <x:c r="AH568" s="12" t="str">
        <x:f>IF(OR(H568="contextual",H568="dialogue",H568="discourse",I568="claim+context",I568="discourse_segment"),"yes","no")</x:f>
        <x:v>yes</x:v>
      </x:c>
      <x:c r="AI568" s="12" t="str">
        <x:f>IF(OR(AH568="yes",AD568="debated",AC568="operational"),"yes","no")</x:f>
        <x:v>yes</x:v>
      </x:c>
      <x:c r="AJ568" s="12" t="str">
        <x:f>IF(OR(AH568="yes",AC568="operational",AD568="debated"),"high",IF(AND(AG568="yes",L568="P0"),"medium","low"))</x:f>
        <x:v>high</x:v>
      </x:c>
      <x:c r="AK568" s="12" t="str">
        <x:f>IF(ISNUMBER(SEARCH("healthy",AB568)),"yes","no")</x:f>
        <x:v>no</x:v>
      </x:c>
      <x:c r="AL568" s="12" t="str">
        <x:f>IF(AG568="yes","yes","candidate_only")</x:f>
        <x:v>candidate_only</x:v>
      </x:c>
      <x:c r="AM568" s="12" t="str">
        <x:f>IF(OR(AC568="canonical",AG568="yes"),"yes","recommended")</x:f>
        <x:v>recommended</x:v>
      </x:c>
      <x:c r="AN568" s="12" t="str">
        <x:f>IF(AC568="deprecated","exclude",IF(AND(AG568="yes",AJ568="high"),"import_but_human_review_required",IF(AG568="yes","import_as_active","import_as_backlog")))</x:f>
        <x:v>import_as_backlog</x:v>
      </x:c>
      <x:c r="AO568" s="12" t="str">
        <x:f>IF(AND(AG568="yes",OR(P568="",Q568="",R568="",S568="")),"missing_required_mvp_fields",IF(AND(AC568="canonical",Y568=""),"missing_source_ref","ok"))</x:f>
        <x:v>ok</x:v>
      </x:c>
      <x:c r="AP568" s="12" t="str">
        <x:f>IF(AO568="ok","ready_for_codex_import","needs_review")</x:f>
        <x:v>ready_for_codex_import</x:v>
      </x:c>
      <x:c r="AQ568" s="12"/>
      <x:c r="AR568" s="12" t="str">
        <x:v>Added v2 operational fields. Review before classification activation.</x:v>
      </x:c>
    </x:row>
    <x:row r="569">
      <x:c r="A569" s="13" t="str">
        <x:v>friction_cost_neglect_gain_frame_variant</x:v>
      </x:c>
      <x:c r="B569" s="13" t="str">
        <x:v>friction_cost_neglect</x:v>
      </x:c>
      <x:c r="C569" s="13" t="str">
        <x:v>Friction-cost neglect</x:v>
      </x:c>
      <x:c r="D569" s="13" t="str">
        <x:v>نادیده‌گرفتن هزینه اصطکاکی</x:v>
      </x:c>
      <x:c r="E569" s="13" t="str">
        <x:v>Gain-frame variant</x:v>
      </x:c>
      <x:c r="F569" s="13" t="str">
        <x:v>decision_biases_behavioural_economics</x:v>
      </x:c>
      <x:c r="G569" s="13" t="str">
        <x:v>operational_variant</x:v>
      </x:c>
      <x:c r="H569" s="13" t="str">
        <x:v>contextual</x:v>
      </x:c>
      <x:c r="I569" s="13" t="str">
        <x:v>claim+context</x:v>
      </x:c>
      <x:c r="J569" s="13" t="str">
        <x:v>derived_operational_subtype</x:v>
      </x:c>
      <x:c r="K569" s="13" t="str">
        <x:v>derived_from_established_parent_review_required</x:v>
      </x:c>
      <x:c r="L569" s="13" t="str">
        <x:v>P2</x:v>
      </x:c>
      <x:c r="M569" s="13" t="str">
        <x:v>no</x:v>
      </x:c>
      <x:c r="N569" s="13" t="str">
        <x:v>Operational subtype under Friction-cost neglect: the reasoning depends on a gain framing. Parent definition: Ignoring transaction costs, cognitive load, or access barriers in choices.</x:v>
      </x:c>
      <x:c r="O569" s="13" t="str">
        <x:v>Look for: explicit claim-level evidence; parent-family cues for Friction-cost neglect; variant cue: the reasoning depends on a gain framing; avoid author-level inference.</x:v>
      </x:c>
      <x:c r="P569" s="13" t="str">
        <x:v>Exact evidence span in text plus claim-level reasoning link; for contextual/discourse entries, require surrounding context.</x:v>
      </x:c>
      <x:c r="Q569" s="13" t="str">
        <x:v>Do not label merely because topic is controversial, emotional, or wrong. Do not judge intent or personality. Require textual evidence and consider healthy-reasoning cues.</x:v>
      </x:c>
      <x:c r="R569" s="13" t="str">
        <x:v>Stub: A claim relies on the reasoning depends on a gain framing to support a conclusion without adequate qualification.</x:v>
      </x:c>
      <x:c r="S569" s="13" t="str">
        <x:v>Stub: A claim discusses friction-cost neglect with caveats, balanced evidence, or no argumentative use of the pattern.</x:v>
      </x:c>
      <x:c r="T569" s="13" t="str">
        <x:v>Mild or ambiguous cue; do not classify without clear evidence span.</x:v>
      </x:c>
      <x:c r="U569" s="13" t="str">
        <x:v>Clear claim-level pattern with some argumentative impact.</x:v>
      </x:c>
      <x:c r="V569" s="13" t="str">
        <x:v>Strong pattern central to the conclusion and likely to materially distort reasoning.</x:v>
      </x:c>
      <x:c r="W569" s="13" t="str"/>
      <x:c r="X569" s="13" t="str">
        <x:v>thaler_sunstein_nudge</x:v>
      </x:c>
      <x:c r="Y569" s="13" t="str">
        <x:v>https://yalebooks.yale.edu/book/9780300262285/nudge/</x:v>
      </x:c>
      <x:c r="Z569" s="13" t="str">
        <x:v>Review before enabling. This workbook is a living taxonomy scaffold, not a validated scientific benchmark.</x:v>
      </x:c>
      <x:c r="AA569" s="13" t="str">
        <x:v>0.1.0-draft</x:v>
      </x:c>
      <x:c r="AB569" s="12" t="str">
        <x:f>IF(ISNUMBER(SEARCH("healthy",F569)),"healthy_reasoning_patterns",IF(ISNUMBER(SEARCH("statistical",F569)),"statistical_reasoning",IF(ISNUMBER(SEARCH("causal",F569)),"causal_reasoning",IF(ISNUMBER(SEARCH("social",F569)),"social_influence",IF(ISNUMBER(SEARCH("rhetoric",F569)),"rhetoric_discourse",IF(ISNUMBER(SEARCH("behavior",F569)),"behavioural_economics",IF(ISNUMBER(SEARCH("cognitive",F569)),"cognitive_biases",IF(J569="protective_pattern","healthy_reasoning_patterns",IF(L569="P0","core_mvp","extended_fallacies")))))))))</x:f>
        <x:v>extended_fallacies</x:v>
      </x:c>
      <x:c r="AC569" s="12" t="str">
        <x:f>IF(ISNUMBER(SEARCH("operational",J569)),"operational",IF(ISNUMBER(SEARCH("deprecated",J569)),"deprecated",IF(L569="P0","canonical","recognized_subtype")))</x:f>
        <x:v>operational</x:v>
      </x:c>
      <x:c r="AD569" s="12" t="str">
        <x:f>IF(AC569="canonical","high",IF(AC569="recognized_subtype","medium",IF(AC569="operational","operational_only","debated")))</x:f>
        <x:v>operational_only</x:v>
      </x:c>
      <x:c r="AE569" s="12" t="str">
        <x:f>IF(AC569="deprecated","deprecated",IF(M569="yes","active",IF(M569="review","review_required","backlog")))</x:f>
        <x:v>backlog</x:v>
      </x:c>
      <x:c r="AF569" s="12" t="str">
        <x:f>IF(OR(AE569="active",AE569="review_required"),"yes","no")</x:f>
        <x:v>no</x:v>
      </x:c>
      <x:c r="AG569" s="12" t="str">
        <x:f>IF(AND(AE569="active",M569="yes",NOT(ISNUMBER(SEARCH("healthy",AB569)))),"yes","no")</x:f>
        <x:v>no</x:v>
      </x:c>
      <x:c r="AH569" s="12" t="str">
        <x:f>IF(OR(H569="contextual",H569="dialogue",H569="discourse",I569="claim+context",I569="discourse_segment"),"yes","no")</x:f>
        <x:v>yes</x:v>
      </x:c>
      <x:c r="AI569" s="12" t="str">
        <x:f>IF(OR(AH569="yes",AD569="debated",AC569="operational"),"yes","no")</x:f>
        <x:v>yes</x:v>
      </x:c>
      <x:c r="AJ569" s="12" t="str">
        <x:f>IF(OR(AH569="yes",AC569="operational",AD569="debated"),"high",IF(AND(AG569="yes",L569="P0"),"medium","low"))</x:f>
        <x:v>high</x:v>
      </x:c>
      <x:c r="AK569" s="12" t="str">
        <x:f>IF(ISNUMBER(SEARCH("healthy",AB569)),"yes","no")</x:f>
        <x:v>no</x:v>
      </x:c>
      <x:c r="AL569" s="12" t="str">
        <x:f>IF(AG569="yes","yes","candidate_only")</x:f>
        <x:v>candidate_only</x:v>
      </x:c>
      <x:c r="AM569" s="12" t="str">
        <x:f>IF(OR(AC569="canonical",AG569="yes"),"yes","recommended")</x:f>
        <x:v>recommended</x:v>
      </x:c>
      <x:c r="AN569" s="12" t="str">
        <x:f>IF(AC569="deprecated","exclude",IF(AND(AG569="yes",AJ569="high"),"import_but_human_review_required",IF(AG569="yes","import_as_active","import_as_backlog")))</x:f>
        <x:v>import_as_backlog</x:v>
      </x:c>
      <x:c r="AO569" s="12" t="str">
        <x:f>IF(AND(AG569="yes",OR(P569="",Q569="",R569="",S569="")),"missing_required_mvp_fields",IF(AND(AC569="canonical",Y569=""),"missing_source_ref","ok"))</x:f>
        <x:v>ok</x:v>
      </x:c>
      <x:c r="AP569" s="12" t="str">
        <x:f>IF(AO569="ok","ready_for_codex_import","needs_review")</x:f>
        <x:v>ready_for_codex_import</x:v>
      </x:c>
      <x:c r="AQ569" s="12"/>
      <x:c r="AR569" s="12" t="str">
        <x:v>Added v2 operational fields. Review before classification activation.</x:v>
      </x:c>
    </x:row>
    <x:row r="570">
      <x:c r="A570" s="13" t="str">
        <x:v>loss_aversion_loss_frame_variant</x:v>
      </x:c>
      <x:c r="B570" s="13" t="str">
        <x:v>loss_aversion</x:v>
      </x:c>
      <x:c r="C570" s="13" t="str">
        <x:v>Loss aversion</x:v>
      </x:c>
      <x:c r="D570" s="13" t="str">
        <x:v>اجتناب از زیان</x:v>
      </x:c>
      <x:c r="E570" s="13" t="str">
        <x:v>Loss-frame variant</x:v>
      </x:c>
      <x:c r="F570" s="13" t="str">
        <x:v>decision_biases_behavioural_economics</x:v>
      </x:c>
      <x:c r="G570" s="13" t="str">
        <x:v>operational_variant</x:v>
      </x:c>
      <x:c r="H570" s="13" t="str">
        <x:v>contextual</x:v>
      </x:c>
      <x:c r="I570" s="13" t="str">
        <x:v>claim+context</x:v>
      </x:c>
      <x:c r="J570" s="13" t="str">
        <x:v>derived_operational_subtype</x:v>
      </x:c>
      <x:c r="K570" s="13" t="str">
        <x:v>derived_from_established_parent_review_required</x:v>
      </x:c>
      <x:c r="L570" s="13" t="str">
        <x:v>P2</x:v>
      </x:c>
      <x:c r="M570" s="13" t="str">
        <x:v>no</x:v>
      </x:c>
      <x:c r="N570" s="13" t="str">
        <x:v>Operational subtype under Loss aversion: the reasoning depends on a loss framing. Parent definition: Losses are weighted more strongly than comparable gains.</x:v>
      </x:c>
      <x:c r="O570" s="13" t="str">
        <x:v>Look for: explicit claim-level evidence; parent-family cues for Loss aversion; variant cue: the reasoning depends on a loss framing; avoid author-level inference.</x:v>
      </x:c>
      <x:c r="P570" s="13" t="str">
        <x:v>Exact evidence span in text plus claim-level reasoning link; for contextual/discourse entries, require surrounding context.</x:v>
      </x:c>
      <x:c r="Q570" s="13" t="str">
        <x:v>Do not label merely because topic is controversial, emotional, or wrong. Do not judge intent or personality. Require textual evidence and consider healthy-reasoning cues.</x:v>
      </x:c>
      <x:c r="R570" s="13" t="str">
        <x:v>Stub: A claim relies on the reasoning depends on a loss framing to support a conclusion without adequate qualification.</x:v>
      </x:c>
      <x:c r="S570" s="13" t="str">
        <x:v>Stub: A claim discusses loss aversion with caveats, balanced evidence, or no argumentative use of the pattern.</x:v>
      </x:c>
      <x:c r="T570" s="13" t="str">
        <x:v>Mild or ambiguous cue; do not classify without clear evidence span.</x:v>
      </x:c>
      <x:c r="U570" s="13" t="str">
        <x:v>Clear claim-level pattern with some argumentative impact.</x:v>
      </x:c>
      <x:c r="V570" s="13" t="str">
        <x:v>Strong pattern central to the conclusion and likely to materially distort reasoning.</x:v>
      </x:c>
      <x:c r="W570" s="13" t="str"/>
      <x:c r="X570" s="13" t="str">
        <x:v>kahneman_tversky_prospect_1979</x:v>
      </x:c>
      <x:c r="Y570" s="13" t="str">
        <x:v>https://doi.org/10.2307/1914185</x:v>
      </x:c>
      <x:c r="Z570" s="13" t="str">
        <x:v>Review before enabling. This workbook is a living taxonomy scaffold, not a validated scientific benchmark.</x:v>
      </x:c>
      <x:c r="AA570" s="13" t="str">
        <x:v>0.1.0-draft</x:v>
      </x:c>
      <x:c r="AB570" s="12" t="str">
        <x:f>IF(ISNUMBER(SEARCH("healthy",F570)),"healthy_reasoning_patterns",IF(ISNUMBER(SEARCH("statistical",F570)),"statistical_reasoning",IF(ISNUMBER(SEARCH("causal",F570)),"causal_reasoning",IF(ISNUMBER(SEARCH("social",F570)),"social_influence",IF(ISNUMBER(SEARCH("rhetoric",F570)),"rhetoric_discourse",IF(ISNUMBER(SEARCH("behavior",F570)),"behavioural_economics",IF(ISNUMBER(SEARCH("cognitive",F570)),"cognitive_biases",IF(J570="protective_pattern","healthy_reasoning_patterns",IF(L570="P0","core_mvp","extended_fallacies")))))))))</x:f>
        <x:v>extended_fallacies</x:v>
      </x:c>
      <x:c r="AC570" s="12" t="str">
        <x:f>IF(ISNUMBER(SEARCH("operational",J570)),"operational",IF(ISNUMBER(SEARCH("deprecated",J570)),"deprecated",IF(L570="P0","canonical","recognized_subtype")))</x:f>
        <x:v>operational</x:v>
      </x:c>
      <x:c r="AD570" s="12" t="str">
        <x:f>IF(AC570="canonical","high",IF(AC570="recognized_subtype","medium",IF(AC570="operational","operational_only","debated")))</x:f>
        <x:v>operational_only</x:v>
      </x:c>
      <x:c r="AE570" s="12" t="str">
        <x:f>IF(AC570="deprecated","deprecated",IF(M570="yes","active",IF(M570="review","review_required","backlog")))</x:f>
        <x:v>backlog</x:v>
      </x:c>
      <x:c r="AF570" s="12" t="str">
        <x:f>IF(OR(AE570="active",AE570="review_required"),"yes","no")</x:f>
        <x:v>no</x:v>
      </x:c>
      <x:c r="AG570" s="12" t="str">
        <x:f>IF(AND(AE570="active",M570="yes",NOT(ISNUMBER(SEARCH("healthy",AB570)))),"yes","no")</x:f>
        <x:v>no</x:v>
      </x:c>
      <x:c r="AH570" s="12" t="str">
        <x:f>IF(OR(H570="contextual",H570="dialogue",H570="discourse",I570="claim+context",I570="discourse_segment"),"yes","no")</x:f>
        <x:v>yes</x:v>
      </x:c>
      <x:c r="AI570" s="12" t="str">
        <x:f>IF(OR(AH570="yes",AD570="debated",AC570="operational"),"yes","no")</x:f>
        <x:v>yes</x:v>
      </x:c>
      <x:c r="AJ570" s="12" t="str">
        <x:f>IF(OR(AH570="yes",AC570="operational",AD570="debated"),"high",IF(AND(AG570="yes",L570="P0"),"medium","low"))</x:f>
        <x:v>high</x:v>
      </x:c>
      <x:c r="AK570" s="12" t="str">
        <x:f>IF(ISNUMBER(SEARCH("healthy",AB570)),"yes","no")</x:f>
        <x:v>no</x:v>
      </x:c>
      <x:c r="AL570" s="12" t="str">
        <x:f>IF(AG570="yes","yes","candidate_only")</x:f>
        <x:v>candidate_only</x:v>
      </x:c>
      <x:c r="AM570" s="12" t="str">
        <x:f>IF(OR(AC570="canonical",AG570="yes"),"yes","recommended")</x:f>
        <x:v>recommended</x:v>
      </x:c>
      <x:c r="AN570" s="12" t="str">
        <x:f>IF(AC570="deprecated","exclude",IF(AND(AG570="yes",AJ570="high"),"import_but_human_review_required",IF(AG570="yes","import_as_active","import_as_backlog")))</x:f>
        <x:v>import_as_backlog</x:v>
      </x:c>
      <x:c r="AO570" s="12" t="str">
        <x:f>IF(AND(AG570="yes",OR(P570="",Q570="",R570="",S570="")),"missing_required_mvp_fields",IF(AND(AC570="canonical",Y570=""),"missing_source_ref","ok"))</x:f>
        <x:v>ok</x:v>
      </x:c>
      <x:c r="AP570" s="12" t="str">
        <x:f>IF(AO570="ok","ready_for_codex_import","needs_review")</x:f>
        <x:v>ready_for_codex_import</x:v>
      </x:c>
      <x:c r="AQ570" s="12"/>
      <x:c r="AR570" s="12" t="str">
        <x:v>Added v2 operational fields. Review before classification activation.</x:v>
      </x:c>
    </x:row>
    <x:row r="571">
      <x:c r="A571" s="13" t="str">
        <x:v>endowment_effect_loss_frame_variant</x:v>
      </x:c>
      <x:c r="B571" s="13" t="str">
        <x:v>endowment_effect</x:v>
      </x:c>
      <x:c r="C571" s="13" t="str">
        <x:v>Endowment effect</x:v>
      </x:c>
      <x:c r="D571" s="13" t="str">
        <x:v>اثر مالکیت</x:v>
      </x:c>
      <x:c r="E571" s="13" t="str">
        <x:v>Loss-frame variant</x:v>
      </x:c>
      <x:c r="F571" s="13" t="str">
        <x:v>decision_biases_behavioural_economics</x:v>
      </x:c>
      <x:c r="G571" s="13" t="str">
        <x:v>operational_variant</x:v>
      </x:c>
      <x:c r="H571" s="13" t="str">
        <x:v>contextual</x:v>
      </x:c>
      <x:c r="I571" s="13" t="str">
        <x:v>claim+context</x:v>
      </x:c>
      <x:c r="J571" s="13" t="str">
        <x:v>derived_operational_subtype</x:v>
      </x:c>
      <x:c r="K571" s="13" t="str">
        <x:v>derived_from_established_parent_review_required</x:v>
      </x:c>
      <x:c r="L571" s="13" t="str">
        <x:v>P2</x:v>
      </x:c>
      <x:c r="M571" s="13" t="str">
        <x:v>no</x:v>
      </x:c>
      <x:c r="N571" s="13" t="str">
        <x:v>Operational subtype under Endowment effect: the reasoning depends on a loss framing. Parent definition: Valuing something more highly because one owns it.</x:v>
      </x:c>
      <x:c r="O571" s="13" t="str">
        <x:v>Look for: explicit claim-level evidence; parent-family cues for Endowment effect; variant cue: the reasoning depends on a loss framing; avoid author-level inference.</x:v>
      </x:c>
      <x:c r="P571" s="13" t="str">
        <x:v>Exact evidence span in text plus claim-level reasoning link; for contextual/discourse entries, require surrounding context.</x:v>
      </x:c>
      <x:c r="Q571" s="13" t="str">
        <x:v>Do not label merely because topic is controversial, emotional, or wrong. Do not judge intent or personality. Require textual evidence and consider healthy-reasoning cues.</x:v>
      </x:c>
      <x:c r="R571" s="13" t="str">
        <x:v>Stub: A claim relies on the reasoning depends on a loss framing to support a conclusion without adequate qualification.</x:v>
      </x:c>
      <x:c r="S571" s="13" t="str">
        <x:v>Stub: A claim discusses endowment effect with caveats, balanced evidence, or no argumentative use of the pattern.</x:v>
      </x:c>
      <x:c r="T571" s="13" t="str">
        <x:v>Mild or ambiguous cue; do not classify without clear evidence span.</x:v>
      </x:c>
      <x:c r="U571" s="13" t="str">
        <x:v>Clear claim-level pattern with some argumentative impact.</x:v>
      </x:c>
      <x:c r="V571" s="13" t="str">
        <x:v>Strong pattern central to the conclusion and likely to materially distort reasoning.</x:v>
      </x:c>
      <x:c r="W571" s="13" t="str"/>
      <x:c r="X571" s="13" t="str">
        <x:v>kahneman_tversky_prospect_1979</x:v>
      </x:c>
      <x:c r="Y571" s="13" t="str">
        <x:v>https://doi.org/10.2307/1914185</x:v>
      </x:c>
      <x:c r="Z571" s="13" t="str">
        <x:v>Review before enabling. This workbook is a living taxonomy scaffold, not a validated scientific benchmark.</x:v>
      </x:c>
      <x:c r="AA571" s="13" t="str">
        <x:v>0.1.0-draft</x:v>
      </x:c>
      <x:c r="AB571" s="12" t="str">
        <x:f>IF(ISNUMBER(SEARCH("healthy",F571)),"healthy_reasoning_patterns",IF(ISNUMBER(SEARCH("statistical",F571)),"statistical_reasoning",IF(ISNUMBER(SEARCH("causal",F571)),"causal_reasoning",IF(ISNUMBER(SEARCH("social",F571)),"social_influence",IF(ISNUMBER(SEARCH("rhetoric",F571)),"rhetoric_discourse",IF(ISNUMBER(SEARCH("behavior",F571)),"behavioural_economics",IF(ISNUMBER(SEARCH("cognitive",F571)),"cognitive_biases",IF(J571="protective_pattern","healthy_reasoning_patterns",IF(L571="P0","core_mvp","extended_fallacies")))))))))</x:f>
        <x:v>extended_fallacies</x:v>
      </x:c>
      <x:c r="AC571" s="12" t="str">
        <x:f>IF(ISNUMBER(SEARCH("operational",J571)),"operational",IF(ISNUMBER(SEARCH("deprecated",J571)),"deprecated",IF(L571="P0","canonical","recognized_subtype")))</x:f>
        <x:v>operational</x:v>
      </x:c>
      <x:c r="AD571" s="12" t="str">
        <x:f>IF(AC571="canonical","high",IF(AC571="recognized_subtype","medium",IF(AC571="operational","operational_only","debated")))</x:f>
        <x:v>operational_only</x:v>
      </x:c>
      <x:c r="AE571" s="12" t="str">
        <x:f>IF(AC571="deprecated","deprecated",IF(M571="yes","active",IF(M571="review","review_required","backlog")))</x:f>
        <x:v>backlog</x:v>
      </x:c>
      <x:c r="AF571" s="12" t="str">
        <x:f>IF(OR(AE571="active",AE571="review_required"),"yes","no")</x:f>
        <x:v>no</x:v>
      </x:c>
      <x:c r="AG571" s="12" t="str">
        <x:f>IF(AND(AE571="active",M571="yes",NOT(ISNUMBER(SEARCH("healthy",AB571)))),"yes","no")</x:f>
        <x:v>no</x:v>
      </x:c>
      <x:c r="AH571" s="12" t="str">
        <x:f>IF(OR(H571="contextual",H571="dialogue",H571="discourse",I571="claim+context",I571="discourse_segment"),"yes","no")</x:f>
        <x:v>yes</x:v>
      </x:c>
      <x:c r="AI571" s="12" t="str">
        <x:f>IF(OR(AH571="yes",AD571="debated",AC571="operational"),"yes","no")</x:f>
        <x:v>yes</x:v>
      </x:c>
      <x:c r="AJ571" s="12" t="str">
        <x:f>IF(OR(AH571="yes",AC571="operational",AD571="debated"),"high",IF(AND(AG571="yes",L571="P0"),"medium","low"))</x:f>
        <x:v>high</x:v>
      </x:c>
      <x:c r="AK571" s="12" t="str">
        <x:f>IF(ISNUMBER(SEARCH("healthy",AB571)),"yes","no")</x:f>
        <x:v>no</x:v>
      </x:c>
      <x:c r="AL571" s="12" t="str">
        <x:f>IF(AG571="yes","yes","candidate_only")</x:f>
        <x:v>candidate_only</x:v>
      </x:c>
      <x:c r="AM571" s="12" t="str">
        <x:f>IF(OR(AC571="canonical",AG571="yes"),"yes","recommended")</x:f>
        <x:v>recommended</x:v>
      </x:c>
      <x:c r="AN571" s="12" t="str">
        <x:f>IF(AC571="deprecated","exclude",IF(AND(AG571="yes",AJ571="high"),"import_but_human_review_required",IF(AG571="yes","import_as_active","import_as_backlog")))</x:f>
        <x:v>import_as_backlog</x:v>
      </x:c>
      <x:c r="AO571" s="12" t="str">
        <x:f>IF(AND(AG571="yes",OR(P571="",Q571="",R571="",S571="")),"missing_required_mvp_fields",IF(AND(AC571="canonical",Y571=""),"missing_source_ref","ok"))</x:f>
        <x:v>ok</x:v>
      </x:c>
      <x:c r="AP571" s="12" t="str">
        <x:f>IF(AO571="ok","ready_for_codex_import","needs_review")</x:f>
        <x:v>ready_for_codex_import</x:v>
      </x:c>
      <x:c r="AQ571" s="12"/>
      <x:c r="AR571" s="12" t="str">
        <x:v>Added v2 operational fields. Review before classification activation.</x:v>
      </x:c>
    </x:row>
    <x:row r="572">
      <x:c r="A572" s="13" t="str">
        <x:v>status_quo_bias_loss_frame_variant</x:v>
      </x:c>
      <x:c r="B572" s="13" t="str">
        <x:v>status_quo_bias</x:v>
      </x:c>
      <x:c r="C572" s="13" t="str">
        <x:v>Status quo bias</x:v>
      </x:c>
      <x:c r="D572" s="13" t="str">
        <x:v>سوگیری وضع موجود</x:v>
      </x:c>
      <x:c r="E572" s="13" t="str">
        <x:v>Loss-frame variant</x:v>
      </x:c>
      <x:c r="F572" s="13" t="str">
        <x:v>decision_biases_behavioural_economics</x:v>
      </x:c>
      <x:c r="G572" s="13" t="str">
        <x:v>operational_variant</x:v>
      </x:c>
      <x:c r="H572" s="13" t="str">
        <x:v>contextual</x:v>
      </x:c>
      <x:c r="I572" s="13" t="str">
        <x:v>claim+context</x:v>
      </x:c>
      <x:c r="J572" s="13" t="str">
        <x:v>derived_operational_subtype</x:v>
      </x:c>
      <x:c r="K572" s="13" t="str">
        <x:v>derived_from_established_parent_review_required</x:v>
      </x:c>
      <x:c r="L572" s="13" t="str">
        <x:v>P2</x:v>
      </x:c>
      <x:c r="M572" s="13" t="str">
        <x:v>no</x:v>
      </x:c>
      <x:c r="N572" s="13" t="str">
        <x:v>Operational subtype under Status quo bias: the reasoning depends on a loss framing. Parent definition: Preferring the existing state partly because it is the default.</x:v>
      </x:c>
      <x:c r="O572" s="13" t="str">
        <x:v>Look for: explicit claim-level evidence; parent-family cues for Status quo bias; variant cue: the reasoning depends on a loss framing; avoid author-level inference.</x:v>
      </x:c>
      <x:c r="P572" s="13" t="str">
        <x:v>Exact evidence span in text plus claim-level reasoning link; for contextual/discourse entries, require surrounding context.</x:v>
      </x:c>
      <x:c r="Q572" s="13" t="str">
        <x:v>Do not label merely because topic is controversial, emotional, or wrong. Do not judge intent or personality. Require textual evidence and consider healthy-reasoning cues.</x:v>
      </x:c>
      <x:c r="R572" s="13" t="str">
        <x:v>Stub: A claim relies on the reasoning depends on a loss framing to support a conclusion without adequate qualification.</x:v>
      </x:c>
      <x:c r="S572" s="13" t="str">
        <x:v>Stub: A claim discusses status quo bias with caveats, balanced evidence, or no argumentative use of the pattern.</x:v>
      </x:c>
      <x:c r="T572" s="13" t="str">
        <x:v>Mild or ambiguous cue; do not classify without clear evidence span.</x:v>
      </x:c>
      <x:c r="U572" s="13" t="str">
        <x:v>Clear claim-level pattern with some argumentative impact.</x:v>
      </x:c>
      <x:c r="V572" s="13" t="str">
        <x:v>Strong pattern central to the conclusion and likely to materially distort reasoning.</x:v>
      </x:c>
      <x:c r="W572" s="13" t="str"/>
      <x:c r="X572" s="13" t="str">
        <x:v>thaler_sunstein_nudge</x:v>
      </x:c>
      <x:c r="Y572" s="13" t="str">
        <x:v>https://yalebooks.yale.edu/book/9780300262285/nudge/</x:v>
      </x:c>
      <x:c r="Z572" s="13" t="str">
        <x:v>Review before enabling. This workbook is a living taxonomy scaffold, not a validated scientific benchmark.</x:v>
      </x:c>
      <x:c r="AA572" s="13" t="str">
        <x:v>0.1.0-draft</x:v>
      </x:c>
      <x:c r="AB572" s="12" t="str">
        <x:f>IF(ISNUMBER(SEARCH("healthy",F572)),"healthy_reasoning_patterns",IF(ISNUMBER(SEARCH("statistical",F572)),"statistical_reasoning",IF(ISNUMBER(SEARCH("causal",F572)),"causal_reasoning",IF(ISNUMBER(SEARCH("social",F572)),"social_influence",IF(ISNUMBER(SEARCH("rhetoric",F572)),"rhetoric_discourse",IF(ISNUMBER(SEARCH("behavior",F572)),"behavioural_economics",IF(ISNUMBER(SEARCH("cognitive",F572)),"cognitive_biases",IF(J572="protective_pattern","healthy_reasoning_patterns",IF(L572="P0","core_mvp","extended_fallacies")))))))))</x:f>
        <x:v>extended_fallacies</x:v>
      </x:c>
      <x:c r="AC572" s="12" t="str">
        <x:f>IF(ISNUMBER(SEARCH("operational",J572)),"operational",IF(ISNUMBER(SEARCH("deprecated",J572)),"deprecated",IF(L572="P0","canonical","recognized_subtype")))</x:f>
        <x:v>operational</x:v>
      </x:c>
      <x:c r="AD572" s="12" t="str">
        <x:f>IF(AC572="canonical","high",IF(AC572="recognized_subtype","medium",IF(AC572="operational","operational_only","debated")))</x:f>
        <x:v>operational_only</x:v>
      </x:c>
      <x:c r="AE572" s="12" t="str">
        <x:f>IF(AC572="deprecated","deprecated",IF(M572="yes","active",IF(M572="review","review_required","backlog")))</x:f>
        <x:v>backlog</x:v>
      </x:c>
      <x:c r="AF572" s="12" t="str">
        <x:f>IF(OR(AE572="active",AE572="review_required"),"yes","no")</x:f>
        <x:v>no</x:v>
      </x:c>
      <x:c r="AG572" s="12" t="str">
        <x:f>IF(AND(AE572="active",M572="yes",NOT(ISNUMBER(SEARCH("healthy",AB572)))),"yes","no")</x:f>
        <x:v>no</x:v>
      </x:c>
      <x:c r="AH572" s="12" t="str">
        <x:f>IF(OR(H572="contextual",H572="dialogue",H572="discourse",I572="claim+context",I572="discourse_segment"),"yes","no")</x:f>
        <x:v>yes</x:v>
      </x:c>
      <x:c r="AI572" s="12" t="str">
        <x:f>IF(OR(AH572="yes",AD572="debated",AC572="operational"),"yes","no")</x:f>
        <x:v>yes</x:v>
      </x:c>
      <x:c r="AJ572" s="12" t="str">
        <x:f>IF(OR(AH572="yes",AC572="operational",AD572="debated"),"high",IF(AND(AG572="yes",L572="P0"),"medium","low"))</x:f>
        <x:v>high</x:v>
      </x:c>
      <x:c r="AK572" s="12" t="str">
        <x:f>IF(ISNUMBER(SEARCH("healthy",AB572)),"yes","no")</x:f>
        <x:v>no</x:v>
      </x:c>
      <x:c r="AL572" s="12" t="str">
        <x:f>IF(AG572="yes","yes","candidate_only")</x:f>
        <x:v>candidate_only</x:v>
      </x:c>
      <x:c r="AM572" s="12" t="str">
        <x:f>IF(OR(AC572="canonical",AG572="yes"),"yes","recommended")</x:f>
        <x:v>recommended</x:v>
      </x:c>
      <x:c r="AN572" s="12" t="str">
        <x:f>IF(AC572="deprecated","exclude",IF(AND(AG572="yes",AJ572="high"),"import_but_human_review_required",IF(AG572="yes","import_as_active","import_as_backlog")))</x:f>
        <x:v>import_as_backlog</x:v>
      </x:c>
      <x:c r="AO572" s="12" t="str">
        <x:f>IF(AND(AG572="yes",OR(P572="",Q572="",R572="",S572="")),"missing_required_mvp_fields",IF(AND(AC572="canonical",Y572=""),"missing_source_ref","ok"))</x:f>
        <x:v>ok</x:v>
      </x:c>
      <x:c r="AP572" s="12" t="str">
        <x:f>IF(AO572="ok","ready_for_codex_import","needs_review")</x:f>
        <x:v>ready_for_codex_import</x:v>
      </x:c>
      <x:c r="AQ572" s="12"/>
      <x:c r="AR572" s="12" t="str">
        <x:v>Added v2 operational fields. Review before classification activation.</x:v>
      </x:c>
    </x:row>
    <x:row r="573">
      <x:c r="A573" s="13" t="str">
        <x:v>default_effect_loss_frame_variant</x:v>
      </x:c>
      <x:c r="B573" s="13" t="str">
        <x:v>default_effect</x:v>
      </x:c>
      <x:c r="C573" s="13" t="str">
        <x:v>Default effect</x:v>
      </x:c>
      <x:c r="D573" s="13" t="str">
        <x:v>اثر گزینه پیش‌فرض</x:v>
      </x:c>
      <x:c r="E573" s="13" t="str">
        <x:v>Loss-frame variant</x:v>
      </x:c>
      <x:c r="F573" s="13" t="str">
        <x:v>decision_biases_behavioural_economics</x:v>
      </x:c>
      <x:c r="G573" s="13" t="str">
        <x:v>operational_variant</x:v>
      </x:c>
      <x:c r="H573" s="13" t="str">
        <x:v>contextual</x:v>
      </x:c>
      <x:c r="I573" s="13" t="str">
        <x:v>claim+context</x:v>
      </x:c>
      <x:c r="J573" s="13" t="str">
        <x:v>derived_operational_subtype</x:v>
      </x:c>
      <x:c r="K573" s="13" t="str">
        <x:v>derived_from_established_parent_review_required</x:v>
      </x:c>
      <x:c r="L573" s="13" t="str">
        <x:v>P2</x:v>
      </x:c>
      <x:c r="M573" s="13" t="str">
        <x:v>no</x:v>
      </x:c>
      <x:c r="N573" s="13" t="str">
        <x:v>Operational subtype under Default effect: the reasoning depends on a loss framing. Parent definition: Choosing an option disproportionately because it is preselected.</x:v>
      </x:c>
      <x:c r="O573" s="13" t="str">
        <x:v>Look for: explicit claim-level evidence; parent-family cues for Default effect; variant cue: the reasoning depends on a loss framing; avoid author-level inference.</x:v>
      </x:c>
      <x:c r="P573" s="13" t="str">
        <x:v>Exact evidence span in text plus claim-level reasoning link; for contextual/discourse entries, require surrounding context.</x:v>
      </x:c>
      <x:c r="Q573" s="13" t="str">
        <x:v>Do not label merely because topic is controversial, emotional, or wrong. Do not judge intent or personality. Require textual evidence and consider healthy-reasoning cues.</x:v>
      </x:c>
      <x:c r="R573" s="13" t="str">
        <x:v>Stub: A claim relies on the reasoning depends on a loss framing to support a conclusion without adequate qualification.</x:v>
      </x:c>
      <x:c r="S573" s="13" t="str">
        <x:v>Stub: A claim discusses default effect with caveats, balanced evidence, or no argumentative use of the pattern.</x:v>
      </x:c>
      <x:c r="T573" s="13" t="str">
        <x:v>Mild or ambiguous cue; do not classify without clear evidence span.</x:v>
      </x:c>
      <x:c r="U573" s="13" t="str">
        <x:v>Clear claim-level pattern with some argumentative impact.</x:v>
      </x:c>
      <x:c r="V573" s="13" t="str">
        <x:v>Strong pattern central to the conclusion and likely to materially distort reasoning.</x:v>
      </x:c>
      <x:c r="W573" s="13" t="str"/>
      <x:c r="X573" s="13" t="str">
        <x:v>thaler_sunstein_nudge</x:v>
      </x:c>
      <x:c r="Y573" s="13" t="str">
        <x:v>https://yalebooks.yale.edu/book/9780300262285/nudge/</x:v>
      </x:c>
      <x:c r="Z573" s="13" t="str">
        <x:v>Review before enabling. This workbook is a living taxonomy scaffold, not a validated scientific benchmark.</x:v>
      </x:c>
      <x:c r="AA573" s="13" t="str">
        <x:v>0.1.0-draft</x:v>
      </x:c>
      <x:c r="AB573" s="12" t="str">
        <x:f>IF(ISNUMBER(SEARCH("healthy",F573)),"healthy_reasoning_patterns",IF(ISNUMBER(SEARCH("statistical",F573)),"statistical_reasoning",IF(ISNUMBER(SEARCH("causal",F573)),"causal_reasoning",IF(ISNUMBER(SEARCH("social",F573)),"social_influence",IF(ISNUMBER(SEARCH("rhetoric",F573)),"rhetoric_discourse",IF(ISNUMBER(SEARCH("behavior",F573)),"behavioural_economics",IF(ISNUMBER(SEARCH("cognitive",F573)),"cognitive_biases",IF(J573="protective_pattern","healthy_reasoning_patterns",IF(L573="P0","core_mvp","extended_fallacies")))))))))</x:f>
        <x:v>extended_fallacies</x:v>
      </x:c>
      <x:c r="AC573" s="12" t="str">
        <x:f>IF(ISNUMBER(SEARCH("operational",J573)),"operational",IF(ISNUMBER(SEARCH("deprecated",J573)),"deprecated",IF(L573="P0","canonical","recognized_subtype")))</x:f>
        <x:v>operational</x:v>
      </x:c>
      <x:c r="AD573" s="12" t="str">
        <x:f>IF(AC573="canonical","high",IF(AC573="recognized_subtype","medium",IF(AC573="operational","operational_only","debated")))</x:f>
        <x:v>operational_only</x:v>
      </x:c>
      <x:c r="AE573" s="12" t="str">
        <x:f>IF(AC573="deprecated","deprecated",IF(M573="yes","active",IF(M573="review","review_required","backlog")))</x:f>
        <x:v>backlog</x:v>
      </x:c>
      <x:c r="AF573" s="12" t="str">
        <x:f>IF(OR(AE573="active",AE573="review_required"),"yes","no")</x:f>
        <x:v>no</x:v>
      </x:c>
      <x:c r="AG573" s="12" t="str">
        <x:f>IF(AND(AE573="active",M573="yes",NOT(ISNUMBER(SEARCH("healthy",AB573)))),"yes","no")</x:f>
        <x:v>no</x:v>
      </x:c>
      <x:c r="AH573" s="12" t="str">
        <x:f>IF(OR(H573="contextual",H573="dialogue",H573="discourse",I573="claim+context",I573="discourse_segment"),"yes","no")</x:f>
        <x:v>yes</x:v>
      </x:c>
      <x:c r="AI573" s="12" t="str">
        <x:f>IF(OR(AH573="yes",AD573="debated",AC573="operational"),"yes","no")</x:f>
        <x:v>yes</x:v>
      </x:c>
      <x:c r="AJ573" s="12" t="str">
        <x:f>IF(OR(AH573="yes",AC573="operational",AD573="debated"),"high",IF(AND(AG573="yes",L573="P0"),"medium","low"))</x:f>
        <x:v>high</x:v>
      </x:c>
      <x:c r="AK573" s="12" t="str">
        <x:f>IF(ISNUMBER(SEARCH("healthy",AB573)),"yes","no")</x:f>
        <x:v>no</x:v>
      </x:c>
      <x:c r="AL573" s="12" t="str">
        <x:f>IF(AG573="yes","yes","candidate_only")</x:f>
        <x:v>candidate_only</x:v>
      </x:c>
      <x:c r="AM573" s="12" t="str">
        <x:f>IF(OR(AC573="canonical",AG573="yes"),"yes","recommended")</x:f>
        <x:v>recommended</x:v>
      </x:c>
      <x:c r="AN573" s="12" t="str">
        <x:f>IF(AC573="deprecated","exclude",IF(AND(AG573="yes",AJ573="high"),"import_but_human_review_required",IF(AG573="yes","import_as_active","import_as_backlog")))</x:f>
        <x:v>import_as_backlog</x:v>
      </x:c>
      <x:c r="AO573" s="12" t="str">
        <x:f>IF(AND(AG573="yes",OR(P573="",Q573="",R573="",S573="")),"missing_required_mvp_fields",IF(AND(AC573="canonical",Y573=""),"missing_source_ref","ok"))</x:f>
        <x:v>ok</x:v>
      </x:c>
      <x:c r="AP573" s="12" t="str">
        <x:f>IF(AO573="ok","ready_for_codex_import","needs_review")</x:f>
        <x:v>ready_for_codex_import</x:v>
      </x:c>
      <x:c r="AQ573" s="12"/>
      <x:c r="AR573" s="12" t="str">
        <x:v>Added v2 operational fields. Review before classification activation.</x:v>
      </x:c>
    </x:row>
    <x:row r="574">
      <x:c r="A574" s="13" t="str">
        <x:v>sunk_cost_fallacy_loss_frame_variant</x:v>
      </x:c>
      <x:c r="B574" s="13" t="str">
        <x:v>sunk_cost_fallacy</x:v>
      </x:c>
      <x:c r="C574" s="13" t="str">
        <x:v>Sunk-cost fallacy</x:v>
      </x:c>
      <x:c r="D574" s="13" t="str">
        <x:v>مغالطه هزینه ازدست‌رفته</x:v>
      </x:c>
      <x:c r="E574" s="13" t="str">
        <x:v>Loss-frame variant</x:v>
      </x:c>
      <x:c r="F574" s="13" t="str">
        <x:v>decision_biases_behavioural_economics</x:v>
      </x:c>
      <x:c r="G574" s="13" t="str">
        <x:v>operational_variant</x:v>
      </x:c>
      <x:c r="H574" s="13" t="str">
        <x:v>contextual</x:v>
      </x:c>
      <x:c r="I574" s="13" t="str">
        <x:v>claim+context</x:v>
      </x:c>
      <x:c r="J574" s="13" t="str">
        <x:v>derived_operational_subtype</x:v>
      </x:c>
      <x:c r="K574" s="13" t="str">
        <x:v>derived_from_established_parent_review_required</x:v>
      </x:c>
      <x:c r="L574" s="13" t="str">
        <x:v>P2</x:v>
      </x:c>
      <x:c r="M574" s="13" t="str">
        <x:v>no</x:v>
      </x:c>
      <x:c r="N574" s="13" t="str">
        <x:v>Operational subtype under Sunk-cost fallacy: the reasoning depends on a loss framing. Parent definition: Continuing a choice because of past costs that cannot be recovered.</x:v>
      </x:c>
      <x:c r="O574" s="13" t="str">
        <x:v>Look for: explicit claim-level evidence; parent-family cues for Sunk-cost fallacy; variant cue: the reasoning depends on a loss framing; avoid author-level inference.</x:v>
      </x:c>
      <x:c r="P574" s="13" t="str">
        <x:v>Exact evidence span in text plus claim-level reasoning link; for contextual/discourse entries, require surrounding context.</x:v>
      </x:c>
      <x:c r="Q574" s="13" t="str">
        <x:v>Do not label merely because topic is controversial, emotional, or wrong. Do not judge intent or personality. Require textual evidence and consider healthy-reasoning cues.</x:v>
      </x:c>
      <x:c r="R574" s="13" t="str">
        <x:v>Stub: A claim relies on the reasoning depends on a loss framing to support a conclusion without adequate qualification.</x:v>
      </x:c>
      <x:c r="S574" s="13" t="str">
        <x:v>Stub: A claim discusses sunk-cost fallacy with caveats, balanced evidence, or no argumentative use of the pattern.</x:v>
      </x:c>
      <x:c r="T574" s="13" t="str">
        <x:v>Mild or ambiguous cue; do not classify without clear evidence span.</x:v>
      </x:c>
      <x:c r="U574" s="13" t="str">
        <x:v>Clear claim-level pattern with some argumentative impact.</x:v>
      </x:c>
      <x:c r="V574" s="13" t="str">
        <x:v>Strong pattern central to the conclusion and likely to materially distort reasoning.</x:v>
      </x:c>
      <x:c r="W574" s="13" t="str"/>
      <x:c r="X574" s="13" t="str">
        <x:v>kahneman_tversky_prospect_1979</x:v>
      </x:c>
      <x:c r="Y574" s="13" t="str">
        <x:v>https://doi.org/10.2307/1914185</x:v>
      </x:c>
      <x:c r="Z574" s="13" t="str">
        <x:v>Review before enabling. This workbook is a living taxonomy scaffold, not a validated scientific benchmark.</x:v>
      </x:c>
      <x:c r="AA574" s="13" t="str">
        <x:v>0.1.0-draft</x:v>
      </x:c>
      <x:c r="AB574" s="12" t="str">
        <x:f>IF(ISNUMBER(SEARCH("healthy",F574)),"healthy_reasoning_patterns",IF(ISNUMBER(SEARCH("statistical",F574)),"statistical_reasoning",IF(ISNUMBER(SEARCH("causal",F574)),"causal_reasoning",IF(ISNUMBER(SEARCH("social",F574)),"social_influence",IF(ISNUMBER(SEARCH("rhetoric",F574)),"rhetoric_discourse",IF(ISNUMBER(SEARCH("behavior",F574)),"behavioural_economics",IF(ISNUMBER(SEARCH("cognitive",F574)),"cognitive_biases",IF(J574="protective_pattern","healthy_reasoning_patterns",IF(L574="P0","core_mvp","extended_fallacies")))))))))</x:f>
        <x:v>extended_fallacies</x:v>
      </x:c>
      <x:c r="AC574" s="12" t="str">
        <x:f>IF(ISNUMBER(SEARCH("operational",J574)),"operational",IF(ISNUMBER(SEARCH("deprecated",J574)),"deprecated",IF(L574="P0","canonical","recognized_subtype")))</x:f>
        <x:v>operational</x:v>
      </x:c>
      <x:c r="AD574" s="12" t="str">
        <x:f>IF(AC574="canonical","high",IF(AC574="recognized_subtype","medium",IF(AC574="operational","operational_only","debated")))</x:f>
        <x:v>operational_only</x:v>
      </x:c>
      <x:c r="AE574" s="12" t="str">
        <x:f>IF(AC574="deprecated","deprecated",IF(M574="yes","active",IF(M574="review","review_required","backlog")))</x:f>
        <x:v>backlog</x:v>
      </x:c>
      <x:c r="AF574" s="12" t="str">
        <x:f>IF(OR(AE574="active",AE574="review_required"),"yes","no")</x:f>
        <x:v>no</x:v>
      </x:c>
      <x:c r="AG574" s="12" t="str">
        <x:f>IF(AND(AE574="active",M574="yes",NOT(ISNUMBER(SEARCH("healthy",AB574)))),"yes","no")</x:f>
        <x:v>no</x:v>
      </x:c>
      <x:c r="AH574" s="12" t="str">
        <x:f>IF(OR(H574="contextual",H574="dialogue",H574="discourse",I574="claim+context",I574="discourse_segment"),"yes","no")</x:f>
        <x:v>yes</x:v>
      </x:c>
      <x:c r="AI574" s="12" t="str">
        <x:f>IF(OR(AH574="yes",AD574="debated",AC574="operational"),"yes","no")</x:f>
        <x:v>yes</x:v>
      </x:c>
      <x:c r="AJ574" s="12" t="str">
        <x:f>IF(OR(AH574="yes",AC574="operational",AD574="debated"),"high",IF(AND(AG574="yes",L574="P0"),"medium","low"))</x:f>
        <x:v>high</x:v>
      </x:c>
      <x:c r="AK574" s="12" t="str">
        <x:f>IF(ISNUMBER(SEARCH("healthy",AB574)),"yes","no")</x:f>
        <x:v>no</x:v>
      </x:c>
      <x:c r="AL574" s="12" t="str">
        <x:f>IF(AG574="yes","yes","candidate_only")</x:f>
        <x:v>candidate_only</x:v>
      </x:c>
      <x:c r="AM574" s="12" t="str">
        <x:f>IF(OR(AC574="canonical",AG574="yes"),"yes","recommended")</x:f>
        <x:v>recommended</x:v>
      </x:c>
      <x:c r="AN574" s="12" t="str">
        <x:f>IF(AC574="deprecated","exclude",IF(AND(AG574="yes",AJ574="high"),"import_but_human_review_required",IF(AG574="yes","import_as_active","import_as_backlog")))</x:f>
        <x:v>import_as_backlog</x:v>
      </x:c>
      <x:c r="AO574" s="12" t="str">
        <x:f>IF(AND(AG574="yes",OR(P574="",Q574="",R574="",S574="")),"missing_required_mvp_fields",IF(AND(AC574="canonical",Y574=""),"missing_source_ref","ok"))</x:f>
        <x:v>ok</x:v>
      </x:c>
      <x:c r="AP574" s="12" t="str">
        <x:f>IF(AO574="ok","ready_for_codex_import","needs_review")</x:f>
        <x:v>ready_for_codex_import</x:v>
      </x:c>
      <x:c r="AQ574" s="12"/>
      <x:c r="AR574" s="12" t="str">
        <x:v>Added v2 operational fields. Review before classification activation.</x:v>
      </x:c>
    </x:row>
    <x:row r="575">
      <x:c r="A575" s="13" t="str">
        <x:v>present_bias_loss_frame_variant</x:v>
      </x:c>
      <x:c r="B575" s="13" t="str">
        <x:v>present_bias</x:v>
      </x:c>
      <x:c r="C575" s="13" t="str">
        <x:v>Present bias</x:v>
      </x:c>
      <x:c r="D575" s="13" t="str">
        <x:v>سوگیری حال</x:v>
      </x:c>
      <x:c r="E575" s="13" t="str">
        <x:v>Loss-frame variant</x:v>
      </x:c>
      <x:c r="F575" s="13" t="str">
        <x:v>decision_biases_behavioural_economics</x:v>
      </x:c>
      <x:c r="G575" s="13" t="str">
        <x:v>operational_variant</x:v>
      </x:c>
      <x:c r="H575" s="13" t="str">
        <x:v>contextual</x:v>
      </x:c>
      <x:c r="I575" s="13" t="str">
        <x:v>claim+context</x:v>
      </x:c>
      <x:c r="J575" s="13" t="str">
        <x:v>derived_operational_subtype</x:v>
      </x:c>
      <x:c r="K575" s="13" t="str">
        <x:v>derived_from_established_parent_review_required</x:v>
      </x:c>
      <x:c r="L575" s="13" t="str">
        <x:v>P2</x:v>
      </x:c>
      <x:c r="M575" s="13" t="str">
        <x:v>no</x:v>
      </x:c>
      <x:c r="N575" s="13" t="str">
        <x:v>Operational subtype under Present bias: the reasoning depends on a loss framing. Parent definition: Overweighting immediate costs or rewards relative to future ones.</x:v>
      </x:c>
      <x:c r="O575" s="13" t="str">
        <x:v>Look for: explicit claim-level evidence; parent-family cues for Present bias; variant cue: the reasoning depends on a loss framing; avoid author-level inference.</x:v>
      </x:c>
      <x:c r="P575" s="13" t="str">
        <x:v>Exact evidence span in text plus claim-level reasoning link; for contextual/discourse entries, require surrounding context.</x:v>
      </x:c>
      <x:c r="Q575" s="13" t="str">
        <x:v>Do not label merely because topic is controversial, emotional, or wrong. Do not judge intent or personality. Require textual evidence and consider healthy-reasoning cues.</x:v>
      </x:c>
      <x:c r="R575" s="13" t="str">
        <x:v>Stub: A claim relies on the reasoning depends on a loss framing to support a conclusion without adequate qualification.</x:v>
      </x:c>
      <x:c r="S575" s="13" t="str">
        <x:v>Stub: A claim discusses present bias with caveats, balanced evidence, or no argumentative use of the pattern.</x:v>
      </x:c>
      <x:c r="T575" s="13" t="str">
        <x:v>Mild or ambiguous cue; do not classify without clear evidence span.</x:v>
      </x:c>
      <x:c r="U575" s="13" t="str">
        <x:v>Clear claim-level pattern with some argumentative impact.</x:v>
      </x:c>
      <x:c r="V575" s="13" t="str">
        <x:v>Strong pattern central to the conclusion and likely to materially distort reasoning.</x:v>
      </x:c>
      <x:c r="W575" s="13" t="str"/>
      <x:c r="X575" s="13" t="str">
        <x:v>thaler_sunstein_nudge</x:v>
      </x:c>
      <x:c r="Y575" s="13" t="str">
        <x:v>https://yalebooks.yale.edu/book/9780300262285/nudge/</x:v>
      </x:c>
      <x:c r="Z575" s="13" t="str">
        <x:v>Review before enabling. This workbook is a living taxonomy scaffold, not a validated scientific benchmark.</x:v>
      </x:c>
      <x:c r="AA575" s="13" t="str">
        <x:v>0.1.0-draft</x:v>
      </x:c>
      <x:c r="AB575" s="12" t="str">
        <x:f>IF(ISNUMBER(SEARCH("healthy",F575)),"healthy_reasoning_patterns",IF(ISNUMBER(SEARCH("statistical",F575)),"statistical_reasoning",IF(ISNUMBER(SEARCH("causal",F575)),"causal_reasoning",IF(ISNUMBER(SEARCH("social",F575)),"social_influence",IF(ISNUMBER(SEARCH("rhetoric",F575)),"rhetoric_discourse",IF(ISNUMBER(SEARCH("behavior",F575)),"behavioural_economics",IF(ISNUMBER(SEARCH("cognitive",F575)),"cognitive_biases",IF(J575="protective_pattern","healthy_reasoning_patterns",IF(L575="P0","core_mvp","extended_fallacies")))))))))</x:f>
        <x:v>extended_fallacies</x:v>
      </x:c>
      <x:c r="AC575" s="12" t="str">
        <x:f>IF(ISNUMBER(SEARCH("operational",J575)),"operational",IF(ISNUMBER(SEARCH("deprecated",J575)),"deprecated",IF(L575="P0","canonical","recognized_subtype")))</x:f>
        <x:v>operational</x:v>
      </x:c>
      <x:c r="AD575" s="12" t="str">
        <x:f>IF(AC575="canonical","high",IF(AC575="recognized_subtype","medium",IF(AC575="operational","operational_only","debated")))</x:f>
        <x:v>operational_only</x:v>
      </x:c>
      <x:c r="AE575" s="12" t="str">
        <x:f>IF(AC575="deprecated","deprecated",IF(M575="yes","active",IF(M575="review","review_required","backlog")))</x:f>
        <x:v>backlog</x:v>
      </x:c>
      <x:c r="AF575" s="12" t="str">
        <x:f>IF(OR(AE575="active",AE575="review_required"),"yes","no")</x:f>
        <x:v>no</x:v>
      </x:c>
      <x:c r="AG575" s="12" t="str">
        <x:f>IF(AND(AE575="active",M575="yes",NOT(ISNUMBER(SEARCH("healthy",AB575)))),"yes","no")</x:f>
        <x:v>no</x:v>
      </x:c>
      <x:c r="AH575" s="12" t="str">
        <x:f>IF(OR(H575="contextual",H575="dialogue",H575="discourse",I575="claim+context",I575="discourse_segment"),"yes","no")</x:f>
        <x:v>yes</x:v>
      </x:c>
      <x:c r="AI575" s="12" t="str">
        <x:f>IF(OR(AH575="yes",AD575="debated",AC575="operational"),"yes","no")</x:f>
        <x:v>yes</x:v>
      </x:c>
      <x:c r="AJ575" s="12" t="str">
        <x:f>IF(OR(AH575="yes",AC575="operational",AD575="debated"),"high",IF(AND(AG575="yes",L575="P0"),"medium","low"))</x:f>
        <x:v>high</x:v>
      </x:c>
      <x:c r="AK575" s="12" t="str">
        <x:f>IF(ISNUMBER(SEARCH("healthy",AB575)),"yes","no")</x:f>
        <x:v>no</x:v>
      </x:c>
      <x:c r="AL575" s="12" t="str">
        <x:f>IF(AG575="yes","yes","candidate_only")</x:f>
        <x:v>candidate_only</x:v>
      </x:c>
      <x:c r="AM575" s="12" t="str">
        <x:f>IF(OR(AC575="canonical",AG575="yes"),"yes","recommended")</x:f>
        <x:v>recommended</x:v>
      </x:c>
      <x:c r="AN575" s="12" t="str">
        <x:f>IF(AC575="deprecated","exclude",IF(AND(AG575="yes",AJ575="high"),"import_but_human_review_required",IF(AG575="yes","import_as_active","import_as_backlog")))</x:f>
        <x:v>import_as_backlog</x:v>
      </x:c>
      <x:c r="AO575" s="12" t="str">
        <x:f>IF(AND(AG575="yes",OR(P575="",Q575="",R575="",S575="")),"missing_required_mvp_fields",IF(AND(AC575="canonical",Y575=""),"missing_source_ref","ok"))</x:f>
        <x:v>ok</x:v>
      </x:c>
      <x:c r="AP575" s="12" t="str">
        <x:f>IF(AO575="ok","ready_for_codex_import","needs_review")</x:f>
        <x:v>ready_for_codex_import</x:v>
      </x:c>
      <x:c r="AQ575" s="12"/>
      <x:c r="AR575" s="12" t="str">
        <x:v>Added v2 operational fields. Review before classification activation.</x:v>
      </x:c>
    </x:row>
    <x:row r="576">
      <x:c r="A576" s="13" t="str">
        <x:v>hyperbolic_discounting_loss_frame_variant</x:v>
      </x:c>
      <x:c r="B576" s="13" t="str">
        <x:v>hyperbolic_discounting</x:v>
      </x:c>
      <x:c r="C576" s="13" t="str">
        <x:v>Hyperbolic discounting</x:v>
      </x:c>
      <x:c r="D576" s="13" t="str">
        <x:v>تنزیل هذلولوی</x:v>
      </x:c>
      <x:c r="E576" s="13" t="str">
        <x:v>Loss-frame variant</x:v>
      </x:c>
      <x:c r="F576" s="13" t="str">
        <x:v>decision_biases_behavioural_economics</x:v>
      </x:c>
      <x:c r="G576" s="13" t="str">
        <x:v>operational_variant</x:v>
      </x:c>
      <x:c r="H576" s="13" t="str">
        <x:v>contextual</x:v>
      </x:c>
      <x:c r="I576" s="13" t="str">
        <x:v>claim+context</x:v>
      </x:c>
      <x:c r="J576" s="13" t="str">
        <x:v>derived_operational_subtype</x:v>
      </x:c>
      <x:c r="K576" s="13" t="str">
        <x:v>derived_from_established_parent_review_required</x:v>
      </x:c>
      <x:c r="L576" s="13" t="str">
        <x:v>P2</x:v>
      </x:c>
      <x:c r="M576" s="13" t="str">
        <x:v>no</x:v>
      </x:c>
      <x:c r="N576" s="13" t="str">
        <x:v>Operational subtype under Hyperbolic discounting: the reasoning depends on a loss framing. Parent definition: Discounting future outcomes in a time-inconsistent way.</x:v>
      </x:c>
      <x:c r="O576" s="13" t="str">
        <x:v>Look for: explicit claim-level evidence; parent-family cues for Hyperbolic discounting; variant cue: the reasoning depends on a loss framing; avoid author-level inference.</x:v>
      </x:c>
      <x:c r="P576" s="13" t="str">
        <x:v>Exact evidence span in text plus claim-level reasoning link; for contextual/discourse entries, require surrounding context.</x:v>
      </x:c>
      <x:c r="Q576" s="13" t="str">
        <x:v>Do not label merely because topic is controversial, emotional, or wrong. Do not judge intent or personality. Require textual evidence and consider healthy-reasoning cues.</x:v>
      </x:c>
      <x:c r="R576" s="13" t="str">
        <x:v>Stub: A claim relies on the reasoning depends on a loss framing to support a conclusion without adequate qualification.</x:v>
      </x:c>
      <x:c r="S576" s="13" t="str">
        <x:v>Stub: A claim discusses hyperbolic discounting with caveats, balanced evidence, or no argumentative use of the pattern.</x:v>
      </x:c>
      <x:c r="T576" s="13" t="str">
        <x:v>Mild or ambiguous cue; do not classify without clear evidence span.</x:v>
      </x:c>
      <x:c r="U576" s="13" t="str">
        <x:v>Clear claim-level pattern with some argumentative impact.</x:v>
      </x:c>
      <x:c r="V576" s="13" t="str">
        <x:v>Strong pattern central to the conclusion and likely to materially distort reasoning.</x:v>
      </x:c>
      <x:c r="W576" s="13" t="str"/>
      <x:c r="X576" s="13" t="str">
        <x:v>thaler_sunstein_nudge</x:v>
      </x:c>
      <x:c r="Y576" s="13" t="str">
        <x:v>https://yalebooks.yale.edu/book/9780300262285/nudge/</x:v>
      </x:c>
      <x:c r="Z576" s="13" t="str">
        <x:v>Review before enabling. This workbook is a living taxonomy scaffold, not a validated scientific benchmark.</x:v>
      </x:c>
      <x:c r="AA576" s="13" t="str">
        <x:v>0.1.0-draft</x:v>
      </x:c>
      <x:c r="AB576" s="12" t="str">
        <x:f>IF(ISNUMBER(SEARCH("healthy",F576)),"healthy_reasoning_patterns",IF(ISNUMBER(SEARCH("statistical",F576)),"statistical_reasoning",IF(ISNUMBER(SEARCH("causal",F576)),"causal_reasoning",IF(ISNUMBER(SEARCH("social",F576)),"social_influence",IF(ISNUMBER(SEARCH("rhetoric",F576)),"rhetoric_discourse",IF(ISNUMBER(SEARCH("behavior",F576)),"behavioural_economics",IF(ISNUMBER(SEARCH("cognitive",F576)),"cognitive_biases",IF(J576="protective_pattern","healthy_reasoning_patterns",IF(L576="P0","core_mvp","extended_fallacies")))))))))</x:f>
        <x:v>extended_fallacies</x:v>
      </x:c>
      <x:c r="AC576" s="12" t="str">
        <x:f>IF(ISNUMBER(SEARCH("operational",J576)),"operational",IF(ISNUMBER(SEARCH("deprecated",J576)),"deprecated",IF(L576="P0","canonical","recognized_subtype")))</x:f>
        <x:v>operational</x:v>
      </x:c>
      <x:c r="AD576" s="12" t="str">
        <x:f>IF(AC576="canonical","high",IF(AC576="recognized_subtype","medium",IF(AC576="operational","operational_only","debated")))</x:f>
        <x:v>operational_only</x:v>
      </x:c>
      <x:c r="AE576" s="12" t="str">
        <x:f>IF(AC576="deprecated","deprecated",IF(M576="yes","active",IF(M576="review","review_required","backlog")))</x:f>
        <x:v>backlog</x:v>
      </x:c>
      <x:c r="AF576" s="12" t="str">
        <x:f>IF(OR(AE576="active",AE576="review_required"),"yes","no")</x:f>
        <x:v>no</x:v>
      </x:c>
      <x:c r="AG576" s="12" t="str">
        <x:f>IF(AND(AE576="active",M576="yes",NOT(ISNUMBER(SEARCH("healthy",AB576)))),"yes","no")</x:f>
        <x:v>no</x:v>
      </x:c>
      <x:c r="AH576" s="12" t="str">
        <x:f>IF(OR(H576="contextual",H576="dialogue",H576="discourse",I576="claim+context",I576="discourse_segment"),"yes","no")</x:f>
        <x:v>yes</x:v>
      </x:c>
      <x:c r="AI576" s="12" t="str">
        <x:f>IF(OR(AH576="yes",AD576="debated",AC576="operational"),"yes","no")</x:f>
        <x:v>yes</x:v>
      </x:c>
      <x:c r="AJ576" s="12" t="str">
        <x:f>IF(OR(AH576="yes",AC576="operational",AD576="debated"),"high",IF(AND(AG576="yes",L576="P0"),"medium","low"))</x:f>
        <x:v>high</x:v>
      </x:c>
      <x:c r="AK576" s="12" t="str">
        <x:f>IF(ISNUMBER(SEARCH("healthy",AB576)),"yes","no")</x:f>
        <x:v>no</x:v>
      </x:c>
      <x:c r="AL576" s="12" t="str">
        <x:f>IF(AG576="yes","yes","candidate_only")</x:f>
        <x:v>candidate_only</x:v>
      </x:c>
      <x:c r="AM576" s="12" t="str">
        <x:f>IF(OR(AC576="canonical",AG576="yes"),"yes","recommended")</x:f>
        <x:v>recommended</x:v>
      </x:c>
      <x:c r="AN576" s="12" t="str">
        <x:f>IF(AC576="deprecated","exclude",IF(AND(AG576="yes",AJ576="high"),"import_but_human_review_required",IF(AG576="yes","import_as_active","import_as_backlog")))</x:f>
        <x:v>import_as_backlog</x:v>
      </x:c>
      <x:c r="AO576" s="12" t="str">
        <x:f>IF(AND(AG576="yes",OR(P576="",Q576="",R576="",S576="")),"missing_required_mvp_fields",IF(AND(AC576="canonical",Y576=""),"missing_source_ref","ok"))</x:f>
        <x:v>ok</x:v>
      </x:c>
      <x:c r="AP576" s="12" t="str">
        <x:f>IF(AO576="ok","ready_for_codex_import","needs_review")</x:f>
        <x:v>ready_for_codex_import</x:v>
      </x:c>
      <x:c r="AQ576" s="12"/>
      <x:c r="AR576" s="12" t="str">
        <x:v>Added v2 operational fields. Review before classification activation.</x:v>
      </x:c>
    </x:row>
    <x:row r="577">
      <x:c r="A577" s="13" t="str">
        <x:v>planning_fallacy_loss_frame_variant</x:v>
      </x:c>
      <x:c r="B577" s="13" t="str">
        <x:v>planning_fallacy</x:v>
      </x:c>
      <x:c r="C577" s="13" t="str">
        <x:v>Planning fallacy</x:v>
      </x:c>
      <x:c r="D577" s="13" t="str">
        <x:v>خطای برنامه‌ریزی</x:v>
      </x:c>
      <x:c r="E577" s="13" t="str">
        <x:v>Loss-frame variant</x:v>
      </x:c>
      <x:c r="F577" s="13" t="str">
        <x:v>decision_biases_behavioural_economics</x:v>
      </x:c>
      <x:c r="G577" s="13" t="str">
        <x:v>operational_variant</x:v>
      </x:c>
      <x:c r="H577" s="13" t="str">
        <x:v>contextual</x:v>
      </x:c>
      <x:c r="I577" s="13" t="str">
        <x:v>claim+context</x:v>
      </x:c>
      <x:c r="J577" s="13" t="str">
        <x:v>derived_operational_subtype</x:v>
      </x:c>
      <x:c r="K577" s="13" t="str">
        <x:v>derived_from_established_parent_review_required</x:v>
      </x:c>
      <x:c r="L577" s="13" t="str">
        <x:v>P2</x:v>
      </x:c>
      <x:c r="M577" s="13" t="str">
        <x:v>no</x:v>
      </x:c>
      <x:c r="N577" s="13" t="str">
        <x:v>Operational subtype under Planning fallacy: the reasoning depends on a loss framing. Parent definition: Underestimating time, costs, or risks of future tasks.</x:v>
      </x:c>
      <x:c r="O577" s="13" t="str">
        <x:v>Look for: explicit claim-level evidence; parent-family cues for Planning fallacy; variant cue: the reasoning depends on a loss framing; avoid author-level inference.</x:v>
      </x:c>
      <x:c r="P577" s="13" t="str">
        <x:v>Exact evidence span in text plus claim-level reasoning link; for contextual/discourse entries, require surrounding context.</x:v>
      </x:c>
      <x:c r="Q577" s="13" t="str">
        <x:v>Do not label merely because topic is controversial, emotional, or wrong. Do not judge intent or personality. Require textual evidence and consider healthy-reasoning cues.</x:v>
      </x:c>
      <x:c r="R577" s="13" t="str">
        <x:v>Stub: A claim relies on the reasoning depends on a loss framing to support a conclusion without adequate qualification.</x:v>
      </x:c>
      <x:c r="S577" s="13" t="str">
        <x:v>Stub: A claim discusses planning fallacy with caveats, balanced evidence, or no argumentative use of the pattern.</x:v>
      </x:c>
      <x:c r="T577" s="13" t="str">
        <x:v>Mild or ambiguous cue; do not classify without clear evidence span.</x:v>
      </x:c>
      <x:c r="U577" s="13" t="str">
        <x:v>Clear claim-level pattern with some argumentative impact.</x:v>
      </x:c>
      <x:c r="V577" s="13" t="str">
        <x:v>Strong pattern central to the conclusion and likely to materially distort reasoning.</x:v>
      </x:c>
      <x:c r="W577" s="13" t="str"/>
      <x:c r="X577" s="13" t="str">
        <x:v>gilovich_heuristics_biases</x:v>
      </x:c>
      <x:c r="Y577" s="13" t="str">
        <x:v>https://www.cambridge.org/core/books/heuristics-and-biases/3C30D3B05D2F190C3B8BE5E2531EFD24</x:v>
      </x:c>
      <x:c r="Z577" s="13" t="str">
        <x:v>Review before enabling. This workbook is a living taxonomy scaffold, not a validated scientific benchmark.</x:v>
      </x:c>
      <x:c r="AA577" s="13" t="str">
        <x:v>0.1.0-draft</x:v>
      </x:c>
      <x:c r="AB577" s="12" t="str">
        <x:f>IF(ISNUMBER(SEARCH("healthy",F577)),"healthy_reasoning_patterns",IF(ISNUMBER(SEARCH("statistical",F577)),"statistical_reasoning",IF(ISNUMBER(SEARCH("causal",F577)),"causal_reasoning",IF(ISNUMBER(SEARCH("social",F577)),"social_influence",IF(ISNUMBER(SEARCH("rhetoric",F577)),"rhetoric_discourse",IF(ISNUMBER(SEARCH("behavior",F577)),"behavioural_economics",IF(ISNUMBER(SEARCH("cognitive",F577)),"cognitive_biases",IF(J577="protective_pattern","healthy_reasoning_patterns",IF(L577="P0","core_mvp","extended_fallacies")))))))))</x:f>
        <x:v>extended_fallacies</x:v>
      </x:c>
      <x:c r="AC577" s="12" t="str">
        <x:f>IF(ISNUMBER(SEARCH("operational",J577)),"operational",IF(ISNUMBER(SEARCH("deprecated",J577)),"deprecated",IF(L577="P0","canonical","recognized_subtype")))</x:f>
        <x:v>operational</x:v>
      </x:c>
      <x:c r="AD577" s="12" t="str">
        <x:f>IF(AC577="canonical","high",IF(AC577="recognized_subtype","medium",IF(AC577="operational","operational_only","debated")))</x:f>
        <x:v>operational_only</x:v>
      </x:c>
      <x:c r="AE577" s="12" t="str">
        <x:f>IF(AC577="deprecated","deprecated",IF(M577="yes","active",IF(M577="review","review_required","backlog")))</x:f>
        <x:v>backlog</x:v>
      </x:c>
      <x:c r="AF577" s="12" t="str">
        <x:f>IF(OR(AE577="active",AE577="review_required"),"yes","no")</x:f>
        <x:v>no</x:v>
      </x:c>
      <x:c r="AG577" s="12" t="str">
        <x:f>IF(AND(AE577="active",M577="yes",NOT(ISNUMBER(SEARCH("healthy",AB577)))),"yes","no")</x:f>
        <x:v>no</x:v>
      </x:c>
      <x:c r="AH577" s="12" t="str">
        <x:f>IF(OR(H577="contextual",H577="dialogue",H577="discourse",I577="claim+context",I577="discourse_segment"),"yes","no")</x:f>
        <x:v>yes</x:v>
      </x:c>
      <x:c r="AI577" s="12" t="str">
        <x:f>IF(OR(AH577="yes",AD577="debated",AC577="operational"),"yes","no")</x:f>
        <x:v>yes</x:v>
      </x:c>
      <x:c r="AJ577" s="12" t="str">
        <x:f>IF(OR(AH577="yes",AC577="operational",AD577="debated"),"high",IF(AND(AG577="yes",L577="P0"),"medium","low"))</x:f>
        <x:v>high</x:v>
      </x:c>
      <x:c r="AK577" s="12" t="str">
        <x:f>IF(ISNUMBER(SEARCH("healthy",AB577)),"yes","no")</x:f>
        <x:v>no</x:v>
      </x:c>
      <x:c r="AL577" s="12" t="str">
        <x:f>IF(AG577="yes","yes","candidate_only")</x:f>
        <x:v>candidate_only</x:v>
      </x:c>
      <x:c r="AM577" s="12" t="str">
        <x:f>IF(OR(AC577="canonical",AG577="yes"),"yes","recommended")</x:f>
        <x:v>recommended</x:v>
      </x:c>
      <x:c r="AN577" s="12" t="str">
        <x:f>IF(AC577="deprecated","exclude",IF(AND(AG577="yes",AJ577="high"),"import_but_human_review_required",IF(AG577="yes","import_as_active","import_as_backlog")))</x:f>
        <x:v>import_as_backlog</x:v>
      </x:c>
      <x:c r="AO577" s="12" t="str">
        <x:f>IF(AND(AG577="yes",OR(P577="",Q577="",R577="",S577="")),"missing_required_mvp_fields",IF(AND(AC577="canonical",Y577=""),"missing_source_ref","ok"))</x:f>
        <x:v>ok</x:v>
      </x:c>
      <x:c r="AP577" s="12" t="str">
        <x:f>IF(AO577="ok","ready_for_codex_import","needs_review")</x:f>
        <x:v>ready_for_codex_import</x:v>
      </x:c>
      <x:c r="AQ577" s="12"/>
      <x:c r="AR577" s="12" t="str">
        <x:v>Added v2 operational fields. Review before classification activation.</x:v>
      </x:c>
    </x:row>
    <x:row r="578">
      <x:c r="A578" s="13" t="str">
        <x:v>choice_overload_loss_frame_variant</x:v>
      </x:c>
      <x:c r="B578" s="13" t="str">
        <x:v>choice_overload</x:v>
      </x:c>
      <x:c r="C578" s="13" t="str">
        <x:v>Choice overload</x:v>
      </x:c>
      <x:c r="D578" s="13" t="str">
        <x:v>بار زیاد انتخاب</x:v>
      </x:c>
      <x:c r="E578" s="13" t="str">
        <x:v>Loss-frame variant</x:v>
      </x:c>
      <x:c r="F578" s="13" t="str">
        <x:v>decision_biases_behavioural_economics</x:v>
      </x:c>
      <x:c r="G578" s="13" t="str">
        <x:v>operational_variant</x:v>
      </x:c>
      <x:c r="H578" s="13" t="str">
        <x:v>contextual</x:v>
      </x:c>
      <x:c r="I578" s="13" t="str">
        <x:v>claim+context</x:v>
      </x:c>
      <x:c r="J578" s="13" t="str">
        <x:v>derived_operational_subtype</x:v>
      </x:c>
      <x:c r="K578" s="13" t="str">
        <x:v>derived_from_established_parent_review_required</x:v>
      </x:c>
      <x:c r="L578" s="13" t="str">
        <x:v>P2</x:v>
      </x:c>
      <x:c r="M578" s="13" t="str">
        <x:v>no</x:v>
      </x:c>
      <x:c r="N578" s="13" t="str">
        <x:v>Operational subtype under Choice overload: the reasoning depends on a loss framing. Parent definition: Decision quality or satisfaction decreases when options become excessive.</x:v>
      </x:c>
      <x:c r="O578" s="13" t="str">
        <x:v>Look for: explicit claim-level evidence; parent-family cues for Choice overload; variant cue: the reasoning depends on a loss framing; avoid author-level inference.</x:v>
      </x:c>
      <x:c r="P578" s="13" t="str">
        <x:v>Exact evidence span in text plus claim-level reasoning link; for contextual/discourse entries, require surrounding context.</x:v>
      </x:c>
      <x:c r="Q578" s="13" t="str">
        <x:v>Do not label merely because topic is controversial, emotional, or wrong. Do not judge intent or personality. Require textual evidence and consider healthy-reasoning cues.</x:v>
      </x:c>
      <x:c r="R578" s="13" t="str">
        <x:v>Stub: A claim relies on the reasoning depends on a loss framing to support a conclusion without adequate qualification.</x:v>
      </x:c>
      <x:c r="S578" s="13" t="str">
        <x:v>Stub: A claim discusses choice overload with caveats, balanced evidence, or no argumentative use of the pattern.</x:v>
      </x:c>
      <x:c r="T578" s="13" t="str">
        <x:v>Mild or ambiguous cue; do not classify without clear evidence span.</x:v>
      </x:c>
      <x:c r="U578" s="13" t="str">
        <x:v>Clear claim-level pattern with some argumentative impact.</x:v>
      </x:c>
      <x:c r="V578" s="13" t="str">
        <x:v>Strong pattern central to the conclusion and likely to materially distort reasoning.</x:v>
      </x:c>
      <x:c r="W578" s="13" t="str"/>
      <x:c r="X578" s="13" t="str">
        <x:v>thaler_sunstein_nudge</x:v>
      </x:c>
      <x:c r="Y578" s="13" t="str">
        <x:v>https://yalebooks.yale.edu/book/9780300262285/nudge/</x:v>
      </x:c>
      <x:c r="Z578" s="13" t="str">
        <x:v>Review before enabling. This workbook is a living taxonomy scaffold, not a validated scientific benchmark.</x:v>
      </x:c>
      <x:c r="AA578" s="13" t="str">
        <x:v>0.1.0-draft</x:v>
      </x:c>
      <x:c r="AB578" s="12" t="str">
        <x:f>IF(ISNUMBER(SEARCH("healthy",F578)),"healthy_reasoning_patterns",IF(ISNUMBER(SEARCH("statistical",F578)),"statistical_reasoning",IF(ISNUMBER(SEARCH("causal",F578)),"causal_reasoning",IF(ISNUMBER(SEARCH("social",F578)),"social_influence",IF(ISNUMBER(SEARCH("rhetoric",F578)),"rhetoric_discourse",IF(ISNUMBER(SEARCH("behavior",F578)),"behavioural_economics",IF(ISNUMBER(SEARCH("cognitive",F578)),"cognitive_biases",IF(J578="protective_pattern","healthy_reasoning_patterns",IF(L578="P0","core_mvp","extended_fallacies")))))))))</x:f>
        <x:v>extended_fallacies</x:v>
      </x:c>
      <x:c r="AC578" s="12" t="str">
        <x:f>IF(ISNUMBER(SEARCH("operational",J578)),"operational",IF(ISNUMBER(SEARCH("deprecated",J578)),"deprecated",IF(L578="P0","canonical","recognized_subtype")))</x:f>
        <x:v>operational</x:v>
      </x:c>
      <x:c r="AD578" s="12" t="str">
        <x:f>IF(AC578="canonical","high",IF(AC578="recognized_subtype","medium",IF(AC578="operational","operational_only","debated")))</x:f>
        <x:v>operational_only</x:v>
      </x:c>
      <x:c r="AE578" s="12" t="str">
        <x:f>IF(AC578="deprecated","deprecated",IF(M578="yes","active",IF(M578="review","review_required","backlog")))</x:f>
        <x:v>backlog</x:v>
      </x:c>
      <x:c r="AF578" s="12" t="str">
        <x:f>IF(OR(AE578="active",AE578="review_required"),"yes","no")</x:f>
        <x:v>no</x:v>
      </x:c>
      <x:c r="AG578" s="12" t="str">
        <x:f>IF(AND(AE578="active",M578="yes",NOT(ISNUMBER(SEARCH("healthy",AB578)))),"yes","no")</x:f>
        <x:v>no</x:v>
      </x:c>
      <x:c r="AH578" s="12" t="str">
        <x:f>IF(OR(H578="contextual",H578="dialogue",H578="discourse",I578="claim+context",I578="discourse_segment"),"yes","no")</x:f>
        <x:v>yes</x:v>
      </x:c>
      <x:c r="AI578" s="12" t="str">
        <x:f>IF(OR(AH578="yes",AD578="debated",AC578="operational"),"yes","no")</x:f>
        <x:v>yes</x:v>
      </x:c>
      <x:c r="AJ578" s="12" t="str">
        <x:f>IF(OR(AH578="yes",AC578="operational",AD578="debated"),"high",IF(AND(AG578="yes",L578="P0"),"medium","low"))</x:f>
        <x:v>high</x:v>
      </x:c>
      <x:c r="AK578" s="12" t="str">
        <x:f>IF(ISNUMBER(SEARCH("healthy",AB578)),"yes","no")</x:f>
        <x:v>no</x:v>
      </x:c>
      <x:c r="AL578" s="12" t="str">
        <x:f>IF(AG578="yes","yes","candidate_only")</x:f>
        <x:v>candidate_only</x:v>
      </x:c>
      <x:c r="AM578" s="12" t="str">
        <x:f>IF(OR(AC578="canonical",AG578="yes"),"yes","recommended")</x:f>
        <x:v>recommended</x:v>
      </x:c>
      <x:c r="AN578" s="12" t="str">
        <x:f>IF(AC578="deprecated","exclude",IF(AND(AG578="yes",AJ578="high"),"import_but_human_review_required",IF(AG578="yes","import_as_active","import_as_backlog")))</x:f>
        <x:v>import_as_backlog</x:v>
      </x:c>
      <x:c r="AO578" s="12" t="str">
        <x:f>IF(AND(AG578="yes",OR(P578="",Q578="",R578="",S578="")),"missing_required_mvp_fields",IF(AND(AC578="canonical",Y578=""),"missing_source_ref","ok"))</x:f>
        <x:v>ok</x:v>
      </x:c>
      <x:c r="AP578" s="12" t="str">
        <x:f>IF(AO578="ok","ready_for_codex_import","needs_review")</x:f>
        <x:v>ready_for_codex_import</x:v>
      </x:c>
      <x:c r="AQ578" s="12"/>
      <x:c r="AR578" s="12" t="str">
        <x:v>Added v2 operational fields. Review before classification activation.</x:v>
      </x:c>
    </x:row>
    <x:row r="579">
      <x:c r="A579" s="13" t="str">
        <x:v>decoy_effect_loss_frame_variant</x:v>
      </x:c>
      <x:c r="B579" s="13" t="str">
        <x:v>decoy_effect</x:v>
      </x:c>
      <x:c r="C579" s="13" t="str">
        <x:v>Decoy effect</x:v>
      </x:c>
      <x:c r="D579" s="13" t="str">
        <x:v>اثر طعمه</x:v>
      </x:c>
      <x:c r="E579" s="13" t="str">
        <x:v>Loss-frame variant</x:v>
      </x:c>
      <x:c r="F579" s="13" t="str">
        <x:v>decision_biases_behavioural_economics</x:v>
      </x:c>
      <x:c r="G579" s="13" t="str">
        <x:v>operational_variant</x:v>
      </x:c>
      <x:c r="H579" s="13" t="str">
        <x:v>contextual</x:v>
      </x:c>
      <x:c r="I579" s="13" t="str">
        <x:v>claim+context</x:v>
      </x:c>
      <x:c r="J579" s="13" t="str">
        <x:v>derived_operational_subtype</x:v>
      </x:c>
      <x:c r="K579" s="13" t="str">
        <x:v>derived_from_established_parent_review_required</x:v>
      </x:c>
      <x:c r="L579" s="13" t="str">
        <x:v>P2</x:v>
      </x:c>
      <x:c r="M579" s="13" t="str">
        <x:v>no</x:v>
      </x:c>
      <x:c r="N579" s="13" t="str">
        <x:v>Operational subtype under Decoy effect: the reasoning depends on a loss framing. Parent definition: Preferences change when an asymmetrically dominated option is introduced.</x:v>
      </x:c>
      <x:c r="O579" s="13" t="str">
        <x:v>Look for: explicit claim-level evidence; parent-family cues for Decoy effect; variant cue: the reasoning depends on a loss framing; avoid author-level inference.</x:v>
      </x:c>
      <x:c r="P579" s="13" t="str">
        <x:v>Exact evidence span in text plus claim-level reasoning link; for contextual/discourse entries, require surrounding context.</x:v>
      </x:c>
      <x:c r="Q579" s="13" t="str">
        <x:v>Do not label merely because topic is controversial, emotional, or wrong. Do not judge intent or personality. Require textual evidence and consider healthy-reasoning cues.</x:v>
      </x:c>
      <x:c r="R579" s="13" t="str">
        <x:v>Stub: A claim relies on the reasoning depends on a loss framing to support a conclusion without adequate qualification.</x:v>
      </x:c>
      <x:c r="S579" s="13" t="str">
        <x:v>Stub: A claim discusses decoy effect with caveats, balanced evidence, or no argumentative use of the pattern.</x:v>
      </x:c>
      <x:c r="T579" s="13" t="str">
        <x:v>Mild or ambiguous cue; do not classify without clear evidence span.</x:v>
      </x:c>
      <x:c r="U579" s="13" t="str">
        <x:v>Clear claim-level pattern with some argumentative impact.</x:v>
      </x:c>
      <x:c r="V579" s="13" t="str">
        <x:v>Strong pattern central to the conclusion and likely to materially distort reasoning.</x:v>
      </x:c>
      <x:c r="W579" s="13" t="str"/>
      <x:c r="X579" s="13" t="str">
        <x:v>thaler_sunstein_nudge</x:v>
      </x:c>
      <x:c r="Y579" s="13" t="str">
        <x:v>https://yalebooks.yale.edu/book/9780300262285/nudge/</x:v>
      </x:c>
      <x:c r="Z579" s="13" t="str">
        <x:v>Review before enabling. This workbook is a living taxonomy scaffold, not a validated scientific benchmark.</x:v>
      </x:c>
      <x:c r="AA579" s="13" t="str">
        <x:v>0.1.0-draft</x:v>
      </x:c>
      <x:c r="AB579" s="12" t="str">
        <x:f>IF(ISNUMBER(SEARCH("healthy",F579)),"healthy_reasoning_patterns",IF(ISNUMBER(SEARCH("statistical",F579)),"statistical_reasoning",IF(ISNUMBER(SEARCH("causal",F579)),"causal_reasoning",IF(ISNUMBER(SEARCH("social",F579)),"social_influence",IF(ISNUMBER(SEARCH("rhetoric",F579)),"rhetoric_discourse",IF(ISNUMBER(SEARCH("behavior",F579)),"behavioural_economics",IF(ISNUMBER(SEARCH("cognitive",F579)),"cognitive_biases",IF(J579="protective_pattern","healthy_reasoning_patterns",IF(L579="P0","core_mvp","extended_fallacies")))))))))</x:f>
        <x:v>extended_fallacies</x:v>
      </x:c>
      <x:c r="AC579" s="12" t="str">
        <x:f>IF(ISNUMBER(SEARCH("operational",J579)),"operational",IF(ISNUMBER(SEARCH("deprecated",J579)),"deprecated",IF(L579="P0","canonical","recognized_subtype")))</x:f>
        <x:v>operational</x:v>
      </x:c>
      <x:c r="AD579" s="12" t="str">
        <x:f>IF(AC579="canonical","high",IF(AC579="recognized_subtype","medium",IF(AC579="operational","operational_only","debated")))</x:f>
        <x:v>operational_only</x:v>
      </x:c>
      <x:c r="AE579" s="12" t="str">
        <x:f>IF(AC579="deprecated","deprecated",IF(M579="yes","active",IF(M579="review","review_required","backlog")))</x:f>
        <x:v>backlog</x:v>
      </x:c>
      <x:c r="AF579" s="12" t="str">
        <x:f>IF(OR(AE579="active",AE579="review_required"),"yes","no")</x:f>
        <x:v>no</x:v>
      </x:c>
      <x:c r="AG579" s="12" t="str">
        <x:f>IF(AND(AE579="active",M579="yes",NOT(ISNUMBER(SEARCH("healthy",AB579)))),"yes","no")</x:f>
        <x:v>no</x:v>
      </x:c>
      <x:c r="AH579" s="12" t="str">
        <x:f>IF(OR(H579="contextual",H579="dialogue",H579="discourse",I579="claim+context",I579="discourse_segment"),"yes","no")</x:f>
        <x:v>yes</x:v>
      </x:c>
      <x:c r="AI579" s="12" t="str">
        <x:f>IF(OR(AH579="yes",AD579="debated",AC579="operational"),"yes","no")</x:f>
        <x:v>yes</x:v>
      </x:c>
      <x:c r="AJ579" s="12" t="str">
        <x:f>IF(OR(AH579="yes",AC579="operational",AD579="debated"),"high",IF(AND(AG579="yes",L579="P0"),"medium","low"))</x:f>
        <x:v>high</x:v>
      </x:c>
      <x:c r="AK579" s="12" t="str">
        <x:f>IF(ISNUMBER(SEARCH("healthy",AB579)),"yes","no")</x:f>
        <x:v>no</x:v>
      </x:c>
      <x:c r="AL579" s="12" t="str">
        <x:f>IF(AG579="yes","yes","candidate_only")</x:f>
        <x:v>candidate_only</x:v>
      </x:c>
      <x:c r="AM579" s="12" t="str">
        <x:f>IF(OR(AC579="canonical",AG579="yes"),"yes","recommended")</x:f>
        <x:v>recommended</x:v>
      </x:c>
      <x:c r="AN579" s="12" t="str">
        <x:f>IF(AC579="deprecated","exclude",IF(AND(AG579="yes",AJ579="high"),"import_but_human_review_required",IF(AG579="yes","import_as_active","import_as_backlog")))</x:f>
        <x:v>import_as_backlog</x:v>
      </x:c>
      <x:c r="AO579" s="12" t="str">
        <x:f>IF(AND(AG579="yes",OR(P579="",Q579="",R579="",S579="")),"missing_required_mvp_fields",IF(AND(AC579="canonical",Y579=""),"missing_source_ref","ok"))</x:f>
        <x:v>ok</x:v>
      </x:c>
      <x:c r="AP579" s="12" t="str">
        <x:f>IF(AO579="ok","ready_for_codex_import","needs_review")</x:f>
        <x:v>ready_for_codex_import</x:v>
      </x:c>
      <x:c r="AQ579" s="12"/>
      <x:c r="AR579" s="12" t="str">
        <x:v>Added v2 operational fields. Review before classification activation.</x:v>
      </x:c>
    </x:row>
    <x:row r="580">
      <x:c r="A580" s="13" t="str">
        <x:v>compromise_effect_loss_frame_variant</x:v>
      </x:c>
      <x:c r="B580" s="13" t="str">
        <x:v>compromise_effect</x:v>
      </x:c>
      <x:c r="C580" s="13" t="str">
        <x:v>Compromise effect</x:v>
      </x:c>
      <x:c r="D580" s="13" t="str">
        <x:v>اثر گزینه میانی</x:v>
      </x:c>
      <x:c r="E580" s="13" t="str">
        <x:v>Loss-frame variant</x:v>
      </x:c>
      <x:c r="F580" s="13" t="str">
        <x:v>decision_biases_behavioural_economics</x:v>
      </x:c>
      <x:c r="G580" s="13" t="str">
        <x:v>operational_variant</x:v>
      </x:c>
      <x:c r="H580" s="13" t="str">
        <x:v>contextual</x:v>
      </x:c>
      <x:c r="I580" s="13" t="str">
        <x:v>claim+context</x:v>
      </x:c>
      <x:c r="J580" s="13" t="str">
        <x:v>derived_operational_subtype</x:v>
      </x:c>
      <x:c r="K580" s="13" t="str">
        <x:v>derived_from_established_parent_review_required</x:v>
      </x:c>
      <x:c r="L580" s="13" t="str">
        <x:v>P2</x:v>
      </x:c>
      <x:c r="M580" s="13" t="str">
        <x:v>no</x:v>
      </x:c>
      <x:c r="N580" s="13" t="str">
        <x:v>Operational subtype under Compromise effect: the reasoning depends on a loss framing. Parent definition: Preferring middle options because they appear safer or balanced.</x:v>
      </x:c>
      <x:c r="O580" s="13" t="str">
        <x:v>Look for: explicit claim-level evidence; parent-family cues for Compromise effect; variant cue: the reasoning depends on a loss framing; avoid author-level inference.</x:v>
      </x:c>
      <x:c r="P580" s="13" t="str">
        <x:v>Exact evidence span in text plus claim-level reasoning link; for contextual/discourse entries, require surrounding context.</x:v>
      </x:c>
      <x:c r="Q580" s="13" t="str">
        <x:v>Do not label merely because topic is controversial, emotional, or wrong. Do not judge intent or personality. Require textual evidence and consider healthy-reasoning cues.</x:v>
      </x:c>
      <x:c r="R580" s="13" t="str">
        <x:v>Stub: A claim relies on the reasoning depends on a loss framing to support a conclusion without adequate qualification.</x:v>
      </x:c>
      <x:c r="S580" s="13" t="str">
        <x:v>Stub: A claim discusses compromise effect with caveats, balanced evidence, or no argumentative use of the pattern.</x:v>
      </x:c>
      <x:c r="T580" s="13" t="str">
        <x:v>Mild or ambiguous cue; do not classify without clear evidence span.</x:v>
      </x:c>
      <x:c r="U580" s="13" t="str">
        <x:v>Clear claim-level pattern with some argumentative impact.</x:v>
      </x:c>
      <x:c r="V580" s="13" t="str">
        <x:v>Strong pattern central to the conclusion and likely to materially distort reasoning.</x:v>
      </x:c>
      <x:c r="W580" s="13" t="str"/>
      <x:c r="X580" s="13" t="str">
        <x:v>thaler_sunstein_nudge</x:v>
      </x:c>
      <x:c r="Y580" s="13" t="str">
        <x:v>https://yalebooks.yale.edu/book/9780300262285/nudge/</x:v>
      </x:c>
      <x:c r="Z580" s="13" t="str">
        <x:v>Review before enabling. This workbook is a living taxonomy scaffold, not a validated scientific benchmark.</x:v>
      </x:c>
      <x:c r="AA580" s="13" t="str">
        <x:v>0.1.0-draft</x:v>
      </x:c>
      <x:c r="AB580" s="12" t="str">
        <x:f>IF(ISNUMBER(SEARCH("healthy",F580)),"healthy_reasoning_patterns",IF(ISNUMBER(SEARCH("statistical",F580)),"statistical_reasoning",IF(ISNUMBER(SEARCH("causal",F580)),"causal_reasoning",IF(ISNUMBER(SEARCH("social",F580)),"social_influence",IF(ISNUMBER(SEARCH("rhetoric",F580)),"rhetoric_discourse",IF(ISNUMBER(SEARCH("behavior",F580)),"behavioural_economics",IF(ISNUMBER(SEARCH("cognitive",F580)),"cognitive_biases",IF(J580="protective_pattern","healthy_reasoning_patterns",IF(L580="P0","core_mvp","extended_fallacies")))))))))</x:f>
        <x:v>extended_fallacies</x:v>
      </x:c>
      <x:c r="AC580" s="12" t="str">
        <x:f>IF(ISNUMBER(SEARCH("operational",J580)),"operational",IF(ISNUMBER(SEARCH("deprecated",J580)),"deprecated",IF(L580="P0","canonical","recognized_subtype")))</x:f>
        <x:v>operational</x:v>
      </x:c>
      <x:c r="AD580" s="12" t="str">
        <x:f>IF(AC580="canonical","high",IF(AC580="recognized_subtype","medium",IF(AC580="operational","operational_only","debated")))</x:f>
        <x:v>operational_only</x:v>
      </x:c>
      <x:c r="AE580" s="12" t="str">
        <x:f>IF(AC580="deprecated","deprecated",IF(M580="yes","active",IF(M580="review","review_required","backlog")))</x:f>
        <x:v>backlog</x:v>
      </x:c>
      <x:c r="AF580" s="12" t="str">
        <x:f>IF(OR(AE580="active",AE580="review_required"),"yes","no")</x:f>
        <x:v>no</x:v>
      </x:c>
      <x:c r="AG580" s="12" t="str">
        <x:f>IF(AND(AE580="active",M580="yes",NOT(ISNUMBER(SEARCH("healthy",AB580)))),"yes","no")</x:f>
        <x:v>no</x:v>
      </x:c>
      <x:c r="AH580" s="12" t="str">
        <x:f>IF(OR(H580="contextual",H580="dialogue",H580="discourse",I580="claim+context",I580="discourse_segment"),"yes","no")</x:f>
        <x:v>yes</x:v>
      </x:c>
      <x:c r="AI580" s="12" t="str">
        <x:f>IF(OR(AH580="yes",AD580="debated",AC580="operational"),"yes","no")</x:f>
        <x:v>yes</x:v>
      </x:c>
      <x:c r="AJ580" s="12" t="str">
        <x:f>IF(OR(AH580="yes",AC580="operational",AD580="debated"),"high",IF(AND(AG580="yes",L580="P0"),"medium","low"))</x:f>
        <x:v>high</x:v>
      </x:c>
      <x:c r="AK580" s="12" t="str">
        <x:f>IF(ISNUMBER(SEARCH("healthy",AB580)),"yes","no")</x:f>
        <x:v>no</x:v>
      </x:c>
      <x:c r="AL580" s="12" t="str">
        <x:f>IF(AG580="yes","yes","candidate_only")</x:f>
        <x:v>candidate_only</x:v>
      </x:c>
      <x:c r="AM580" s="12" t="str">
        <x:f>IF(OR(AC580="canonical",AG580="yes"),"yes","recommended")</x:f>
        <x:v>recommended</x:v>
      </x:c>
      <x:c r="AN580" s="12" t="str">
        <x:f>IF(AC580="deprecated","exclude",IF(AND(AG580="yes",AJ580="high"),"import_but_human_review_required",IF(AG580="yes","import_as_active","import_as_backlog")))</x:f>
        <x:v>import_as_backlog</x:v>
      </x:c>
      <x:c r="AO580" s="12" t="str">
        <x:f>IF(AND(AG580="yes",OR(P580="",Q580="",R580="",S580="")),"missing_required_mvp_fields",IF(AND(AC580="canonical",Y580=""),"missing_source_ref","ok"))</x:f>
        <x:v>ok</x:v>
      </x:c>
      <x:c r="AP580" s="12" t="str">
        <x:f>IF(AO580="ok","ready_for_codex_import","needs_review")</x:f>
        <x:v>ready_for_codex_import</x:v>
      </x:c>
      <x:c r="AQ580" s="12"/>
      <x:c r="AR580" s="12" t="str">
        <x:v>Added v2 operational fields. Review before classification activation.</x:v>
      </x:c>
    </x:row>
    <x:row r="581">
      <x:c r="A581" s="13" t="str">
        <x:v>scarcity_bias_loss_frame_variant</x:v>
      </x:c>
      <x:c r="B581" s="13" t="str">
        <x:v>scarcity_bias</x:v>
      </x:c>
      <x:c r="C581" s="13" t="str">
        <x:v>Scarcity bias</x:v>
      </x:c>
      <x:c r="D581" s="13" t="str">
        <x:v>سوگیری کمیابی</x:v>
      </x:c>
      <x:c r="E581" s="13" t="str">
        <x:v>Loss-frame variant</x:v>
      </x:c>
      <x:c r="F581" s="13" t="str">
        <x:v>decision_biases_behavioural_economics</x:v>
      </x:c>
      <x:c r="G581" s="13" t="str">
        <x:v>operational_variant</x:v>
      </x:c>
      <x:c r="H581" s="13" t="str">
        <x:v>discourse</x:v>
      </x:c>
      <x:c r="I581" s="13" t="str">
        <x:v>discourse_segment</x:v>
      </x:c>
      <x:c r="J581" s="13" t="str">
        <x:v>derived_operational_subtype</x:v>
      </x:c>
      <x:c r="K581" s="13" t="str">
        <x:v>derived_from_established_parent_review_required</x:v>
      </x:c>
      <x:c r="L581" s="13" t="str">
        <x:v>P2</x:v>
      </x:c>
      <x:c r="M581" s="13" t="str">
        <x:v>no</x:v>
      </x:c>
      <x:c r="N581" s="13" t="str">
        <x:v>Operational subtype under Scarcity bias: the reasoning depends on a loss framing. Parent definition: Overvaluing something because it is framed as scarce.</x:v>
      </x:c>
      <x:c r="O581" s="13" t="str">
        <x:v>Look for: explicit claim-level evidence; parent-family cues for Scarcity bias; variant cue: the reasoning depends on a loss framing; avoid author-level inference.</x:v>
      </x:c>
      <x:c r="P581" s="13" t="str">
        <x:v>Exact evidence span in text plus claim-level reasoning link; for contextual/discourse entries, require surrounding context.</x:v>
      </x:c>
      <x:c r="Q581" s="13" t="str">
        <x:v>Do not label merely because topic is controversial, emotional, or wrong. Do not judge intent or personality. Require textual evidence and consider healthy-reasoning cues.</x:v>
      </x:c>
      <x:c r="R581" s="13" t="str">
        <x:v>Stub: A claim relies on the reasoning depends on a loss framing to support a conclusion without adequate qualification.</x:v>
      </x:c>
      <x:c r="S581" s="13" t="str">
        <x:v>Stub: A claim discusses scarcity bias with caveats, balanced evidence, or no argumentative use of the pattern.</x:v>
      </x:c>
      <x:c r="T581" s="13" t="str">
        <x:v>Mild or ambiguous cue; do not classify without clear evidence span.</x:v>
      </x:c>
      <x:c r="U581" s="13" t="str">
        <x:v>Clear claim-level pattern with some argumentative impact.</x:v>
      </x:c>
      <x:c r="V581" s="13" t="str">
        <x:v>Strong pattern central to the conclusion and likely to materially distort reasoning.</x:v>
      </x:c>
      <x:c r="W581" s="13" t="str"/>
      <x:c r="X581" s="13" t="str">
        <x:v>cialdini_influence</x:v>
      </x:c>
      <x:c r="Y581" s="13" t="str">
        <x:v>https://www.pearson.com/en-us/subject-catalog/p/influence-science-and-practice/P200000003004</x:v>
      </x:c>
      <x:c r="Z581" s="13" t="str">
        <x:v>Review before enabling. This workbook is a living taxonomy scaffold, not a validated scientific benchmark.</x:v>
      </x:c>
      <x:c r="AA581" s="13" t="str">
        <x:v>0.1.0-draft</x:v>
      </x:c>
      <x:c r="AB581" s="12" t="str">
        <x:f>IF(ISNUMBER(SEARCH("healthy",F581)),"healthy_reasoning_patterns",IF(ISNUMBER(SEARCH("statistical",F581)),"statistical_reasoning",IF(ISNUMBER(SEARCH("causal",F581)),"causal_reasoning",IF(ISNUMBER(SEARCH("social",F581)),"social_influence",IF(ISNUMBER(SEARCH("rhetoric",F581)),"rhetoric_discourse",IF(ISNUMBER(SEARCH("behavior",F581)),"behavioural_economics",IF(ISNUMBER(SEARCH("cognitive",F581)),"cognitive_biases",IF(J581="protective_pattern","healthy_reasoning_patterns",IF(L581="P0","core_mvp","extended_fallacies")))))))))</x:f>
        <x:v>extended_fallacies</x:v>
      </x:c>
      <x:c r="AC581" s="12" t="str">
        <x:f>IF(ISNUMBER(SEARCH("operational",J581)),"operational",IF(ISNUMBER(SEARCH("deprecated",J581)),"deprecated",IF(L581="P0","canonical","recognized_subtype")))</x:f>
        <x:v>operational</x:v>
      </x:c>
      <x:c r="AD581" s="12" t="str">
        <x:f>IF(AC581="canonical","high",IF(AC581="recognized_subtype","medium",IF(AC581="operational","operational_only","debated")))</x:f>
        <x:v>operational_only</x:v>
      </x:c>
      <x:c r="AE581" s="12" t="str">
        <x:f>IF(AC581="deprecated","deprecated",IF(M581="yes","active",IF(M581="review","review_required","backlog")))</x:f>
        <x:v>backlog</x:v>
      </x:c>
      <x:c r="AF581" s="12" t="str">
        <x:f>IF(OR(AE581="active",AE581="review_required"),"yes","no")</x:f>
        <x:v>no</x:v>
      </x:c>
      <x:c r="AG581" s="12" t="str">
        <x:f>IF(AND(AE581="active",M581="yes",NOT(ISNUMBER(SEARCH("healthy",AB581)))),"yes","no")</x:f>
        <x:v>no</x:v>
      </x:c>
      <x:c r="AH581" s="12" t="str">
        <x:f>IF(OR(H581="contextual",H581="dialogue",H581="discourse",I581="claim+context",I581="discourse_segment"),"yes","no")</x:f>
        <x:v>yes</x:v>
      </x:c>
      <x:c r="AI581" s="12" t="str">
        <x:f>IF(OR(AH581="yes",AD581="debated",AC581="operational"),"yes","no")</x:f>
        <x:v>yes</x:v>
      </x:c>
      <x:c r="AJ581" s="12" t="str">
        <x:f>IF(OR(AH581="yes",AC581="operational",AD581="debated"),"high",IF(AND(AG581="yes",L581="P0"),"medium","low"))</x:f>
        <x:v>high</x:v>
      </x:c>
      <x:c r="AK581" s="12" t="str">
        <x:f>IF(ISNUMBER(SEARCH("healthy",AB581)),"yes","no")</x:f>
        <x:v>no</x:v>
      </x:c>
      <x:c r="AL581" s="12" t="str">
        <x:f>IF(AG581="yes","yes","candidate_only")</x:f>
        <x:v>candidate_only</x:v>
      </x:c>
      <x:c r="AM581" s="12" t="str">
        <x:f>IF(OR(AC581="canonical",AG581="yes"),"yes","recommended")</x:f>
        <x:v>recommended</x:v>
      </x:c>
      <x:c r="AN581" s="12" t="str">
        <x:f>IF(AC581="deprecated","exclude",IF(AND(AG581="yes",AJ581="high"),"import_but_human_review_required",IF(AG581="yes","import_as_active","import_as_backlog")))</x:f>
        <x:v>import_as_backlog</x:v>
      </x:c>
      <x:c r="AO581" s="12" t="str">
        <x:f>IF(AND(AG581="yes",OR(P581="",Q581="",R581="",S581="")),"missing_required_mvp_fields",IF(AND(AC581="canonical",Y581=""),"missing_source_ref","ok"))</x:f>
        <x:v>ok</x:v>
      </x:c>
      <x:c r="AP581" s="12" t="str">
        <x:f>IF(AO581="ok","ready_for_codex_import","needs_review")</x:f>
        <x:v>ready_for_codex_import</x:v>
      </x:c>
      <x:c r="AQ581" s="12"/>
      <x:c r="AR581" s="12" t="str">
        <x:v>Added v2 operational fields. Review before classification activation.</x:v>
      </x:c>
    </x:row>
    <x:row r="582">
      <x:c r="A582" s="13" t="str">
        <x:v>zero_price_effect_loss_frame_variant</x:v>
      </x:c>
      <x:c r="B582" s="13" t="str">
        <x:v>zero_price_effect</x:v>
      </x:c>
      <x:c r="C582" s="13" t="str">
        <x:v>Zero-price effect</x:v>
      </x:c>
      <x:c r="D582" s="13" t="str">
        <x:v>اثر قیمت صفر</x:v>
      </x:c>
      <x:c r="E582" s="13" t="str">
        <x:v>Loss-frame variant</x:v>
      </x:c>
      <x:c r="F582" s="13" t="str">
        <x:v>decision_biases_behavioural_economics</x:v>
      </x:c>
      <x:c r="G582" s="13" t="str">
        <x:v>operational_variant</x:v>
      </x:c>
      <x:c r="H582" s="13" t="str">
        <x:v>contextual</x:v>
      </x:c>
      <x:c r="I582" s="13" t="str">
        <x:v>claim+context</x:v>
      </x:c>
      <x:c r="J582" s="13" t="str">
        <x:v>derived_operational_subtype</x:v>
      </x:c>
      <x:c r="K582" s="13" t="str">
        <x:v>derived_from_established_parent_review_required</x:v>
      </x:c>
      <x:c r="L582" s="13" t="str">
        <x:v>P2</x:v>
      </x:c>
      <x:c r="M582" s="13" t="str">
        <x:v>no</x:v>
      </x:c>
      <x:c r="N582" s="13" t="str">
        <x:v>Operational subtype under Zero-price effect: the reasoning depends on a loss framing. Parent definition: Overvaluing free options relative to small-cost alternatives.</x:v>
      </x:c>
      <x:c r="O582" s="13" t="str">
        <x:v>Look for: explicit claim-level evidence; parent-family cues for Zero-price effect; variant cue: the reasoning depends on a loss framing; avoid author-level inference.</x:v>
      </x:c>
      <x:c r="P582" s="13" t="str">
        <x:v>Exact evidence span in text plus claim-level reasoning link; for contextual/discourse entries, require surrounding context.</x:v>
      </x:c>
      <x:c r="Q582" s="13" t="str">
        <x:v>Do not label merely because topic is controversial, emotional, or wrong. Do not judge intent or personality. Require textual evidence and consider healthy-reasoning cues.</x:v>
      </x:c>
      <x:c r="R582" s="13" t="str">
        <x:v>Stub: A claim relies on the reasoning depends on a loss framing to support a conclusion without adequate qualification.</x:v>
      </x:c>
      <x:c r="S582" s="13" t="str">
        <x:v>Stub: A claim discusses zero-price effect with caveats, balanced evidence, or no argumentative use of the pattern.</x:v>
      </x:c>
      <x:c r="T582" s="13" t="str">
        <x:v>Mild or ambiguous cue; do not classify without clear evidence span.</x:v>
      </x:c>
      <x:c r="U582" s="13" t="str">
        <x:v>Clear claim-level pattern with some argumentative impact.</x:v>
      </x:c>
      <x:c r="V582" s="13" t="str">
        <x:v>Strong pattern central to the conclusion and likely to materially distort reasoning.</x:v>
      </x:c>
      <x:c r="W582" s="13" t="str"/>
      <x:c r="X582" s="13" t="str">
        <x:v>thaler_sunstein_nudge</x:v>
      </x:c>
      <x:c r="Y582" s="13" t="str">
        <x:v>https://yalebooks.yale.edu/book/9780300262285/nudge/</x:v>
      </x:c>
      <x:c r="Z582" s="13" t="str">
        <x:v>Review before enabling. This workbook is a living taxonomy scaffold, not a validated scientific benchmark.</x:v>
      </x:c>
      <x:c r="AA582" s="13" t="str">
        <x:v>0.1.0-draft</x:v>
      </x:c>
      <x:c r="AB582" s="12" t="str">
        <x:f>IF(ISNUMBER(SEARCH("healthy",F582)),"healthy_reasoning_patterns",IF(ISNUMBER(SEARCH("statistical",F582)),"statistical_reasoning",IF(ISNUMBER(SEARCH("causal",F582)),"causal_reasoning",IF(ISNUMBER(SEARCH("social",F582)),"social_influence",IF(ISNUMBER(SEARCH("rhetoric",F582)),"rhetoric_discourse",IF(ISNUMBER(SEARCH("behavior",F582)),"behavioural_economics",IF(ISNUMBER(SEARCH("cognitive",F582)),"cognitive_biases",IF(J582="protective_pattern","healthy_reasoning_patterns",IF(L582="P0","core_mvp","extended_fallacies")))))))))</x:f>
        <x:v>extended_fallacies</x:v>
      </x:c>
      <x:c r="AC582" s="12" t="str">
        <x:f>IF(ISNUMBER(SEARCH("operational",J582)),"operational",IF(ISNUMBER(SEARCH("deprecated",J582)),"deprecated",IF(L582="P0","canonical","recognized_subtype")))</x:f>
        <x:v>operational</x:v>
      </x:c>
      <x:c r="AD582" s="12" t="str">
        <x:f>IF(AC582="canonical","high",IF(AC582="recognized_subtype","medium",IF(AC582="operational","operational_only","debated")))</x:f>
        <x:v>operational_only</x:v>
      </x:c>
      <x:c r="AE582" s="12" t="str">
        <x:f>IF(AC582="deprecated","deprecated",IF(M582="yes","active",IF(M582="review","review_required","backlog")))</x:f>
        <x:v>backlog</x:v>
      </x:c>
      <x:c r="AF582" s="12" t="str">
        <x:f>IF(OR(AE582="active",AE582="review_required"),"yes","no")</x:f>
        <x:v>no</x:v>
      </x:c>
      <x:c r="AG582" s="12" t="str">
        <x:f>IF(AND(AE582="active",M582="yes",NOT(ISNUMBER(SEARCH("healthy",AB582)))),"yes","no")</x:f>
        <x:v>no</x:v>
      </x:c>
      <x:c r="AH582" s="12" t="str">
        <x:f>IF(OR(H582="contextual",H582="dialogue",H582="discourse",I582="claim+context",I582="discourse_segment"),"yes","no")</x:f>
        <x:v>yes</x:v>
      </x:c>
      <x:c r="AI582" s="12" t="str">
        <x:f>IF(OR(AH582="yes",AD582="debated",AC582="operational"),"yes","no")</x:f>
        <x:v>yes</x:v>
      </x:c>
      <x:c r="AJ582" s="12" t="str">
        <x:f>IF(OR(AH582="yes",AC582="operational",AD582="debated"),"high",IF(AND(AG582="yes",L582="P0"),"medium","low"))</x:f>
        <x:v>high</x:v>
      </x:c>
      <x:c r="AK582" s="12" t="str">
        <x:f>IF(ISNUMBER(SEARCH("healthy",AB582)),"yes","no")</x:f>
        <x:v>no</x:v>
      </x:c>
      <x:c r="AL582" s="12" t="str">
        <x:f>IF(AG582="yes","yes","candidate_only")</x:f>
        <x:v>candidate_only</x:v>
      </x:c>
      <x:c r="AM582" s="12" t="str">
        <x:f>IF(OR(AC582="canonical",AG582="yes"),"yes","recommended")</x:f>
        <x:v>recommended</x:v>
      </x:c>
      <x:c r="AN582" s="12" t="str">
        <x:f>IF(AC582="deprecated","exclude",IF(AND(AG582="yes",AJ582="high"),"import_but_human_review_required",IF(AG582="yes","import_as_active","import_as_backlog")))</x:f>
        <x:v>import_as_backlog</x:v>
      </x:c>
      <x:c r="AO582" s="12" t="str">
        <x:f>IF(AND(AG582="yes",OR(P582="",Q582="",R582="",S582="")),"missing_required_mvp_fields",IF(AND(AC582="canonical",Y582=""),"missing_source_ref","ok"))</x:f>
        <x:v>ok</x:v>
      </x:c>
      <x:c r="AP582" s="12" t="str">
        <x:f>IF(AO582="ok","ready_for_codex_import","needs_review")</x:f>
        <x:v>ready_for_codex_import</x:v>
      </x:c>
      <x:c r="AQ582" s="12"/>
      <x:c r="AR582" s="12" t="str">
        <x:v>Added v2 operational fields. Review before classification activation.</x:v>
      </x:c>
    </x:row>
    <x:row r="583">
      <x:c r="A583" s="13" t="str">
        <x:v>mental_accounting_loss_frame_variant</x:v>
      </x:c>
      <x:c r="B583" s="13" t="str">
        <x:v>mental_accounting</x:v>
      </x:c>
      <x:c r="C583" s="13" t="str">
        <x:v>Mental accounting</x:v>
      </x:c>
      <x:c r="D583" s="13" t="str">
        <x:v>حسابداری ذهنی</x:v>
      </x:c>
      <x:c r="E583" s="13" t="str">
        <x:v>Loss-frame variant</x:v>
      </x:c>
      <x:c r="F583" s="13" t="str">
        <x:v>decision_biases_behavioural_economics</x:v>
      </x:c>
      <x:c r="G583" s="13" t="str">
        <x:v>operational_variant</x:v>
      </x:c>
      <x:c r="H583" s="13" t="str">
        <x:v>contextual</x:v>
      </x:c>
      <x:c r="I583" s="13" t="str">
        <x:v>claim+context</x:v>
      </x:c>
      <x:c r="J583" s="13" t="str">
        <x:v>derived_operational_subtype</x:v>
      </x:c>
      <x:c r="K583" s="13" t="str">
        <x:v>derived_from_established_parent_review_required</x:v>
      </x:c>
      <x:c r="L583" s="13" t="str">
        <x:v>P2</x:v>
      </x:c>
      <x:c r="M583" s="13" t="str">
        <x:v>no</x:v>
      </x:c>
      <x:c r="N583" s="13" t="str">
        <x:v>Operational subtype under Mental accounting: the reasoning depends on a loss framing. Parent definition: Treating money or resources differently based on arbitrary mental categories.</x:v>
      </x:c>
      <x:c r="O583" s="13" t="str">
        <x:v>Look for: explicit claim-level evidence; parent-family cues for Mental accounting; variant cue: the reasoning depends on a loss framing; avoid author-level inference.</x:v>
      </x:c>
      <x:c r="P583" s="13" t="str">
        <x:v>Exact evidence span in text plus claim-level reasoning link; for contextual/discourse entries, require surrounding context.</x:v>
      </x:c>
      <x:c r="Q583" s="13" t="str">
        <x:v>Do not label merely because topic is controversial, emotional, or wrong. Do not judge intent or personality. Require textual evidence and consider healthy-reasoning cues.</x:v>
      </x:c>
      <x:c r="R583" s="13" t="str">
        <x:v>Stub: A claim relies on the reasoning depends on a loss framing to support a conclusion without adequate qualification.</x:v>
      </x:c>
      <x:c r="S583" s="13" t="str">
        <x:v>Stub: A claim discusses mental accounting with caveats, balanced evidence, or no argumentative use of the pattern.</x:v>
      </x:c>
      <x:c r="T583" s="13" t="str">
        <x:v>Mild or ambiguous cue; do not classify without clear evidence span.</x:v>
      </x:c>
      <x:c r="U583" s="13" t="str">
        <x:v>Clear claim-level pattern with some argumentative impact.</x:v>
      </x:c>
      <x:c r="V583" s="13" t="str">
        <x:v>Strong pattern central to the conclusion and likely to materially distort reasoning.</x:v>
      </x:c>
      <x:c r="W583" s="13" t="str"/>
      <x:c r="X583" s="13" t="str">
        <x:v>thaler_sunstein_nudge</x:v>
      </x:c>
      <x:c r="Y583" s="13" t="str">
        <x:v>https://yalebooks.yale.edu/book/9780300262285/nudge/</x:v>
      </x:c>
      <x:c r="Z583" s="13" t="str">
        <x:v>Review before enabling. This workbook is a living taxonomy scaffold, not a validated scientific benchmark.</x:v>
      </x:c>
      <x:c r="AA583" s="13" t="str">
        <x:v>0.1.0-draft</x:v>
      </x:c>
      <x:c r="AB583" s="12" t="str">
        <x:f>IF(ISNUMBER(SEARCH("healthy",F583)),"healthy_reasoning_patterns",IF(ISNUMBER(SEARCH("statistical",F583)),"statistical_reasoning",IF(ISNUMBER(SEARCH("causal",F583)),"causal_reasoning",IF(ISNUMBER(SEARCH("social",F583)),"social_influence",IF(ISNUMBER(SEARCH("rhetoric",F583)),"rhetoric_discourse",IF(ISNUMBER(SEARCH("behavior",F583)),"behavioural_economics",IF(ISNUMBER(SEARCH("cognitive",F583)),"cognitive_biases",IF(J583="protective_pattern","healthy_reasoning_patterns",IF(L583="P0","core_mvp","extended_fallacies")))))))))</x:f>
        <x:v>extended_fallacies</x:v>
      </x:c>
      <x:c r="AC583" s="12" t="str">
        <x:f>IF(ISNUMBER(SEARCH("operational",J583)),"operational",IF(ISNUMBER(SEARCH("deprecated",J583)),"deprecated",IF(L583="P0","canonical","recognized_subtype")))</x:f>
        <x:v>operational</x:v>
      </x:c>
      <x:c r="AD583" s="12" t="str">
        <x:f>IF(AC583="canonical","high",IF(AC583="recognized_subtype","medium",IF(AC583="operational","operational_only","debated")))</x:f>
        <x:v>operational_only</x:v>
      </x:c>
      <x:c r="AE583" s="12" t="str">
        <x:f>IF(AC583="deprecated","deprecated",IF(M583="yes","active",IF(M583="review","review_required","backlog")))</x:f>
        <x:v>backlog</x:v>
      </x:c>
      <x:c r="AF583" s="12" t="str">
        <x:f>IF(OR(AE583="active",AE583="review_required"),"yes","no")</x:f>
        <x:v>no</x:v>
      </x:c>
      <x:c r="AG583" s="12" t="str">
        <x:f>IF(AND(AE583="active",M583="yes",NOT(ISNUMBER(SEARCH("healthy",AB583)))),"yes","no")</x:f>
        <x:v>no</x:v>
      </x:c>
      <x:c r="AH583" s="12" t="str">
        <x:f>IF(OR(H583="contextual",H583="dialogue",H583="discourse",I583="claim+context",I583="discourse_segment"),"yes","no")</x:f>
        <x:v>yes</x:v>
      </x:c>
      <x:c r="AI583" s="12" t="str">
        <x:f>IF(OR(AH583="yes",AD583="debated",AC583="operational"),"yes","no")</x:f>
        <x:v>yes</x:v>
      </x:c>
      <x:c r="AJ583" s="12" t="str">
        <x:f>IF(OR(AH583="yes",AC583="operational",AD583="debated"),"high",IF(AND(AG583="yes",L583="P0"),"medium","low"))</x:f>
        <x:v>high</x:v>
      </x:c>
      <x:c r="AK583" s="12" t="str">
        <x:f>IF(ISNUMBER(SEARCH("healthy",AB583)),"yes","no")</x:f>
        <x:v>no</x:v>
      </x:c>
      <x:c r="AL583" s="12" t="str">
        <x:f>IF(AG583="yes","yes","candidate_only")</x:f>
        <x:v>candidate_only</x:v>
      </x:c>
      <x:c r="AM583" s="12" t="str">
        <x:f>IF(OR(AC583="canonical",AG583="yes"),"yes","recommended")</x:f>
        <x:v>recommended</x:v>
      </x:c>
      <x:c r="AN583" s="12" t="str">
        <x:f>IF(AC583="deprecated","exclude",IF(AND(AG583="yes",AJ583="high"),"import_but_human_review_required",IF(AG583="yes","import_as_active","import_as_backlog")))</x:f>
        <x:v>import_as_backlog</x:v>
      </x:c>
      <x:c r="AO583" s="12" t="str">
        <x:f>IF(AND(AG583="yes",OR(P583="",Q583="",R583="",S583="")),"missing_required_mvp_fields",IF(AND(AC583="canonical",Y583=""),"missing_source_ref","ok"))</x:f>
        <x:v>ok</x:v>
      </x:c>
      <x:c r="AP583" s="12" t="str">
        <x:f>IF(AO583="ok","ready_for_codex_import","needs_review")</x:f>
        <x:v>ready_for_codex_import</x:v>
      </x:c>
      <x:c r="AQ583" s="12"/>
      <x:c r="AR583" s="12" t="str">
        <x:v>Added v2 operational fields. Review before classification activation.</x:v>
      </x:c>
    </x:row>
    <x:row r="584">
      <x:c r="A584" s="13" t="str">
        <x:v>reference_dependence_loss_frame_variant</x:v>
      </x:c>
      <x:c r="B584" s="13" t="str">
        <x:v>reference_dependence</x:v>
      </x:c>
      <x:c r="C584" s="13" t="str">
        <x:v>Reference dependence</x:v>
      </x:c>
      <x:c r="D584" s="13" t="str">
        <x:v>وابستگی به نقطه مرجع</x:v>
      </x:c>
      <x:c r="E584" s="13" t="str">
        <x:v>Loss-frame variant</x:v>
      </x:c>
      <x:c r="F584" s="13" t="str">
        <x:v>decision_biases_behavioural_economics</x:v>
      </x:c>
      <x:c r="G584" s="13" t="str">
        <x:v>operational_variant</x:v>
      </x:c>
      <x:c r="H584" s="13" t="str">
        <x:v>contextual</x:v>
      </x:c>
      <x:c r="I584" s="13" t="str">
        <x:v>claim+context</x:v>
      </x:c>
      <x:c r="J584" s="13" t="str">
        <x:v>derived_operational_subtype</x:v>
      </x:c>
      <x:c r="K584" s="13" t="str">
        <x:v>derived_from_established_parent_review_required</x:v>
      </x:c>
      <x:c r="L584" s="13" t="str">
        <x:v>P2</x:v>
      </x:c>
      <x:c r="M584" s="13" t="str">
        <x:v>no</x:v>
      </x:c>
      <x:c r="N584" s="13" t="str">
        <x:v>Operational subtype under Reference dependence: the reasoning depends on a loss framing. Parent definition: Evaluating outcomes relative to a reference point rather than final state.</x:v>
      </x:c>
      <x:c r="O584" s="13" t="str">
        <x:v>Look for: explicit claim-level evidence; parent-family cues for Reference dependence; variant cue: the reasoning depends on a loss framing; avoid author-level inference.</x:v>
      </x:c>
      <x:c r="P584" s="13" t="str">
        <x:v>Exact evidence span in text plus claim-level reasoning link; for contextual/discourse entries, require surrounding context.</x:v>
      </x:c>
      <x:c r="Q584" s="13" t="str">
        <x:v>Do not label merely because topic is controversial, emotional, or wrong. Do not judge intent or personality. Require textual evidence and consider healthy-reasoning cues.</x:v>
      </x:c>
      <x:c r="R584" s="13" t="str">
        <x:v>Stub: A claim relies on the reasoning depends on a loss framing to support a conclusion without adequate qualification.</x:v>
      </x:c>
      <x:c r="S584" s="13" t="str">
        <x:v>Stub: A claim discusses reference dependence with caveats, balanced evidence, or no argumentative use of the pattern.</x:v>
      </x:c>
      <x:c r="T584" s="13" t="str">
        <x:v>Mild or ambiguous cue; do not classify without clear evidence span.</x:v>
      </x:c>
      <x:c r="U584" s="13" t="str">
        <x:v>Clear claim-level pattern with some argumentative impact.</x:v>
      </x:c>
      <x:c r="V584" s="13" t="str">
        <x:v>Strong pattern central to the conclusion and likely to materially distort reasoning.</x:v>
      </x:c>
      <x:c r="W584" s="13" t="str"/>
      <x:c r="X584" s="13" t="str">
        <x:v>kahneman_tversky_prospect_1979</x:v>
      </x:c>
      <x:c r="Y584" s="13" t="str">
        <x:v>https://doi.org/10.2307/1914185</x:v>
      </x:c>
      <x:c r="Z584" s="13" t="str">
        <x:v>Review before enabling. This workbook is a living taxonomy scaffold, not a validated scientific benchmark.</x:v>
      </x:c>
      <x:c r="AA584" s="13" t="str">
        <x:v>0.1.0-draft</x:v>
      </x:c>
      <x:c r="AB584" s="12" t="str">
        <x:f>IF(ISNUMBER(SEARCH("healthy",F584)),"healthy_reasoning_patterns",IF(ISNUMBER(SEARCH("statistical",F584)),"statistical_reasoning",IF(ISNUMBER(SEARCH("causal",F584)),"causal_reasoning",IF(ISNUMBER(SEARCH("social",F584)),"social_influence",IF(ISNUMBER(SEARCH("rhetoric",F584)),"rhetoric_discourse",IF(ISNUMBER(SEARCH("behavior",F584)),"behavioural_economics",IF(ISNUMBER(SEARCH("cognitive",F584)),"cognitive_biases",IF(J584="protective_pattern","healthy_reasoning_patterns",IF(L584="P0","core_mvp","extended_fallacies")))))))))</x:f>
        <x:v>extended_fallacies</x:v>
      </x:c>
      <x:c r="AC584" s="12" t="str">
        <x:f>IF(ISNUMBER(SEARCH("operational",J584)),"operational",IF(ISNUMBER(SEARCH("deprecated",J584)),"deprecated",IF(L584="P0","canonical","recognized_subtype")))</x:f>
        <x:v>operational</x:v>
      </x:c>
      <x:c r="AD584" s="12" t="str">
        <x:f>IF(AC584="canonical","high",IF(AC584="recognized_subtype","medium",IF(AC584="operational","operational_only","debated")))</x:f>
        <x:v>operational_only</x:v>
      </x:c>
      <x:c r="AE584" s="12" t="str">
        <x:f>IF(AC584="deprecated","deprecated",IF(M584="yes","active",IF(M584="review","review_required","backlog")))</x:f>
        <x:v>backlog</x:v>
      </x:c>
      <x:c r="AF584" s="12" t="str">
        <x:f>IF(OR(AE584="active",AE584="review_required"),"yes","no")</x:f>
        <x:v>no</x:v>
      </x:c>
      <x:c r="AG584" s="12" t="str">
        <x:f>IF(AND(AE584="active",M584="yes",NOT(ISNUMBER(SEARCH("healthy",AB584)))),"yes","no")</x:f>
        <x:v>no</x:v>
      </x:c>
      <x:c r="AH584" s="12" t="str">
        <x:f>IF(OR(H584="contextual",H584="dialogue",H584="discourse",I584="claim+context",I584="discourse_segment"),"yes","no")</x:f>
        <x:v>yes</x:v>
      </x:c>
      <x:c r="AI584" s="12" t="str">
        <x:f>IF(OR(AH584="yes",AD584="debated",AC584="operational"),"yes","no")</x:f>
        <x:v>yes</x:v>
      </x:c>
      <x:c r="AJ584" s="12" t="str">
        <x:f>IF(OR(AH584="yes",AC584="operational",AD584="debated"),"high",IF(AND(AG584="yes",L584="P0"),"medium","low"))</x:f>
        <x:v>high</x:v>
      </x:c>
      <x:c r="AK584" s="12" t="str">
        <x:f>IF(ISNUMBER(SEARCH("healthy",AB584)),"yes","no")</x:f>
        <x:v>no</x:v>
      </x:c>
      <x:c r="AL584" s="12" t="str">
        <x:f>IF(AG584="yes","yes","candidate_only")</x:f>
        <x:v>candidate_only</x:v>
      </x:c>
      <x:c r="AM584" s="12" t="str">
        <x:f>IF(OR(AC584="canonical",AG584="yes"),"yes","recommended")</x:f>
        <x:v>recommended</x:v>
      </x:c>
      <x:c r="AN584" s="12" t="str">
        <x:f>IF(AC584="deprecated","exclude",IF(AND(AG584="yes",AJ584="high"),"import_but_human_review_required",IF(AG584="yes","import_as_active","import_as_backlog")))</x:f>
        <x:v>import_as_backlog</x:v>
      </x:c>
      <x:c r="AO584" s="12" t="str">
        <x:f>IF(AND(AG584="yes",OR(P584="",Q584="",R584="",S584="")),"missing_required_mvp_fields",IF(AND(AC584="canonical",Y584=""),"missing_source_ref","ok"))</x:f>
        <x:v>ok</x:v>
      </x:c>
      <x:c r="AP584" s="12" t="str">
        <x:f>IF(AO584="ok","ready_for_codex_import","needs_review")</x:f>
        <x:v>ready_for_codex_import</x:v>
      </x:c>
      <x:c r="AQ584" s="12"/>
      <x:c r="AR584" s="12" t="str">
        <x:v>Added v2 operational fields. Review before classification activation.</x:v>
      </x:c>
    </x:row>
    <x:row r="585">
      <x:c r="A585" s="13" t="str">
        <x:v>risk_seeking_in_losses_loss_frame_variant</x:v>
      </x:c>
      <x:c r="B585" s="13" t="str">
        <x:v>risk_seeking_in_losses</x:v>
      </x:c>
      <x:c r="C585" s="13" t="str">
        <x:v>Risk seeking in losses</x:v>
      </x:c>
      <x:c r="D585" s="13" t="str">
        <x:v>ریسک‌پذیری در چارچوب زیان</x:v>
      </x:c>
      <x:c r="E585" s="13" t="str">
        <x:v>Loss-frame variant</x:v>
      </x:c>
      <x:c r="F585" s="13" t="str">
        <x:v>decision_biases_behavioural_economics</x:v>
      </x:c>
      <x:c r="G585" s="13" t="str">
        <x:v>operational_variant</x:v>
      </x:c>
      <x:c r="H585" s="13" t="str">
        <x:v>contextual</x:v>
      </x:c>
      <x:c r="I585" s="13" t="str">
        <x:v>claim+context</x:v>
      </x:c>
      <x:c r="J585" s="13" t="str">
        <x:v>derived_operational_subtype</x:v>
      </x:c>
      <x:c r="K585" s="13" t="str">
        <x:v>derived_from_established_parent_review_required</x:v>
      </x:c>
      <x:c r="L585" s="13" t="str">
        <x:v>P2</x:v>
      </x:c>
      <x:c r="M585" s="13" t="str">
        <x:v>no</x:v>
      </x:c>
      <x:c r="N585" s="13" t="str">
        <x:v>Operational subtype under Risk seeking in losses: the reasoning depends on a loss framing. Parent definition: Choosing riskier options to avoid a framed loss.</x:v>
      </x:c>
      <x:c r="O585" s="13" t="str">
        <x:v>Look for: explicit claim-level evidence; parent-family cues for Risk seeking in losses; variant cue: the reasoning depends on a loss framing; avoid author-level inference.</x:v>
      </x:c>
      <x:c r="P585" s="13" t="str">
        <x:v>Exact evidence span in text plus claim-level reasoning link; for contextual/discourse entries, require surrounding context.</x:v>
      </x:c>
      <x:c r="Q585" s="13" t="str">
        <x:v>Do not label merely because topic is controversial, emotional, or wrong. Do not judge intent or personality. Require textual evidence and consider healthy-reasoning cues.</x:v>
      </x:c>
      <x:c r="R585" s="13" t="str">
        <x:v>Stub: A claim relies on the reasoning depends on a loss framing to support a conclusion without adequate qualification.</x:v>
      </x:c>
      <x:c r="S585" s="13" t="str">
        <x:v>Stub: A claim discusses risk seeking in losses with caveats, balanced evidence, or no argumentative use of the pattern.</x:v>
      </x:c>
      <x:c r="T585" s="13" t="str">
        <x:v>Mild or ambiguous cue; do not classify without clear evidence span.</x:v>
      </x:c>
      <x:c r="U585" s="13" t="str">
        <x:v>Clear claim-level pattern with some argumentative impact.</x:v>
      </x:c>
      <x:c r="V585" s="13" t="str">
        <x:v>Strong pattern central to the conclusion and likely to materially distort reasoning.</x:v>
      </x:c>
      <x:c r="W585" s="13" t="str"/>
      <x:c r="X585" s="13" t="str">
        <x:v>kahneman_tversky_prospect_1979</x:v>
      </x:c>
      <x:c r="Y585" s="13" t="str">
        <x:v>https://doi.org/10.2307/1914185</x:v>
      </x:c>
      <x:c r="Z585" s="13" t="str">
        <x:v>Review before enabling. This workbook is a living taxonomy scaffold, not a validated scientific benchmark.</x:v>
      </x:c>
      <x:c r="AA585" s="13" t="str">
        <x:v>0.1.0-draft</x:v>
      </x:c>
      <x:c r="AB585" s="12" t="str">
        <x:f>IF(ISNUMBER(SEARCH("healthy",F585)),"healthy_reasoning_patterns",IF(ISNUMBER(SEARCH("statistical",F585)),"statistical_reasoning",IF(ISNUMBER(SEARCH("causal",F585)),"causal_reasoning",IF(ISNUMBER(SEARCH("social",F585)),"social_influence",IF(ISNUMBER(SEARCH("rhetoric",F585)),"rhetoric_discourse",IF(ISNUMBER(SEARCH("behavior",F585)),"behavioural_economics",IF(ISNUMBER(SEARCH("cognitive",F585)),"cognitive_biases",IF(J585="protective_pattern","healthy_reasoning_patterns",IF(L585="P0","core_mvp","extended_fallacies")))))))))</x:f>
        <x:v>extended_fallacies</x:v>
      </x:c>
      <x:c r="AC585" s="12" t="str">
        <x:f>IF(ISNUMBER(SEARCH("operational",J585)),"operational",IF(ISNUMBER(SEARCH("deprecated",J585)),"deprecated",IF(L585="P0","canonical","recognized_subtype")))</x:f>
        <x:v>operational</x:v>
      </x:c>
      <x:c r="AD585" s="12" t="str">
        <x:f>IF(AC585="canonical","high",IF(AC585="recognized_subtype","medium",IF(AC585="operational","operational_only","debated")))</x:f>
        <x:v>operational_only</x:v>
      </x:c>
      <x:c r="AE585" s="12" t="str">
        <x:f>IF(AC585="deprecated","deprecated",IF(M585="yes","active",IF(M585="review","review_required","backlog")))</x:f>
        <x:v>backlog</x:v>
      </x:c>
      <x:c r="AF585" s="12" t="str">
        <x:f>IF(OR(AE585="active",AE585="review_required"),"yes","no")</x:f>
        <x:v>no</x:v>
      </x:c>
      <x:c r="AG585" s="12" t="str">
        <x:f>IF(AND(AE585="active",M585="yes",NOT(ISNUMBER(SEARCH("healthy",AB585)))),"yes","no")</x:f>
        <x:v>no</x:v>
      </x:c>
      <x:c r="AH585" s="12" t="str">
        <x:f>IF(OR(H585="contextual",H585="dialogue",H585="discourse",I585="claim+context",I585="discourse_segment"),"yes","no")</x:f>
        <x:v>yes</x:v>
      </x:c>
      <x:c r="AI585" s="12" t="str">
        <x:f>IF(OR(AH585="yes",AD585="debated",AC585="operational"),"yes","no")</x:f>
        <x:v>yes</x:v>
      </x:c>
      <x:c r="AJ585" s="12" t="str">
        <x:f>IF(OR(AH585="yes",AC585="operational",AD585="debated"),"high",IF(AND(AG585="yes",L585="P0"),"medium","low"))</x:f>
        <x:v>high</x:v>
      </x:c>
      <x:c r="AK585" s="12" t="str">
        <x:f>IF(ISNUMBER(SEARCH("healthy",AB585)),"yes","no")</x:f>
        <x:v>no</x:v>
      </x:c>
      <x:c r="AL585" s="12" t="str">
        <x:f>IF(AG585="yes","yes","candidate_only")</x:f>
        <x:v>candidate_only</x:v>
      </x:c>
      <x:c r="AM585" s="12" t="str">
        <x:f>IF(OR(AC585="canonical",AG585="yes"),"yes","recommended")</x:f>
        <x:v>recommended</x:v>
      </x:c>
      <x:c r="AN585" s="12" t="str">
        <x:f>IF(AC585="deprecated","exclude",IF(AND(AG585="yes",AJ585="high"),"import_but_human_review_required",IF(AG585="yes","import_as_active","import_as_backlog")))</x:f>
        <x:v>import_as_backlog</x:v>
      </x:c>
      <x:c r="AO585" s="12" t="str">
        <x:f>IF(AND(AG585="yes",OR(P585="",Q585="",R585="",S585="")),"missing_required_mvp_fields",IF(AND(AC585="canonical",Y585=""),"missing_source_ref","ok"))</x:f>
        <x:v>ok</x:v>
      </x:c>
      <x:c r="AP585" s="12" t="str">
        <x:f>IF(AO585="ok","ready_for_codex_import","needs_review")</x:f>
        <x:v>ready_for_codex_import</x:v>
      </x:c>
      <x:c r="AQ585" s="12"/>
      <x:c r="AR585" s="12" t="str">
        <x:v>Added v2 operational fields. Review before classification activation.</x:v>
      </x:c>
    </x:row>
    <x:row r="586">
      <x:c r="A586" s="13" t="str">
        <x:v>risk_aversion_in_gains_loss_frame_variant</x:v>
      </x:c>
      <x:c r="B586" s="13" t="str">
        <x:v>risk_aversion_in_gains</x:v>
      </x:c>
      <x:c r="C586" s="13" t="str">
        <x:v>Risk aversion in gains</x:v>
      </x:c>
      <x:c r="D586" s="13" t="str">
        <x:v>ریسک‌گریزی در چارچوب سود</x:v>
      </x:c>
      <x:c r="E586" s="13" t="str">
        <x:v>Loss-frame variant</x:v>
      </x:c>
      <x:c r="F586" s="13" t="str">
        <x:v>decision_biases_behavioural_economics</x:v>
      </x:c>
      <x:c r="G586" s="13" t="str">
        <x:v>operational_variant</x:v>
      </x:c>
      <x:c r="H586" s="13" t="str">
        <x:v>contextual</x:v>
      </x:c>
      <x:c r="I586" s="13" t="str">
        <x:v>claim+context</x:v>
      </x:c>
      <x:c r="J586" s="13" t="str">
        <x:v>derived_operational_subtype</x:v>
      </x:c>
      <x:c r="K586" s="13" t="str">
        <x:v>derived_from_established_parent_review_required</x:v>
      </x:c>
      <x:c r="L586" s="13" t="str">
        <x:v>P2</x:v>
      </x:c>
      <x:c r="M586" s="13" t="str">
        <x:v>no</x:v>
      </x:c>
      <x:c r="N586" s="13" t="str">
        <x:v>Operational subtype under Risk aversion in gains: the reasoning depends on a loss framing. Parent definition: Preferring sure gains over higher expected but risky gains.</x:v>
      </x:c>
      <x:c r="O586" s="13" t="str">
        <x:v>Look for: explicit claim-level evidence; parent-family cues for Risk aversion in gains; variant cue: the reasoning depends on a loss framing; avoid author-level inference.</x:v>
      </x:c>
      <x:c r="P586" s="13" t="str">
        <x:v>Exact evidence span in text plus claim-level reasoning link; for contextual/discourse entries, require surrounding context.</x:v>
      </x:c>
      <x:c r="Q586" s="13" t="str">
        <x:v>Do not label merely because topic is controversial, emotional, or wrong. Do not judge intent or personality. Require textual evidence and consider healthy-reasoning cues.</x:v>
      </x:c>
      <x:c r="R586" s="13" t="str">
        <x:v>Stub: A claim relies on the reasoning depends on a loss framing to support a conclusion without adequate qualification.</x:v>
      </x:c>
      <x:c r="S586" s="13" t="str">
        <x:v>Stub: A claim discusses risk aversion in gains with caveats, balanced evidence, or no argumentative use of the pattern.</x:v>
      </x:c>
      <x:c r="T586" s="13" t="str">
        <x:v>Mild or ambiguous cue; do not classify without clear evidence span.</x:v>
      </x:c>
      <x:c r="U586" s="13" t="str">
        <x:v>Clear claim-level pattern with some argumentative impact.</x:v>
      </x:c>
      <x:c r="V586" s="13" t="str">
        <x:v>Strong pattern central to the conclusion and likely to materially distort reasoning.</x:v>
      </x:c>
      <x:c r="W586" s="13" t="str"/>
      <x:c r="X586" s="13" t="str">
        <x:v>kahneman_tversky_prospect_1979</x:v>
      </x:c>
      <x:c r="Y586" s="13" t="str">
        <x:v>https://doi.org/10.2307/1914185</x:v>
      </x:c>
      <x:c r="Z586" s="13" t="str">
        <x:v>Review before enabling. This workbook is a living taxonomy scaffold, not a validated scientific benchmark.</x:v>
      </x:c>
      <x:c r="AA586" s="13" t="str">
        <x:v>0.1.0-draft</x:v>
      </x:c>
      <x:c r="AB586" s="12" t="str">
        <x:f>IF(ISNUMBER(SEARCH("healthy",F586)),"healthy_reasoning_patterns",IF(ISNUMBER(SEARCH("statistical",F586)),"statistical_reasoning",IF(ISNUMBER(SEARCH("causal",F586)),"causal_reasoning",IF(ISNUMBER(SEARCH("social",F586)),"social_influence",IF(ISNUMBER(SEARCH("rhetoric",F586)),"rhetoric_discourse",IF(ISNUMBER(SEARCH("behavior",F586)),"behavioural_economics",IF(ISNUMBER(SEARCH("cognitive",F586)),"cognitive_biases",IF(J586="protective_pattern","healthy_reasoning_patterns",IF(L586="P0","core_mvp","extended_fallacies")))))))))</x:f>
        <x:v>extended_fallacies</x:v>
      </x:c>
      <x:c r="AC586" s="12" t="str">
        <x:f>IF(ISNUMBER(SEARCH("operational",J586)),"operational",IF(ISNUMBER(SEARCH("deprecated",J586)),"deprecated",IF(L586="P0","canonical","recognized_subtype")))</x:f>
        <x:v>operational</x:v>
      </x:c>
      <x:c r="AD586" s="12" t="str">
        <x:f>IF(AC586="canonical","high",IF(AC586="recognized_subtype","medium",IF(AC586="operational","operational_only","debated")))</x:f>
        <x:v>operational_only</x:v>
      </x:c>
      <x:c r="AE586" s="12" t="str">
        <x:f>IF(AC586="deprecated","deprecated",IF(M586="yes","active",IF(M586="review","review_required","backlog")))</x:f>
        <x:v>backlog</x:v>
      </x:c>
      <x:c r="AF586" s="12" t="str">
        <x:f>IF(OR(AE586="active",AE586="review_required"),"yes","no")</x:f>
        <x:v>no</x:v>
      </x:c>
      <x:c r="AG586" s="12" t="str">
        <x:f>IF(AND(AE586="active",M586="yes",NOT(ISNUMBER(SEARCH("healthy",AB586)))),"yes","no")</x:f>
        <x:v>no</x:v>
      </x:c>
      <x:c r="AH586" s="12" t="str">
        <x:f>IF(OR(H586="contextual",H586="dialogue",H586="discourse",I586="claim+context",I586="discourse_segment"),"yes","no")</x:f>
        <x:v>yes</x:v>
      </x:c>
      <x:c r="AI586" s="12" t="str">
        <x:f>IF(OR(AH586="yes",AD586="debated",AC586="operational"),"yes","no")</x:f>
        <x:v>yes</x:v>
      </x:c>
      <x:c r="AJ586" s="12" t="str">
        <x:f>IF(OR(AH586="yes",AC586="operational",AD586="debated"),"high",IF(AND(AG586="yes",L586="P0"),"medium","low"))</x:f>
        <x:v>high</x:v>
      </x:c>
      <x:c r="AK586" s="12" t="str">
        <x:f>IF(ISNUMBER(SEARCH("healthy",AB586)),"yes","no")</x:f>
        <x:v>no</x:v>
      </x:c>
      <x:c r="AL586" s="12" t="str">
        <x:f>IF(AG586="yes","yes","candidate_only")</x:f>
        <x:v>candidate_only</x:v>
      </x:c>
      <x:c r="AM586" s="12" t="str">
        <x:f>IF(OR(AC586="canonical",AG586="yes"),"yes","recommended")</x:f>
        <x:v>recommended</x:v>
      </x:c>
      <x:c r="AN586" s="12" t="str">
        <x:f>IF(AC586="deprecated","exclude",IF(AND(AG586="yes",AJ586="high"),"import_but_human_review_required",IF(AG586="yes","import_as_active","import_as_backlog")))</x:f>
        <x:v>import_as_backlog</x:v>
      </x:c>
      <x:c r="AO586" s="12" t="str">
        <x:f>IF(AND(AG586="yes",OR(P586="",Q586="",R586="",S586="")),"missing_required_mvp_fields",IF(AND(AC586="canonical",Y586=""),"missing_source_ref","ok"))</x:f>
        <x:v>ok</x:v>
      </x:c>
      <x:c r="AP586" s="12" t="str">
        <x:f>IF(AO586="ok","ready_for_codex_import","needs_review")</x:f>
        <x:v>ready_for_codex_import</x:v>
      </x:c>
      <x:c r="AQ586" s="12"/>
      <x:c r="AR586" s="12" t="str">
        <x:v>Added v2 operational fields. Review before classification activation.</x:v>
      </x:c>
    </x:row>
    <x:row r="587">
      <x:c r="A587" s="13" t="str">
        <x:v>omission_bias_loss_frame_variant</x:v>
      </x:c>
      <x:c r="B587" s="13" t="str">
        <x:v>omission_bias</x:v>
      </x:c>
      <x:c r="C587" s="13" t="str">
        <x:v>Omission bias</x:v>
      </x:c>
      <x:c r="D587" s="13" t="str">
        <x:v>سوگیری ترک فعل</x:v>
      </x:c>
      <x:c r="E587" s="13" t="str">
        <x:v>Loss-frame variant</x:v>
      </x:c>
      <x:c r="F587" s="13" t="str">
        <x:v>decision_biases_behavioural_economics</x:v>
      </x:c>
      <x:c r="G587" s="13" t="str">
        <x:v>operational_variant</x:v>
      </x:c>
      <x:c r="H587" s="13" t="str">
        <x:v>contextual</x:v>
      </x:c>
      <x:c r="I587" s="13" t="str">
        <x:v>claim+context</x:v>
      </x:c>
      <x:c r="J587" s="13" t="str">
        <x:v>derived_operational_subtype</x:v>
      </x:c>
      <x:c r="K587" s="13" t="str">
        <x:v>derived_from_established_parent_review_required</x:v>
      </x:c>
      <x:c r="L587" s="13" t="str">
        <x:v>P2</x:v>
      </x:c>
      <x:c r="M587" s="13" t="str">
        <x:v>no</x:v>
      </x:c>
      <x:c r="N587" s="13" t="str">
        <x:v>Operational subtype under Omission bias: the reasoning depends on a loss framing. Parent definition: Judging harmful inaction more leniently than harmful action.</x:v>
      </x:c>
      <x:c r="O587" s="13" t="str">
        <x:v>Look for: explicit claim-level evidence; parent-family cues for Omission bias; variant cue: the reasoning depends on a loss framing; avoid author-level inference.</x:v>
      </x:c>
      <x:c r="P587" s="13" t="str">
        <x:v>Exact evidence span in text plus claim-level reasoning link; for contextual/discourse entries, require surrounding context.</x:v>
      </x:c>
      <x:c r="Q587" s="13" t="str">
        <x:v>Do not label merely because topic is controversial, emotional, or wrong. Do not judge intent or personality. Require textual evidence and consider healthy-reasoning cues.</x:v>
      </x:c>
      <x:c r="R587" s="13" t="str">
        <x:v>Stub: A claim relies on the reasoning depends on a loss framing to support a conclusion without adequate qualification.</x:v>
      </x:c>
      <x:c r="S587" s="13" t="str">
        <x:v>Stub: A claim discusses omission bias with caveats, balanced evidence, or no argumentative use of the pattern.</x:v>
      </x:c>
      <x:c r="T587" s="13" t="str">
        <x:v>Mild or ambiguous cue; do not classify without clear evidence span.</x:v>
      </x:c>
      <x:c r="U587" s="13" t="str">
        <x:v>Clear claim-level pattern with some argumentative impact.</x:v>
      </x:c>
      <x:c r="V587" s="13" t="str">
        <x:v>Strong pattern central to the conclusion and likely to materially distort reasoning.</x:v>
      </x:c>
      <x:c r="W587" s="13" t="str"/>
      <x:c r="X587" s="13" t="str">
        <x:v>gilovich_heuristics_biases</x:v>
      </x:c>
      <x:c r="Y587" s="13" t="str">
        <x:v>https://www.cambridge.org/core/books/heuristics-and-biases/3C30D3B05D2F190C3B8BE5E2531EFD24</x:v>
      </x:c>
      <x:c r="Z587" s="13" t="str">
        <x:v>Review before enabling. This workbook is a living taxonomy scaffold, not a validated scientific benchmark.</x:v>
      </x:c>
      <x:c r="AA587" s="13" t="str">
        <x:v>0.1.0-draft</x:v>
      </x:c>
      <x:c r="AB587" s="12" t="str">
        <x:f>IF(ISNUMBER(SEARCH("healthy",F587)),"healthy_reasoning_patterns",IF(ISNUMBER(SEARCH("statistical",F587)),"statistical_reasoning",IF(ISNUMBER(SEARCH("causal",F587)),"causal_reasoning",IF(ISNUMBER(SEARCH("social",F587)),"social_influence",IF(ISNUMBER(SEARCH("rhetoric",F587)),"rhetoric_discourse",IF(ISNUMBER(SEARCH("behavior",F587)),"behavioural_economics",IF(ISNUMBER(SEARCH("cognitive",F587)),"cognitive_biases",IF(J587="protective_pattern","healthy_reasoning_patterns",IF(L587="P0","core_mvp","extended_fallacies")))))))))</x:f>
        <x:v>extended_fallacies</x:v>
      </x:c>
      <x:c r="AC587" s="12" t="str">
        <x:f>IF(ISNUMBER(SEARCH("operational",J587)),"operational",IF(ISNUMBER(SEARCH("deprecated",J587)),"deprecated",IF(L587="P0","canonical","recognized_subtype")))</x:f>
        <x:v>operational</x:v>
      </x:c>
      <x:c r="AD587" s="12" t="str">
        <x:f>IF(AC587="canonical","high",IF(AC587="recognized_subtype","medium",IF(AC587="operational","operational_only","debated")))</x:f>
        <x:v>operational_only</x:v>
      </x:c>
      <x:c r="AE587" s="12" t="str">
        <x:f>IF(AC587="deprecated","deprecated",IF(M587="yes","active",IF(M587="review","review_required","backlog")))</x:f>
        <x:v>backlog</x:v>
      </x:c>
      <x:c r="AF587" s="12" t="str">
        <x:f>IF(OR(AE587="active",AE587="review_required"),"yes","no")</x:f>
        <x:v>no</x:v>
      </x:c>
      <x:c r="AG587" s="12" t="str">
        <x:f>IF(AND(AE587="active",M587="yes",NOT(ISNUMBER(SEARCH("healthy",AB587)))),"yes","no")</x:f>
        <x:v>no</x:v>
      </x:c>
      <x:c r="AH587" s="12" t="str">
        <x:f>IF(OR(H587="contextual",H587="dialogue",H587="discourse",I587="claim+context",I587="discourse_segment"),"yes","no")</x:f>
        <x:v>yes</x:v>
      </x:c>
      <x:c r="AI587" s="12" t="str">
        <x:f>IF(OR(AH587="yes",AD587="debated",AC587="operational"),"yes","no")</x:f>
        <x:v>yes</x:v>
      </x:c>
      <x:c r="AJ587" s="12" t="str">
        <x:f>IF(OR(AH587="yes",AC587="operational",AD587="debated"),"high",IF(AND(AG587="yes",L587="P0"),"medium","low"))</x:f>
        <x:v>high</x:v>
      </x:c>
      <x:c r="AK587" s="12" t="str">
        <x:f>IF(ISNUMBER(SEARCH("healthy",AB587)),"yes","no")</x:f>
        <x:v>no</x:v>
      </x:c>
      <x:c r="AL587" s="12" t="str">
        <x:f>IF(AG587="yes","yes","candidate_only")</x:f>
        <x:v>candidate_only</x:v>
      </x:c>
      <x:c r="AM587" s="12" t="str">
        <x:f>IF(OR(AC587="canonical",AG587="yes"),"yes","recommended")</x:f>
        <x:v>recommended</x:v>
      </x:c>
      <x:c r="AN587" s="12" t="str">
        <x:f>IF(AC587="deprecated","exclude",IF(AND(AG587="yes",AJ587="high"),"import_but_human_review_required",IF(AG587="yes","import_as_active","import_as_backlog")))</x:f>
        <x:v>import_as_backlog</x:v>
      </x:c>
      <x:c r="AO587" s="12" t="str">
        <x:f>IF(AND(AG587="yes",OR(P587="",Q587="",R587="",S587="")),"missing_required_mvp_fields",IF(AND(AC587="canonical",Y587=""),"missing_source_ref","ok"))</x:f>
        <x:v>ok</x:v>
      </x:c>
      <x:c r="AP587" s="12" t="str">
        <x:f>IF(AO587="ok","ready_for_codex_import","needs_review")</x:f>
        <x:v>ready_for_codex_import</x:v>
      </x:c>
      <x:c r="AQ587" s="12"/>
      <x:c r="AR587" s="12" t="str">
        <x:v>Added v2 operational fields. Review before classification activation.</x:v>
      </x:c>
    </x:row>
    <x:row r="588">
      <x:c r="A588" s="13" t="str">
        <x:v>action_bias_loss_frame_variant</x:v>
      </x:c>
      <x:c r="B588" s="13" t="str">
        <x:v>action_bias</x:v>
      </x:c>
      <x:c r="C588" s="13" t="str">
        <x:v>Action bias</x:v>
      </x:c>
      <x:c r="D588" s="13" t="str">
        <x:v>سوگیری اقدام</x:v>
      </x:c>
      <x:c r="E588" s="13" t="str">
        <x:v>Loss-frame variant</x:v>
      </x:c>
      <x:c r="F588" s="13" t="str">
        <x:v>decision_biases_behavioural_economics</x:v>
      </x:c>
      <x:c r="G588" s="13" t="str">
        <x:v>operational_variant</x:v>
      </x:c>
      <x:c r="H588" s="13" t="str">
        <x:v>contextual</x:v>
      </x:c>
      <x:c r="I588" s="13" t="str">
        <x:v>claim+context</x:v>
      </x:c>
      <x:c r="J588" s="13" t="str">
        <x:v>derived_operational_subtype</x:v>
      </x:c>
      <x:c r="K588" s="13" t="str">
        <x:v>derived_from_established_parent_review_required</x:v>
      </x:c>
      <x:c r="L588" s="13" t="str">
        <x:v>P2</x:v>
      </x:c>
      <x:c r="M588" s="13" t="str">
        <x:v>no</x:v>
      </x:c>
      <x:c r="N588" s="13" t="str">
        <x:v>Operational subtype under Action bias: the reasoning depends on a loss framing. Parent definition: Preferring action even when waiting or gathering evidence would be better.</x:v>
      </x:c>
      <x:c r="O588" s="13" t="str">
        <x:v>Look for: explicit claim-level evidence; parent-family cues for Action bias; variant cue: the reasoning depends on a loss framing; avoid author-level inference.</x:v>
      </x:c>
      <x:c r="P588" s="13" t="str">
        <x:v>Exact evidence span in text plus claim-level reasoning link; for contextual/discourse entries, require surrounding context.</x:v>
      </x:c>
      <x:c r="Q588" s="13" t="str">
        <x:v>Do not label merely because topic is controversial, emotional, or wrong. Do not judge intent or personality. Require textual evidence and consider healthy-reasoning cues.</x:v>
      </x:c>
      <x:c r="R588" s="13" t="str">
        <x:v>Stub: A claim relies on the reasoning depends on a loss framing to support a conclusion without adequate qualification.</x:v>
      </x:c>
      <x:c r="S588" s="13" t="str">
        <x:v>Stub: A claim discusses action bias with caveats, balanced evidence, or no argumentative use of the pattern.</x:v>
      </x:c>
      <x:c r="T588" s="13" t="str">
        <x:v>Mild or ambiguous cue; do not classify without clear evidence span.</x:v>
      </x:c>
      <x:c r="U588" s="13" t="str">
        <x:v>Clear claim-level pattern with some argumentative impact.</x:v>
      </x:c>
      <x:c r="V588" s="13" t="str">
        <x:v>Strong pattern central to the conclusion and likely to materially distort reasoning.</x:v>
      </x:c>
      <x:c r="W588" s="13" t="str">
        <x:v>cherry_picking; missing_counterevidence; evidence_grading</x:v>
      </x:c>
      <x:c r="X588" s="13" t="str">
        <x:v>gilovich_heuristics_biases</x:v>
      </x:c>
      <x:c r="Y588" s="13" t="str">
        <x:v>https://www.cambridge.org/core/books/heuristics-and-biases/3C30D3B05D2F190C3B8BE5E2531EFD24</x:v>
      </x:c>
      <x:c r="Z588" s="13" t="str">
        <x:v>Review before enabling. This workbook is a living taxonomy scaffold, not a validated scientific benchmark.</x:v>
      </x:c>
      <x:c r="AA588" s="13" t="str">
        <x:v>0.1.0-draft</x:v>
      </x:c>
      <x:c r="AB588" s="12" t="str">
        <x:f>IF(ISNUMBER(SEARCH("healthy",F588)),"healthy_reasoning_patterns",IF(ISNUMBER(SEARCH("statistical",F588)),"statistical_reasoning",IF(ISNUMBER(SEARCH("causal",F588)),"causal_reasoning",IF(ISNUMBER(SEARCH("social",F588)),"social_influence",IF(ISNUMBER(SEARCH("rhetoric",F588)),"rhetoric_discourse",IF(ISNUMBER(SEARCH("behavior",F588)),"behavioural_economics",IF(ISNUMBER(SEARCH("cognitive",F588)),"cognitive_biases",IF(J588="protective_pattern","healthy_reasoning_patterns",IF(L588="P0","core_mvp","extended_fallacies")))))))))</x:f>
        <x:v>extended_fallacies</x:v>
      </x:c>
      <x:c r="AC588" s="12" t="str">
        <x:f>IF(ISNUMBER(SEARCH("operational",J588)),"operational",IF(ISNUMBER(SEARCH("deprecated",J588)),"deprecated",IF(L588="P0","canonical","recognized_subtype")))</x:f>
        <x:v>operational</x:v>
      </x:c>
      <x:c r="AD588" s="12" t="str">
        <x:f>IF(AC588="canonical","high",IF(AC588="recognized_subtype","medium",IF(AC588="operational","operational_only","debated")))</x:f>
        <x:v>operational_only</x:v>
      </x:c>
      <x:c r="AE588" s="12" t="str">
        <x:f>IF(AC588="deprecated","deprecated",IF(M588="yes","active",IF(M588="review","review_required","backlog")))</x:f>
        <x:v>backlog</x:v>
      </x:c>
      <x:c r="AF588" s="12" t="str">
        <x:f>IF(OR(AE588="active",AE588="review_required"),"yes","no")</x:f>
        <x:v>no</x:v>
      </x:c>
      <x:c r="AG588" s="12" t="str">
        <x:f>IF(AND(AE588="active",M588="yes",NOT(ISNUMBER(SEARCH("healthy",AB588)))),"yes","no")</x:f>
        <x:v>no</x:v>
      </x:c>
      <x:c r="AH588" s="12" t="str">
        <x:f>IF(OR(H588="contextual",H588="dialogue",H588="discourse",I588="claim+context",I588="discourse_segment"),"yes","no")</x:f>
        <x:v>yes</x:v>
      </x:c>
      <x:c r="AI588" s="12" t="str">
        <x:f>IF(OR(AH588="yes",AD588="debated",AC588="operational"),"yes","no")</x:f>
        <x:v>yes</x:v>
      </x:c>
      <x:c r="AJ588" s="12" t="str">
        <x:f>IF(OR(AH588="yes",AC588="operational",AD588="debated"),"high",IF(AND(AG588="yes",L588="P0"),"medium","low"))</x:f>
        <x:v>high</x:v>
      </x:c>
      <x:c r="AK588" s="12" t="str">
        <x:f>IF(ISNUMBER(SEARCH("healthy",AB588)),"yes","no")</x:f>
        <x:v>no</x:v>
      </x:c>
      <x:c r="AL588" s="12" t="str">
        <x:f>IF(AG588="yes","yes","candidate_only")</x:f>
        <x:v>candidate_only</x:v>
      </x:c>
      <x:c r="AM588" s="12" t="str">
        <x:f>IF(OR(AC588="canonical",AG588="yes"),"yes","recommended")</x:f>
        <x:v>recommended</x:v>
      </x:c>
      <x:c r="AN588" s="12" t="str">
        <x:f>IF(AC588="deprecated","exclude",IF(AND(AG588="yes",AJ588="high"),"import_but_human_review_required",IF(AG588="yes","import_as_active","import_as_backlog")))</x:f>
        <x:v>import_as_backlog</x:v>
      </x:c>
      <x:c r="AO588" s="12" t="str">
        <x:f>IF(AND(AG588="yes",OR(P588="",Q588="",R588="",S588="")),"missing_required_mvp_fields",IF(AND(AC588="canonical",Y588=""),"missing_source_ref","ok"))</x:f>
        <x:v>ok</x:v>
      </x:c>
      <x:c r="AP588" s="12" t="str">
        <x:f>IF(AO588="ok","ready_for_codex_import","needs_review")</x:f>
        <x:v>ready_for_codex_import</x:v>
      </x:c>
      <x:c r="AQ588" s="12"/>
      <x:c r="AR588" s="12" t="str">
        <x:v>Added v2 operational fields. Review before classification activation.</x:v>
      </x:c>
    </x:row>
    <x:row r="589">
      <x:c r="A589" s="13" t="str">
        <x:v>time_inconsistency_loss_frame_variant</x:v>
      </x:c>
      <x:c r="B589" s="13" t="str">
        <x:v>time_inconsistency</x:v>
      </x:c>
      <x:c r="C589" s="13" t="str">
        <x:v>Time inconsistency</x:v>
      </x:c>
      <x:c r="D589" s="13" t="str">
        <x:v>ناسازگاری زمانی ترجیح</x:v>
      </x:c>
      <x:c r="E589" s="13" t="str">
        <x:v>Loss-frame variant</x:v>
      </x:c>
      <x:c r="F589" s="13" t="str">
        <x:v>decision_biases_behavioural_economics</x:v>
      </x:c>
      <x:c r="G589" s="13" t="str">
        <x:v>operational_variant</x:v>
      </x:c>
      <x:c r="H589" s="13" t="str">
        <x:v>contextual</x:v>
      </x:c>
      <x:c r="I589" s="13" t="str">
        <x:v>claim+context</x:v>
      </x:c>
      <x:c r="J589" s="13" t="str">
        <x:v>derived_operational_subtype</x:v>
      </x:c>
      <x:c r="K589" s="13" t="str">
        <x:v>derived_from_established_parent_review_required</x:v>
      </x:c>
      <x:c r="L589" s="13" t="str">
        <x:v>P2</x:v>
      </x:c>
      <x:c r="M589" s="13" t="str">
        <x:v>no</x:v>
      </x:c>
      <x:c r="N589" s="13" t="str">
        <x:v>Operational subtype under Time inconsistency: the reasoning depends on a loss framing. Parent definition: Preferences change over time in ways that undermine prior plans.</x:v>
      </x:c>
      <x:c r="O589" s="13" t="str">
        <x:v>Look for: explicit claim-level evidence; parent-family cues for Time inconsistency; variant cue: the reasoning depends on a loss framing; avoid author-level inference.</x:v>
      </x:c>
      <x:c r="P589" s="13" t="str">
        <x:v>Exact evidence span in text plus claim-level reasoning link; for contextual/discourse entries, require surrounding context.</x:v>
      </x:c>
      <x:c r="Q589" s="13" t="str">
        <x:v>Do not label merely because topic is controversial, emotional, or wrong. Do not judge intent or personality. Require textual evidence and consider healthy-reasoning cues.</x:v>
      </x:c>
      <x:c r="R589" s="13" t="str">
        <x:v>Stub: A claim relies on the reasoning depends on a loss framing to support a conclusion without adequate qualification.</x:v>
      </x:c>
      <x:c r="S589" s="13" t="str">
        <x:v>Stub: A claim discusses time inconsistency with caveats, balanced evidence, or no argumentative use of the pattern.</x:v>
      </x:c>
      <x:c r="T589" s="13" t="str">
        <x:v>Mild or ambiguous cue; do not classify without clear evidence span.</x:v>
      </x:c>
      <x:c r="U589" s="13" t="str">
        <x:v>Clear claim-level pattern with some argumentative impact.</x:v>
      </x:c>
      <x:c r="V589" s="13" t="str">
        <x:v>Strong pattern central to the conclusion and likely to materially distort reasoning.</x:v>
      </x:c>
      <x:c r="W589" s="13" t="str"/>
      <x:c r="X589" s="13" t="str">
        <x:v>thaler_sunstein_nudge</x:v>
      </x:c>
      <x:c r="Y589" s="13" t="str">
        <x:v>https://yalebooks.yale.edu/book/9780300262285/nudge/</x:v>
      </x:c>
      <x:c r="Z589" s="13" t="str">
        <x:v>Review before enabling. This workbook is a living taxonomy scaffold, not a validated scientific benchmark.</x:v>
      </x:c>
      <x:c r="AA589" s="13" t="str">
        <x:v>0.1.0-draft</x:v>
      </x:c>
      <x:c r="AB589" s="12" t="str">
        <x:f>IF(ISNUMBER(SEARCH("healthy",F589)),"healthy_reasoning_patterns",IF(ISNUMBER(SEARCH("statistical",F589)),"statistical_reasoning",IF(ISNUMBER(SEARCH("causal",F589)),"causal_reasoning",IF(ISNUMBER(SEARCH("social",F589)),"social_influence",IF(ISNUMBER(SEARCH("rhetoric",F589)),"rhetoric_discourse",IF(ISNUMBER(SEARCH("behavior",F589)),"behavioural_economics",IF(ISNUMBER(SEARCH("cognitive",F589)),"cognitive_biases",IF(J589="protective_pattern","healthy_reasoning_patterns",IF(L589="P0","core_mvp","extended_fallacies")))))))))</x:f>
        <x:v>extended_fallacies</x:v>
      </x:c>
      <x:c r="AC589" s="12" t="str">
        <x:f>IF(ISNUMBER(SEARCH("operational",J589)),"operational",IF(ISNUMBER(SEARCH("deprecated",J589)),"deprecated",IF(L589="P0","canonical","recognized_subtype")))</x:f>
        <x:v>operational</x:v>
      </x:c>
      <x:c r="AD589" s="12" t="str">
        <x:f>IF(AC589="canonical","high",IF(AC589="recognized_subtype","medium",IF(AC589="operational","operational_only","debated")))</x:f>
        <x:v>operational_only</x:v>
      </x:c>
      <x:c r="AE589" s="12" t="str">
        <x:f>IF(AC589="deprecated","deprecated",IF(M589="yes","active",IF(M589="review","review_required","backlog")))</x:f>
        <x:v>backlog</x:v>
      </x:c>
      <x:c r="AF589" s="12" t="str">
        <x:f>IF(OR(AE589="active",AE589="review_required"),"yes","no")</x:f>
        <x:v>no</x:v>
      </x:c>
      <x:c r="AG589" s="12" t="str">
        <x:f>IF(AND(AE589="active",M589="yes",NOT(ISNUMBER(SEARCH("healthy",AB589)))),"yes","no")</x:f>
        <x:v>no</x:v>
      </x:c>
      <x:c r="AH589" s="12" t="str">
        <x:f>IF(OR(H589="contextual",H589="dialogue",H589="discourse",I589="claim+context",I589="discourse_segment"),"yes","no")</x:f>
        <x:v>yes</x:v>
      </x:c>
      <x:c r="AI589" s="12" t="str">
        <x:f>IF(OR(AH589="yes",AD589="debated",AC589="operational"),"yes","no")</x:f>
        <x:v>yes</x:v>
      </x:c>
      <x:c r="AJ589" s="12" t="str">
        <x:f>IF(OR(AH589="yes",AC589="operational",AD589="debated"),"high",IF(AND(AG589="yes",L589="P0"),"medium","low"))</x:f>
        <x:v>high</x:v>
      </x:c>
      <x:c r="AK589" s="12" t="str">
        <x:f>IF(ISNUMBER(SEARCH("healthy",AB589)),"yes","no")</x:f>
        <x:v>no</x:v>
      </x:c>
      <x:c r="AL589" s="12" t="str">
        <x:f>IF(AG589="yes","yes","candidate_only")</x:f>
        <x:v>candidate_only</x:v>
      </x:c>
      <x:c r="AM589" s="12" t="str">
        <x:f>IF(OR(AC589="canonical",AG589="yes"),"yes","recommended")</x:f>
        <x:v>recommended</x:v>
      </x:c>
      <x:c r="AN589" s="12" t="str">
        <x:f>IF(AC589="deprecated","exclude",IF(AND(AG589="yes",AJ589="high"),"import_but_human_review_required",IF(AG589="yes","import_as_active","import_as_backlog")))</x:f>
        <x:v>import_as_backlog</x:v>
      </x:c>
      <x:c r="AO589" s="12" t="str">
        <x:f>IF(AND(AG589="yes",OR(P589="",Q589="",R589="",S589="")),"missing_required_mvp_fields",IF(AND(AC589="canonical",Y589=""),"missing_source_ref","ok"))</x:f>
        <x:v>ok</x:v>
      </x:c>
      <x:c r="AP589" s="12" t="str">
        <x:f>IF(AO589="ok","ready_for_codex_import","needs_review")</x:f>
        <x:v>ready_for_codex_import</x:v>
      </x:c>
      <x:c r="AQ589" s="12"/>
      <x:c r="AR589" s="12" t="str">
        <x:v>Added v2 operational fields. Review before classification activation.</x:v>
      </x:c>
    </x:row>
    <x:row r="590">
      <x:c r="A590" s="13" t="str">
        <x:v>commitment_escalation_loss_frame_variant</x:v>
      </x:c>
      <x:c r="B590" s="13" t="str">
        <x:v>commitment_escalation</x:v>
      </x:c>
      <x:c r="C590" s="13" t="str">
        <x:v>Escalation of commitment</x:v>
      </x:c>
      <x:c r="D590" s="13" t="str">
        <x:v>افزایش تعهد به تصمیم قبلی</x:v>
      </x:c>
      <x:c r="E590" s="13" t="str">
        <x:v>Loss-frame variant</x:v>
      </x:c>
      <x:c r="F590" s="13" t="str">
        <x:v>decision_biases_behavioural_economics</x:v>
      </x:c>
      <x:c r="G590" s="13" t="str">
        <x:v>operational_variant</x:v>
      </x:c>
      <x:c r="H590" s="13" t="str">
        <x:v>contextual</x:v>
      </x:c>
      <x:c r="I590" s="13" t="str">
        <x:v>claim+context</x:v>
      </x:c>
      <x:c r="J590" s="13" t="str">
        <x:v>derived_operational_subtype</x:v>
      </x:c>
      <x:c r="K590" s="13" t="str">
        <x:v>derived_from_established_parent_review_required</x:v>
      </x:c>
      <x:c r="L590" s="13" t="str">
        <x:v>P2</x:v>
      </x:c>
      <x:c r="M590" s="13" t="str">
        <x:v>no</x:v>
      </x:c>
      <x:c r="N590" s="13" t="str">
        <x:v>Operational subtype under Escalation of commitment: the reasoning depends on a loss framing. Parent definition: Increasing commitment to a failing course of action.</x:v>
      </x:c>
      <x:c r="O590" s="13" t="str">
        <x:v>Look for: explicit claim-level evidence; parent-family cues for Escalation of commitment; variant cue: the reasoning depends on a loss framing; avoid author-level inference.</x:v>
      </x:c>
      <x:c r="P590" s="13" t="str">
        <x:v>Exact evidence span in text plus claim-level reasoning link; for contextual/discourse entries, require surrounding context.</x:v>
      </x:c>
      <x:c r="Q590" s="13" t="str">
        <x:v>Do not label merely because topic is controversial, emotional, or wrong. Do not judge intent or personality. Require textual evidence and consider healthy-reasoning cues.</x:v>
      </x:c>
      <x:c r="R590" s="13" t="str">
        <x:v>Stub: A claim relies on the reasoning depends on a loss framing to support a conclusion without adequate qualification.</x:v>
      </x:c>
      <x:c r="S590" s="13" t="str">
        <x:v>Stub: A claim discusses escalation of commitment with caveats, balanced evidence, or no argumentative use of the pattern.</x:v>
      </x:c>
      <x:c r="T590" s="13" t="str">
        <x:v>Mild or ambiguous cue; do not classify without clear evidence span.</x:v>
      </x:c>
      <x:c r="U590" s="13" t="str">
        <x:v>Clear claim-level pattern with some argumentative impact.</x:v>
      </x:c>
      <x:c r="V590" s="13" t="str">
        <x:v>Strong pattern central to the conclusion and likely to materially distort reasoning.</x:v>
      </x:c>
      <x:c r="W590" s="13" t="str"/>
      <x:c r="X590" s="13" t="str">
        <x:v>thaler_sunstein_nudge</x:v>
      </x:c>
      <x:c r="Y590" s="13" t="str">
        <x:v>https://yalebooks.yale.edu/book/9780300262285/nudge/</x:v>
      </x:c>
      <x:c r="Z590" s="13" t="str">
        <x:v>Review before enabling. This workbook is a living taxonomy scaffold, not a validated scientific benchmark.</x:v>
      </x:c>
      <x:c r="AA590" s="13" t="str">
        <x:v>0.1.0-draft</x:v>
      </x:c>
      <x:c r="AB590" s="12" t="str">
        <x:f>IF(ISNUMBER(SEARCH("healthy",F590)),"healthy_reasoning_patterns",IF(ISNUMBER(SEARCH("statistical",F590)),"statistical_reasoning",IF(ISNUMBER(SEARCH("causal",F590)),"causal_reasoning",IF(ISNUMBER(SEARCH("social",F590)),"social_influence",IF(ISNUMBER(SEARCH("rhetoric",F590)),"rhetoric_discourse",IF(ISNUMBER(SEARCH("behavior",F590)),"behavioural_economics",IF(ISNUMBER(SEARCH("cognitive",F590)),"cognitive_biases",IF(J590="protective_pattern","healthy_reasoning_patterns",IF(L590="P0","core_mvp","extended_fallacies")))))))))</x:f>
        <x:v>extended_fallacies</x:v>
      </x:c>
      <x:c r="AC590" s="12" t="str">
        <x:f>IF(ISNUMBER(SEARCH("operational",J590)),"operational",IF(ISNUMBER(SEARCH("deprecated",J590)),"deprecated",IF(L590="P0","canonical","recognized_subtype")))</x:f>
        <x:v>operational</x:v>
      </x:c>
      <x:c r="AD590" s="12" t="str">
        <x:f>IF(AC590="canonical","high",IF(AC590="recognized_subtype","medium",IF(AC590="operational","operational_only","debated")))</x:f>
        <x:v>operational_only</x:v>
      </x:c>
      <x:c r="AE590" s="12" t="str">
        <x:f>IF(AC590="deprecated","deprecated",IF(M590="yes","active",IF(M590="review","review_required","backlog")))</x:f>
        <x:v>backlog</x:v>
      </x:c>
      <x:c r="AF590" s="12" t="str">
        <x:f>IF(OR(AE590="active",AE590="review_required"),"yes","no")</x:f>
        <x:v>no</x:v>
      </x:c>
      <x:c r="AG590" s="12" t="str">
        <x:f>IF(AND(AE590="active",M590="yes",NOT(ISNUMBER(SEARCH("healthy",AB590)))),"yes","no")</x:f>
        <x:v>no</x:v>
      </x:c>
      <x:c r="AH590" s="12" t="str">
        <x:f>IF(OR(H590="contextual",H590="dialogue",H590="discourse",I590="claim+context",I590="discourse_segment"),"yes","no")</x:f>
        <x:v>yes</x:v>
      </x:c>
      <x:c r="AI590" s="12" t="str">
        <x:f>IF(OR(AH590="yes",AD590="debated",AC590="operational"),"yes","no")</x:f>
        <x:v>yes</x:v>
      </x:c>
      <x:c r="AJ590" s="12" t="str">
        <x:f>IF(OR(AH590="yes",AC590="operational",AD590="debated"),"high",IF(AND(AG590="yes",L590="P0"),"medium","low"))</x:f>
        <x:v>high</x:v>
      </x:c>
      <x:c r="AK590" s="12" t="str">
        <x:f>IF(ISNUMBER(SEARCH("healthy",AB590)),"yes","no")</x:f>
        <x:v>no</x:v>
      </x:c>
      <x:c r="AL590" s="12" t="str">
        <x:f>IF(AG590="yes","yes","candidate_only")</x:f>
        <x:v>candidate_only</x:v>
      </x:c>
      <x:c r="AM590" s="12" t="str">
        <x:f>IF(OR(AC590="canonical",AG590="yes"),"yes","recommended")</x:f>
        <x:v>recommended</x:v>
      </x:c>
      <x:c r="AN590" s="12" t="str">
        <x:f>IF(AC590="deprecated","exclude",IF(AND(AG590="yes",AJ590="high"),"import_but_human_review_required",IF(AG590="yes","import_as_active","import_as_backlog")))</x:f>
        <x:v>import_as_backlog</x:v>
      </x:c>
      <x:c r="AO590" s="12" t="str">
        <x:f>IF(AND(AG590="yes",OR(P590="",Q590="",R590="",S590="")),"missing_required_mvp_fields",IF(AND(AC590="canonical",Y590=""),"missing_source_ref","ok"))</x:f>
        <x:v>ok</x:v>
      </x:c>
      <x:c r="AP590" s="12" t="str">
        <x:f>IF(AO590="ok","ready_for_codex_import","needs_review")</x:f>
        <x:v>ready_for_codex_import</x:v>
      </x:c>
      <x:c r="AQ590" s="12"/>
      <x:c r="AR590" s="12" t="str">
        <x:v>Added v2 operational fields. Review before classification activation.</x:v>
      </x:c>
    </x:row>
    <x:row r="591">
      <x:c r="A591" s="13" t="str">
        <x:v>disposition_effect_loss_frame_variant</x:v>
      </x:c>
      <x:c r="B591" s="13" t="str">
        <x:v>disposition_effect</x:v>
      </x:c>
      <x:c r="C591" s="13" t="str">
        <x:v>Disposition effect</x:v>
      </x:c>
      <x:c r="D591" s="13" t="str">
        <x:v>اثر تمایل به نگهداری بازنده</x:v>
      </x:c>
      <x:c r="E591" s="13" t="str">
        <x:v>Loss-frame variant</x:v>
      </x:c>
      <x:c r="F591" s="13" t="str">
        <x:v>decision_biases_behavioural_economics</x:v>
      </x:c>
      <x:c r="G591" s="13" t="str">
        <x:v>operational_variant</x:v>
      </x:c>
      <x:c r="H591" s="13" t="str">
        <x:v>contextual</x:v>
      </x:c>
      <x:c r="I591" s="13" t="str">
        <x:v>claim+context</x:v>
      </x:c>
      <x:c r="J591" s="13" t="str">
        <x:v>derived_operational_subtype</x:v>
      </x:c>
      <x:c r="K591" s="13" t="str">
        <x:v>derived_from_established_parent_review_required</x:v>
      </x:c>
      <x:c r="L591" s="13" t="str">
        <x:v>P2</x:v>
      </x:c>
      <x:c r="M591" s="13" t="str">
        <x:v>no</x:v>
      </x:c>
      <x:c r="N591" s="13" t="str">
        <x:v>Operational subtype under Disposition effect: the reasoning depends on a loss framing. Parent definition: Selling gains too quickly and holding losses too long.</x:v>
      </x:c>
      <x:c r="O591" s="13" t="str">
        <x:v>Look for: explicit claim-level evidence; parent-family cues for Disposition effect; variant cue: the reasoning depends on a loss framing; avoid author-level inference.</x:v>
      </x:c>
      <x:c r="P591" s="13" t="str">
        <x:v>Exact evidence span in text plus claim-level reasoning link; for contextual/discourse entries, require surrounding context.</x:v>
      </x:c>
      <x:c r="Q591" s="13" t="str">
        <x:v>Do not label merely because topic is controversial, emotional, or wrong. Do not judge intent or personality. Require textual evidence and consider healthy-reasoning cues.</x:v>
      </x:c>
      <x:c r="R591" s="13" t="str">
        <x:v>Stub: A claim relies on the reasoning depends on a loss framing to support a conclusion without adequate qualification.</x:v>
      </x:c>
      <x:c r="S591" s="13" t="str">
        <x:v>Stub: A claim discusses disposition effect with caveats, balanced evidence, or no argumentative use of the pattern.</x:v>
      </x:c>
      <x:c r="T591" s="13" t="str">
        <x:v>Mild or ambiguous cue; do not classify without clear evidence span.</x:v>
      </x:c>
      <x:c r="U591" s="13" t="str">
        <x:v>Clear claim-level pattern with some argumentative impact.</x:v>
      </x:c>
      <x:c r="V591" s="13" t="str">
        <x:v>Strong pattern central to the conclusion and likely to materially distort reasoning.</x:v>
      </x:c>
      <x:c r="W591" s="13" t="str"/>
      <x:c r="X591" s="13" t="str">
        <x:v>kahneman_tversky_prospect_1979</x:v>
      </x:c>
      <x:c r="Y591" s="13" t="str">
        <x:v>https://doi.org/10.2307/1914185</x:v>
      </x:c>
      <x:c r="Z591" s="13" t="str">
        <x:v>Review before enabling. This workbook is a living taxonomy scaffold, not a validated scientific benchmark.</x:v>
      </x:c>
      <x:c r="AA591" s="13" t="str">
        <x:v>0.1.0-draft</x:v>
      </x:c>
      <x:c r="AB591" s="12" t="str">
        <x:f>IF(ISNUMBER(SEARCH("healthy",F591)),"healthy_reasoning_patterns",IF(ISNUMBER(SEARCH("statistical",F591)),"statistical_reasoning",IF(ISNUMBER(SEARCH("causal",F591)),"causal_reasoning",IF(ISNUMBER(SEARCH("social",F591)),"social_influence",IF(ISNUMBER(SEARCH("rhetoric",F591)),"rhetoric_discourse",IF(ISNUMBER(SEARCH("behavior",F591)),"behavioural_economics",IF(ISNUMBER(SEARCH("cognitive",F591)),"cognitive_biases",IF(J591="protective_pattern","healthy_reasoning_patterns",IF(L591="P0","core_mvp","extended_fallacies")))))))))</x:f>
        <x:v>extended_fallacies</x:v>
      </x:c>
      <x:c r="AC591" s="12" t="str">
        <x:f>IF(ISNUMBER(SEARCH("operational",J591)),"operational",IF(ISNUMBER(SEARCH("deprecated",J591)),"deprecated",IF(L591="P0","canonical","recognized_subtype")))</x:f>
        <x:v>operational</x:v>
      </x:c>
      <x:c r="AD591" s="12" t="str">
        <x:f>IF(AC591="canonical","high",IF(AC591="recognized_subtype","medium",IF(AC591="operational","operational_only","debated")))</x:f>
        <x:v>operational_only</x:v>
      </x:c>
      <x:c r="AE591" s="12" t="str">
        <x:f>IF(AC591="deprecated","deprecated",IF(M591="yes","active",IF(M591="review","review_required","backlog")))</x:f>
        <x:v>backlog</x:v>
      </x:c>
      <x:c r="AF591" s="12" t="str">
        <x:f>IF(OR(AE591="active",AE591="review_required"),"yes","no")</x:f>
        <x:v>no</x:v>
      </x:c>
      <x:c r="AG591" s="12" t="str">
        <x:f>IF(AND(AE591="active",M591="yes",NOT(ISNUMBER(SEARCH("healthy",AB591)))),"yes","no")</x:f>
        <x:v>no</x:v>
      </x:c>
      <x:c r="AH591" s="12" t="str">
        <x:f>IF(OR(H591="contextual",H591="dialogue",H591="discourse",I591="claim+context",I591="discourse_segment"),"yes","no")</x:f>
        <x:v>yes</x:v>
      </x:c>
      <x:c r="AI591" s="12" t="str">
        <x:f>IF(OR(AH591="yes",AD591="debated",AC591="operational"),"yes","no")</x:f>
        <x:v>yes</x:v>
      </x:c>
      <x:c r="AJ591" s="12" t="str">
        <x:f>IF(OR(AH591="yes",AC591="operational",AD591="debated"),"high",IF(AND(AG591="yes",L591="P0"),"medium","low"))</x:f>
        <x:v>high</x:v>
      </x:c>
      <x:c r="AK591" s="12" t="str">
        <x:f>IF(ISNUMBER(SEARCH("healthy",AB591)),"yes","no")</x:f>
        <x:v>no</x:v>
      </x:c>
      <x:c r="AL591" s="12" t="str">
        <x:f>IF(AG591="yes","yes","candidate_only")</x:f>
        <x:v>candidate_only</x:v>
      </x:c>
      <x:c r="AM591" s="12" t="str">
        <x:f>IF(OR(AC591="canonical",AG591="yes"),"yes","recommended")</x:f>
        <x:v>recommended</x:v>
      </x:c>
      <x:c r="AN591" s="12" t="str">
        <x:f>IF(AC591="deprecated","exclude",IF(AND(AG591="yes",AJ591="high"),"import_but_human_review_required",IF(AG591="yes","import_as_active","import_as_backlog")))</x:f>
        <x:v>import_as_backlog</x:v>
      </x:c>
      <x:c r="AO591" s="12" t="str">
        <x:f>IF(AND(AG591="yes",OR(P591="",Q591="",R591="",S591="")),"missing_required_mvp_fields",IF(AND(AC591="canonical",Y591=""),"missing_source_ref","ok"))</x:f>
        <x:v>ok</x:v>
      </x:c>
      <x:c r="AP591" s="12" t="str">
        <x:f>IF(AO591="ok","ready_for_codex_import","needs_review")</x:f>
        <x:v>ready_for_codex_import</x:v>
      </x:c>
      <x:c r="AQ591" s="12"/>
      <x:c r="AR591" s="12" t="str">
        <x:v>Added v2 operational fields. Review before classification activation.</x:v>
      </x:c>
    </x:row>
    <x:row r="592">
      <x:c r="A592" s="13" t="str">
        <x:v>availability_in_decision_loss_frame_variant</x:v>
      </x:c>
      <x:c r="B592" s="13" t="str">
        <x:v>availability_in_decision</x:v>
      </x:c>
      <x:c r="C592" s="13" t="str">
        <x:v>Availability in decision-making</x:v>
      </x:c>
      <x:c r="D592" s="13" t="str">
        <x:v>دسترسی‌پذیری در تصمیم</x:v>
      </x:c>
      <x:c r="E592" s="13" t="str">
        <x:v>Loss-frame variant</x:v>
      </x:c>
      <x:c r="F592" s="13" t="str">
        <x:v>decision_biases_behavioural_economics</x:v>
      </x:c>
      <x:c r="G592" s="13" t="str">
        <x:v>operational_variant</x:v>
      </x:c>
      <x:c r="H592" s="13" t="str">
        <x:v>contextual</x:v>
      </x:c>
      <x:c r="I592" s="13" t="str">
        <x:v>claim+context</x:v>
      </x:c>
      <x:c r="J592" s="13" t="str">
        <x:v>derived_operational_subtype</x:v>
      </x:c>
      <x:c r="K592" s="13" t="str">
        <x:v>derived_from_established_parent_review_required</x:v>
      </x:c>
      <x:c r="L592" s="13" t="str">
        <x:v>P2</x:v>
      </x:c>
      <x:c r="M592" s="13" t="str">
        <x:v>no</x:v>
      </x:c>
      <x:c r="N592" s="13" t="str">
        <x:v>Operational subtype under Availability in decision-making: the reasoning depends on a loss framing. Parent definition: Choosing based on memorable cases rather than representative evidence.</x:v>
      </x:c>
      <x:c r="O592" s="13" t="str">
        <x:v>Look for: explicit claim-level evidence; parent-family cues for Availability in decision-making; variant cue: the reasoning depends on a loss framing; avoid author-level inference.</x:v>
      </x:c>
      <x:c r="P592" s="13" t="str">
        <x:v>Exact evidence span in text plus claim-level reasoning link; for contextual/discourse entries, require surrounding context.</x:v>
      </x:c>
      <x:c r="Q592" s="13" t="str">
        <x:v>Do not label merely because topic is controversial, emotional, or wrong. Do not judge intent or personality. Require textual evidence and consider healthy-reasoning cues.</x:v>
      </x:c>
      <x:c r="R592" s="13" t="str">
        <x:v>Stub: A claim relies on the reasoning depends on a loss framing to support a conclusion without adequate qualification.</x:v>
      </x:c>
      <x:c r="S592" s="13" t="str">
        <x:v>Stub: A claim discusses availability in decision-making with caveats, balanced evidence, or no argumentative use of the pattern.</x:v>
      </x:c>
      <x:c r="T592" s="13" t="str">
        <x:v>Mild or ambiguous cue; do not classify without clear evidence span.</x:v>
      </x:c>
      <x:c r="U592" s="13" t="str">
        <x:v>Clear claim-level pattern with some argumentative impact.</x:v>
      </x:c>
      <x:c r="V592" s="13" t="str">
        <x:v>Strong pattern central to the conclusion and likely to materially distort reasoning.</x:v>
      </x:c>
      <x:c r="W592" s="13" t="str">
        <x:v>cherry_picking; missing_counterevidence; evidence_grading</x:v>
      </x:c>
      <x:c r="X592" s="13" t="str">
        <x:v>kahneman_tversky_heuristics_1974</x:v>
      </x:c>
      <x:c r="Y592" s="13" t="str">
        <x:v>https://doi.org/10.1126/science.185.4157.1124</x:v>
      </x:c>
      <x:c r="Z592" s="13" t="str">
        <x:v>Review before enabling. This workbook is a living taxonomy scaffold, not a validated scientific benchmark.</x:v>
      </x:c>
      <x:c r="AA592" s="13" t="str">
        <x:v>0.1.0-draft</x:v>
      </x:c>
      <x:c r="AB592" s="12" t="str">
        <x:f>IF(ISNUMBER(SEARCH("healthy",F592)),"healthy_reasoning_patterns",IF(ISNUMBER(SEARCH("statistical",F592)),"statistical_reasoning",IF(ISNUMBER(SEARCH("causal",F592)),"causal_reasoning",IF(ISNUMBER(SEARCH("social",F592)),"social_influence",IF(ISNUMBER(SEARCH("rhetoric",F592)),"rhetoric_discourse",IF(ISNUMBER(SEARCH("behavior",F592)),"behavioural_economics",IF(ISNUMBER(SEARCH("cognitive",F592)),"cognitive_biases",IF(J592="protective_pattern","healthy_reasoning_patterns",IF(L592="P0","core_mvp","extended_fallacies")))))))))</x:f>
        <x:v>extended_fallacies</x:v>
      </x:c>
      <x:c r="AC592" s="12" t="str">
        <x:f>IF(ISNUMBER(SEARCH("operational",J592)),"operational",IF(ISNUMBER(SEARCH("deprecated",J592)),"deprecated",IF(L592="P0","canonical","recognized_subtype")))</x:f>
        <x:v>operational</x:v>
      </x:c>
      <x:c r="AD592" s="12" t="str">
        <x:f>IF(AC592="canonical","high",IF(AC592="recognized_subtype","medium",IF(AC592="operational","operational_only","debated")))</x:f>
        <x:v>operational_only</x:v>
      </x:c>
      <x:c r="AE592" s="12" t="str">
        <x:f>IF(AC592="deprecated","deprecated",IF(M592="yes","active",IF(M592="review","review_required","backlog")))</x:f>
        <x:v>backlog</x:v>
      </x:c>
      <x:c r="AF592" s="12" t="str">
        <x:f>IF(OR(AE592="active",AE592="review_required"),"yes","no")</x:f>
        <x:v>no</x:v>
      </x:c>
      <x:c r="AG592" s="12" t="str">
        <x:f>IF(AND(AE592="active",M592="yes",NOT(ISNUMBER(SEARCH("healthy",AB592)))),"yes","no")</x:f>
        <x:v>no</x:v>
      </x:c>
      <x:c r="AH592" s="12" t="str">
        <x:f>IF(OR(H592="contextual",H592="dialogue",H592="discourse",I592="claim+context",I592="discourse_segment"),"yes","no")</x:f>
        <x:v>yes</x:v>
      </x:c>
      <x:c r="AI592" s="12" t="str">
        <x:f>IF(OR(AH592="yes",AD592="debated",AC592="operational"),"yes","no")</x:f>
        <x:v>yes</x:v>
      </x:c>
      <x:c r="AJ592" s="12" t="str">
        <x:f>IF(OR(AH592="yes",AC592="operational",AD592="debated"),"high",IF(AND(AG592="yes",L592="P0"),"medium","low"))</x:f>
        <x:v>high</x:v>
      </x:c>
      <x:c r="AK592" s="12" t="str">
        <x:f>IF(ISNUMBER(SEARCH("healthy",AB592)),"yes","no")</x:f>
        <x:v>no</x:v>
      </x:c>
      <x:c r="AL592" s="12" t="str">
        <x:f>IF(AG592="yes","yes","candidate_only")</x:f>
        <x:v>candidate_only</x:v>
      </x:c>
      <x:c r="AM592" s="12" t="str">
        <x:f>IF(OR(AC592="canonical",AG592="yes"),"yes","recommended")</x:f>
        <x:v>recommended</x:v>
      </x:c>
      <x:c r="AN592" s="12" t="str">
        <x:f>IF(AC592="deprecated","exclude",IF(AND(AG592="yes",AJ592="high"),"import_but_human_review_required",IF(AG592="yes","import_as_active","import_as_backlog")))</x:f>
        <x:v>import_as_backlog</x:v>
      </x:c>
      <x:c r="AO592" s="12" t="str">
        <x:f>IF(AND(AG592="yes",OR(P592="",Q592="",R592="",S592="")),"missing_required_mvp_fields",IF(AND(AC592="canonical",Y592=""),"missing_source_ref","ok"))</x:f>
        <x:v>ok</x:v>
      </x:c>
      <x:c r="AP592" s="12" t="str">
        <x:f>IF(AO592="ok","ready_for_codex_import","needs_review")</x:f>
        <x:v>ready_for_codex_import</x:v>
      </x:c>
      <x:c r="AQ592" s="12"/>
      <x:c r="AR592" s="12" t="str">
        <x:v>Added v2 operational fields. Review before classification activation.</x:v>
      </x:c>
    </x:row>
    <x:row r="593">
      <x:c r="A593" s="13" t="str">
        <x:v>friction_cost_neglect_loss_frame_variant</x:v>
      </x:c>
      <x:c r="B593" s="13" t="str">
        <x:v>friction_cost_neglect</x:v>
      </x:c>
      <x:c r="C593" s="13" t="str">
        <x:v>Friction-cost neglect</x:v>
      </x:c>
      <x:c r="D593" s="13" t="str">
        <x:v>نادیده‌گرفتن هزینه اصطکاکی</x:v>
      </x:c>
      <x:c r="E593" s="13" t="str">
        <x:v>Loss-frame variant</x:v>
      </x:c>
      <x:c r="F593" s="13" t="str">
        <x:v>decision_biases_behavioural_economics</x:v>
      </x:c>
      <x:c r="G593" s="13" t="str">
        <x:v>operational_variant</x:v>
      </x:c>
      <x:c r="H593" s="13" t="str">
        <x:v>contextual</x:v>
      </x:c>
      <x:c r="I593" s="13" t="str">
        <x:v>claim+context</x:v>
      </x:c>
      <x:c r="J593" s="13" t="str">
        <x:v>derived_operational_subtype</x:v>
      </x:c>
      <x:c r="K593" s="13" t="str">
        <x:v>derived_from_established_parent_review_required</x:v>
      </x:c>
      <x:c r="L593" s="13" t="str">
        <x:v>P2</x:v>
      </x:c>
      <x:c r="M593" s="13" t="str">
        <x:v>no</x:v>
      </x:c>
      <x:c r="N593" s="13" t="str">
        <x:v>Operational subtype under Friction-cost neglect: the reasoning depends on a loss framing. Parent definition: Ignoring transaction costs, cognitive load, or access barriers in choices.</x:v>
      </x:c>
      <x:c r="O593" s="13" t="str">
        <x:v>Look for: explicit claim-level evidence; parent-family cues for Friction-cost neglect; variant cue: the reasoning depends on a loss framing; avoid author-level inference.</x:v>
      </x:c>
      <x:c r="P593" s="13" t="str">
        <x:v>Exact evidence span in text plus claim-level reasoning link; for contextual/discourse entries, require surrounding context.</x:v>
      </x:c>
      <x:c r="Q593" s="13" t="str">
        <x:v>Do not label merely because topic is controversial, emotional, or wrong. Do not judge intent or personality. Require textual evidence and consider healthy-reasoning cues.</x:v>
      </x:c>
      <x:c r="R593" s="13" t="str">
        <x:v>Stub: A claim relies on the reasoning depends on a loss framing to support a conclusion without adequate qualification.</x:v>
      </x:c>
      <x:c r="S593" s="13" t="str">
        <x:v>Stub: A claim discusses friction-cost neglect with caveats, balanced evidence, or no argumentative use of the pattern.</x:v>
      </x:c>
      <x:c r="T593" s="13" t="str">
        <x:v>Mild or ambiguous cue; do not classify without clear evidence span.</x:v>
      </x:c>
      <x:c r="U593" s="13" t="str">
        <x:v>Clear claim-level pattern with some argumentative impact.</x:v>
      </x:c>
      <x:c r="V593" s="13" t="str">
        <x:v>Strong pattern central to the conclusion and likely to materially distort reasoning.</x:v>
      </x:c>
      <x:c r="W593" s="13" t="str"/>
      <x:c r="X593" s="13" t="str">
        <x:v>thaler_sunstein_nudge</x:v>
      </x:c>
      <x:c r="Y593" s="13" t="str">
        <x:v>https://yalebooks.yale.edu/book/9780300262285/nudge/</x:v>
      </x:c>
      <x:c r="Z593" s="13" t="str">
        <x:v>Review before enabling. This workbook is a living taxonomy scaffold, not a validated scientific benchmark.</x:v>
      </x:c>
      <x:c r="AA593" s="13" t="str">
        <x:v>0.1.0-draft</x:v>
      </x:c>
      <x:c r="AB593" s="12" t="str">
        <x:f>IF(ISNUMBER(SEARCH("healthy",F593)),"healthy_reasoning_patterns",IF(ISNUMBER(SEARCH("statistical",F593)),"statistical_reasoning",IF(ISNUMBER(SEARCH("causal",F593)),"causal_reasoning",IF(ISNUMBER(SEARCH("social",F593)),"social_influence",IF(ISNUMBER(SEARCH("rhetoric",F593)),"rhetoric_discourse",IF(ISNUMBER(SEARCH("behavior",F593)),"behavioural_economics",IF(ISNUMBER(SEARCH("cognitive",F593)),"cognitive_biases",IF(J593="protective_pattern","healthy_reasoning_patterns",IF(L593="P0","core_mvp","extended_fallacies")))))))))</x:f>
        <x:v>extended_fallacies</x:v>
      </x:c>
      <x:c r="AC593" s="12" t="str">
        <x:f>IF(ISNUMBER(SEARCH("operational",J593)),"operational",IF(ISNUMBER(SEARCH("deprecated",J593)),"deprecated",IF(L593="P0","canonical","recognized_subtype")))</x:f>
        <x:v>operational</x:v>
      </x:c>
      <x:c r="AD593" s="12" t="str">
        <x:f>IF(AC593="canonical","high",IF(AC593="recognized_subtype","medium",IF(AC593="operational","operational_only","debated")))</x:f>
        <x:v>operational_only</x:v>
      </x:c>
      <x:c r="AE593" s="12" t="str">
        <x:f>IF(AC593="deprecated","deprecated",IF(M593="yes","active",IF(M593="review","review_required","backlog")))</x:f>
        <x:v>backlog</x:v>
      </x:c>
      <x:c r="AF593" s="12" t="str">
        <x:f>IF(OR(AE593="active",AE593="review_required"),"yes","no")</x:f>
        <x:v>no</x:v>
      </x:c>
      <x:c r="AG593" s="12" t="str">
        <x:f>IF(AND(AE593="active",M593="yes",NOT(ISNUMBER(SEARCH("healthy",AB593)))),"yes","no")</x:f>
        <x:v>no</x:v>
      </x:c>
      <x:c r="AH593" s="12" t="str">
        <x:f>IF(OR(H593="contextual",H593="dialogue",H593="discourse",I593="claim+context",I593="discourse_segment"),"yes","no")</x:f>
        <x:v>yes</x:v>
      </x:c>
      <x:c r="AI593" s="12" t="str">
        <x:f>IF(OR(AH593="yes",AD593="debated",AC593="operational"),"yes","no")</x:f>
        <x:v>yes</x:v>
      </x:c>
      <x:c r="AJ593" s="12" t="str">
        <x:f>IF(OR(AH593="yes",AC593="operational",AD593="debated"),"high",IF(AND(AG593="yes",L593="P0"),"medium","low"))</x:f>
        <x:v>high</x:v>
      </x:c>
      <x:c r="AK593" s="12" t="str">
        <x:f>IF(ISNUMBER(SEARCH("healthy",AB593)),"yes","no")</x:f>
        <x:v>no</x:v>
      </x:c>
      <x:c r="AL593" s="12" t="str">
        <x:f>IF(AG593="yes","yes","candidate_only")</x:f>
        <x:v>candidate_only</x:v>
      </x:c>
      <x:c r="AM593" s="12" t="str">
        <x:f>IF(OR(AC593="canonical",AG593="yes"),"yes","recommended")</x:f>
        <x:v>recommended</x:v>
      </x:c>
      <x:c r="AN593" s="12" t="str">
        <x:f>IF(AC593="deprecated","exclude",IF(AND(AG593="yes",AJ593="high"),"import_but_human_review_required",IF(AG593="yes","import_as_active","import_as_backlog")))</x:f>
        <x:v>import_as_backlog</x:v>
      </x:c>
      <x:c r="AO593" s="12" t="str">
        <x:f>IF(AND(AG593="yes",OR(P593="",Q593="",R593="",S593="")),"missing_required_mvp_fields",IF(AND(AC593="canonical",Y593=""),"missing_source_ref","ok"))</x:f>
        <x:v>ok</x:v>
      </x:c>
      <x:c r="AP593" s="12" t="str">
        <x:f>IF(AO593="ok","ready_for_codex_import","needs_review")</x:f>
        <x:v>ready_for_codex_import</x:v>
      </x:c>
      <x:c r="AQ593" s="12"/>
      <x:c r="AR593" s="12" t="str">
        <x:v>Added v2 operational fields. Review before classification activation.</x:v>
      </x:c>
    </x:row>
    <x:row r="594">
      <x:c r="A594" s="13" t="str">
        <x:v>loss_aversion_default_or_status_quo_variant</x:v>
      </x:c>
      <x:c r="B594" s="13" t="str">
        <x:v>loss_aversion</x:v>
      </x:c>
      <x:c r="C594" s="13" t="str">
        <x:v>Loss aversion</x:v>
      </x:c>
      <x:c r="D594" s="13" t="str">
        <x:v>اجتناب از زیان</x:v>
      </x:c>
      <x:c r="E594" s="13" t="str">
        <x:v>Default/status-quo variant</x:v>
      </x:c>
      <x:c r="F594" s="13" t="str">
        <x:v>decision_biases_behavioural_economics</x:v>
      </x:c>
      <x:c r="G594" s="13" t="str">
        <x:v>operational_variant</x:v>
      </x:c>
      <x:c r="H594" s="13" t="str">
        <x:v>contextual</x:v>
      </x:c>
      <x:c r="I594" s="13" t="str">
        <x:v>claim+context</x:v>
      </x:c>
      <x:c r="J594" s="13" t="str">
        <x:v>derived_operational_subtype</x:v>
      </x:c>
      <x:c r="K594" s="13" t="str">
        <x:v>derived_from_established_parent_review_required</x:v>
      </x:c>
      <x:c r="L594" s="13" t="str">
        <x:v>P2</x:v>
      </x:c>
      <x:c r="M594" s="13" t="str">
        <x:v>no</x:v>
      </x:c>
      <x:c r="N594" s="13" t="str">
        <x:v>Operational subtype under Loss aversion: the default or current state is treated as preferable without reasons. Parent definition: Losses are weighted more strongly than comparable gains.</x:v>
      </x:c>
      <x:c r="O594" s="13" t="str">
        <x:v>Look for: explicit claim-level evidence; parent-family cues for Loss aversion; variant cue: the default or current state is treated as preferable without reasons; avoid author-level inference.</x:v>
      </x:c>
      <x:c r="P594" s="13" t="str">
        <x:v>Exact evidence span in text plus claim-level reasoning link; for contextual/discourse entries, require surrounding context.</x:v>
      </x:c>
      <x:c r="Q594" s="13" t="str">
        <x:v>Do not label merely because topic is controversial, emotional, or wrong. Do not judge intent or personality. Require textual evidence and consider healthy-reasoning cues.</x:v>
      </x:c>
      <x:c r="R594" s="13" t="str">
        <x:v>Stub: A claim relies on the default or current state is treated as preferable without reasons to support a conclusion without adequate qualification.</x:v>
      </x:c>
      <x:c r="S594" s="13" t="str">
        <x:v>Stub: A claim discusses loss aversion with caveats, balanced evidence, or no argumentative use of the pattern.</x:v>
      </x:c>
      <x:c r="T594" s="13" t="str">
        <x:v>Mild or ambiguous cue; do not classify without clear evidence span.</x:v>
      </x:c>
      <x:c r="U594" s="13" t="str">
        <x:v>Clear claim-level pattern with some argumentative impact.</x:v>
      </x:c>
      <x:c r="V594" s="13" t="str">
        <x:v>Strong pattern central to the conclusion and likely to materially distort reasoning.</x:v>
      </x:c>
      <x:c r="W594" s="13" t="str"/>
      <x:c r="X594" s="13" t="str">
        <x:v>kahneman_tversky_prospect_1979</x:v>
      </x:c>
      <x:c r="Y594" s="13" t="str">
        <x:v>https://doi.org/10.2307/1914185</x:v>
      </x:c>
      <x:c r="Z594" s="13" t="str">
        <x:v>Review before enabling. This workbook is a living taxonomy scaffold, not a validated scientific benchmark.</x:v>
      </x:c>
      <x:c r="AA594" s="13" t="str">
        <x:v>0.1.0-draft</x:v>
      </x:c>
      <x:c r="AB594" s="12" t="str">
        <x:f>IF(ISNUMBER(SEARCH("healthy",F594)),"healthy_reasoning_patterns",IF(ISNUMBER(SEARCH("statistical",F594)),"statistical_reasoning",IF(ISNUMBER(SEARCH("causal",F594)),"causal_reasoning",IF(ISNUMBER(SEARCH("social",F594)),"social_influence",IF(ISNUMBER(SEARCH("rhetoric",F594)),"rhetoric_discourse",IF(ISNUMBER(SEARCH("behavior",F594)),"behavioural_economics",IF(ISNUMBER(SEARCH("cognitive",F594)),"cognitive_biases",IF(J594="protective_pattern","healthy_reasoning_patterns",IF(L594="P0","core_mvp","extended_fallacies")))))))))</x:f>
        <x:v>extended_fallacies</x:v>
      </x:c>
      <x:c r="AC594" s="12" t="str">
        <x:f>IF(ISNUMBER(SEARCH("operational",J594)),"operational",IF(ISNUMBER(SEARCH("deprecated",J594)),"deprecated",IF(L594="P0","canonical","recognized_subtype")))</x:f>
        <x:v>operational</x:v>
      </x:c>
      <x:c r="AD594" s="12" t="str">
        <x:f>IF(AC594="canonical","high",IF(AC594="recognized_subtype","medium",IF(AC594="operational","operational_only","debated")))</x:f>
        <x:v>operational_only</x:v>
      </x:c>
      <x:c r="AE594" s="12" t="str">
        <x:f>IF(AC594="deprecated","deprecated",IF(M594="yes","active",IF(M594="review","review_required","backlog")))</x:f>
        <x:v>backlog</x:v>
      </x:c>
      <x:c r="AF594" s="12" t="str">
        <x:f>IF(OR(AE594="active",AE594="review_required"),"yes","no")</x:f>
        <x:v>no</x:v>
      </x:c>
      <x:c r="AG594" s="12" t="str">
        <x:f>IF(AND(AE594="active",M594="yes",NOT(ISNUMBER(SEARCH("healthy",AB594)))),"yes","no")</x:f>
        <x:v>no</x:v>
      </x:c>
      <x:c r="AH594" s="12" t="str">
        <x:f>IF(OR(H594="contextual",H594="dialogue",H594="discourse",I594="claim+context",I594="discourse_segment"),"yes","no")</x:f>
        <x:v>yes</x:v>
      </x:c>
      <x:c r="AI594" s="12" t="str">
        <x:f>IF(OR(AH594="yes",AD594="debated",AC594="operational"),"yes","no")</x:f>
        <x:v>yes</x:v>
      </x:c>
      <x:c r="AJ594" s="12" t="str">
        <x:f>IF(OR(AH594="yes",AC594="operational",AD594="debated"),"high",IF(AND(AG594="yes",L594="P0"),"medium","low"))</x:f>
        <x:v>high</x:v>
      </x:c>
      <x:c r="AK594" s="12" t="str">
        <x:f>IF(ISNUMBER(SEARCH("healthy",AB594)),"yes","no")</x:f>
        <x:v>no</x:v>
      </x:c>
      <x:c r="AL594" s="12" t="str">
        <x:f>IF(AG594="yes","yes","candidate_only")</x:f>
        <x:v>candidate_only</x:v>
      </x:c>
      <x:c r="AM594" s="12" t="str">
        <x:f>IF(OR(AC594="canonical",AG594="yes"),"yes","recommended")</x:f>
        <x:v>recommended</x:v>
      </x:c>
      <x:c r="AN594" s="12" t="str">
        <x:f>IF(AC594="deprecated","exclude",IF(AND(AG594="yes",AJ594="high"),"import_but_human_review_required",IF(AG594="yes","import_as_active","import_as_backlog")))</x:f>
        <x:v>import_as_backlog</x:v>
      </x:c>
      <x:c r="AO594" s="12" t="str">
        <x:f>IF(AND(AG594="yes",OR(P594="",Q594="",R594="",S594="")),"missing_required_mvp_fields",IF(AND(AC594="canonical",Y594=""),"missing_source_ref","ok"))</x:f>
        <x:v>ok</x:v>
      </x:c>
      <x:c r="AP594" s="12" t="str">
        <x:f>IF(AO594="ok","ready_for_codex_import","needs_review")</x:f>
        <x:v>ready_for_codex_import</x:v>
      </x:c>
      <x:c r="AQ594" s="12"/>
      <x:c r="AR594" s="12" t="str">
        <x:v>Added v2 operational fields. Review before classification activation.</x:v>
      </x:c>
    </x:row>
    <x:row r="595">
      <x:c r="A595" s="13" t="str">
        <x:v>endowment_effect_default_or_status_quo_variant</x:v>
      </x:c>
      <x:c r="B595" s="13" t="str">
        <x:v>endowment_effect</x:v>
      </x:c>
      <x:c r="C595" s="13" t="str">
        <x:v>Endowment effect</x:v>
      </x:c>
      <x:c r="D595" s="13" t="str">
        <x:v>اثر مالکیت</x:v>
      </x:c>
      <x:c r="E595" s="13" t="str">
        <x:v>Default/status-quo variant</x:v>
      </x:c>
      <x:c r="F595" s="13" t="str">
        <x:v>decision_biases_behavioural_economics</x:v>
      </x:c>
      <x:c r="G595" s="13" t="str">
        <x:v>operational_variant</x:v>
      </x:c>
      <x:c r="H595" s="13" t="str">
        <x:v>contextual</x:v>
      </x:c>
      <x:c r="I595" s="13" t="str">
        <x:v>claim+context</x:v>
      </x:c>
      <x:c r="J595" s="13" t="str">
        <x:v>derived_operational_subtype</x:v>
      </x:c>
      <x:c r="K595" s="13" t="str">
        <x:v>derived_from_established_parent_review_required</x:v>
      </x:c>
      <x:c r="L595" s="13" t="str">
        <x:v>P2</x:v>
      </x:c>
      <x:c r="M595" s="13" t="str">
        <x:v>no</x:v>
      </x:c>
      <x:c r="N595" s="13" t="str">
        <x:v>Operational subtype under Endowment effect: the default or current state is treated as preferable without reasons. Parent definition: Valuing something more highly because one owns it.</x:v>
      </x:c>
      <x:c r="O595" s="13" t="str">
        <x:v>Look for: explicit claim-level evidence; parent-family cues for Endowment effect; variant cue: the default or current state is treated as preferable without reasons; avoid author-level inference.</x:v>
      </x:c>
      <x:c r="P595" s="13" t="str">
        <x:v>Exact evidence span in text plus claim-level reasoning link; for contextual/discourse entries, require surrounding context.</x:v>
      </x:c>
      <x:c r="Q595" s="13" t="str">
        <x:v>Do not label merely because topic is controversial, emotional, or wrong. Do not judge intent or personality. Require textual evidence and consider healthy-reasoning cues.</x:v>
      </x:c>
      <x:c r="R595" s="13" t="str">
        <x:v>Stub: A claim relies on the default or current state is treated as preferable without reasons to support a conclusion without adequate qualification.</x:v>
      </x:c>
      <x:c r="S595" s="13" t="str">
        <x:v>Stub: A claim discusses endowment effect with caveats, balanced evidence, or no argumentative use of the pattern.</x:v>
      </x:c>
      <x:c r="T595" s="13" t="str">
        <x:v>Mild or ambiguous cue; do not classify without clear evidence span.</x:v>
      </x:c>
      <x:c r="U595" s="13" t="str">
        <x:v>Clear claim-level pattern with some argumentative impact.</x:v>
      </x:c>
      <x:c r="V595" s="13" t="str">
        <x:v>Strong pattern central to the conclusion and likely to materially distort reasoning.</x:v>
      </x:c>
      <x:c r="W595" s="13" t="str"/>
      <x:c r="X595" s="13" t="str">
        <x:v>kahneman_tversky_prospect_1979</x:v>
      </x:c>
      <x:c r="Y595" s="13" t="str">
        <x:v>https://doi.org/10.2307/1914185</x:v>
      </x:c>
      <x:c r="Z595" s="13" t="str">
        <x:v>Review before enabling. This workbook is a living taxonomy scaffold, not a validated scientific benchmark.</x:v>
      </x:c>
      <x:c r="AA595" s="13" t="str">
        <x:v>0.1.0-draft</x:v>
      </x:c>
      <x:c r="AB595" s="12" t="str">
        <x:f>IF(ISNUMBER(SEARCH("healthy",F595)),"healthy_reasoning_patterns",IF(ISNUMBER(SEARCH("statistical",F595)),"statistical_reasoning",IF(ISNUMBER(SEARCH("causal",F595)),"causal_reasoning",IF(ISNUMBER(SEARCH("social",F595)),"social_influence",IF(ISNUMBER(SEARCH("rhetoric",F595)),"rhetoric_discourse",IF(ISNUMBER(SEARCH("behavior",F595)),"behavioural_economics",IF(ISNUMBER(SEARCH("cognitive",F595)),"cognitive_biases",IF(J595="protective_pattern","healthy_reasoning_patterns",IF(L595="P0","core_mvp","extended_fallacies")))))))))</x:f>
        <x:v>extended_fallacies</x:v>
      </x:c>
      <x:c r="AC595" s="12" t="str">
        <x:f>IF(ISNUMBER(SEARCH("operational",J595)),"operational",IF(ISNUMBER(SEARCH("deprecated",J595)),"deprecated",IF(L595="P0","canonical","recognized_subtype")))</x:f>
        <x:v>operational</x:v>
      </x:c>
      <x:c r="AD595" s="12" t="str">
        <x:f>IF(AC595="canonical","high",IF(AC595="recognized_subtype","medium",IF(AC595="operational","operational_only","debated")))</x:f>
        <x:v>operational_only</x:v>
      </x:c>
      <x:c r="AE595" s="12" t="str">
        <x:f>IF(AC595="deprecated","deprecated",IF(M595="yes","active",IF(M595="review","review_required","backlog")))</x:f>
        <x:v>backlog</x:v>
      </x:c>
      <x:c r="AF595" s="12" t="str">
        <x:f>IF(OR(AE595="active",AE595="review_required"),"yes","no")</x:f>
        <x:v>no</x:v>
      </x:c>
      <x:c r="AG595" s="12" t="str">
        <x:f>IF(AND(AE595="active",M595="yes",NOT(ISNUMBER(SEARCH("healthy",AB595)))),"yes","no")</x:f>
        <x:v>no</x:v>
      </x:c>
      <x:c r="AH595" s="12" t="str">
        <x:f>IF(OR(H595="contextual",H595="dialogue",H595="discourse",I595="claim+context",I595="discourse_segment"),"yes","no")</x:f>
        <x:v>yes</x:v>
      </x:c>
      <x:c r="AI595" s="12" t="str">
        <x:f>IF(OR(AH595="yes",AD595="debated",AC595="operational"),"yes","no")</x:f>
        <x:v>yes</x:v>
      </x:c>
      <x:c r="AJ595" s="12" t="str">
        <x:f>IF(OR(AH595="yes",AC595="operational",AD595="debated"),"high",IF(AND(AG595="yes",L595="P0"),"medium","low"))</x:f>
        <x:v>high</x:v>
      </x:c>
      <x:c r="AK595" s="12" t="str">
        <x:f>IF(ISNUMBER(SEARCH("healthy",AB595)),"yes","no")</x:f>
        <x:v>no</x:v>
      </x:c>
      <x:c r="AL595" s="12" t="str">
        <x:f>IF(AG595="yes","yes","candidate_only")</x:f>
        <x:v>candidate_only</x:v>
      </x:c>
      <x:c r="AM595" s="12" t="str">
        <x:f>IF(OR(AC595="canonical",AG595="yes"),"yes","recommended")</x:f>
        <x:v>recommended</x:v>
      </x:c>
      <x:c r="AN595" s="12" t="str">
        <x:f>IF(AC595="deprecated","exclude",IF(AND(AG595="yes",AJ595="high"),"import_but_human_review_required",IF(AG595="yes","import_as_active","import_as_backlog")))</x:f>
        <x:v>import_as_backlog</x:v>
      </x:c>
      <x:c r="AO595" s="12" t="str">
        <x:f>IF(AND(AG595="yes",OR(P595="",Q595="",R595="",S595="")),"missing_required_mvp_fields",IF(AND(AC595="canonical",Y595=""),"missing_source_ref","ok"))</x:f>
        <x:v>ok</x:v>
      </x:c>
      <x:c r="AP595" s="12" t="str">
        <x:f>IF(AO595="ok","ready_for_codex_import","needs_review")</x:f>
        <x:v>ready_for_codex_import</x:v>
      </x:c>
      <x:c r="AQ595" s="12"/>
      <x:c r="AR595" s="12" t="str">
        <x:v>Added v2 operational fields. Review before classification activation.</x:v>
      </x:c>
    </x:row>
    <x:row r="596">
      <x:c r="A596" s="13" t="str">
        <x:v>status_quo_bias_default_or_status_quo_variant</x:v>
      </x:c>
      <x:c r="B596" s="13" t="str">
        <x:v>status_quo_bias</x:v>
      </x:c>
      <x:c r="C596" s="13" t="str">
        <x:v>Status quo bias</x:v>
      </x:c>
      <x:c r="D596" s="13" t="str">
        <x:v>سوگیری وضع موجود</x:v>
      </x:c>
      <x:c r="E596" s="13" t="str">
        <x:v>Default/status-quo variant</x:v>
      </x:c>
      <x:c r="F596" s="13" t="str">
        <x:v>decision_biases_behavioural_economics</x:v>
      </x:c>
      <x:c r="G596" s="13" t="str">
        <x:v>operational_variant</x:v>
      </x:c>
      <x:c r="H596" s="13" t="str">
        <x:v>contextual</x:v>
      </x:c>
      <x:c r="I596" s="13" t="str">
        <x:v>claim+context</x:v>
      </x:c>
      <x:c r="J596" s="13" t="str">
        <x:v>derived_operational_subtype</x:v>
      </x:c>
      <x:c r="K596" s="13" t="str">
        <x:v>derived_from_established_parent_review_required</x:v>
      </x:c>
      <x:c r="L596" s="13" t="str">
        <x:v>P2</x:v>
      </x:c>
      <x:c r="M596" s="13" t="str">
        <x:v>no</x:v>
      </x:c>
      <x:c r="N596" s="13" t="str">
        <x:v>Operational subtype under Status quo bias: the default or current state is treated as preferable without reasons. Parent definition: Preferring the existing state partly because it is the default.</x:v>
      </x:c>
      <x:c r="O596" s="13" t="str">
        <x:v>Look for: explicit claim-level evidence; parent-family cues for Status quo bias; variant cue: the default or current state is treated as preferable without reasons; avoid author-level inference.</x:v>
      </x:c>
      <x:c r="P596" s="13" t="str">
        <x:v>Exact evidence span in text plus claim-level reasoning link; for contextual/discourse entries, require surrounding context.</x:v>
      </x:c>
      <x:c r="Q596" s="13" t="str">
        <x:v>Do not label merely because topic is controversial, emotional, or wrong. Do not judge intent or personality. Require textual evidence and consider healthy-reasoning cues.</x:v>
      </x:c>
      <x:c r="R596" s="13" t="str">
        <x:v>Stub: A claim relies on the default or current state is treated as preferable without reasons to support a conclusion without adequate qualification.</x:v>
      </x:c>
      <x:c r="S596" s="13" t="str">
        <x:v>Stub: A claim discusses status quo bias with caveats, balanced evidence, or no argumentative use of the pattern.</x:v>
      </x:c>
      <x:c r="T596" s="13" t="str">
        <x:v>Mild or ambiguous cue; do not classify without clear evidence span.</x:v>
      </x:c>
      <x:c r="U596" s="13" t="str">
        <x:v>Clear claim-level pattern with some argumentative impact.</x:v>
      </x:c>
      <x:c r="V596" s="13" t="str">
        <x:v>Strong pattern central to the conclusion and likely to materially distort reasoning.</x:v>
      </x:c>
      <x:c r="W596" s="13" t="str"/>
      <x:c r="X596" s="13" t="str">
        <x:v>thaler_sunstein_nudge</x:v>
      </x:c>
      <x:c r="Y596" s="13" t="str">
        <x:v>https://yalebooks.yale.edu/book/9780300262285/nudge/</x:v>
      </x:c>
      <x:c r="Z596" s="13" t="str">
        <x:v>Review before enabling. This workbook is a living taxonomy scaffold, not a validated scientific benchmark.</x:v>
      </x:c>
      <x:c r="AA596" s="13" t="str">
        <x:v>0.1.0-draft</x:v>
      </x:c>
      <x:c r="AB596" s="12" t="str">
        <x:f>IF(ISNUMBER(SEARCH("healthy",F596)),"healthy_reasoning_patterns",IF(ISNUMBER(SEARCH("statistical",F596)),"statistical_reasoning",IF(ISNUMBER(SEARCH("causal",F596)),"causal_reasoning",IF(ISNUMBER(SEARCH("social",F596)),"social_influence",IF(ISNUMBER(SEARCH("rhetoric",F596)),"rhetoric_discourse",IF(ISNUMBER(SEARCH("behavior",F596)),"behavioural_economics",IF(ISNUMBER(SEARCH("cognitive",F596)),"cognitive_biases",IF(J596="protective_pattern","healthy_reasoning_patterns",IF(L596="P0","core_mvp","extended_fallacies")))))))))</x:f>
        <x:v>extended_fallacies</x:v>
      </x:c>
      <x:c r="AC596" s="12" t="str">
        <x:f>IF(ISNUMBER(SEARCH("operational",J596)),"operational",IF(ISNUMBER(SEARCH("deprecated",J596)),"deprecated",IF(L596="P0","canonical","recognized_subtype")))</x:f>
        <x:v>operational</x:v>
      </x:c>
      <x:c r="AD596" s="12" t="str">
        <x:f>IF(AC596="canonical","high",IF(AC596="recognized_subtype","medium",IF(AC596="operational","operational_only","debated")))</x:f>
        <x:v>operational_only</x:v>
      </x:c>
      <x:c r="AE596" s="12" t="str">
        <x:f>IF(AC596="deprecated","deprecated",IF(M596="yes","active",IF(M596="review","review_required","backlog")))</x:f>
        <x:v>backlog</x:v>
      </x:c>
      <x:c r="AF596" s="12" t="str">
        <x:f>IF(OR(AE596="active",AE596="review_required"),"yes","no")</x:f>
        <x:v>no</x:v>
      </x:c>
      <x:c r="AG596" s="12" t="str">
        <x:f>IF(AND(AE596="active",M596="yes",NOT(ISNUMBER(SEARCH("healthy",AB596)))),"yes","no")</x:f>
        <x:v>no</x:v>
      </x:c>
      <x:c r="AH596" s="12" t="str">
        <x:f>IF(OR(H596="contextual",H596="dialogue",H596="discourse",I596="claim+context",I596="discourse_segment"),"yes","no")</x:f>
        <x:v>yes</x:v>
      </x:c>
      <x:c r="AI596" s="12" t="str">
        <x:f>IF(OR(AH596="yes",AD596="debated",AC596="operational"),"yes","no")</x:f>
        <x:v>yes</x:v>
      </x:c>
      <x:c r="AJ596" s="12" t="str">
        <x:f>IF(OR(AH596="yes",AC596="operational",AD596="debated"),"high",IF(AND(AG596="yes",L596="P0"),"medium","low"))</x:f>
        <x:v>high</x:v>
      </x:c>
      <x:c r="AK596" s="12" t="str">
        <x:f>IF(ISNUMBER(SEARCH("healthy",AB596)),"yes","no")</x:f>
        <x:v>no</x:v>
      </x:c>
      <x:c r="AL596" s="12" t="str">
        <x:f>IF(AG596="yes","yes","candidate_only")</x:f>
        <x:v>candidate_only</x:v>
      </x:c>
      <x:c r="AM596" s="12" t="str">
        <x:f>IF(OR(AC596="canonical",AG596="yes"),"yes","recommended")</x:f>
        <x:v>recommended</x:v>
      </x:c>
      <x:c r="AN596" s="12" t="str">
        <x:f>IF(AC596="deprecated","exclude",IF(AND(AG596="yes",AJ596="high"),"import_but_human_review_required",IF(AG596="yes","import_as_active","import_as_backlog")))</x:f>
        <x:v>import_as_backlog</x:v>
      </x:c>
      <x:c r="AO596" s="12" t="str">
        <x:f>IF(AND(AG596="yes",OR(P596="",Q596="",R596="",S596="")),"missing_required_mvp_fields",IF(AND(AC596="canonical",Y596=""),"missing_source_ref","ok"))</x:f>
        <x:v>ok</x:v>
      </x:c>
      <x:c r="AP596" s="12" t="str">
        <x:f>IF(AO596="ok","ready_for_codex_import","needs_review")</x:f>
        <x:v>ready_for_codex_import</x:v>
      </x:c>
      <x:c r="AQ596" s="12"/>
      <x:c r="AR596" s="12" t="str">
        <x:v>Added v2 operational fields. Review before classification activation.</x:v>
      </x:c>
    </x:row>
    <x:row r="597">
      <x:c r="A597" s="13" t="str">
        <x:v>default_effect_default_or_status_quo_variant</x:v>
      </x:c>
      <x:c r="B597" s="13" t="str">
        <x:v>default_effect</x:v>
      </x:c>
      <x:c r="C597" s="13" t="str">
        <x:v>Default effect</x:v>
      </x:c>
      <x:c r="D597" s="13" t="str">
        <x:v>اثر گزینه پیش‌فرض</x:v>
      </x:c>
      <x:c r="E597" s="13" t="str">
        <x:v>Default/status-quo variant</x:v>
      </x:c>
      <x:c r="F597" s="13" t="str">
        <x:v>decision_biases_behavioural_economics</x:v>
      </x:c>
      <x:c r="G597" s="13" t="str">
        <x:v>operational_variant</x:v>
      </x:c>
      <x:c r="H597" s="13" t="str">
        <x:v>contextual</x:v>
      </x:c>
      <x:c r="I597" s="13" t="str">
        <x:v>claim+context</x:v>
      </x:c>
      <x:c r="J597" s="13" t="str">
        <x:v>derived_operational_subtype</x:v>
      </x:c>
      <x:c r="K597" s="13" t="str">
        <x:v>derived_from_established_parent_review_required</x:v>
      </x:c>
      <x:c r="L597" s="13" t="str">
        <x:v>P2</x:v>
      </x:c>
      <x:c r="M597" s="13" t="str">
        <x:v>no</x:v>
      </x:c>
      <x:c r="N597" s="13" t="str">
        <x:v>Operational subtype under Default effect: the default or current state is treated as preferable without reasons. Parent definition: Choosing an option disproportionately because it is preselected.</x:v>
      </x:c>
      <x:c r="O597" s="13" t="str">
        <x:v>Look for: explicit claim-level evidence; parent-family cues for Default effect; variant cue: the default or current state is treated as preferable without reasons; avoid author-level inference.</x:v>
      </x:c>
      <x:c r="P597" s="13" t="str">
        <x:v>Exact evidence span in text plus claim-level reasoning link; for contextual/discourse entries, require surrounding context.</x:v>
      </x:c>
      <x:c r="Q597" s="13" t="str">
        <x:v>Do not label merely because topic is controversial, emotional, or wrong. Do not judge intent or personality. Require textual evidence and consider healthy-reasoning cues.</x:v>
      </x:c>
      <x:c r="R597" s="13" t="str">
        <x:v>Stub: A claim relies on the default or current state is treated as preferable without reasons to support a conclusion without adequate qualification.</x:v>
      </x:c>
      <x:c r="S597" s="13" t="str">
        <x:v>Stub: A claim discusses default effect with caveats, balanced evidence, or no argumentative use of the pattern.</x:v>
      </x:c>
      <x:c r="T597" s="13" t="str">
        <x:v>Mild or ambiguous cue; do not classify without clear evidence span.</x:v>
      </x:c>
      <x:c r="U597" s="13" t="str">
        <x:v>Clear claim-level pattern with some argumentative impact.</x:v>
      </x:c>
      <x:c r="V597" s="13" t="str">
        <x:v>Strong pattern central to the conclusion and likely to materially distort reasoning.</x:v>
      </x:c>
      <x:c r="W597" s="13" t="str"/>
      <x:c r="X597" s="13" t="str">
        <x:v>thaler_sunstein_nudge</x:v>
      </x:c>
      <x:c r="Y597" s="13" t="str">
        <x:v>https://yalebooks.yale.edu/book/9780300262285/nudge/</x:v>
      </x:c>
      <x:c r="Z597" s="13" t="str">
        <x:v>Review before enabling. This workbook is a living taxonomy scaffold, not a validated scientific benchmark.</x:v>
      </x:c>
      <x:c r="AA597" s="13" t="str">
        <x:v>0.1.0-draft</x:v>
      </x:c>
      <x:c r="AB597" s="12" t="str">
        <x:f>IF(ISNUMBER(SEARCH("healthy",F597)),"healthy_reasoning_patterns",IF(ISNUMBER(SEARCH("statistical",F597)),"statistical_reasoning",IF(ISNUMBER(SEARCH("causal",F597)),"causal_reasoning",IF(ISNUMBER(SEARCH("social",F597)),"social_influence",IF(ISNUMBER(SEARCH("rhetoric",F597)),"rhetoric_discourse",IF(ISNUMBER(SEARCH("behavior",F597)),"behavioural_economics",IF(ISNUMBER(SEARCH("cognitive",F597)),"cognitive_biases",IF(J597="protective_pattern","healthy_reasoning_patterns",IF(L597="P0","core_mvp","extended_fallacies")))))))))</x:f>
        <x:v>extended_fallacies</x:v>
      </x:c>
      <x:c r="AC597" s="12" t="str">
        <x:f>IF(ISNUMBER(SEARCH("operational",J597)),"operational",IF(ISNUMBER(SEARCH("deprecated",J597)),"deprecated",IF(L597="P0","canonical","recognized_subtype")))</x:f>
        <x:v>operational</x:v>
      </x:c>
      <x:c r="AD597" s="12" t="str">
        <x:f>IF(AC597="canonical","high",IF(AC597="recognized_subtype","medium",IF(AC597="operational","operational_only","debated")))</x:f>
        <x:v>operational_only</x:v>
      </x:c>
      <x:c r="AE597" s="12" t="str">
        <x:f>IF(AC597="deprecated","deprecated",IF(M597="yes","active",IF(M597="review","review_required","backlog")))</x:f>
        <x:v>backlog</x:v>
      </x:c>
      <x:c r="AF597" s="12" t="str">
        <x:f>IF(OR(AE597="active",AE597="review_required"),"yes","no")</x:f>
        <x:v>no</x:v>
      </x:c>
      <x:c r="AG597" s="12" t="str">
        <x:f>IF(AND(AE597="active",M597="yes",NOT(ISNUMBER(SEARCH("healthy",AB597)))),"yes","no")</x:f>
        <x:v>no</x:v>
      </x:c>
      <x:c r="AH597" s="12" t="str">
        <x:f>IF(OR(H597="contextual",H597="dialogue",H597="discourse",I597="claim+context",I597="discourse_segment"),"yes","no")</x:f>
        <x:v>yes</x:v>
      </x:c>
      <x:c r="AI597" s="12" t="str">
        <x:f>IF(OR(AH597="yes",AD597="debated",AC597="operational"),"yes","no")</x:f>
        <x:v>yes</x:v>
      </x:c>
      <x:c r="AJ597" s="12" t="str">
        <x:f>IF(OR(AH597="yes",AC597="operational",AD597="debated"),"high",IF(AND(AG597="yes",L597="P0"),"medium","low"))</x:f>
        <x:v>high</x:v>
      </x:c>
      <x:c r="AK597" s="12" t="str">
        <x:f>IF(ISNUMBER(SEARCH("healthy",AB597)),"yes","no")</x:f>
        <x:v>no</x:v>
      </x:c>
      <x:c r="AL597" s="12" t="str">
        <x:f>IF(AG597="yes","yes","candidate_only")</x:f>
        <x:v>candidate_only</x:v>
      </x:c>
      <x:c r="AM597" s="12" t="str">
        <x:f>IF(OR(AC597="canonical",AG597="yes"),"yes","recommended")</x:f>
        <x:v>recommended</x:v>
      </x:c>
      <x:c r="AN597" s="12" t="str">
        <x:f>IF(AC597="deprecated","exclude",IF(AND(AG597="yes",AJ597="high"),"import_but_human_review_required",IF(AG597="yes","import_as_active","import_as_backlog")))</x:f>
        <x:v>import_as_backlog</x:v>
      </x:c>
      <x:c r="AO597" s="12" t="str">
        <x:f>IF(AND(AG597="yes",OR(P597="",Q597="",R597="",S597="")),"missing_required_mvp_fields",IF(AND(AC597="canonical",Y597=""),"missing_source_ref","ok"))</x:f>
        <x:v>ok</x:v>
      </x:c>
      <x:c r="AP597" s="12" t="str">
        <x:f>IF(AO597="ok","ready_for_codex_import","needs_review")</x:f>
        <x:v>ready_for_codex_import</x:v>
      </x:c>
      <x:c r="AQ597" s="12"/>
      <x:c r="AR597" s="12" t="str">
        <x:v>Added v2 operational fields. Review before classification activation.</x:v>
      </x:c>
    </x:row>
    <x:row r="598">
      <x:c r="A598" s="13" t="str">
        <x:v>sunk_cost_fallacy_default_or_status_quo_variant</x:v>
      </x:c>
      <x:c r="B598" s="13" t="str">
        <x:v>sunk_cost_fallacy</x:v>
      </x:c>
      <x:c r="C598" s="13" t="str">
        <x:v>Sunk-cost fallacy</x:v>
      </x:c>
      <x:c r="D598" s="13" t="str">
        <x:v>مغالطه هزینه ازدست‌رفته</x:v>
      </x:c>
      <x:c r="E598" s="13" t="str">
        <x:v>Default/status-quo variant</x:v>
      </x:c>
      <x:c r="F598" s="13" t="str">
        <x:v>decision_biases_behavioural_economics</x:v>
      </x:c>
      <x:c r="G598" s="13" t="str">
        <x:v>operational_variant</x:v>
      </x:c>
      <x:c r="H598" s="13" t="str">
        <x:v>contextual</x:v>
      </x:c>
      <x:c r="I598" s="13" t="str">
        <x:v>claim+context</x:v>
      </x:c>
      <x:c r="J598" s="13" t="str">
        <x:v>derived_operational_subtype</x:v>
      </x:c>
      <x:c r="K598" s="13" t="str">
        <x:v>derived_from_established_parent_review_required</x:v>
      </x:c>
      <x:c r="L598" s="13" t="str">
        <x:v>P2</x:v>
      </x:c>
      <x:c r="M598" s="13" t="str">
        <x:v>no</x:v>
      </x:c>
      <x:c r="N598" s="13" t="str">
        <x:v>Operational subtype under Sunk-cost fallacy: the default or current state is treated as preferable without reasons. Parent definition: Continuing a choice because of past costs that cannot be recovered.</x:v>
      </x:c>
      <x:c r="O598" s="13" t="str">
        <x:v>Look for: explicit claim-level evidence; parent-family cues for Sunk-cost fallacy; variant cue: the default or current state is treated as preferable without reasons; avoid author-level inference.</x:v>
      </x:c>
      <x:c r="P598" s="13" t="str">
        <x:v>Exact evidence span in text plus claim-level reasoning link; for contextual/discourse entries, require surrounding context.</x:v>
      </x:c>
      <x:c r="Q598" s="13" t="str">
        <x:v>Do not label merely because topic is controversial, emotional, or wrong. Do not judge intent or personality. Require textual evidence and consider healthy-reasoning cues.</x:v>
      </x:c>
      <x:c r="R598" s="13" t="str">
        <x:v>Stub: A claim relies on the default or current state is treated as preferable without reasons to support a conclusion without adequate qualification.</x:v>
      </x:c>
      <x:c r="S598" s="13" t="str">
        <x:v>Stub: A claim discusses sunk-cost fallacy with caveats, balanced evidence, or no argumentative use of the pattern.</x:v>
      </x:c>
      <x:c r="T598" s="13" t="str">
        <x:v>Mild or ambiguous cue; do not classify without clear evidence span.</x:v>
      </x:c>
      <x:c r="U598" s="13" t="str">
        <x:v>Clear claim-level pattern with some argumentative impact.</x:v>
      </x:c>
      <x:c r="V598" s="13" t="str">
        <x:v>Strong pattern central to the conclusion and likely to materially distort reasoning.</x:v>
      </x:c>
      <x:c r="W598" s="13" t="str"/>
      <x:c r="X598" s="13" t="str">
        <x:v>kahneman_tversky_prospect_1979</x:v>
      </x:c>
      <x:c r="Y598" s="13" t="str">
        <x:v>https://doi.org/10.2307/1914185</x:v>
      </x:c>
      <x:c r="Z598" s="13" t="str">
        <x:v>Review before enabling. This workbook is a living taxonomy scaffold, not a validated scientific benchmark.</x:v>
      </x:c>
      <x:c r="AA598" s="13" t="str">
        <x:v>0.1.0-draft</x:v>
      </x:c>
      <x:c r="AB598" s="12" t="str">
        <x:f>IF(ISNUMBER(SEARCH("healthy",F598)),"healthy_reasoning_patterns",IF(ISNUMBER(SEARCH("statistical",F598)),"statistical_reasoning",IF(ISNUMBER(SEARCH("causal",F598)),"causal_reasoning",IF(ISNUMBER(SEARCH("social",F598)),"social_influence",IF(ISNUMBER(SEARCH("rhetoric",F598)),"rhetoric_discourse",IF(ISNUMBER(SEARCH("behavior",F598)),"behavioural_economics",IF(ISNUMBER(SEARCH("cognitive",F598)),"cognitive_biases",IF(J598="protective_pattern","healthy_reasoning_patterns",IF(L598="P0","core_mvp","extended_fallacies")))))))))</x:f>
        <x:v>extended_fallacies</x:v>
      </x:c>
      <x:c r="AC598" s="12" t="str">
        <x:f>IF(ISNUMBER(SEARCH("operational",J598)),"operational",IF(ISNUMBER(SEARCH("deprecated",J598)),"deprecated",IF(L598="P0","canonical","recognized_subtype")))</x:f>
        <x:v>operational</x:v>
      </x:c>
      <x:c r="AD598" s="12" t="str">
        <x:f>IF(AC598="canonical","high",IF(AC598="recognized_subtype","medium",IF(AC598="operational","operational_only","debated")))</x:f>
        <x:v>operational_only</x:v>
      </x:c>
      <x:c r="AE598" s="12" t="str">
        <x:f>IF(AC598="deprecated","deprecated",IF(M598="yes","active",IF(M598="review","review_required","backlog")))</x:f>
        <x:v>backlog</x:v>
      </x:c>
      <x:c r="AF598" s="12" t="str">
        <x:f>IF(OR(AE598="active",AE598="review_required"),"yes","no")</x:f>
        <x:v>no</x:v>
      </x:c>
      <x:c r="AG598" s="12" t="str">
        <x:f>IF(AND(AE598="active",M598="yes",NOT(ISNUMBER(SEARCH("healthy",AB598)))),"yes","no")</x:f>
        <x:v>no</x:v>
      </x:c>
      <x:c r="AH598" s="12" t="str">
        <x:f>IF(OR(H598="contextual",H598="dialogue",H598="discourse",I598="claim+context",I598="discourse_segment"),"yes","no")</x:f>
        <x:v>yes</x:v>
      </x:c>
      <x:c r="AI598" s="12" t="str">
        <x:f>IF(OR(AH598="yes",AD598="debated",AC598="operational"),"yes","no")</x:f>
        <x:v>yes</x:v>
      </x:c>
      <x:c r="AJ598" s="12" t="str">
        <x:f>IF(OR(AH598="yes",AC598="operational",AD598="debated"),"high",IF(AND(AG598="yes",L598="P0"),"medium","low"))</x:f>
        <x:v>high</x:v>
      </x:c>
      <x:c r="AK598" s="12" t="str">
        <x:f>IF(ISNUMBER(SEARCH("healthy",AB598)),"yes","no")</x:f>
        <x:v>no</x:v>
      </x:c>
      <x:c r="AL598" s="12" t="str">
        <x:f>IF(AG598="yes","yes","candidate_only")</x:f>
        <x:v>candidate_only</x:v>
      </x:c>
      <x:c r="AM598" s="12" t="str">
        <x:f>IF(OR(AC598="canonical",AG598="yes"),"yes","recommended")</x:f>
        <x:v>recommended</x:v>
      </x:c>
      <x:c r="AN598" s="12" t="str">
        <x:f>IF(AC598="deprecated","exclude",IF(AND(AG598="yes",AJ598="high"),"import_but_human_review_required",IF(AG598="yes","import_as_active","import_as_backlog")))</x:f>
        <x:v>import_as_backlog</x:v>
      </x:c>
      <x:c r="AO598" s="12" t="str">
        <x:f>IF(AND(AG598="yes",OR(P598="",Q598="",R598="",S598="")),"missing_required_mvp_fields",IF(AND(AC598="canonical",Y598=""),"missing_source_ref","ok"))</x:f>
        <x:v>ok</x:v>
      </x:c>
      <x:c r="AP598" s="12" t="str">
        <x:f>IF(AO598="ok","ready_for_codex_import","needs_review")</x:f>
        <x:v>ready_for_codex_import</x:v>
      </x:c>
      <x:c r="AQ598" s="12"/>
      <x:c r="AR598" s="12" t="str">
        <x:v>Added v2 operational fields. Review before classification activation.</x:v>
      </x:c>
    </x:row>
    <x:row r="599">
      <x:c r="A599" s="13" t="str">
        <x:v>present_bias_default_or_status_quo_variant</x:v>
      </x:c>
      <x:c r="B599" s="13" t="str">
        <x:v>present_bias</x:v>
      </x:c>
      <x:c r="C599" s="13" t="str">
        <x:v>Present bias</x:v>
      </x:c>
      <x:c r="D599" s="13" t="str">
        <x:v>سوگیری حال</x:v>
      </x:c>
      <x:c r="E599" s="13" t="str">
        <x:v>Default/status-quo variant</x:v>
      </x:c>
      <x:c r="F599" s="13" t="str">
        <x:v>decision_biases_behavioural_economics</x:v>
      </x:c>
      <x:c r="G599" s="13" t="str">
        <x:v>operational_variant</x:v>
      </x:c>
      <x:c r="H599" s="13" t="str">
        <x:v>contextual</x:v>
      </x:c>
      <x:c r="I599" s="13" t="str">
        <x:v>claim+context</x:v>
      </x:c>
      <x:c r="J599" s="13" t="str">
        <x:v>derived_operational_subtype</x:v>
      </x:c>
      <x:c r="K599" s="13" t="str">
        <x:v>derived_from_established_parent_review_required</x:v>
      </x:c>
      <x:c r="L599" s="13" t="str">
        <x:v>P2</x:v>
      </x:c>
      <x:c r="M599" s="13" t="str">
        <x:v>no</x:v>
      </x:c>
      <x:c r="N599" s="13" t="str">
        <x:v>Operational subtype under Present bias: the default or current state is treated as preferable without reasons. Parent definition: Overweighting immediate costs or rewards relative to future ones.</x:v>
      </x:c>
      <x:c r="O599" s="13" t="str">
        <x:v>Look for: explicit claim-level evidence; parent-family cues for Present bias; variant cue: the default or current state is treated as preferable without reasons; avoid author-level inference.</x:v>
      </x:c>
      <x:c r="P599" s="13" t="str">
        <x:v>Exact evidence span in text plus claim-level reasoning link; for contextual/discourse entries, require surrounding context.</x:v>
      </x:c>
      <x:c r="Q599" s="13" t="str">
        <x:v>Do not label merely because topic is controversial, emotional, or wrong. Do not judge intent or personality. Require textual evidence and consider healthy-reasoning cues.</x:v>
      </x:c>
      <x:c r="R599" s="13" t="str">
        <x:v>Stub: A claim relies on the default or current state is treated as preferable without reasons to support a conclusion without adequate qualification.</x:v>
      </x:c>
      <x:c r="S599" s="13" t="str">
        <x:v>Stub: A claim discusses present bias with caveats, balanced evidence, or no argumentative use of the pattern.</x:v>
      </x:c>
      <x:c r="T599" s="13" t="str">
        <x:v>Mild or ambiguous cue; do not classify without clear evidence span.</x:v>
      </x:c>
      <x:c r="U599" s="13" t="str">
        <x:v>Clear claim-level pattern with some argumentative impact.</x:v>
      </x:c>
      <x:c r="V599" s="13" t="str">
        <x:v>Strong pattern central to the conclusion and likely to materially distort reasoning.</x:v>
      </x:c>
      <x:c r="W599" s="13" t="str"/>
      <x:c r="X599" s="13" t="str">
        <x:v>thaler_sunstein_nudge</x:v>
      </x:c>
      <x:c r="Y599" s="13" t="str">
        <x:v>https://yalebooks.yale.edu/book/9780300262285/nudge/</x:v>
      </x:c>
      <x:c r="Z599" s="13" t="str">
        <x:v>Review before enabling. This workbook is a living taxonomy scaffold, not a validated scientific benchmark.</x:v>
      </x:c>
      <x:c r="AA599" s="13" t="str">
        <x:v>0.1.0-draft</x:v>
      </x:c>
      <x:c r="AB599" s="12" t="str">
        <x:f>IF(ISNUMBER(SEARCH("healthy",F599)),"healthy_reasoning_patterns",IF(ISNUMBER(SEARCH("statistical",F599)),"statistical_reasoning",IF(ISNUMBER(SEARCH("causal",F599)),"causal_reasoning",IF(ISNUMBER(SEARCH("social",F599)),"social_influence",IF(ISNUMBER(SEARCH("rhetoric",F599)),"rhetoric_discourse",IF(ISNUMBER(SEARCH("behavior",F599)),"behavioural_economics",IF(ISNUMBER(SEARCH("cognitive",F599)),"cognitive_biases",IF(J599="protective_pattern","healthy_reasoning_patterns",IF(L599="P0","core_mvp","extended_fallacies")))))))))</x:f>
        <x:v>extended_fallacies</x:v>
      </x:c>
      <x:c r="AC599" s="12" t="str">
        <x:f>IF(ISNUMBER(SEARCH("operational",J599)),"operational",IF(ISNUMBER(SEARCH("deprecated",J599)),"deprecated",IF(L599="P0","canonical","recognized_subtype")))</x:f>
        <x:v>operational</x:v>
      </x:c>
      <x:c r="AD599" s="12" t="str">
        <x:f>IF(AC599="canonical","high",IF(AC599="recognized_subtype","medium",IF(AC599="operational","operational_only","debated")))</x:f>
        <x:v>operational_only</x:v>
      </x:c>
      <x:c r="AE599" s="12" t="str">
        <x:f>IF(AC599="deprecated","deprecated",IF(M599="yes","active",IF(M599="review","review_required","backlog")))</x:f>
        <x:v>backlog</x:v>
      </x:c>
      <x:c r="AF599" s="12" t="str">
        <x:f>IF(OR(AE599="active",AE599="review_required"),"yes","no")</x:f>
        <x:v>no</x:v>
      </x:c>
      <x:c r="AG599" s="12" t="str">
        <x:f>IF(AND(AE599="active",M599="yes",NOT(ISNUMBER(SEARCH("healthy",AB599)))),"yes","no")</x:f>
        <x:v>no</x:v>
      </x:c>
      <x:c r="AH599" s="12" t="str">
        <x:f>IF(OR(H599="contextual",H599="dialogue",H599="discourse",I599="claim+context",I599="discourse_segment"),"yes","no")</x:f>
        <x:v>yes</x:v>
      </x:c>
      <x:c r="AI599" s="12" t="str">
        <x:f>IF(OR(AH599="yes",AD599="debated",AC599="operational"),"yes","no")</x:f>
        <x:v>yes</x:v>
      </x:c>
      <x:c r="AJ599" s="12" t="str">
        <x:f>IF(OR(AH599="yes",AC599="operational",AD599="debated"),"high",IF(AND(AG599="yes",L599="P0"),"medium","low"))</x:f>
        <x:v>high</x:v>
      </x:c>
      <x:c r="AK599" s="12" t="str">
        <x:f>IF(ISNUMBER(SEARCH("healthy",AB599)),"yes","no")</x:f>
        <x:v>no</x:v>
      </x:c>
      <x:c r="AL599" s="12" t="str">
        <x:f>IF(AG599="yes","yes","candidate_only")</x:f>
        <x:v>candidate_only</x:v>
      </x:c>
      <x:c r="AM599" s="12" t="str">
        <x:f>IF(OR(AC599="canonical",AG599="yes"),"yes","recommended")</x:f>
        <x:v>recommended</x:v>
      </x:c>
      <x:c r="AN599" s="12" t="str">
        <x:f>IF(AC599="deprecated","exclude",IF(AND(AG599="yes",AJ599="high"),"import_but_human_review_required",IF(AG599="yes","import_as_active","import_as_backlog")))</x:f>
        <x:v>import_as_backlog</x:v>
      </x:c>
      <x:c r="AO599" s="12" t="str">
        <x:f>IF(AND(AG599="yes",OR(P599="",Q599="",R599="",S599="")),"missing_required_mvp_fields",IF(AND(AC599="canonical",Y599=""),"missing_source_ref","ok"))</x:f>
        <x:v>ok</x:v>
      </x:c>
      <x:c r="AP599" s="12" t="str">
        <x:f>IF(AO599="ok","ready_for_codex_import","needs_review")</x:f>
        <x:v>ready_for_codex_import</x:v>
      </x:c>
      <x:c r="AQ599" s="12"/>
      <x:c r="AR599" s="12" t="str">
        <x:v>Added v2 operational fields. Review before classification activation.</x:v>
      </x:c>
    </x:row>
    <x:row r="600">
      <x:c r="A600" s="13" t="str">
        <x:v>hyperbolic_discounting_default_or_status_quo_variant</x:v>
      </x:c>
      <x:c r="B600" s="13" t="str">
        <x:v>hyperbolic_discounting</x:v>
      </x:c>
      <x:c r="C600" s="13" t="str">
        <x:v>Hyperbolic discounting</x:v>
      </x:c>
      <x:c r="D600" s="13" t="str">
        <x:v>تنزیل هذلولوی</x:v>
      </x:c>
      <x:c r="E600" s="13" t="str">
        <x:v>Default/status-quo variant</x:v>
      </x:c>
      <x:c r="F600" s="13" t="str">
        <x:v>decision_biases_behavioural_economics</x:v>
      </x:c>
      <x:c r="G600" s="13" t="str">
        <x:v>operational_variant</x:v>
      </x:c>
      <x:c r="H600" s="13" t="str">
        <x:v>contextual</x:v>
      </x:c>
      <x:c r="I600" s="13" t="str">
        <x:v>claim+context</x:v>
      </x:c>
      <x:c r="J600" s="13" t="str">
        <x:v>derived_operational_subtype</x:v>
      </x:c>
      <x:c r="K600" s="13" t="str">
        <x:v>derived_from_established_parent_review_required</x:v>
      </x:c>
      <x:c r="L600" s="13" t="str">
        <x:v>P2</x:v>
      </x:c>
      <x:c r="M600" s="13" t="str">
        <x:v>no</x:v>
      </x:c>
      <x:c r="N600" s="13" t="str">
        <x:v>Operational subtype under Hyperbolic discounting: the default or current state is treated as preferable without reasons. Parent definition: Discounting future outcomes in a time-inconsistent way.</x:v>
      </x:c>
      <x:c r="O600" s="13" t="str">
        <x:v>Look for: explicit claim-level evidence; parent-family cues for Hyperbolic discounting; variant cue: the default or current state is treated as preferable without reasons; avoid author-level inference.</x:v>
      </x:c>
      <x:c r="P600" s="13" t="str">
        <x:v>Exact evidence span in text plus claim-level reasoning link; for contextual/discourse entries, require surrounding context.</x:v>
      </x:c>
      <x:c r="Q600" s="13" t="str">
        <x:v>Do not label merely because topic is controversial, emotional, or wrong. Do not judge intent or personality. Require textual evidence and consider healthy-reasoning cues.</x:v>
      </x:c>
      <x:c r="R600" s="13" t="str">
        <x:v>Stub: A claim relies on the default or current state is treated as preferable without reasons to support a conclusion without adequate qualification.</x:v>
      </x:c>
      <x:c r="S600" s="13" t="str">
        <x:v>Stub: A claim discusses hyperbolic discounting with caveats, balanced evidence, or no argumentative use of the pattern.</x:v>
      </x:c>
      <x:c r="T600" s="13" t="str">
        <x:v>Mild or ambiguous cue; do not classify without clear evidence span.</x:v>
      </x:c>
      <x:c r="U600" s="13" t="str">
        <x:v>Clear claim-level pattern with some argumentative impact.</x:v>
      </x:c>
      <x:c r="V600" s="13" t="str">
        <x:v>Strong pattern central to the conclusion and likely to materially distort reasoning.</x:v>
      </x:c>
      <x:c r="W600" s="13" t="str"/>
      <x:c r="X600" s="13" t="str">
        <x:v>thaler_sunstein_nudge</x:v>
      </x:c>
      <x:c r="Y600" s="13" t="str">
        <x:v>https://yalebooks.yale.edu/book/9780300262285/nudge/</x:v>
      </x:c>
      <x:c r="Z600" s="13" t="str">
        <x:v>Review before enabling. This workbook is a living taxonomy scaffold, not a validated scientific benchmark.</x:v>
      </x:c>
      <x:c r="AA600" s="13" t="str">
        <x:v>0.1.0-draft</x:v>
      </x:c>
      <x:c r="AB600" s="12" t="str">
        <x:f>IF(ISNUMBER(SEARCH("healthy",F600)),"healthy_reasoning_patterns",IF(ISNUMBER(SEARCH("statistical",F600)),"statistical_reasoning",IF(ISNUMBER(SEARCH("causal",F600)),"causal_reasoning",IF(ISNUMBER(SEARCH("social",F600)),"social_influence",IF(ISNUMBER(SEARCH("rhetoric",F600)),"rhetoric_discourse",IF(ISNUMBER(SEARCH("behavior",F600)),"behavioural_economics",IF(ISNUMBER(SEARCH("cognitive",F600)),"cognitive_biases",IF(J600="protective_pattern","healthy_reasoning_patterns",IF(L600="P0","core_mvp","extended_fallacies")))))))))</x:f>
        <x:v>extended_fallacies</x:v>
      </x:c>
      <x:c r="AC600" s="12" t="str">
        <x:f>IF(ISNUMBER(SEARCH("operational",J600)),"operational",IF(ISNUMBER(SEARCH("deprecated",J600)),"deprecated",IF(L600="P0","canonical","recognized_subtype")))</x:f>
        <x:v>operational</x:v>
      </x:c>
      <x:c r="AD600" s="12" t="str">
        <x:f>IF(AC600="canonical","high",IF(AC600="recognized_subtype","medium",IF(AC600="operational","operational_only","debated")))</x:f>
        <x:v>operational_only</x:v>
      </x:c>
      <x:c r="AE600" s="12" t="str">
        <x:f>IF(AC600="deprecated","deprecated",IF(M600="yes","active",IF(M600="review","review_required","backlog")))</x:f>
        <x:v>backlog</x:v>
      </x:c>
      <x:c r="AF600" s="12" t="str">
        <x:f>IF(OR(AE600="active",AE600="review_required"),"yes","no")</x:f>
        <x:v>no</x:v>
      </x:c>
      <x:c r="AG600" s="12" t="str">
        <x:f>IF(AND(AE600="active",M600="yes",NOT(ISNUMBER(SEARCH("healthy",AB600)))),"yes","no")</x:f>
        <x:v>no</x:v>
      </x:c>
      <x:c r="AH600" s="12" t="str">
        <x:f>IF(OR(H600="contextual",H600="dialogue",H600="discourse",I600="claim+context",I600="discourse_segment"),"yes","no")</x:f>
        <x:v>yes</x:v>
      </x:c>
      <x:c r="AI600" s="12" t="str">
        <x:f>IF(OR(AH600="yes",AD600="debated",AC600="operational"),"yes","no")</x:f>
        <x:v>yes</x:v>
      </x:c>
      <x:c r="AJ600" s="12" t="str">
        <x:f>IF(OR(AH600="yes",AC600="operational",AD600="debated"),"high",IF(AND(AG600="yes",L600="P0"),"medium","low"))</x:f>
        <x:v>high</x:v>
      </x:c>
      <x:c r="AK600" s="12" t="str">
        <x:f>IF(ISNUMBER(SEARCH("healthy",AB600)),"yes","no")</x:f>
        <x:v>no</x:v>
      </x:c>
      <x:c r="AL600" s="12" t="str">
        <x:f>IF(AG600="yes","yes","candidate_only")</x:f>
        <x:v>candidate_only</x:v>
      </x:c>
      <x:c r="AM600" s="12" t="str">
        <x:f>IF(OR(AC600="canonical",AG600="yes"),"yes","recommended")</x:f>
        <x:v>recommended</x:v>
      </x:c>
      <x:c r="AN600" s="12" t="str">
        <x:f>IF(AC600="deprecated","exclude",IF(AND(AG600="yes",AJ600="high"),"import_but_human_review_required",IF(AG600="yes","import_as_active","import_as_backlog")))</x:f>
        <x:v>import_as_backlog</x:v>
      </x:c>
      <x:c r="AO600" s="12" t="str">
        <x:f>IF(AND(AG600="yes",OR(P600="",Q600="",R600="",S600="")),"missing_required_mvp_fields",IF(AND(AC600="canonical",Y600=""),"missing_source_ref","ok"))</x:f>
        <x:v>ok</x:v>
      </x:c>
      <x:c r="AP600" s="12" t="str">
        <x:f>IF(AO600="ok","ready_for_codex_import","needs_review")</x:f>
        <x:v>ready_for_codex_import</x:v>
      </x:c>
      <x:c r="AQ600" s="12"/>
      <x:c r="AR600" s="12" t="str">
        <x:v>Added v2 operational fields. Review before classification activation.</x:v>
      </x:c>
    </x:row>
    <x:row r="601">
      <x:c r="A601" s="13" t="str">
        <x:v>planning_fallacy_default_or_status_quo_variant</x:v>
      </x:c>
      <x:c r="B601" s="13" t="str">
        <x:v>planning_fallacy</x:v>
      </x:c>
      <x:c r="C601" s="13" t="str">
        <x:v>Planning fallacy</x:v>
      </x:c>
      <x:c r="D601" s="13" t="str">
        <x:v>خطای برنامه‌ریزی</x:v>
      </x:c>
      <x:c r="E601" s="13" t="str">
        <x:v>Default/status-quo variant</x:v>
      </x:c>
      <x:c r="F601" s="13" t="str">
        <x:v>decision_biases_behavioural_economics</x:v>
      </x:c>
      <x:c r="G601" s="13" t="str">
        <x:v>operational_variant</x:v>
      </x:c>
      <x:c r="H601" s="13" t="str">
        <x:v>contextual</x:v>
      </x:c>
      <x:c r="I601" s="13" t="str">
        <x:v>claim+context</x:v>
      </x:c>
      <x:c r="J601" s="13" t="str">
        <x:v>derived_operational_subtype</x:v>
      </x:c>
      <x:c r="K601" s="13" t="str">
        <x:v>derived_from_established_parent_review_required</x:v>
      </x:c>
      <x:c r="L601" s="13" t="str">
        <x:v>P2</x:v>
      </x:c>
      <x:c r="M601" s="13" t="str">
        <x:v>no</x:v>
      </x:c>
      <x:c r="N601" s="13" t="str">
        <x:v>Operational subtype under Planning fallacy: the default or current state is treated as preferable without reasons. Parent definition: Underestimating time, costs, or risks of future tasks.</x:v>
      </x:c>
      <x:c r="O601" s="13" t="str">
        <x:v>Look for: explicit claim-level evidence; parent-family cues for Planning fallacy; variant cue: the default or current state is treated as preferable without reasons; avoid author-level inference.</x:v>
      </x:c>
      <x:c r="P601" s="13" t="str">
        <x:v>Exact evidence span in text plus claim-level reasoning link; for contextual/discourse entries, require surrounding context.</x:v>
      </x:c>
      <x:c r="Q601" s="13" t="str">
        <x:v>Do not label merely because topic is controversial, emotional, or wrong. Do not judge intent or personality. Require textual evidence and consider healthy-reasoning cues.</x:v>
      </x:c>
      <x:c r="R601" s="13" t="str">
        <x:v>Stub: A claim relies on the default or current state is treated as preferable without reasons to support a conclusion without adequate qualification.</x:v>
      </x:c>
      <x:c r="S601" s="13" t="str">
        <x:v>Stub: A claim discusses planning fallacy with caveats, balanced evidence, or no argumentative use of the pattern.</x:v>
      </x:c>
      <x:c r="T601" s="13" t="str">
        <x:v>Mild or ambiguous cue; do not classify without clear evidence span.</x:v>
      </x:c>
      <x:c r="U601" s="13" t="str">
        <x:v>Clear claim-level pattern with some argumentative impact.</x:v>
      </x:c>
      <x:c r="V601" s="13" t="str">
        <x:v>Strong pattern central to the conclusion and likely to materially distort reasoning.</x:v>
      </x:c>
      <x:c r="W601" s="13" t="str"/>
      <x:c r="X601" s="13" t="str">
        <x:v>gilovich_heuristics_biases</x:v>
      </x:c>
      <x:c r="Y601" s="13" t="str">
        <x:v>https://www.cambridge.org/core/books/heuristics-and-biases/3C30D3B05D2F190C3B8BE5E2531EFD24</x:v>
      </x:c>
      <x:c r="Z601" s="13" t="str">
        <x:v>Review before enabling. This workbook is a living taxonomy scaffold, not a validated scientific benchmark.</x:v>
      </x:c>
      <x:c r="AA601" s="13" t="str">
        <x:v>0.1.0-draft</x:v>
      </x:c>
      <x:c r="AB601" s="12" t="str">
        <x:f>IF(ISNUMBER(SEARCH("healthy",F601)),"healthy_reasoning_patterns",IF(ISNUMBER(SEARCH("statistical",F601)),"statistical_reasoning",IF(ISNUMBER(SEARCH("causal",F601)),"causal_reasoning",IF(ISNUMBER(SEARCH("social",F601)),"social_influence",IF(ISNUMBER(SEARCH("rhetoric",F601)),"rhetoric_discourse",IF(ISNUMBER(SEARCH("behavior",F601)),"behavioural_economics",IF(ISNUMBER(SEARCH("cognitive",F601)),"cognitive_biases",IF(J601="protective_pattern","healthy_reasoning_patterns",IF(L601="P0","core_mvp","extended_fallacies")))))))))</x:f>
        <x:v>extended_fallacies</x:v>
      </x:c>
      <x:c r="AC601" s="12" t="str">
        <x:f>IF(ISNUMBER(SEARCH("operational",J601)),"operational",IF(ISNUMBER(SEARCH("deprecated",J601)),"deprecated",IF(L601="P0","canonical","recognized_subtype")))</x:f>
        <x:v>operational</x:v>
      </x:c>
      <x:c r="AD601" s="12" t="str">
        <x:f>IF(AC601="canonical","high",IF(AC601="recognized_subtype","medium",IF(AC601="operational","operational_only","debated")))</x:f>
        <x:v>operational_only</x:v>
      </x:c>
      <x:c r="AE601" s="12" t="str">
        <x:f>IF(AC601="deprecated","deprecated",IF(M601="yes","active",IF(M601="review","review_required","backlog")))</x:f>
        <x:v>backlog</x:v>
      </x:c>
      <x:c r="AF601" s="12" t="str">
        <x:f>IF(OR(AE601="active",AE601="review_required"),"yes","no")</x:f>
        <x:v>no</x:v>
      </x:c>
      <x:c r="AG601" s="12" t="str">
        <x:f>IF(AND(AE601="active",M601="yes",NOT(ISNUMBER(SEARCH("healthy",AB601)))),"yes","no")</x:f>
        <x:v>no</x:v>
      </x:c>
      <x:c r="AH601" s="12" t="str">
        <x:f>IF(OR(H601="contextual",H601="dialogue",H601="discourse",I601="claim+context",I601="discourse_segment"),"yes","no")</x:f>
        <x:v>yes</x:v>
      </x:c>
      <x:c r="AI601" s="12" t="str">
        <x:f>IF(OR(AH601="yes",AD601="debated",AC601="operational"),"yes","no")</x:f>
        <x:v>yes</x:v>
      </x:c>
      <x:c r="AJ601" s="12" t="str">
        <x:f>IF(OR(AH601="yes",AC601="operational",AD601="debated"),"high",IF(AND(AG601="yes",L601="P0"),"medium","low"))</x:f>
        <x:v>high</x:v>
      </x:c>
      <x:c r="AK601" s="12" t="str">
        <x:f>IF(ISNUMBER(SEARCH("healthy",AB601)),"yes","no")</x:f>
        <x:v>no</x:v>
      </x:c>
      <x:c r="AL601" s="12" t="str">
        <x:f>IF(AG601="yes","yes","candidate_only")</x:f>
        <x:v>candidate_only</x:v>
      </x:c>
      <x:c r="AM601" s="12" t="str">
        <x:f>IF(OR(AC601="canonical",AG601="yes"),"yes","recommended")</x:f>
        <x:v>recommended</x:v>
      </x:c>
      <x:c r="AN601" s="12" t="str">
        <x:f>IF(AC601="deprecated","exclude",IF(AND(AG601="yes",AJ601="high"),"import_but_human_review_required",IF(AG601="yes","import_as_active","import_as_backlog")))</x:f>
        <x:v>import_as_backlog</x:v>
      </x:c>
      <x:c r="AO601" s="12" t="str">
        <x:f>IF(AND(AG601="yes",OR(P601="",Q601="",R601="",S601="")),"missing_required_mvp_fields",IF(AND(AC601="canonical",Y601=""),"missing_source_ref","ok"))</x:f>
        <x:v>ok</x:v>
      </x:c>
      <x:c r="AP601" s="12" t="str">
        <x:f>IF(AO601="ok","ready_for_codex_import","needs_review")</x:f>
        <x:v>ready_for_codex_import</x:v>
      </x:c>
      <x:c r="AQ601" s="12"/>
      <x:c r="AR601" s="12" t="str">
        <x:v>Added v2 operational fields. Review before classification activation.</x:v>
      </x:c>
    </x:row>
    <x:row r="602">
      <x:c r="A602" s="13" t="str">
        <x:v>choice_overload_default_or_status_quo_variant</x:v>
      </x:c>
      <x:c r="B602" s="13" t="str">
        <x:v>choice_overload</x:v>
      </x:c>
      <x:c r="C602" s="13" t="str">
        <x:v>Choice overload</x:v>
      </x:c>
      <x:c r="D602" s="13" t="str">
        <x:v>بار زیاد انتخاب</x:v>
      </x:c>
      <x:c r="E602" s="13" t="str">
        <x:v>Default/status-quo variant</x:v>
      </x:c>
      <x:c r="F602" s="13" t="str">
        <x:v>decision_biases_behavioural_economics</x:v>
      </x:c>
      <x:c r="G602" s="13" t="str">
        <x:v>operational_variant</x:v>
      </x:c>
      <x:c r="H602" s="13" t="str">
        <x:v>contextual</x:v>
      </x:c>
      <x:c r="I602" s="13" t="str">
        <x:v>claim+context</x:v>
      </x:c>
      <x:c r="J602" s="13" t="str">
        <x:v>derived_operational_subtype</x:v>
      </x:c>
      <x:c r="K602" s="13" t="str">
        <x:v>derived_from_established_parent_review_required</x:v>
      </x:c>
      <x:c r="L602" s="13" t="str">
        <x:v>P2</x:v>
      </x:c>
      <x:c r="M602" s="13" t="str">
        <x:v>no</x:v>
      </x:c>
      <x:c r="N602" s="13" t="str">
        <x:v>Operational subtype under Choice overload: the default or current state is treated as preferable without reasons. Parent definition: Decision quality or satisfaction decreases when options become excessive.</x:v>
      </x:c>
      <x:c r="O602" s="13" t="str">
        <x:v>Look for: explicit claim-level evidence; parent-family cues for Choice overload; variant cue: the default or current state is treated as preferable without reasons; avoid author-level inference.</x:v>
      </x:c>
      <x:c r="P602" s="13" t="str">
        <x:v>Exact evidence span in text plus claim-level reasoning link; for contextual/discourse entries, require surrounding context.</x:v>
      </x:c>
      <x:c r="Q602" s="13" t="str">
        <x:v>Do not label merely because topic is controversial, emotional, or wrong. Do not judge intent or personality. Require textual evidence and consider healthy-reasoning cues.</x:v>
      </x:c>
      <x:c r="R602" s="13" t="str">
        <x:v>Stub: A claim relies on the default or current state is treated as preferable without reasons to support a conclusion without adequate qualification.</x:v>
      </x:c>
      <x:c r="S602" s="13" t="str">
        <x:v>Stub: A claim discusses choice overload with caveats, balanced evidence, or no argumentative use of the pattern.</x:v>
      </x:c>
      <x:c r="T602" s="13" t="str">
        <x:v>Mild or ambiguous cue; do not classify without clear evidence span.</x:v>
      </x:c>
      <x:c r="U602" s="13" t="str">
        <x:v>Clear claim-level pattern with some argumentative impact.</x:v>
      </x:c>
      <x:c r="V602" s="13" t="str">
        <x:v>Strong pattern central to the conclusion and likely to materially distort reasoning.</x:v>
      </x:c>
      <x:c r="W602" s="13" t="str"/>
      <x:c r="X602" s="13" t="str">
        <x:v>thaler_sunstein_nudge</x:v>
      </x:c>
      <x:c r="Y602" s="13" t="str">
        <x:v>https://yalebooks.yale.edu/book/9780300262285/nudge/</x:v>
      </x:c>
      <x:c r="Z602" s="13" t="str">
        <x:v>Review before enabling. This workbook is a living taxonomy scaffold, not a validated scientific benchmark.</x:v>
      </x:c>
      <x:c r="AA602" s="13" t="str">
        <x:v>0.1.0-draft</x:v>
      </x:c>
      <x:c r="AB602" s="12" t="str">
        <x:f>IF(ISNUMBER(SEARCH("healthy",F602)),"healthy_reasoning_patterns",IF(ISNUMBER(SEARCH("statistical",F602)),"statistical_reasoning",IF(ISNUMBER(SEARCH("causal",F602)),"causal_reasoning",IF(ISNUMBER(SEARCH("social",F602)),"social_influence",IF(ISNUMBER(SEARCH("rhetoric",F602)),"rhetoric_discourse",IF(ISNUMBER(SEARCH("behavior",F602)),"behavioural_economics",IF(ISNUMBER(SEARCH("cognitive",F602)),"cognitive_biases",IF(J602="protective_pattern","healthy_reasoning_patterns",IF(L602="P0","core_mvp","extended_fallacies")))))))))</x:f>
        <x:v>extended_fallacies</x:v>
      </x:c>
      <x:c r="AC602" s="12" t="str">
        <x:f>IF(ISNUMBER(SEARCH("operational",J602)),"operational",IF(ISNUMBER(SEARCH("deprecated",J602)),"deprecated",IF(L602="P0","canonical","recognized_subtype")))</x:f>
        <x:v>operational</x:v>
      </x:c>
      <x:c r="AD602" s="12" t="str">
        <x:f>IF(AC602="canonical","high",IF(AC602="recognized_subtype","medium",IF(AC602="operational","operational_only","debated")))</x:f>
        <x:v>operational_only</x:v>
      </x:c>
      <x:c r="AE602" s="12" t="str">
        <x:f>IF(AC602="deprecated","deprecated",IF(M602="yes","active",IF(M602="review","review_required","backlog")))</x:f>
        <x:v>backlog</x:v>
      </x:c>
      <x:c r="AF602" s="12" t="str">
        <x:f>IF(OR(AE602="active",AE602="review_required"),"yes","no")</x:f>
        <x:v>no</x:v>
      </x:c>
      <x:c r="AG602" s="12" t="str">
        <x:f>IF(AND(AE602="active",M602="yes",NOT(ISNUMBER(SEARCH("healthy",AB602)))),"yes","no")</x:f>
        <x:v>no</x:v>
      </x:c>
      <x:c r="AH602" s="12" t="str">
        <x:f>IF(OR(H602="contextual",H602="dialogue",H602="discourse",I602="claim+context",I602="discourse_segment"),"yes","no")</x:f>
        <x:v>yes</x:v>
      </x:c>
      <x:c r="AI602" s="12" t="str">
        <x:f>IF(OR(AH602="yes",AD602="debated",AC602="operational"),"yes","no")</x:f>
        <x:v>yes</x:v>
      </x:c>
      <x:c r="AJ602" s="12" t="str">
        <x:f>IF(OR(AH602="yes",AC602="operational",AD602="debated"),"high",IF(AND(AG602="yes",L602="P0"),"medium","low"))</x:f>
        <x:v>high</x:v>
      </x:c>
      <x:c r="AK602" s="12" t="str">
        <x:f>IF(ISNUMBER(SEARCH("healthy",AB602)),"yes","no")</x:f>
        <x:v>no</x:v>
      </x:c>
      <x:c r="AL602" s="12" t="str">
        <x:f>IF(AG602="yes","yes","candidate_only")</x:f>
        <x:v>candidate_only</x:v>
      </x:c>
      <x:c r="AM602" s="12" t="str">
        <x:f>IF(OR(AC602="canonical",AG602="yes"),"yes","recommended")</x:f>
        <x:v>recommended</x:v>
      </x:c>
      <x:c r="AN602" s="12" t="str">
        <x:f>IF(AC602="deprecated","exclude",IF(AND(AG602="yes",AJ602="high"),"import_but_human_review_required",IF(AG602="yes","import_as_active","import_as_backlog")))</x:f>
        <x:v>import_as_backlog</x:v>
      </x:c>
      <x:c r="AO602" s="12" t="str">
        <x:f>IF(AND(AG602="yes",OR(P602="",Q602="",R602="",S602="")),"missing_required_mvp_fields",IF(AND(AC602="canonical",Y602=""),"missing_source_ref","ok"))</x:f>
        <x:v>ok</x:v>
      </x:c>
      <x:c r="AP602" s="12" t="str">
        <x:f>IF(AO602="ok","ready_for_codex_import","needs_review")</x:f>
        <x:v>ready_for_codex_import</x:v>
      </x:c>
      <x:c r="AQ602" s="12"/>
      <x:c r="AR602" s="12" t="str">
        <x:v>Added v2 operational fields. Review before classification activation.</x:v>
      </x:c>
    </x:row>
    <x:row r="603">
      <x:c r="A603" s="13" t="str">
        <x:v>decoy_effect_default_or_status_quo_variant</x:v>
      </x:c>
      <x:c r="B603" s="13" t="str">
        <x:v>decoy_effect</x:v>
      </x:c>
      <x:c r="C603" s="13" t="str">
        <x:v>Decoy effect</x:v>
      </x:c>
      <x:c r="D603" s="13" t="str">
        <x:v>اثر طعمه</x:v>
      </x:c>
      <x:c r="E603" s="13" t="str">
        <x:v>Default/status-quo variant</x:v>
      </x:c>
      <x:c r="F603" s="13" t="str">
        <x:v>decision_biases_behavioural_economics</x:v>
      </x:c>
      <x:c r="G603" s="13" t="str">
        <x:v>operational_variant</x:v>
      </x:c>
      <x:c r="H603" s="13" t="str">
        <x:v>contextual</x:v>
      </x:c>
      <x:c r="I603" s="13" t="str">
        <x:v>claim+context</x:v>
      </x:c>
      <x:c r="J603" s="13" t="str">
        <x:v>derived_operational_subtype</x:v>
      </x:c>
      <x:c r="K603" s="13" t="str">
        <x:v>derived_from_established_parent_review_required</x:v>
      </x:c>
      <x:c r="L603" s="13" t="str">
        <x:v>P2</x:v>
      </x:c>
      <x:c r="M603" s="13" t="str">
        <x:v>no</x:v>
      </x:c>
      <x:c r="N603" s="13" t="str">
        <x:v>Operational subtype under Decoy effect: the default or current state is treated as preferable without reasons. Parent definition: Preferences change when an asymmetrically dominated option is introduced.</x:v>
      </x:c>
      <x:c r="O603" s="13" t="str">
        <x:v>Look for: explicit claim-level evidence; parent-family cues for Decoy effect; variant cue: the default or current state is treated as preferable without reasons; avoid author-level inference.</x:v>
      </x:c>
      <x:c r="P603" s="13" t="str">
        <x:v>Exact evidence span in text plus claim-level reasoning link; for contextual/discourse entries, require surrounding context.</x:v>
      </x:c>
      <x:c r="Q603" s="13" t="str">
        <x:v>Do not label merely because topic is controversial, emotional, or wrong. Do not judge intent or personality. Require textual evidence and consider healthy-reasoning cues.</x:v>
      </x:c>
      <x:c r="R603" s="13" t="str">
        <x:v>Stub: A claim relies on the default or current state is treated as preferable without reasons to support a conclusion without adequate qualification.</x:v>
      </x:c>
      <x:c r="S603" s="13" t="str">
        <x:v>Stub: A claim discusses decoy effect with caveats, balanced evidence, or no argumentative use of the pattern.</x:v>
      </x:c>
      <x:c r="T603" s="13" t="str">
        <x:v>Mild or ambiguous cue; do not classify without clear evidence span.</x:v>
      </x:c>
      <x:c r="U603" s="13" t="str">
        <x:v>Clear claim-level pattern with some argumentative impact.</x:v>
      </x:c>
      <x:c r="V603" s="13" t="str">
        <x:v>Strong pattern central to the conclusion and likely to materially distort reasoning.</x:v>
      </x:c>
      <x:c r="W603" s="13" t="str"/>
      <x:c r="X603" s="13" t="str">
        <x:v>thaler_sunstein_nudge</x:v>
      </x:c>
      <x:c r="Y603" s="13" t="str">
        <x:v>https://yalebooks.yale.edu/book/9780300262285/nudge/</x:v>
      </x:c>
      <x:c r="Z603" s="13" t="str">
        <x:v>Review before enabling. This workbook is a living taxonomy scaffold, not a validated scientific benchmark.</x:v>
      </x:c>
      <x:c r="AA603" s="13" t="str">
        <x:v>0.1.0-draft</x:v>
      </x:c>
      <x:c r="AB603" s="12" t="str">
        <x:f>IF(ISNUMBER(SEARCH("healthy",F603)),"healthy_reasoning_patterns",IF(ISNUMBER(SEARCH("statistical",F603)),"statistical_reasoning",IF(ISNUMBER(SEARCH("causal",F603)),"causal_reasoning",IF(ISNUMBER(SEARCH("social",F603)),"social_influence",IF(ISNUMBER(SEARCH("rhetoric",F603)),"rhetoric_discourse",IF(ISNUMBER(SEARCH("behavior",F603)),"behavioural_economics",IF(ISNUMBER(SEARCH("cognitive",F603)),"cognitive_biases",IF(J603="protective_pattern","healthy_reasoning_patterns",IF(L603="P0","core_mvp","extended_fallacies")))))))))</x:f>
        <x:v>extended_fallacies</x:v>
      </x:c>
      <x:c r="AC603" s="12" t="str">
        <x:f>IF(ISNUMBER(SEARCH("operational",J603)),"operational",IF(ISNUMBER(SEARCH("deprecated",J603)),"deprecated",IF(L603="P0","canonical","recognized_subtype")))</x:f>
        <x:v>operational</x:v>
      </x:c>
      <x:c r="AD603" s="12" t="str">
        <x:f>IF(AC603="canonical","high",IF(AC603="recognized_subtype","medium",IF(AC603="operational","operational_only","debated")))</x:f>
        <x:v>operational_only</x:v>
      </x:c>
      <x:c r="AE603" s="12" t="str">
        <x:f>IF(AC603="deprecated","deprecated",IF(M603="yes","active",IF(M603="review","review_required","backlog")))</x:f>
        <x:v>backlog</x:v>
      </x:c>
      <x:c r="AF603" s="12" t="str">
        <x:f>IF(OR(AE603="active",AE603="review_required"),"yes","no")</x:f>
        <x:v>no</x:v>
      </x:c>
      <x:c r="AG603" s="12" t="str">
        <x:f>IF(AND(AE603="active",M603="yes",NOT(ISNUMBER(SEARCH("healthy",AB603)))),"yes","no")</x:f>
        <x:v>no</x:v>
      </x:c>
      <x:c r="AH603" s="12" t="str">
        <x:f>IF(OR(H603="contextual",H603="dialogue",H603="discourse",I603="claim+context",I603="discourse_segment"),"yes","no")</x:f>
        <x:v>yes</x:v>
      </x:c>
      <x:c r="AI603" s="12" t="str">
        <x:f>IF(OR(AH603="yes",AD603="debated",AC603="operational"),"yes","no")</x:f>
        <x:v>yes</x:v>
      </x:c>
      <x:c r="AJ603" s="12" t="str">
        <x:f>IF(OR(AH603="yes",AC603="operational",AD603="debated"),"high",IF(AND(AG603="yes",L603="P0"),"medium","low"))</x:f>
        <x:v>high</x:v>
      </x:c>
      <x:c r="AK603" s="12" t="str">
        <x:f>IF(ISNUMBER(SEARCH("healthy",AB603)),"yes","no")</x:f>
        <x:v>no</x:v>
      </x:c>
      <x:c r="AL603" s="12" t="str">
        <x:f>IF(AG603="yes","yes","candidate_only")</x:f>
        <x:v>candidate_only</x:v>
      </x:c>
      <x:c r="AM603" s="12" t="str">
        <x:f>IF(OR(AC603="canonical",AG603="yes"),"yes","recommended")</x:f>
        <x:v>recommended</x:v>
      </x:c>
      <x:c r="AN603" s="12" t="str">
        <x:f>IF(AC603="deprecated","exclude",IF(AND(AG603="yes",AJ603="high"),"import_but_human_review_required",IF(AG603="yes","import_as_active","import_as_backlog")))</x:f>
        <x:v>import_as_backlog</x:v>
      </x:c>
      <x:c r="AO603" s="12" t="str">
        <x:f>IF(AND(AG603="yes",OR(P603="",Q603="",R603="",S603="")),"missing_required_mvp_fields",IF(AND(AC603="canonical",Y603=""),"missing_source_ref","ok"))</x:f>
        <x:v>ok</x:v>
      </x:c>
      <x:c r="AP603" s="12" t="str">
        <x:f>IF(AO603="ok","ready_for_codex_import","needs_review")</x:f>
        <x:v>ready_for_codex_import</x:v>
      </x:c>
      <x:c r="AQ603" s="12"/>
      <x:c r="AR603" s="12" t="str">
        <x:v>Added v2 operational fields. Review before classification activation.</x:v>
      </x:c>
    </x:row>
    <x:row r="604">
      <x:c r="A604" s="13" t="str">
        <x:v>compromise_effect_default_or_status_quo_variant</x:v>
      </x:c>
      <x:c r="B604" s="13" t="str">
        <x:v>compromise_effect</x:v>
      </x:c>
      <x:c r="C604" s="13" t="str">
        <x:v>Compromise effect</x:v>
      </x:c>
      <x:c r="D604" s="13" t="str">
        <x:v>اثر گزینه میانی</x:v>
      </x:c>
      <x:c r="E604" s="13" t="str">
        <x:v>Default/status-quo variant</x:v>
      </x:c>
      <x:c r="F604" s="13" t="str">
        <x:v>decision_biases_behavioural_economics</x:v>
      </x:c>
      <x:c r="G604" s="13" t="str">
        <x:v>operational_variant</x:v>
      </x:c>
      <x:c r="H604" s="13" t="str">
        <x:v>contextual</x:v>
      </x:c>
      <x:c r="I604" s="13" t="str">
        <x:v>claim+context</x:v>
      </x:c>
      <x:c r="J604" s="13" t="str">
        <x:v>derived_operational_subtype</x:v>
      </x:c>
      <x:c r="K604" s="13" t="str">
        <x:v>derived_from_established_parent_review_required</x:v>
      </x:c>
      <x:c r="L604" s="13" t="str">
        <x:v>P2</x:v>
      </x:c>
      <x:c r="M604" s="13" t="str">
        <x:v>no</x:v>
      </x:c>
      <x:c r="N604" s="13" t="str">
        <x:v>Operational subtype under Compromise effect: the default or current state is treated as preferable without reasons. Parent definition: Preferring middle options because they appear safer or balanced.</x:v>
      </x:c>
      <x:c r="O604" s="13" t="str">
        <x:v>Look for: explicit claim-level evidence; parent-family cues for Compromise effect; variant cue: the default or current state is treated as preferable without reasons; avoid author-level inference.</x:v>
      </x:c>
      <x:c r="P604" s="13" t="str">
        <x:v>Exact evidence span in text plus claim-level reasoning link; for contextual/discourse entries, require surrounding context.</x:v>
      </x:c>
      <x:c r="Q604" s="13" t="str">
        <x:v>Do not label merely because topic is controversial, emotional, or wrong. Do not judge intent or personality. Require textual evidence and consider healthy-reasoning cues.</x:v>
      </x:c>
      <x:c r="R604" s="13" t="str">
        <x:v>Stub: A claim relies on the default or current state is treated as preferable without reasons to support a conclusion without adequate qualification.</x:v>
      </x:c>
      <x:c r="S604" s="13" t="str">
        <x:v>Stub: A claim discusses compromise effect with caveats, balanced evidence, or no argumentative use of the pattern.</x:v>
      </x:c>
      <x:c r="T604" s="13" t="str">
        <x:v>Mild or ambiguous cue; do not classify without clear evidence span.</x:v>
      </x:c>
      <x:c r="U604" s="13" t="str">
        <x:v>Clear claim-level pattern with some argumentative impact.</x:v>
      </x:c>
      <x:c r="V604" s="13" t="str">
        <x:v>Strong pattern central to the conclusion and likely to materially distort reasoning.</x:v>
      </x:c>
      <x:c r="W604" s="13" t="str"/>
      <x:c r="X604" s="13" t="str">
        <x:v>thaler_sunstein_nudge</x:v>
      </x:c>
      <x:c r="Y604" s="13" t="str">
        <x:v>https://yalebooks.yale.edu/book/9780300262285/nudge/</x:v>
      </x:c>
      <x:c r="Z604" s="13" t="str">
        <x:v>Review before enabling. This workbook is a living taxonomy scaffold, not a validated scientific benchmark.</x:v>
      </x:c>
      <x:c r="AA604" s="13" t="str">
        <x:v>0.1.0-draft</x:v>
      </x:c>
      <x:c r="AB604" s="12" t="str">
        <x:f>IF(ISNUMBER(SEARCH("healthy",F604)),"healthy_reasoning_patterns",IF(ISNUMBER(SEARCH("statistical",F604)),"statistical_reasoning",IF(ISNUMBER(SEARCH("causal",F604)),"causal_reasoning",IF(ISNUMBER(SEARCH("social",F604)),"social_influence",IF(ISNUMBER(SEARCH("rhetoric",F604)),"rhetoric_discourse",IF(ISNUMBER(SEARCH("behavior",F604)),"behavioural_economics",IF(ISNUMBER(SEARCH("cognitive",F604)),"cognitive_biases",IF(J604="protective_pattern","healthy_reasoning_patterns",IF(L604="P0","core_mvp","extended_fallacies")))))))))</x:f>
        <x:v>extended_fallacies</x:v>
      </x:c>
      <x:c r="AC604" s="12" t="str">
        <x:f>IF(ISNUMBER(SEARCH("operational",J604)),"operational",IF(ISNUMBER(SEARCH("deprecated",J604)),"deprecated",IF(L604="P0","canonical","recognized_subtype")))</x:f>
        <x:v>operational</x:v>
      </x:c>
      <x:c r="AD604" s="12" t="str">
        <x:f>IF(AC604="canonical","high",IF(AC604="recognized_subtype","medium",IF(AC604="operational","operational_only","debated")))</x:f>
        <x:v>operational_only</x:v>
      </x:c>
      <x:c r="AE604" s="12" t="str">
        <x:f>IF(AC604="deprecated","deprecated",IF(M604="yes","active",IF(M604="review","review_required","backlog")))</x:f>
        <x:v>backlog</x:v>
      </x:c>
      <x:c r="AF604" s="12" t="str">
        <x:f>IF(OR(AE604="active",AE604="review_required"),"yes","no")</x:f>
        <x:v>no</x:v>
      </x:c>
      <x:c r="AG604" s="12" t="str">
        <x:f>IF(AND(AE604="active",M604="yes",NOT(ISNUMBER(SEARCH("healthy",AB604)))),"yes","no")</x:f>
        <x:v>no</x:v>
      </x:c>
      <x:c r="AH604" s="12" t="str">
        <x:f>IF(OR(H604="contextual",H604="dialogue",H604="discourse",I604="claim+context",I604="discourse_segment"),"yes","no")</x:f>
        <x:v>yes</x:v>
      </x:c>
      <x:c r="AI604" s="12" t="str">
        <x:f>IF(OR(AH604="yes",AD604="debated",AC604="operational"),"yes","no")</x:f>
        <x:v>yes</x:v>
      </x:c>
      <x:c r="AJ604" s="12" t="str">
        <x:f>IF(OR(AH604="yes",AC604="operational",AD604="debated"),"high",IF(AND(AG604="yes",L604="P0"),"medium","low"))</x:f>
        <x:v>high</x:v>
      </x:c>
      <x:c r="AK604" s="12" t="str">
        <x:f>IF(ISNUMBER(SEARCH("healthy",AB604)),"yes","no")</x:f>
        <x:v>no</x:v>
      </x:c>
      <x:c r="AL604" s="12" t="str">
        <x:f>IF(AG604="yes","yes","candidate_only")</x:f>
        <x:v>candidate_only</x:v>
      </x:c>
      <x:c r="AM604" s="12" t="str">
        <x:f>IF(OR(AC604="canonical",AG604="yes"),"yes","recommended")</x:f>
        <x:v>recommended</x:v>
      </x:c>
      <x:c r="AN604" s="12" t="str">
        <x:f>IF(AC604="deprecated","exclude",IF(AND(AG604="yes",AJ604="high"),"import_but_human_review_required",IF(AG604="yes","import_as_active","import_as_backlog")))</x:f>
        <x:v>import_as_backlog</x:v>
      </x:c>
      <x:c r="AO604" s="12" t="str">
        <x:f>IF(AND(AG604="yes",OR(P604="",Q604="",R604="",S604="")),"missing_required_mvp_fields",IF(AND(AC604="canonical",Y604=""),"missing_source_ref","ok"))</x:f>
        <x:v>ok</x:v>
      </x:c>
      <x:c r="AP604" s="12" t="str">
        <x:f>IF(AO604="ok","ready_for_codex_import","needs_review")</x:f>
        <x:v>ready_for_codex_import</x:v>
      </x:c>
      <x:c r="AQ604" s="12"/>
      <x:c r="AR604" s="12" t="str">
        <x:v>Added v2 operational fields. Review before classification activation.</x:v>
      </x:c>
    </x:row>
    <x:row r="605">
      <x:c r="A605" s="13" t="str">
        <x:v>scarcity_bias_default_or_status_quo_variant</x:v>
      </x:c>
      <x:c r="B605" s="13" t="str">
        <x:v>scarcity_bias</x:v>
      </x:c>
      <x:c r="C605" s="13" t="str">
        <x:v>Scarcity bias</x:v>
      </x:c>
      <x:c r="D605" s="13" t="str">
        <x:v>سوگیری کمیابی</x:v>
      </x:c>
      <x:c r="E605" s="13" t="str">
        <x:v>Default/status-quo variant</x:v>
      </x:c>
      <x:c r="F605" s="13" t="str">
        <x:v>decision_biases_behavioural_economics</x:v>
      </x:c>
      <x:c r="G605" s="13" t="str">
        <x:v>operational_variant</x:v>
      </x:c>
      <x:c r="H605" s="13" t="str">
        <x:v>discourse</x:v>
      </x:c>
      <x:c r="I605" s="13" t="str">
        <x:v>discourse_segment</x:v>
      </x:c>
      <x:c r="J605" s="13" t="str">
        <x:v>derived_operational_subtype</x:v>
      </x:c>
      <x:c r="K605" s="13" t="str">
        <x:v>derived_from_established_parent_review_required</x:v>
      </x:c>
      <x:c r="L605" s="13" t="str">
        <x:v>P2</x:v>
      </x:c>
      <x:c r="M605" s="13" t="str">
        <x:v>no</x:v>
      </x:c>
      <x:c r="N605" s="13" t="str">
        <x:v>Operational subtype under Scarcity bias: the default or current state is treated as preferable without reasons. Parent definition: Overvaluing something because it is framed as scarce.</x:v>
      </x:c>
      <x:c r="O605" s="13" t="str">
        <x:v>Look for: explicit claim-level evidence; parent-family cues for Scarcity bias; variant cue: the default or current state is treated as preferable without reasons; avoid author-level inference.</x:v>
      </x:c>
      <x:c r="P605" s="13" t="str">
        <x:v>Exact evidence span in text plus claim-level reasoning link; for contextual/discourse entries, require surrounding context.</x:v>
      </x:c>
      <x:c r="Q605" s="13" t="str">
        <x:v>Do not label merely because topic is controversial, emotional, or wrong. Do not judge intent or personality. Require textual evidence and consider healthy-reasoning cues.</x:v>
      </x:c>
      <x:c r="R605" s="13" t="str">
        <x:v>Stub: A claim relies on the default or current state is treated as preferable without reasons to support a conclusion without adequate qualification.</x:v>
      </x:c>
      <x:c r="S605" s="13" t="str">
        <x:v>Stub: A claim discusses scarcity bias with caveats, balanced evidence, or no argumentative use of the pattern.</x:v>
      </x:c>
      <x:c r="T605" s="13" t="str">
        <x:v>Mild or ambiguous cue; do not classify without clear evidence span.</x:v>
      </x:c>
      <x:c r="U605" s="13" t="str">
        <x:v>Clear claim-level pattern with some argumentative impact.</x:v>
      </x:c>
      <x:c r="V605" s="13" t="str">
        <x:v>Strong pattern central to the conclusion and likely to materially distort reasoning.</x:v>
      </x:c>
      <x:c r="W605" s="13" t="str"/>
      <x:c r="X605" s="13" t="str">
        <x:v>cialdini_influence</x:v>
      </x:c>
      <x:c r="Y605" s="13" t="str">
        <x:v>https://www.pearson.com/en-us/subject-catalog/p/influence-science-and-practice/P200000003004</x:v>
      </x:c>
      <x:c r="Z605" s="13" t="str">
        <x:v>Review before enabling. This workbook is a living taxonomy scaffold, not a validated scientific benchmark.</x:v>
      </x:c>
      <x:c r="AA605" s="13" t="str">
        <x:v>0.1.0-draft</x:v>
      </x:c>
      <x:c r="AB605" s="12" t="str">
        <x:f>IF(ISNUMBER(SEARCH("healthy",F605)),"healthy_reasoning_patterns",IF(ISNUMBER(SEARCH("statistical",F605)),"statistical_reasoning",IF(ISNUMBER(SEARCH("causal",F605)),"causal_reasoning",IF(ISNUMBER(SEARCH("social",F605)),"social_influence",IF(ISNUMBER(SEARCH("rhetoric",F605)),"rhetoric_discourse",IF(ISNUMBER(SEARCH("behavior",F605)),"behavioural_economics",IF(ISNUMBER(SEARCH("cognitive",F605)),"cognitive_biases",IF(J605="protective_pattern","healthy_reasoning_patterns",IF(L605="P0","core_mvp","extended_fallacies")))))))))</x:f>
        <x:v>extended_fallacies</x:v>
      </x:c>
      <x:c r="AC605" s="12" t="str">
        <x:f>IF(ISNUMBER(SEARCH("operational",J605)),"operational",IF(ISNUMBER(SEARCH("deprecated",J605)),"deprecated",IF(L605="P0","canonical","recognized_subtype")))</x:f>
        <x:v>operational</x:v>
      </x:c>
      <x:c r="AD605" s="12" t="str">
        <x:f>IF(AC605="canonical","high",IF(AC605="recognized_subtype","medium",IF(AC605="operational","operational_only","debated")))</x:f>
        <x:v>operational_only</x:v>
      </x:c>
      <x:c r="AE605" s="12" t="str">
        <x:f>IF(AC605="deprecated","deprecated",IF(M605="yes","active",IF(M605="review","review_required","backlog")))</x:f>
        <x:v>backlog</x:v>
      </x:c>
      <x:c r="AF605" s="12" t="str">
        <x:f>IF(OR(AE605="active",AE605="review_required"),"yes","no")</x:f>
        <x:v>no</x:v>
      </x:c>
      <x:c r="AG605" s="12" t="str">
        <x:f>IF(AND(AE605="active",M605="yes",NOT(ISNUMBER(SEARCH("healthy",AB605)))),"yes","no")</x:f>
        <x:v>no</x:v>
      </x:c>
      <x:c r="AH605" s="12" t="str">
        <x:f>IF(OR(H605="contextual",H605="dialogue",H605="discourse",I605="claim+context",I605="discourse_segment"),"yes","no")</x:f>
        <x:v>yes</x:v>
      </x:c>
      <x:c r="AI605" s="12" t="str">
        <x:f>IF(OR(AH605="yes",AD605="debated",AC605="operational"),"yes","no")</x:f>
        <x:v>yes</x:v>
      </x:c>
      <x:c r="AJ605" s="12" t="str">
        <x:f>IF(OR(AH605="yes",AC605="operational",AD605="debated"),"high",IF(AND(AG605="yes",L605="P0"),"medium","low"))</x:f>
        <x:v>high</x:v>
      </x:c>
      <x:c r="AK605" s="12" t="str">
        <x:f>IF(ISNUMBER(SEARCH("healthy",AB605)),"yes","no")</x:f>
        <x:v>no</x:v>
      </x:c>
      <x:c r="AL605" s="12" t="str">
        <x:f>IF(AG605="yes","yes","candidate_only")</x:f>
        <x:v>candidate_only</x:v>
      </x:c>
      <x:c r="AM605" s="12" t="str">
        <x:f>IF(OR(AC605="canonical",AG605="yes"),"yes","recommended")</x:f>
        <x:v>recommended</x:v>
      </x:c>
      <x:c r="AN605" s="12" t="str">
        <x:f>IF(AC605="deprecated","exclude",IF(AND(AG605="yes",AJ605="high"),"import_but_human_review_required",IF(AG605="yes","import_as_active","import_as_backlog")))</x:f>
        <x:v>import_as_backlog</x:v>
      </x:c>
      <x:c r="AO605" s="12" t="str">
        <x:f>IF(AND(AG605="yes",OR(P605="",Q605="",R605="",S605="")),"missing_required_mvp_fields",IF(AND(AC605="canonical",Y605=""),"missing_source_ref","ok"))</x:f>
        <x:v>ok</x:v>
      </x:c>
      <x:c r="AP605" s="12" t="str">
        <x:f>IF(AO605="ok","ready_for_codex_import","needs_review")</x:f>
        <x:v>ready_for_codex_import</x:v>
      </x:c>
      <x:c r="AQ605" s="12"/>
      <x:c r="AR605" s="12" t="str">
        <x:v>Added v2 operational fields. Review before classification activation.</x:v>
      </x:c>
    </x:row>
    <x:row r="606">
      <x:c r="A606" s="13" t="str">
        <x:v>zero_price_effect_default_or_status_quo_variant</x:v>
      </x:c>
      <x:c r="B606" s="13" t="str">
        <x:v>zero_price_effect</x:v>
      </x:c>
      <x:c r="C606" s="13" t="str">
        <x:v>Zero-price effect</x:v>
      </x:c>
      <x:c r="D606" s="13" t="str">
        <x:v>اثر قیمت صفر</x:v>
      </x:c>
      <x:c r="E606" s="13" t="str">
        <x:v>Default/status-quo variant</x:v>
      </x:c>
      <x:c r="F606" s="13" t="str">
        <x:v>decision_biases_behavioural_economics</x:v>
      </x:c>
      <x:c r="G606" s="13" t="str">
        <x:v>operational_variant</x:v>
      </x:c>
      <x:c r="H606" s="13" t="str">
        <x:v>contextual</x:v>
      </x:c>
      <x:c r="I606" s="13" t="str">
        <x:v>claim+context</x:v>
      </x:c>
      <x:c r="J606" s="13" t="str">
        <x:v>derived_operational_subtype</x:v>
      </x:c>
      <x:c r="K606" s="13" t="str">
        <x:v>derived_from_established_parent_review_required</x:v>
      </x:c>
      <x:c r="L606" s="13" t="str">
        <x:v>P3</x:v>
      </x:c>
      <x:c r="M606" s="13" t="str">
        <x:v>no</x:v>
      </x:c>
      <x:c r="N606" s="13" t="str">
        <x:v>Operational subtype under Zero-price effect: the default or current state is treated as preferable without reasons. Parent definition: Overvaluing free options relative to small-cost alternatives.</x:v>
      </x:c>
      <x:c r="O606" s="13" t="str">
        <x:v>Look for: explicit claim-level evidence; parent-family cues for Zero-price effect; variant cue: the default or current state is treated as preferable without reasons; avoid author-level inference.</x:v>
      </x:c>
      <x:c r="P606" s="13" t="str">
        <x:v>Exact evidence span in text plus claim-level reasoning link; for contextual/discourse entries, require surrounding context.</x:v>
      </x:c>
      <x:c r="Q606" s="13" t="str">
        <x:v>Do not label merely because topic is controversial, emotional, or wrong. Do not judge intent or personality. Require textual evidence and consider healthy-reasoning cues.</x:v>
      </x:c>
      <x:c r="R606" s="13" t="str">
        <x:v>Stub: A claim relies on the default or current state is treated as preferable without reasons to support a conclusion without adequate qualification.</x:v>
      </x:c>
      <x:c r="S606" s="13" t="str">
        <x:v>Stub: A claim discusses zero-price effect with caveats, balanced evidence, or no argumentative use of the pattern.</x:v>
      </x:c>
      <x:c r="T606" s="13" t="str">
        <x:v>Mild or ambiguous cue; do not classify without clear evidence span.</x:v>
      </x:c>
      <x:c r="U606" s="13" t="str">
        <x:v>Clear claim-level pattern with some argumentative impact.</x:v>
      </x:c>
      <x:c r="V606" s="13" t="str">
        <x:v>Strong pattern central to the conclusion and likely to materially distort reasoning.</x:v>
      </x:c>
      <x:c r="W606" s="13" t="str"/>
      <x:c r="X606" s="13" t="str">
        <x:v>thaler_sunstein_nudge</x:v>
      </x:c>
      <x:c r="Y606" s="13" t="str">
        <x:v>https://yalebooks.yale.edu/book/9780300262285/nudge/</x:v>
      </x:c>
      <x:c r="Z606" s="13" t="str">
        <x:v>Review before enabling. This workbook is a living taxonomy scaffold, not a validated scientific benchmark.</x:v>
      </x:c>
      <x:c r="AA606" s="13" t="str">
        <x:v>0.1.0-draft</x:v>
      </x:c>
      <x:c r="AB606" s="12" t="str">
        <x:f>IF(ISNUMBER(SEARCH("healthy",F606)),"healthy_reasoning_patterns",IF(ISNUMBER(SEARCH("statistical",F606)),"statistical_reasoning",IF(ISNUMBER(SEARCH("causal",F606)),"causal_reasoning",IF(ISNUMBER(SEARCH("social",F606)),"social_influence",IF(ISNUMBER(SEARCH("rhetoric",F606)),"rhetoric_discourse",IF(ISNUMBER(SEARCH("behavior",F606)),"behavioural_economics",IF(ISNUMBER(SEARCH("cognitive",F606)),"cognitive_biases",IF(J606="protective_pattern","healthy_reasoning_patterns",IF(L606="P0","core_mvp","extended_fallacies")))))))))</x:f>
        <x:v>extended_fallacies</x:v>
      </x:c>
      <x:c r="AC606" s="12" t="str">
        <x:f>IF(ISNUMBER(SEARCH("operational",J606)),"operational",IF(ISNUMBER(SEARCH("deprecated",J606)),"deprecated",IF(L606="P0","canonical","recognized_subtype")))</x:f>
        <x:v>operational</x:v>
      </x:c>
      <x:c r="AD606" s="12" t="str">
        <x:f>IF(AC606="canonical","high",IF(AC606="recognized_subtype","medium",IF(AC606="operational","operational_only","debated")))</x:f>
        <x:v>operational_only</x:v>
      </x:c>
      <x:c r="AE606" s="12" t="str">
        <x:f>IF(AC606="deprecated","deprecated",IF(M606="yes","active",IF(M606="review","review_required","backlog")))</x:f>
        <x:v>backlog</x:v>
      </x:c>
      <x:c r="AF606" s="12" t="str">
        <x:f>IF(OR(AE606="active",AE606="review_required"),"yes","no")</x:f>
        <x:v>no</x:v>
      </x:c>
      <x:c r="AG606" s="12" t="str">
        <x:f>IF(AND(AE606="active",M606="yes",NOT(ISNUMBER(SEARCH("healthy",AB606)))),"yes","no")</x:f>
        <x:v>no</x:v>
      </x:c>
      <x:c r="AH606" s="12" t="str">
        <x:f>IF(OR(H606="contextual",H606="dialogue",H606="discourse",I606="claim+context",I606="discourse_segment"),"yes","no")</x:f>
        <x:v>yes</x:v>
      </x:c>
      <x:c r="AI606" s="12" t="str">
        <x:f>IF(OR(AH606="yes",AD606="debated",AC606="operational"),"yes","no")</x:f>
        <x:v>yes</x:v>
      </x:c>
      <x:c r="AJ606" s="12" t="str">
        <x:f>IF(OR(AH606="yes",AC606="operational",AD606="debated"),"high",IF(AND(AG606="yes",L606="P0"),"medium","low"))</x:f>
        <x:v>high</x:v>
      </x:c>
      <x:c r="AK606" s="12" t="str">
        <x:f>IF(ISNUMBER(SEARCH("healthy",AB606)),"yes","no")</x:f>
        <x:v>no</x:v>
      </x:c>
      <x:c r="AL606" s="12" t="str">
        <x:f>IF(AG606="yes","yes","candidate_only")</x:f>
        <x:v>candidate_only</x:v>
      </x:c>
      <x:c r="AM606" s="12" t="str">
        <x:f>IF(OR(AC606="canonical",AG606="yes"),"yes","recommended")</x:f>
        <x:v>recommended</x:v>
      </x:c>
      <x:c r="AN606" s="12" t="str">
        <x:f>IF(AC606="deprecated","exclude",IF(AND(AG606="yes",AJ606="high"),"import_but_human_review_required",IF(AG606="yes","import_as_active","import_as_backlog")))</x:f>
        <x:v>import_as_backlog</x:v>
      </x:c>
      <x:c r="AO606" s="12" t="str">
        <x:f>IF(AND(AG606="yes",OR(P606="",Q606="",R606="",S606="")),"missing_required_mvp_fields",IF(AND(AC606="canonical",Y606=""),"missing_source_ref","ok"))</x:f>
        <x:v>ok</x:v>
      </x:c>
      <x:c r="AP606" s="12" t="str">
        <x:f>IF(AO606="ok","ready_for_codex_import","needs_review")</x:f>
        <x:v>ready_for_codex_import</x:v>
      </x:c>
      <x:c r="AQ606" s="12"/>
      <x:c r="AR606" s="12" t="str">
        <x:v>Added v2 operational fields. Review before classification activation.</x:v>
      </x:c>
    </x:row>
    <x:row r="607">
      <x:c r="A607" s="13" t="str">
        <x:v>mental_accounting_default_or_status_quo_variant</x:v>
      </x:c>
      <x:c r="B607" s="13" t="str">
        <x:v>mental_accounting</x:v>
      </x:c>
      <x:c r="C607" s="13" t="str">
        <x:v>Mental accounting</x:v>
      </x:c>
      <x:c r="D607" s="13" t="str">
        <x:v>حسابداری ذهنی</x:v>
      </x:c>
      <x:c r="E607" s="13" t="str">
        <x:v>Default/status-quo variant</x:v>
      </x:c>
      <x:c r="F607" s="13" t="str">
        <x:v>decision_biases_behavioural_economics</x:v>
      </x:c>
      <x:c r="G607" s="13" t="str">
        <x:v>operational_variant</x:v>
      </x:c>
      <x:c r="H607" s="13" t="str">
        <x:v>contextual</x:v>
      </x:c>
      <x:c r="I607" s="13" t="str">
        <x:v>claim+context</x:v>
      </x:c>
      <x:c r="J607" s="13" t="str">
        <x:v>derived_operational_subtype</x:v>
      </x:c>
      <x:c r="K607" s="13" t="str">
        <x:v>derived_from_established_parent_review_required</x:v>
      </x:c>
      <x:c r="L607" s="13" t="str">
        <x:v>P3</x:v>
      </x:c>
      <x:c r="M607" s="13" t="str">
        <x:v>no</x:v>
      </x:c>
      <x:c r="N607" s="13" t="str">
        <x:v>Operational subtype under Mental accounting: the default or current state is treated as preferable without reasons. Parent definition: Treating money or resources differently based on arbitrary mental categories.</x:v>
      </x:c>
      <x:c r="O607" s="13" t="str">
        <x:v>Look for: explicit claim-level evidence; parent-family cues for Mental accounting; variant cue: the default or current state is treated as preferable without reasons; avoid author-level inference.</x:v>
      </x:c>
      <x:c r="P607" s="13" t="str">
        <x:v>Exact evidence span in text plus claim-level reasoning link; for contextual/discourse entries, require surrounding context.</x:v>
      </x:c>
      <x:c r="Q607" s="13" t="str">
        <x:v>Do not label merely because topic is controversial, emotional, or wrong. Do not judge intent or personality. Require textual evidence and consider healthy-reasoning cues.</x:v>
      </x:c>
      <x:c r="R607" s="13" t="str">
        <x:v>Stub: A claim relies on the default or current state is treated as preferable without reasons to support a conclusion without adequate qualification.</x:v>
      </x:c>
      <x:c r="S607" s="13" t="str">
        <x:v>Stub: A claim discusses mental accounting with caveats, balanced evidence, or no argumentative use of the pattern.</x:v>
      </x:c>
      <x:c r="T607" s="13" t="str">
        <x:v>Mild or ambiguous cue; do not classify without clear evidence span.</x:v>
      </x:c>
      <x:c r="U607" s="13" t="str">
        <x:v>Clear claim-level pattern with some argumentative impact.</x:v>
      </x:c>
      <x:c r="V607" s="13" t="str">
        <x:v>Strong pattern central to the conclusion and likely to materially distort reasoning.</x:v>
      </x:c>
      <x:c r="W607" s="13" t="str"/>
      <x:c r="X607" s="13" t="str">
        <x:v>thaler_sunstein_nudge</x:v>
      </x:c>
      <x:c r="Y607" s="13" t="str">
        <x:v>https://yalebooks.yale.edu/book/9780300262285/nudge/</x:v>
      </x:c>
      <x:c r="Z607" s="13" t="str">
        <x:v>Review before enabling. This workbook is a living taxonomy scaffold, not a validated scientific benchmark.</x:v>
      </x:c>
      <x:c r="AA607" s="13" t="str">
        <x:v>0.1.0-draft</x:v>
      </x:c>
      <x:c r="AB607" s="12" t="str">
        <x:f>IF(ISNUMBER(SEARCH("healthy",F607)),"healthy_reasoning_patterns",IF(ISNUMBER(SEARCH("statistical",F607)),"statistical_reasoning",IF(ISNUMBER(SEARCH("causal",F607)),"causal_reasoning",IF(ISNUMBER(SEARCH("social",F607)),"social_influence",IF(ISNUMBER(SEARCH("rhetoric",F607)),"rhetoric_discourse",IF(ISNUMBER(SEARCH("behavior",F607)),"behavioural_economics",IF(ISNUMBER(SEARCH("cognitive",F607)),"cognitive_biases",IF(J607="protective_pattern","healthy_reasoning_patterns",IF(L607="P0","core_mvp","extended_fallacies")))))))))</x:f>
        <x:v>extended_fallacies</x:v>
      </x:c>
      <x:c r="AC607" s="12" t="str">
        <x:f>IF(ISNUMBER(SEARCH("operational",J607)),"operational",IF(ISNUMBER(SEARCH("deprecated",J607)),"deprecated",IF(L607="P0","canonical","recognized_subtype")))</x:f>
        <x:v>operational</x:v>
      </x:c>
      <x:c r="AD607" s="12" t="str">
        <x:f>IF(AC607="canonical","high",IF(AC607="recognized_subtype","medium",IF(AC607="operational","operational_only","debated")))</x:f>
        <x:v>operational_only</x:v>
      </x:c>
      <x:c r="AE607" s="12" t="str">
        <x:f>IF(AC607="deprecated","deprecated",IF(M607="yes","active",IF(M607="review","review_required","backlog")))</x:f>
        <x:v>backlog</x:v>
      </x:c>
      <x:c r="AF607" s="12" t="str">
        <x:f>IF(OR(AE607="active",AE607="review_required"),"yes","no")</x:f>
        <x:v>no</x:v>
      </x:c>
      <x:c r="AG607" s="12" t="str">
        <x:f>IF(AND(AE607="active",M607="yes",NOT(ISNUMBER(SEARCH("healthy",AB607)))),"yes","no")</x:f>
        <x:v>no</x:v>
      </x:c>
      <x:c r="AH607" s="12" t="str">
        <x:f>IF(OR(H607="contextual",H607="dialogue",H607="discourse",I607="claim+context",I607="discourse_segment"),"yes","no")</x:f>
        <x:v>yes</x:v>
      </x:c>
      <x:c r="AI607" s="12" t="str">
        <x:f>IF(OR(AH607="yes",AD607="debated",AC607="operational"),"yes","no")</x:f>
        <x:v>yes</x:v>
      </x:c>
      <x:c r="AJ607" s="12" t="str">
        <x:f>IF(OR(AH607="yes",AC607="operational",AD607="debated"),"high",IF(AND(AG607="yes",L607="P0"),"medium","low"))</x:f>
        <x:v>high</x:v>
      </x:c>
      <x:c r="AK607" s="12" t="str">
        <x:f>IF(ISNUMBER(SEARCH("healthy",AB607)),"yes","no")</x:f>
        <x:v>no</x:v>
      </x:c>
      <x:c r="AL607" s="12" t="str">
        <x:f>IF(AG607="yes","yes","candidate_only")</x:f>
        <x:v>candidate_only</x:v>
      </x:c>
      <x:c r="AM607" s="12" t="str">
        <x:f>IF(OR(AC607="canonical",AG607="yes"),"yes","recommended")</x:f>
        <x:v>recommended</x:v>
      </x:c>
      <x:c r="AN607" s="12" t="str">
        <x:f>IF(AC607="deprecated","exclude",IF(AND(AG607="yes",AJ607="high"),"import_but_human_review_required",IF(AG607="yes","import_as_active","import_as_backlog")))</x:f>
        <x:v>import_as_backlog</x:v>
      </x:c>
      <x:c r="AO607" s="12" t="str">
        <x:f>IF(AND(AG607="yes",OR(P607="",Q607="",R607="",S607="")),"missing_required_mvp_fields",IF(AND(AC607="canonical",Y607=""),"missing_source_ref","ok"))</x:f>
        <x:v>ok</x:v>
      </x:c>
      <x:c r="AP607" s="12" t="str">
        <x:f>IF(AO607="ok","ready_for_codex_import","needs_review")</x:f>
        <x:v>ready_for_codex_import</x:v>
      </x:c>
      <x:c r="AQ607" s="12"/>
      <x:c r="AR607" s="12" t="str">
        <x:v>Added v2 operational fields. Review before classification activation.</x:v>
      </x:c>
    </x:row>
    <x:row r="608">
      <x:c r="A608" s="13" t="str">
        <x:v>reference_dependence_default_or_status_quo_variant</x:v>
      </x:c>
      <x:c r="B608" s="13" t="str">
        <x:v>reference_dependence</x:v>
      </x:c>
      <x:c r="C608" s="13" t="str">
        <x:v>Reference dependence</x:v>
      </x:c>
      <x:c r="D608" s="13" t="str">
        <x:v>وابستگی به نقطه مرجع</x:v>
      </x:c>
      <x:c r="E608" s="13" t="str">
        <x:v>Default/status-quo variant</x:v>
      </x:c>
      <x:c r="F608" s="13" t="str">
        <x:v>decision_biases_behavioural_economics</x:v>
      </x:c>
      <x:c r="G608" s="13" t="str">
        <x:v>operational_variant</x:v>
      </x:c>
      <x:c r="H608" s="13" t="str">
        <x:v>contextual</x:v>
      </x:c>
      <x:c r="I608" s="13" t="str">
        <x:v>claim+context</x:v>
      </x:c>
      <x:c r="J608" s="13" t="str">
        <x:v>derived_operational_subtype</x:v>
      </x:c>
      <x:c r="K608" s="13" t="str">
        <x:v>derived_from_established_parent_review_required</x:v>
      </x:c>
      <x:c r="L608" s="13" t="str">
        <x:v>P3</x:v>
      </x:c>
      <x:c r="M608" s="13" t="str">
        <x:v>no</x:v>
      </x:c>
      <x:c r="N608" s="13" t="str">
        <x:v>Operational subtype under Reference dependence: the default or current state is treated as preferable without reasons. Parent definition: Evaluating outcomes relative to a reference point rather than final state.</x:v>
      </x:c>
      <x:c r="O608" s="13" t="str">
        <x:v>Look for: explicit claim-level evidence; parent-family cues for Reference dependence; variant cue: the default or current state is treated as preferable without reasons; avoid author-level inference.</x:v>
      </x:c>
      <x:c r="P608" s="13" t="str">
        <x:v>Exact evidence span in text plus claim-level reasoning link; for contextual/discourse entries, require surrounding context.</x:v>
      </x:c>
      <x:c r="Q608" s="13" t="str">
        <x:v>Do not label merely because topic is controversial, emotional, or wrong. Do not judge intent or personality. Require textual evidence and consider healthy-reasoning cues.</x:v>
      </x:c>
      <x:c r="R608" s="13" t="str">
        <x:v>Stub: A claim relies on the default or current state is treated as preferable without reasons to support a conclusion without adequate qualification.</x:v>
      </x:c>
      <x:c r="S608" s="13" t="str">
        <x:v>Stub: A claim discusses reference dependence with caveats, balanced evidence, or no argumentative use of the pattern.</x:v>
      </x:c>
      <x:c r="T608" s="13" t="str">
        <x:v>Mild or ambiguous cue; do not classify without clear evidence span.</x:v>
      </x:c>
      <x:c r="U608" s="13" t="str">
        <x:v>Clear claim-level pattern with some argumentative impact.</x:v>
      </x:c>
      <x:c r="V608" s="13" t="str">
        <x:v>Strong pattern central to the conclusion and likely to materially distort reasoning.</x:v>
      </x:c>
      <x:c r="W608" s="13" t="str"/>
      <x:c r="X608" s="13" t="str">
        <x:v>kahneman_tversky_prospect_1979</x:v>
      </x:c>
      <x:c r="Y608" s="13" t="str">
        <x:v>https://doi.org/10.2307/1914185</x:v>
      </x:c>
      <x:c r="Z608" s="13" t="str">
        <x:v>Review before enabling. This workbook is a living taxonomy scaffold, not a validated scientific benchmark.</x:v>
      </x:c>
      <x:c r="AA608" s="13" t="str">
        <x:v>0.1.0-draft</x:v>
      </x:c>
      <x:c r="AB608" s="12" t="str">
        <x:f>IF(ISNUMBER(SEARCH("healthy",F608)),"healthy_reasoning_patterns",IF(ISNUMBER(SEARCH("statistical",F608)),"statistical_reasoning",IF(ISNUMBER(SEARCH("causal",F608)),"causal_reasoning",IF(ISNUMBER(SEARCH("social",F608)),"social_influence",IF(ISNUMBER(SEARCH("rhetoric",F608)),"rhetoric_discourse",IF(ISNUMBER(SEARCH("behavior",F608)),"behavioural_economics",IF(ISNUMBER(SEARCH("cognitive",F608)),"cognitive_biases",IF(J608="protective_pattern","healthy_reasoning_patterns",IF(L608="P0","core_mvp","extended_fallacies")))))))))</x:f>
        <x:v>extended_fallacies</x:v>
      </x:c>
      <x:c r="AC608" s="12" t="str">
        <x:f>IF(ISNUMBER(SEARCH("operational",J608)),"operational",IF(ISNUMBER(SEARCH("deprecated",J608)),"deprecated",IF(L608="P0","canonical","recognized_subtype")))</x:f>
        <x:v>operational</x:v>
      </x:c>
      <x:c r="AD608" s="12" t="str">
        <x:f>IF(AC608="canonical","high",IF(AC608="recognized_subtype","medium",IF(AC608="operational","operational_only","debated")))</x:f>
        <x:v>operational_only</x:v>
      </x:c>
      <x:c r="AE608" s="12" t="str">
        <x:f>IF(AC608="deprecated","deprecated",IF(M608="yes","active",IF(M608="review","review_required","backlog")))</x:f>
        <x:v>backlog</x:v>
      </x:c>
      <x:c r="AF608" s="12" t="str">
        <x:f>IF(OR(AE608="active",AE608="review_required"),"yes","no")</x:f>
        <x:v>no</x:v>
      </x:c>
      <x:c r="AG608" s="12" t="str">
        <x:f>IF(AND(AE608="active",M608="yes",NOT(ISNUMBER(SEARCH("healthy",AB608)))),"yes","no")</x:f>
        <x:v>no</x:v>
      </x:c>
      <x:c r="AH608" s="12" t="str">
        <x:f>IF(OR(H608="contextual",H608="dialogue",H608="discourse",I608="claim+context",I608="discourse_segment"),"yes","no")</x:f>
        <x:v>yes</x:v>
      </x:c>
      <x:c r="AI608" s="12" t="str">
        <x:f>IF(OR(AH608="yes",AD608="debated",AC608="operational"),"yes","no")</x:f>
        <x:v>yes</x:v>
      </x:c>
      <x:c r="AJ608" s="12" t="str">
        <x:f>IF(OR(AH608="yes",AC608="operational",AD608="debated"),"high",IF(AND(AG608="yes",L608="P0"),"medium","low"))</x:f>
        <x:v>high</x:v>
      </x:c>
      <x:c r="AK608" s="12" t="str">
        <x:f>IF(ISNUMBER(SEARCH("healthy",AB608)),"yes","no")</x:f>
        <x:v>no</x:v>
      </x:c>
      <x:c r="AL608" s="12" t="str">
        <x:f>IF(AG608="yes","yes","candidate_only")</x:f>
        <x:v>candidate_only</x:v>
      </x:c>
      <x:c r="AM608" s="12" t="str">
        <x:f>IF(OR(AC608="canonical",AG608="yes"),"yes","recommended")</x:f>
        <x:v>recommended</x:v>
      </x:c>
      <x:c r="AN608" s="12" t="str">
        <x:f>IF(AC608="deprecated","exclude",IF(AND(AG608="yes",AJ608="high"),"import_but_human_review_required",IF(AG608="yes","import_as_active","import_as_backlog")))</x:f>
        <x:v>import_as_backlog</x:v>
      </x:c>
      <x:c r="AO608" s="12" t="str">
        <x:f>IF(AND(AG608="yes",OR(P608="",Q608="",R608="",S608="")),"missing_required_mvp_fields",IF(AND(AC608="canonical",Y608=""),"missing_source_ref","ok"))</x:f>
        <x:v>ok</x:v>
      </x:c>
      <x:c r="AP608" s="12" t="str">
        <x:f>IF(AO608="ok","ready_for_codex_import","needs_review")</x:f>
        <x:v>ready_for_codex_import</x:v>
      </x:c>
      <x:c r="AQ608" s="12"/>
      <x:c r="AR608" s="12" t="str">
        <x:v>Added v2 operational fields. Review before classification activation.</x:v>
      </x:c>
    </x:row>
    <x:row r="609">
      <x:c r="A609" s="13" t="str">
        <x:v>risk_seeking_in_losses_default_or_status_quo_variant</x:v>
      </x:c>
      <x:c r="B609" s="13" t="str">
        <x:v>risk_seeking_in_losses</x:v>
      </x:c>
      <x:c r="C609" s="13" t="str">
        <x:v>Risk seeking in losses</x:v>
      </x:c>
      <x:c r="D609" s="13" t="str">
        <x:v>ریسک‌پذیری در چارچوب زیان</x:v>
      </x:c>
      <x:c r="E609" s="13" t="str">
        <x:v>Default/status-quo variant</x:v>
      </x:c>
      <x:c r="F609" s="13" t="str">
        <x:v>decision_biases_behavioural_economics</x:v>
      </x:c>
      <x:c r="G609" s="13" t="str">
        <x:v>operational_variant</x:v>
      </x:c>
      <x:c r="H609" s="13" t="str">
        <x:v>contextual</x:v>
      </x:c>
      <x:c r="I609" s="13" t="str">
        <x:v>claim+context</x:v>
      </x:c>
      <x:c r="J609" s="13" t="str">
        <x:v>derived_operational_subtype</x:v>
      </x:c>
      <x:c r="K609" s="13" t="str">
        <x:v>derived_from_established_parent_review_required</x:v>
      </x:c>
      <x:c r="L609" s="13" t="str">
        <x:v>P3</x:v>
      </x:c>
      <x:c r="M609" s="13" t="str">
        <x:v>no</x:v>
      </x:c>
      <x:c r="N609" s="13" t="str">
        <x:v>Operational subtype under Risk seeking in losses: the default or current state is treated as preferable without reasons. Parent definition: Choosing riskier options to avoid a framed loss.</x:v>
      </x:c>
      <x:c r="O609" s="13" t="str">
        <x:v>Look for: explicit claim-level evidence; parent-family cues for Risk seeking in losses; variant cue: the default or current state is treated as preferable without reasons; avoid author-level inference.</x:v>
      </x:c>
      <x:c r="P609" s="13" t="str">
        <x:v>Exact evidence span in text plus claim-level reasoning link; for contextual/discourse entries, require surrounding context.</x:v>
      </x:c>
      <x:c r="Q609" s="13" t="str">
        <x:v>Do not label merely because topic is controversial, emotional, or wrong. Do not judge intent or personality. Require textual evidence and consider healthy-reasoning cues.</x:v>
      </x:c>
      <x:c r="R609" s="13" t="str">
        <x:v>Stub: A claim relies on the default or current state is treated as preferable without reasons to support a conclusion without adequate qualification.</x:v>
      </x:c>
      <x:c r="S609" s="13" t="str">
        <x:v>Stub: A claim discusses risk seeking in losses with caveats, balanced evidence, or no argumentative use of the pattern.</x:v>
      </x:c>
      <x:c r="T609" s="13" t="str">
        <x:v>Mild or ambiguous cue; do not classify without clear evidence span.</x:v>
      </x:c>
      <x:c r="U609" s="13" t="str">
        <x:v>Clear claim-level pattern with some argumentative impact.</x:v>
      </x:c>
      <x:c r="V609" s="13" t="str">
        <x:v>Strong pattern central to the conclusion and likely to materially distort reasoning.</x:v>
      </x:c>
      <x:c r="W609" s="13" t="str"/>
      <x:c r="X609" s="13" t="str">
        <x:v>kahneman_tversky_prospect_1979</x:v>
      </x:c>
      <x:c r="Y609" s="13" t="str">
        <x:v>https://doi.org/10.2307/1914185</x:v>
      </x:c>
      <x:c r="Z609" s="13" t="str">
        <x:v>Review before enabling. This workbook is a living taxonomy scaffold, not a validated scientific benchmark.</x:v>
      </x:c>
      <x:c r="AA609" s="13" t="str">
        <x:v>0.1.0-draft</x:v>
      </x:c>
      <x:c r="AB609" s="12" t="str">
        <x:f>IF(ISNUMBER(SEARCH("healthy",F609)),"healthy_reasoning_patterns",IF(ISNUMBER(SEARCH("statistical",F609)),"statistical_reasoning",IF(ISNUMBER(SEARCH("causal",F609)),"causal_reasoning",IF(ISNUMBER(SEARCH("social",F609)),"social_influence",IF(ISNUMBER(SEARCH("rhetoric",F609)),"rhetoric_discourse",IF(ISNUMBER(SEARCH("behavior",F609)),"behavioural_economics",IF(ISNUMBER(SEARCH("cognitive",F609)),"cognitive_biases",IF(J609="protective_pattern","healthy_reasoning_patterns",IF(L609="P0","core_mvp","extended_fallacies")))))))))</x:f>
        <x:v>extended_fallacies</x:v>
      </x:c>
      <x:c r="AC609" s="12" t="str">
        <x:f>IF(ISNUMBER(SEARCH("operational",J609)),"operational",IF(ISNUMBER(SEARCH("deprecated",J609)),"deprecated",IF(L609="P0","canonical","recognized_subtype")))</x:f>
        <x:v>operational</x:v>
      </x:c>
      <x:c r="AD609" s="12" t="str">
        <x:f>IF(AC609="canonical","high",IF(AC609="recognized_subtype","medium",IF(AC609="operational","operational_only","debated")))</x:f>
        <x:v>operational_only</x:v>
      </x:c>
      <x:c r="AE609" s="12" t="str">
        <x:f>IF(AC609="deprecated","deprecated",IF(M609="yes","active",IF(M609="review","review_required","backlog")))</x:f>
        <x:v>backlog</x:v>
      </x:c>
      <x:c r="AF609" s="12" t="str">
        <x:f>IF(OR(AE609="active",AE609="review_required"),"yes","no")</x:f>
        <x:v>no</x:v>
      </x:c>
      <x:c r="AG609" s="12" t="str">
        <x:f>IF(AND(AE609="active",M609="yes",NOT(ISNUMBER(SEARCH("healthy",AB609)))),"yes","no")</x:f>
        <x:v>no</x:v>
      </x:c>
      <x:c r="AH609" s="12" t="str">
        <x:f>IF(OR(H609="contextual",H609="dialogue",H609="discourse",I609="claim+context",I609="discourse_segment"),"yes","no")</x:f>
        <x:v>yes</x:v>
      </x:c>
      <x:c r="AI609" s="12" t="str">
        <x:f>IF(OR(AH609="yes",AD609="debated",AC609="operational"),"yes","no")</x:f>
        <x:v>yes</x:v>
      </x:c>
      <x:c r="AJ609" s="12" t="str">
        <x:f>IF(OR(AH609="yes",AC609="operational",AD609="debated"),"high",IF(AND(AG609="yes",L609="P0"),"medium","low"))</x:f>
        <x:v>high</x:v>
      </x:c>
      <x:c r="AK609" s="12" t="str">
        <x:f>IF(ISNUMBER(SEARCH("healthy",AB609)),"yes","no")</x:f>
        <x:v>no</x:v>
      </x:c>
      <x:c r="AL609" s="12" t="str">
        <x:f>IF(AG609="yes","yes","candidate_only")</x:f>
        <x:v>candidate_only</x:v>
      </x:c>
      <x:c r="AM609" s="12" t="str">
        <x:f>IF(OR(AC609="canonical",AG609="yes"),"yes","recommended")</x:f>
        <x:v>recommended</x:v>
      </x:c>
      <x:c r="AN609" s="12" t="str">
        <x:f>IF(AC609="deprecated","exclude",IF(AND(AG609="yes",AJ609="high"),"import_but_human_review_required",IF(AG609="yes","import_as_active","import_as_backlog")))</x:f>
        <x:v>import_as_backlog</x:v>
      </x:c>
      <x:c r="AO609" s="12" t="str">
        <x:f>IF(AND(AG609="yes",OR(P609="",Q609="",R609="",S609="")),"missing_required_mvp_fields",IF(AND(AC609="canonical",Y609=""),"missing_source_ref","ok"))</x:f>
        <x:v>ok</x:v>
      </x:c>
      <x:c r="AP609" s="12" t="str">
        <x:f>IF(AO609="ok","ready_for_codex_import","needs_review")</x:f>
        <x:v>ready_for_codex_import</x:v>
      </x:c>
      <x:c r="AQ609" s="12"/>
      <x:c r="AR609" s="12" t="str">
        <x:v>Added v2 operational fields. Review before classification activation.</x:v>
      </x:c>
    </x:row>
    <x:row r="610">
      <x:c r="A610" s="13" t="str">
        <x:v>risk_aversion_in_gains_default_or_status_quo_variant</x:v>
      </x:c>
      <x:c r="B610" s="13" t="str">
        <x:v>risk_aversion_in_gains</x:v>
      </x:c>
      <x:c r="C610" s="13" t="str">
        <x:v>Risk aversion in gains</x:v>
      </x:c>
      <x:c r="D610" s="13" t="str">
        <x:v>ریسک‌گریزی در چارچوب سود</x:v>
      </x:c>
      <x:c r="E610" s="13" t="str">
        <x:v>Default/status-quo variant</x:v>
      </x:c>
      <x:c r="F610" s="13" t="str">
        <x:v>decision_biases_behavioural_economics</x:v>
      </x:c>
      <x:c r="G610" s="13" t="str">
        <x:v>operational_variant</x:v>
      </x:c>
      <x:c r="H610" s="13" t="str">
        <x:v>contextual</x:v>
      </x:c>
      <x:c r="I610" s="13" t="str">
        <x:v>claim+context</x:v>
      </x:c>
      <x:c r="J610" s="13" t="str">
        <x:v>derived_operational_subtype</x:v>
      </x:c>
      <x:c r="K610" s="13" t="str">
        <x:v>derived_from_established_parent_review_required</x:v>
      </x:c>
      <x:c r="L610" s="13" t="str">
        <x:v>P3</x:v>
      </x:c>
      <x:c r="M610" s="13" t="str">
        <x:v>no</x:v>
      </x:c>
      <x:c r="N610" s="13" t="str">
        <x:v>Operational subtype under Risk aversion in gains: the default or current state is treated as preferable without reasons. Parent definition: Preferring sure gains over higher expected but risky gains.</x:v>
      </x:c>
      <x:c r="O610" s="13" t="str">
        <x:v>Look for: explicit claim-level evidence; parent-family cues for Risk aversion in gains; variant cue: the default or current state is treated as preferable without reasons; avoid author-level inference.</x:v>
      </x:c>
      <x:c r="P610" s="13" t="str">
        <x:v>Exact evidence span in text plus claim-level reasoning link; for contextual/discourse entries, require surrounding context.</x:v>
      </x:c>
      <x:c r="Q610" s="13" t="str">
        <x:v>Do not label merely because topic is controversial, emotional, or wrong. Do not judge intent or personality. Require textual evidence and consider healthy-reasoning cues.</x:v>
      </x:c>
      <x:c r="R610" s="13" t="str">
        <x:v>Stub: A claim relies on the default or current state is treated as preferable without reasons to support a conclusion without adequate qualification.</x:v>
      </x:c>
      <x:c r="S610" s="13" t="str">
        <x:v>Stub: A claim discusses risk aversion in gains with caveats, balanced evidence, or no argumentative use of the pattern.</x:v>
      </x:c>
      <x:c r="T610" s="13" t="str">
        <x:v>Mild or ambiguous cue; do not classify without clear evidence span.</x:v>
      </x:c>
      <x:c r="U610" s="13" t="str">
        <x:v>Clear claim-level pattern with some argumentative impact.</x:v>
      </x:c>
      <x:c r="V610" s="13" t="str">
        <x:v>Strong pattern central to the conclusion and likely to materially distort reasoning.</x:v>
      </x:c>
      <x:c r="W610" s="13" t="str"/>
      <x:c r="X610" s="13" t="str">
        <x:v>kahneman_tversky_prospect_1979</x:v>
      </x:c>
      <x:c r="Y610" s="13" t="str">
        <x:v>https://doi.org/10.2307/1914185</x:v>
      </x:c>
      <x:c r="Z610" s="13" t="str">
        <x:v>Review before enabling. This workbook is a living taxonomy scaffold, not a validated scientific benchmark.</x:v>
      </x:c>
      <x:c r="AA610" s="13" t="str">
        <x:v>0.1.0-draft</x:v>
      </x:c>
      <x:c r="AB610" s="12" t="str">
        <x:f>IF(ISNUMBER(SEARCH("healthy",F610)),"healthy_reasoning_patterns",IF(ISNUMBER(SEARCH("statistical",F610)),"statistical_reasoning",IF(ISNUMBER(SEARCH("causal",F610)),"causal_reasoning",IF(ISNUMBER(SEARCH("social",F610)),"social_influence",IF(ISNUMBER(SEARCH("rhetoric",F610)),"rhetoric_discourse",IF(ISNUMBER(SEARCH("behavior",F610)),"behavioural_economics",IF(ISNUMBER(SEARCH("cognitive",F610)),"cognitive_biases",IF(J610="protective_pattern","healthy_reasoning_patterns",IF(L610="P0","core_mvp","extended_fallacies")))))))))</x:f>
        <x:v>extended_fallacies</x:v>
      </x:c>
      <x:c r="AC610" s="12" t="str">
        <x:f>IF(ISNUMBER(SEARCH("operational",J610)),"operational",IF(ISNUMBER(SEARCH("deprecated",J610)),"deprecated",IF(L610="P0","canonical","recognized_subtype")))</x:f>
        <x:v>operational</x:v>
      </x:c>
      <x:c r="AD610" s="12" t="str">
        <x:f>IF(AC610="canonical","high",IF(AC610="recognized_subtype","medium",IF(AC610="operational","operational_only","debated")))</x:f>
        <x:v>operational_only</x:v>
      </x:c>
      <x:c r="AE610" s="12" t="str">
        <x:f>IF(AC610="deprecated","deprecated",IF(M610="yes","active",IF(M610="review","review_required","backlog")))</x:f>
        <x:v>backlog</x:v>
      </x:c>
      <x:c r="AF610" s="12" t="str">
        <x:f>IF(OR(AE610="active",AE610="review_required"),"yes","no")</x:f>
        <x:v>no</x:v>
      </x:c>
      <x:c r="AG610" s="12" t="str">
        <x:f>IF(AND(AE610="active",M610="yes",NOT(ISNUMBER(SEARCH("healthy",AB610)))),"yes","no")</x:f>
        <x:v>no</x:v>
      </x:c>
      <x:c r="AH610" s="12" t="str">
        <x:f>IF(OR(H610="contextual",H610="dialogue",H610="discourse",I610="claim+context",I610="discourse_segment"),"yes","no")</x:f>
        <x:v>yes</x:v>
      </x:c>
      <x:c r="AI610" s="12" t="str">
        <x:f>IF(OR(AH610="yes",AD610="debated",AC610="operational"),"yes","no")</x:f>
        <x:v>yes</x:v>
      </x:c>
      <x:c r="AJ610" s="12" t="str">
        <x:f>IF(OR(AH610="yes",AC610="operational",AD610="debated"),"high",IF(AND(AG610="yes",L610="P0"),"medium","low"))</x:f>
        <x:v>high</x:v>
      </x:c>
      <x:c r="AK610" s="12" t="str">
        <x:f>IF(ISNUMBER(SEARCH("healthy",AB610)),"yes","no")</x:f>
        <x:v>no</x:v>
      </x:c>
      <x:c r="AL610" s="12" t="str">
        <x:f>IF(AG610="yes","yes","candidate_only")</x:f>
        <x:v>candidate_only</x:v>
      </x:c>
      <x:c r="AM610" s="12" t="str">
        <x:f>IF(OR(AC610="canonical",AG610="yes"),"yes","recommended")</x:f>
        <x:v>recommended</x:v>
      </x:c>
      <x:c r="AN610" s="12" t="str">
        <x:f>IF(AC610="deprecated","exclude",IF(AND(AG610="yes",AJ610="high"),"import_but_human_review_required",IF(AG610="yes","import_as_active","import_as_backlog")))</x:f>
        <x:v>import_as_backlog</x:v>
      </x:c>
      <x:c r="AO610" s="12" t="str">
        <x:f>IF(AND(AG610="yes",OR(P610="",Q610="",R610="",S610="")),"missing_required_mvp_fields",IF(AND(AC610="canonical",Y610=""),"missing_source_ref","ok"))</x:f>
        <x:v>ok</x:v>
      </x:c>
      <x:c r="AP610" s="12" t="str">
        <x:f>IF(AO610="ok","ready_for_codex_import","needs_review")</x:f>
        <x:v>ready_for_codex_import</x:v>
      </x:c>
      <x:c r="AQ610" s="12"/>
      <x:c r="AR610" s="12" t="str">
        <x:v>Added v2 operational fields. Review before classification activation.</x:v>
      </x:c>
    </x:row>
    <x:row r="611">
      <x:c r="A611" s="13" t="str">
        <x:v>omission_bias_default_or_status_quo_variant</x:v>
      </x:c>
      <x:c r="B611" s="13" t="str">
        <x:v>omission_bias</x:v>
      </x:c>
      <x:c r="C611" s="13" t="str">
        <x:v>Omission bias</x:v>
      </x:c>
      <x:c r="D611" s="13" t="str">
        <x:v>سوگیری ترک فعل</x:v>
      </x:c>
      <x:c r="E611" s="13" t="str">
        <x:v>Default/status-quo variant</x:v>
      </x:c>
      <x:c r="F611" s="13" t="str">
        <x:v>decision_biases_behavioural_economics</x:v>
      </x:c>
      <x:c r="G611" s="13" t="str">
        <x:v>operational_variant</x:v>
      </x:c>
      <x:c r="H611" s="13" t="str">
        <x:v>contextual</x:v>
      </x:c>
      <x:c r="I611" s="13" t="str">
        <x:v>claim+context</x:v>
      </x:c>
      <x:c r="J611" s="13" t="str">
        <x:v>derived_operational_subtype</x:v>
      </x:c>
      <x:c r="K611" s="13" t="str">
        <x:v>derived_from_established_parent_review_required</x:v>
      </x:c>
      <x:c r="L611" s="13" t="str">
        <x:v>P3</x:v>
      </x:c>
      <x:c r="M611" s="13" t="str">
        <x:v>no</x:v>
      </x:c>
      <x:c r="N611" s="13" t="str">
        <x:v>Operational subtype under Omission bias: the default or current state is treated as preferable without reasons. Parent definition: Judging harmful inaction more leniently than harmful action.</x:v>
      </x:c>
      <x:c r="O611" s="13" t="str">
        <x:v>Look for: explicit claim-level evidence; parent-family cues for Omission bias; variant cue: the default or current state is treated as preferable without reasons; avoid author-level inference.</x:v>
      </x:c>
      <x:c r="P611" s="13" t="str">
        <x:v>Exact evidence span in text plus claim-level reasoning link; for contextual/discourse entries, require surrounding context.</x:v>
      </x:c>
      <x:c r="Q611" s="13" t="str">
        <x:v>Do not label merely because topic is controversial, emotional, or wrong. Do not judge intent or personality. Require textual evidence and consider healthy-reasoning cues.</x:v>
      </x:c>
      <x:c r="R611" s="13" t="str">
        <x:v>Stub: A claim relies on the default or current state is treated as preferable without reasons to support a conclusion without adequate qualification.</x:v>
      </x:c>
      <x:c r="S611" s="13" t="str">
        <x:v>Stub: A claim discusses omission bias with caveats, balanced evidence, or no argumentative use of the pattern.</x:v>
      </x:c>
      <x:c r="T611" s="13" t="str">
        <x:v>Mild or ambiguous cue; do not classify without clear evidence span.</x:v>
      </x:c>
      <x:c r="U611" s="13" t="str">
        <x:v>Clear claim-level pattern with some argumentative impact.</x:v>
      </x:c>
      <x:c r="V611" s="13" t="str">
        <x:v>Strong pattern central to the conclusion and likely to materially distort reasoning.</x:v>
      </x:c>
      <x:c r="W611" s="13" t="str"/>
      <x:c r="X611" s="13" t="str">
        <x:v>gilovich_heuristics_biases</x:v>
      </x:c>
      <x:c r="Y611" s="13" t="str">
        <x:v>https://www.cambridge.org/core/books/heuristics-and-biases/3C30D3B05D2F190C3B8BE5E2531EFD24</x:v>
      </x:c>
      <x:c r="Z611" s="13" t="str">
        <x:v>Review before enabling. This workbook is a living taxonomy scaffold, not a validated scientific benchmark.</x:v>
      </x:c>
      <x:c r="AA611" s="13" t="str">
        <x:v>0.1.0-draft</x:v>
      </x:c>
      <x:c r="AB611" s="12" t="str">
        <x:f>IF(ISNUMBER(SEARCH("healthy",F611)),"healthy_reasoning_patterns",IF(ISNUMBER(SEARCH("statistical",F611)),"statistical_reasoning",IF(ISNUMBER(SEARCH("causal",F611)),"causal_reasoning",IF(ISNUMBER(SEARCH("social",F611)),"social_influence",IF(ISNUMBER(SEARCH("rhetoric",F611)),"rhetoric_discourse",IF(ISNUMBER(SEARCH("behavior",F611)),"behavioural_economics",IF(ISNUMBER(SEARCH("cognitive",F611)),"cognitive_biases",IF(J611="protective_pattern","healthy_reasoning_patterns",IF(L611="P0","core_mvp","extended_fallacies")))))))))</x:f>
        <x:v>extended_fallacies</x:v>
      </x:c>
      <x:c r="AC611" s="12" t="str">
        <x:f>IF(ISNUMBER(SEARCH("operational",J611)),"operational",IF(ISNUMBER(SEARCH("deprecated",J611)),"deprecated",IF(L611="P0","canonical","recognized_subtype")))</x:f>
        <x:v>operational</x:v>
      </x:c>
      <x:c r="AD611" s="12" t="str">
        <x:f>IF(AC611="canonical","high",IF(AC611="recognized_subtype","medium",IF(AC611="operational","operational_only","debated")))</x:f>
        <x:v>operational_only</x:v>
      </x:c>
      <x:c r="AE611" s="12" t="str">
        <x:f>IF(AC611="deprecated","deprecated",IF(M611="yes","active",IF(M611="review","review_required","backlog")))</x:f>
        <x:v>backlog</x:v>
      </x:c>
      <x:c r="AF611" s="12" t="str">
        <x:f>IF(OR(AE611="active",AE611="review_required"),"yes","no")</x:f>
        <x:v>no</x:v>
      </x:c>
      <x:c r="AG611" s="12" t="str">
        <x:f>IF(AND(AE611="active",M611="yes",NOT(ISNUMBER(SEARCH("healthy",AB611)))),"yes","no")</x:f>
        <x:v>no</x:v>
      </x:c>
      <x:c r="AH611" s="12" t="str">
        <x:f>IF(OR(H611="contextual",H611="dialogue",H611="discourse",I611="claim+context",I611="discourse_segment"),"yes","no")</x:f>
        <x:v>yes</x:v>
      </x:c>
      <x:c r="AI611" s="12" t="str">
        <x:f>IF(OR(AH611="yes",AD611="debated",AC611="operational"),"yes","no")</x:f>
        <x:v>yes</x:v>
      </x:c>
      <x:c r="AJ611" s="12" t="str">
        <x:f>IF(OR(AH611="yes",AC611="operational",AD611="debated"),"high",IF(AND(AG611="yes",L611="P0"),"medium","low"))</x:f>
        <x:v>high</x:v>
      </x:c>
      <x:c r="AK611" s="12" t="str">
        <x:f>IF(ISNUMBER(SEARCH("healthy",AB611)),"yes","no")</x:f>
        <x:v>no</x:v>
      </x:c>
      <x:c r="AL611" s="12" t="str">
        <x:f>IF(AG611="yes","yes","candidate_only")</x:f>
        <x:v>candidate_only</x:v>
      </x:c>
      <x:c r="AM611" s="12" t="str">
        <x:f>IF(OR(AC611="canonical",AG611="yes"),"yes","recommended")</x:f>
        <x:v>recommended</x:v>
      </x:c>
      <x:c r="AN611" s="12" t="str">
        <x:f>IF(AC611="deprecated","exclude",IF(AND(AG611="yes",AJ611="high"),"import_but_human_review_required",IF(AG611="yes","import_as_active","import_as_backlog")))</x:f>
        <x:v>import_as_backlog</x:v>
      </x:c>
      <x:c r="AO611" s="12" t="str">
        <x:f>IF(AND(AG611="yes",OR(P611="",Q611="",R611="",S611="")),"missing_required_mvp_fields",IF(AND(AC611="canonical",Y611=""),"missing_source_ref","ok"))</x:f>
        <x:v>ok</x:v>
      </x:c>
      <x:c r="AP611" s="12" t="str">
        <x:f>IF(AO611="ok","ready_for_codex_import","needs_review")</x:f>
        <x:v>ready_for_codex_import</x:v>
      </x:c>
      <x:c r="AQ611" s="12"/>
      <x:c r="AR611" s="12" t="str">
        <x:v>Added v2 operational fields. Review before classification activation.</x:v>
      </x:c>
    </x:row>
    <x:row r="612">
      <x:c r="A612" s="13" t="str">
        <x:v>action_bias_default_or_status_quo_variant</x:v>
      </x:c>
      <x:c r="B612" s="13" t="str">
        <x:v>action_bias</x:v>
      </x:c>
      <x:c r="C612" s="13" t="str">
        <x:v>Action bias</x:v>
      </x:c>
      <x:c r="D612" s="13" t="str">
        <x:v>سوگیری اقدام</x:v>
      </x:c>
      <x:c r="E612" s="13" t="str">
        <x:v>Default/status-quo variant</x:v>
      </x:c>
      <x:c r="F612" s="13" t="str">
        <x:v>decision_biases_behavioural_economics</x:v>
      </x:c>
      <x:c r="G612" s="13" t="str">
        <x:v>operational_variant</x:v>
      </x:c>
      <x:c r="H612" s="13" t="str">
        <x:v>contextual</x:v>
      </x:c>
      <x:c r="I612" s="13" t="str">
        <x:v>claim+context</x:v>
      </x:c>
      <x:c r="J612" s="13" t="str">
        <x:v>derived_operational_subtype</x:v>
      </x:c>
      <x:c r="K612" s="13" t="str">
        <x:v>derived_from_established_parent_review_required</x:v>
      </x:c>
      <x:c r="L612" s="13" t="str">
        <x:v>P3</x:v>
      </x:c>
      <x:c r="M612" s="13" t="str">
        <x:v>no</x:v>
      </x:c>
      <x:c r="N612" s="13" t="str">
        <x:v>Operational subtype under Action bias: the default or current state is treated as preferable without reasons. Parent definition: Preferring action even when waiting or gathering evidence would be better.</x:v>
      </x:c>
      <x:c r="O612" s="13" t="str">
        <x:v>Look for: explicit claim-level evidence; parent-family cues for Action bias; variant cue: the default or current state is treated as preferable without reasons; avoid author-level inference.</x:v>
      </x:c>
      <x:c r="P612" s="13" t="str">
        <x:v>Exact evidence span in text plus claim-level reasoning link; for contextual/discourse entries, require surrounding context.</x:v>
      </x:c>
      <x:c r="Q612" s="13" t="str">
        <x:v>Do not label merely because topic is controversial, emotional, or wrong. Do not judge intent or personality. Require textual evidence and consider healthy-reasoning cues.</x:v>
      </x:c>
      <x:c r="R612" s="13" t="str">
        <x:v>Stub: A claim relies on the default or current state is treated as preferable without reasons to support a conclusion without adequate qualification.</x:v>
      </x:c>
      <x:c r="S612" s="13" t="str">
        <x:v>Stub: A claim discusses action bias with caveats, balanced evidence, or no argumentative use of the pattern.</x:v>
      </x:c>
      <x:c r="T612" s="13" t="str">
        <x:v>Mild or ambiguous cue; do not classify without clear evidence span.</x:v>
      </x:c>
      <x:c r="U612" s="13" t="str">
        <x:v>Clear claim-level pattern with some argumentative impact.</x:v>
      </x:c>
      <x:c r="V612" s="13" t="str">
        <x:v>Strong pattern central to the conclusion and likely to materially distort reasoning.</x:v>
      </x:c>
      <x:c r="W612" s="13" t="str">
        <x:v>cherry_picking; missing_counterevidence; evidence_grading</x:v>
      </x:c>
      <x:c r="X612" s="13" t="str">
        <x:v>gilovich_heuristics_biases</x:v>
      </x:c>
      <x:c r="Y612" s="13" t="str">
        <x:v>https://www.cambridge.org/core/books/heuristics-and-biases/3C30D3B05D2F190C3B8BE5E2531EFD24</x:v>
      </x:c>
      <x:c r="Z612" s="13" t="str">
        <x:v>Review before enabling. This workbook is a living taxonomy scaffold, not a validated scientific benchmark.</x:v>
      </x:c>
      <x:c r="AA612" s="13" t="str">
        <x:v>0.1.0-draft</x:v>
      </x:c>
      <x:c r="AB612" s="12" t="str">
        <x:f>IF(ISNUMBER(SEARCH("healthy",F612)),"healthy_reasoning_patterns",IF(ISNUMBER(SEARCH("statistical",F612)),"statistical_reasoning",IF(ISNUMBER(SEARCH("causal",F612)),"causal_reasoning",IF(ISNUMBER(SEARCH("social",F612)),"social_influence",IF(ISNUMBER(SEARCH("rhetoric",F612)),"rhetoric_discourse",IF(ISNUMBER(SEARCH("behavior",F612)),"behavioural_economics",IF(ISNUMBER(SEARCH("cognitive",F612)),"cognitive_biases",IF(J612="protective_pattern","healthy_reasoning_patterns",IF(L612="P0","core_mvp","extended_fallacies")))))))))</x:f>
        <x:v>extended_fallacies</x:v>
      </x:c>
      <x:c r="AC612" s="12" t="str">
        <x:f>IF(ISNUMBER(SEARCH("operational",J612)),"operational",IF(ISNUMBER(SEARCH("deprecated",J612)),"deprecated",IF(L612="P0","canonical","recognized_subtype")))</x:f>
        <x:v>operational</x:v>
      </x:c>
      <x:c r="AD612" s="12" t="str">
        <x:f>IF(AC612="canonical","high",IF(AC612="recognized_subtype","medium",IF(AC612="operational","operational_only","debated")))</x:f>
        <x:v>operational_only</x:v>
      </x:c>
      <x:c r="AE612" s="12" t="str">
        <x:f>IF(AC612="deprecated","deprecated",IF(M612="yes","active",IF(M612="review","review_required","backlog")))</x:f>
        <x:v>backlog</x:v>
      </x:c>
      <x:c r="AF612" s="12" t="str">
        <x:f>IF(OR(AE612="active",AE612="review_required"),"yes","no")</x:f>
        <x:v>no</x:v>
      </x:c>
      <x:c r="AG612" s="12" t="str">
        <x:f>IF(AND(AE612="active",M612="yes",NOT(ISNUMBER(SEARCH("healthy",AB612)))),"yes","no")</x:f>
        <x:v>no</x:v>
      </x:c>
      <x:c r="AH612" s="12" t="str">
        <x:f>IF(OR(H612="contextual",H612="dialogue",H612="discourse",I612="claim+context",I612="discourse_segment"),"yes","no")</x:f>
        <x:v>yes</x:v>
      </x:c>
      <x:c r="AI612" s="12" t="str">
        <x:f>IF(OR(AH612="yes",AD612="debated",AC612="operational"),"yes","no")</x:f>
        <x:v>yes</x:v>
      </x:c>
      <x:c r="AJ612" s="12" t="str">
        <x:f>IF(OR(AH612="yes",AC612="operational",AD612="debated"),"high",IF(AND(AG612="yes",L612="P0"),"medium","low"))</x:f>
        <x:v>high</x:v>
      </x:c>
      <x:c r="AK612" s="12" t="str">
        <x:f>IF(ISNUMBER(SEARCH("healthy",AB612)),"yes","no")</x:f>
        <x:v>no</x:v>
      </x:c>
      <x:c r="AL612" s="12" t="str">
        <x:f>IF(AG612="yes","yes","candidate_only")</x:f>
        <x:v>candidate_only</x:v>
      </x:c>
      <x:c r="AM612" s="12" t="str">
        <x:f>IF(OR(AC612="canonical",AG612="yes"),"yes","recommended")</x:f>
        <x:v>recommended</x:v>
      </x:c>
      <x:c r="AN612" s="12" t="str">
        <x:f>IF(AC612="deprecated","exclude",IF(AND(AG612="yes",AJ612="high"),"import_but_human_review_required",IF(AG612="yes","import_as_active","import_as_backlog")))</x:f>
        <x:v>import_as_backlog</x:v>
      </x:c>
      <x:c r="AO612" s="12" t="str">
        <x:f>IF(AND(AG612="yes",OR(P612="",Q612="",R612="",S612="")),"missing_required_mvp_fields",IF(AND(AC612="canonical",Y612=""),"missing_source_ref","ok"))</x:f>
        <x:v>ok</x:v>
      </x:c>
      <x:c r="AP612" s="12" t="str">
        <x:f>IF(AO612="ok","ready_for_codex_import","needs_review")</x:f>
        <x:v>ready_for_codex_import</x:v>
      </x:c>
      <x:c r="AQ612" s="12"/>
      <x:c r="AR612" s="12" t="str">
        <x:v>Added v2 operational fields. Review before classification activation.</x:v>
      </x:c>
    </x:row>
    <x:row r="613">
      <x:c r="A613" s="13" t="str">
        <x:v>time_inconsistency_default_or_status_quo_variant</x:v>
      </x:c>
      <x:c r="B613" s="13" t="str">
        <x:v>time_inconsistency</x:v>
      </x:c>
      <x:c r="C613" s="13" t="str">
        <x:v>Time inconsistency</x:v>
      </x:c>
      <x:c r="D613" s="13" t="str">
        <x:v>ناسازگاری زمانی ترجیح</x:v>
      </x:c>
      <x:c r="E613" s="13" t="str">
        <x:v>Default/status-quo variant</x:v>
      </x:c>
      <x:c r="F613" s="13" t="str">
        <x:v>decision_biases_behavioural_economics</x:v>
      </x:c>
      <x:c r="G613" s="13" t="str">
        <x:v>operational_variant</x:v>
      </x:c>
      <x:c r="H613" s="13" t="str">
        <x:v>contextual</x:v>
      </x:c>
      <x:c r="I613" s="13" t="str">
        <x:v>claim+context</x:v>
      </x:c>
      <x:c r="J613" s="13" t="str">
        <x:v>derived_operational_subtype</x:v>
      </x:c>
      <x:c r="K613" s="13" t="str">
        <x:v>derived_from_established_parent_review_required</x:v>
      </x:c>
      <x:c r="L613" s="13" t="str">
        <x:v>P3</x:v>
      </x:c>
      <x:c r="M613" s="13" t="str">
        <x:v>no</x:v>
      </x:c>
      <x:c r="N613" s="13" t="str">
        <x:v>Operational subtype under Time inconsistency: the default or current state is treated as preferable without reasons. Parent definition: Preferences change over time in ways that undermine prior plans.</x:v>
      </x:c>
      <x:c r="O613" s="13" t="str">
        <x:v>Look for: explicit claim-level evidence; parent-family cues for Time inconsistency; variant cue: the default or current state is treated as preferable without reasons; avoid author-level inference.</x:v>
      </x:c>
      <x:c r="P613" s="13" t="str">
        <x:v>Exact evidence span in text plus claim-level reasoning link; for contextual/discourse entries, require surrounding context.</x:v>
      </x:c>
      <x:c r="Q613" s="13" t="str">
        <x:v>Do not label merely because topic is controversial, emotional, or wrong. Do not judge intent or personality. Require textual evidence and consider healthy-reasoning cues.</x:v>
      </x:c>
      <x:c r="R613" s="13" t="str">
        <x:v>Stub: A claim relies on the default or current state is treated as preferable without reasons to support a conclusion without adequate qualification.</x:v>
      </x:c>
      <x:c r="S613" s="13" t="str">
        <x:v>Stub: A claim discusses time inconsistency with caveats, balanced evidence, or no argumentative use of the pattern.</x:v>
      </x:c>
      <x:c r="T613" s="13" t="str">
        <x:v>Mild or ambiguous cue; do not classify without clear evidence span.</x:v>
      </x:c>
      <x:c r="U613" s="13" t="str">
        <x:v>Clear claim-level pattern with some argumentative impact.</x:v>
      </x:c>
      <x:c r="V613" s="13" t="str">
        <x:v>Strong pattern central to the conclusion and likely to materially distort reasoning.</x:v>
      </x:c>
      <x:c r="W613" s="13" t="str"/>
      <x:c r="X613" s="13" t="str">
        <x:v>thaler_sunstein_nudge</x:v>
      </x:c>
      <x:c r="Y613" s="13" t="str">
        <x:v>https://yalebooks.yale.edu/book/9780300262285/nudge/</x:v>
      </x:c>
      <x:c r="Z613" s="13" t="str">
        <x:v>Review before enabling. This workbook is a living taxonomy scaffold, not a validated scientific benchmark.</x:v>
      </x:c>
      <x:c r="AA613" s="13" t="str">
        <x:v>0.1.0-draft</x:v>
      </x:c>
      <x:c r="AB613" s="12" t="str">
        <x:f>IF(ISNUMBER(SEARCH("healthy",F613)),"healthy_reasoning_patterns",IF(ISNUMBER(SEARCH("statistical",F613)),"statistical_reasoning",IF(ISNUMBER(SEARCH("causal",F613)),"causal_reasoning",IF(ISNUMBER(SEARCH("social",F613)),"social_influence",IF(ISNUMBER(SEARCH("rhetoric",F613)),"rhetoric_discourse",IF(ISNUMBER(SEARCH("behavior",F613)),"behavioural_economics",IF(ISNUMBER(SEARCH("cognitive",F613)),"cognitive_biases",IF(J613="protective_pattern","healthy_reasoning_patterns",IF(L613="P0","core_mvp","extended_fallacies")))))))))</x:f>
        <x:v>extended_fallacies</x:v>
      </x:c>
      <x:c r="AC613" s="12" t="str">
        <x:f>IF(ISNUMBER(SEARCH("operational",J613)),"operational",IF(ISNUMBER(SEARCH("deprecated",J613)),"deprecated",IF(L613="P0","canonical","recognized_subtype")))</x:f>
        <x:v>operational</x:v>
      </x:c>
      <x:c r="AD613" s="12" t="str">
        <x:f>IF(AC613="canonical","high",IF(AC613="recognized_subtype","medium",IF(AC613="operational","operational_only","debated")))</x:f>
        <x:v>operational_only</x:v>
      </x:c>
      <x:c r="AE613" s="12" t="str">
        <x:f>IF(AC613="deprecated","deprecated",IF(M613="yes","active",IF(M613="review","review_required","backlog")))</x:f>
        <x:v>backlog</x:v>
      </x:c>
      <x:c r="AF613" s="12" t="str">
        <x:f>IF(OR(AE613="active",AE613="review_required"),"yes","no")</x:f>
        <x:v>no</x:v>
      </x:c>
      <x:c r="AG613" s="12" t="str">
        <x:f>IF(AND(AE613="active",M613="yes",NOT(ISNUMBER(SEARCH("healthy",AB613)))),"yes","no")</x:f>
        <x:v>no</x:v>
      </x:c>
      <x:c r="AH613" s="12" t="str">
        <x:f>IF(OR(H613="contextual",H613="dialogue",H613="discourse",I613="claim+context",I613="discourse_segment"),"yes","no")</x:f>
        <x:v>yes</x:v>
      </x:c>
      <x:c r="AI613" s="12" t="str">
        <x:f>IF(OR(AH613="yes",AD613="debated",AC613="operational"),"yes","no")</x:f>
        <x:v>yes</x:v>
      </x:c>
      <x:c r="AJ613" s="12" t="str">
        <x:f>IF(OR(AH613="yes",AC613="operational",AD613="debated"),"high",IF(AND(AG613="yes",L613="P0"),"medium","low"))</x:f>
        <x:v>high</x:v>
      </x:c>
      <x:c r="AK613" s="12" t="str">
        <x:f>IF(ISNUMBER(SEARCH("healthy",AB613)),"yes","no")</x:f>
        <x:v>no</x:v>
      </x:c>
      <x:c r="AL613" s="12" t="str">
        <x:f>IF(AG613="yes","yes","candidate_only")</x:f>
        <x:v>candidate_only</x:v>
      </x:c>
      <x:c r="AM613" s="12" t="str">
        <x:f>IF(OR(AC613="canonical",AG613="yes"),"yes","recommended")</x:f>
        <x:v>recommended</x:v>
      </x:c>
      <x:c r="AN613" s="12" t="str">
        <x:f>IF(AC613="deprecated","exclude",IF(AND(AG613="yes",AJ613="high"),"import_but_human_review_required",IF(AG613="yes","import_as_active","import_as_backlog")))</x:f>
        <x:v>import_as_backlog</x:v>
      </x:c>
      <x:c r="AO613" s="12" t="str">
        <x:f>IF(AND(AG613="yes",OR(P613="",Q613="",R613="",S613="")),"missing_required_mvp_fields",IF(AND(AC613="canonical",Y613=""),"missing_source_ref","ok"))</x:f>
        <x:v>ok</x:v>
      </x:c>
      <x:c r="AP613" s="12" t="str">
        <x:f>IF(AO613="ok","ready_for_codex_import","needs_review")</x:f>
        <x:v>ready_for_codex_import</x:v>
      </x:c>
      <x:c r="AQ613" s="12"/>
      <x:c r="AR613" s="12" t="str">
        <x:v>Added v2 operational fields. Review before classification activation.</x:v>
      </x:c>
    </x:row>
    <x:row r="614">
      <x:c r="A614" s="13" t="str">
        <x:v>commitment_escalation_default_or_status_quo_variant</x:v>
      </x:c>
      <x:c r="B614" s="13" t="str">
        <x:v>commitment_escalation</x:v>
      </x:c>
      <x:c r="C614" s="13" t="str">
        <x:v>Escalation of commitment</x:v>
      </x:c>
      <x:c r="D614" s="13" t="str">
        <x:v>افزایش تعهد به تصمیم قبلی</x:v>
      </x:c>
      <x:c r="E614" s="13" t="str">
        <x:v>Default/status-quo variant</x:v>
      </x:c>
      <x:c r="F614" s="13" t="str">
        <x:v>decision_biases_behavioural_economics</x:v>
      </x:c>
      <x:c r="G614" s="13" t="str">
        <x:v>operational_variant</x:v>
      </x:c>
      <x:c r="H614" s="13" t="str">
        <x:v>contextual</x:v>
      </x:c>
      <x:c r="I614" s="13" t="str">
        <x:v>claim+context</x:v>
      </x:c>
      <x:c r="J614" s="13" t="str">
        <x:v>derived_operational_subtype</x:v>
      </x:c>
      <x:c r="K614" s="13" t="str">
        <x:v>derived_from_established_parent_review_required</x:v>
      </x:c>
      <x:c r="L614" s="13" t="str">
        <x:v>P3</x:v>
      </x:c>
      <x:c r="M614" s="13" t="str">
        <x:v>no</x:v>
      </x:c>
      <x:c r="N614" s="13" t="str">
        <x:v>Operational subtype under Escalation of commitment: the default or current state is treated as preferable without reasons. Parent definition: Increasing commitment to a failing course of action.</x:v>
      </x:c>
      <x:c r="O614" s="13" t="str">
        <x:v>Look for: explicit claim-level evidence; parent-family cues for Escalation of commitment; variant cue: the default or current state is treated as preferable without reasons; avoid author-level inference.</x:v>
      </x:c>
      <x:c r="P614" s="13" t="str">
        <x:v>Exact evidence span in text plus claim-level reasoning link; for contextual/discourse entries, require surrounding context.</x:v>
      </x:c>
      <x:c r="Q614" s="13" t="str">
        <x:v>Do not label merely because topic is controversial, emotional, or wrong. Do not judge intent or personality. Require textual evidence and consider healthy-reasoning cues.</x:v>
      </x:c>
      <x:c r="R614" s="13" t="str">
        <x:v>Stub: A claim relies on the default or current state is treated as preferable without reasons to support a conclusion without adequate qualification.</x:v>
      </x:c>
      <x:c r="S614" s="13" t="str">
        <x:v>Stub: A claim discusses escalation of commitment with caveats, balanced evidence, or no argumentative use of the pattern.</x:v>
      </x:c>
      <x:c r="T614" s="13" t="str">
        <x:v>Mild or ambiguous cue; do not classify without clear evidence span.</x:v>
      </x:c>
      <x:c r="U614" s="13" t="str">
        <x:v>Clear claim-level pattern with some argumentative impact.</x:v>
      </x:c>
      <x:c r="V614" s="13" t="str">
        <x:v>Strong pattern central to the conclusion and likely to materially distort reasoning.</x:v>
      </x:c>
      <x:c r="W614" s="13" t="str"/>
      <x:c r="X614" s="13" t="str">
        <x:v>thaler_sunstein_nudge</x:v>
      </x:c>
      <x:c r="Y614" s="13" t="str">
        <x:v>https://yalebooks.yale.edu/book/9780300262285/nudge/</x:v>
      </x:c>
      <x:c r="Z614" s="13" t="str">
        <x:v>Review before enabling. This workbook is a living taxonomy scaffold, not a validated scientific benchmark.</x:v>
      </x:c>
      <x:c r="AA614" s="13" t="str">
        <x:v>0.1.0-draft</x:v>
      </x:c>
      <x:c r="AB614" s="12" t="str">
        <x:f>IF(ISNUMBER(SEARCH("healthy",F614)),"healthy_reasoning_patterns",IF(ISNUMBER(SEARCH("statistical",F614)),"statistical_reasoning",IF(ISNUMBER(SEARCH("causal",F614)),"causal_reasoning",IF(ISNUMBER(SEARCH("social",F614)),"social_influence",IF(ISNUMBER(SEARCH("rhetoric",F614)),"rhetoric_discourse",IF(ISNUMBER(SEARCH("behavior",F614)),"behavioural_economics",IF(ISNUMBER(SEARCH("cognitive",F614)),"cognitive_biases",IF(J614="protective_pattern","healthy_reasoning_patterns",IF(L614="P0","core_mvp","extended_fallacies")))))))))</x:f>
        <x:v>extended_fallacies</x:v>
      </x:c>
      <x:c r="AC614" s="12" t="str">
        <x:f>IF(ISNUMBER(SEARCH("operational",J614)),"operational",IF(ISNUMBER(SEARCH("deprecated",J614)),"deprecated",IF(L614="P0","canonical","recognized_subtype")))</x:f>
        <x:v>operational</x:v>
      </x:c>
      <x:c r="AD614" s="12" t="str">
        <x:f>IF(AC614="canonical","high",IF(AC614="recognized_subtype","medium",IF(AC614="operational","operational_only","debated")))</x:f>
        <x:v>operational_only</x:v>
      </x:c>
      <x:c r="AE614" s="12" t="str">
        <x:f>IF(AC614="deprecated","deprecated",IF(M614="yes","active",IF(M614="review","review_required","backlog")))</x:f>
        <x:v>backlog</x:v>
      </x:c>
      <x:c r="AF614" s="12" t="str">
        <x:f>IF(OR(AE614="active",AE614="review_required"),"yes","no")</x:f>
        <x:v>no</x:v>
      </x:c>
      <x:c r="AG614" s="12" t="str">
        <x:f>IF(AND(AE614="active",M614="yes",NOT(ISNUMBER(SEARCH("healthy",AB614)))),"yes","no")</x:f>
        <x:v>no</x:v>
      </x:c>
      <x:c r="AH614" s="12" t="str">
        <x:f>IF(OR(H614="contextual",H614="dialogue",H614="discourse",I614="claim+context",I614="discourse_segment"),"yes","no")</x:f>
        <x:v>yes</x:v>
      </x:c>
      <x:c r="AI614" s="12" t="str">
        <x:f>IF(OR(AH614="yes",AD614="debated",AC614="operational"),"yes","no")</x:f>
        <x:v>yes</x:v>
      </x:c>
      <x:c r="AJ614" s="12" t="str">
        <x:f>IF(OR(AH614="yes",AC614="operational",AD614="debated"),"high",IF(AND(AG614="yes",L614="P0"),"medium","low"))</x:f>
        <x:v>high</x:v>
      </x:c>
      <x:c r="AK614" s="12" t="str">
        <x:f>IF(ISNUMBER(SEARCH("healthy",AB614)),"yes","no")</x:f>
        <x:v>no</x:v>
      </x:c>
      <x:c r="AL614" s="12" t="str">
        <x:f>IF(AG614="yes","yes","candidate_only")</x:f>
        <x:v>candidate_only</x:v>
      </x:c>
      <x:c r="AM614" s="12" t="str">
        <x:f>IF(OR(AC614="canonical",AG614="yes"),"yes","recommended")</x:f>
        <x:v>recommended</x:v>
      </x:c>
      <x:c r="AN614" s="12" t="str">
        <x:f>IF(AC614="deprecated","exclude",IF(AND(AG614="yes",AJ614="high"),"import_but_human_review_required",IF(AG614="yes","import_as_active","import_as_backlog")))</x:f>
        <x:v>import_as_backlog</x:v>
      </x:c>
      <x:c r="AO614" s="12" t="str">
        <x:f>IF(AND(AG614="yes",OR(P614="",Q614="",R614="",S614="")),"missing_required_mvp_fields",IF(AND(AC614="canonical",Y614=""),"missing_source_ref","ok"))</x:f>
        <x:v>ok</x:v>
      </x:c>
      <x:c r="AP614" s="12" t="str">
        <x:f>IF(AO614="ok","ready_for_codex_import","needs_review")</x:f>
        <x:v>ready_for_codex_import</x:v>
      </x:c>
      <x:c r="AQ614" s="12"/>
      <x:c r="AR614" s="12" t="str">
        <x:v>Added v2 operational fields. Review before classification activation.</x:v>
      </x:c>
    </x:row>
    <x:row r="615">
      <x:c r="A615" s="13" t="str">
        <x:v>disposition_effect_default_or_status_quo_variant</x:v>
      </x:c>
      <x:c r="B615" s="13" t="str">
        <x:v>disposition_effect</x:v>
      </x:c>
      <x:c r="C615" s="13" t="str">
        <x:v>Disposition effect</x:v>
      </x:c>
      <x:c r="D615" s="13" t="str">
        <x:v>اثر تمایل به نگهداری بازنده</x:v>
      </x:c>
      <x:c r="E615" s="13" t="str">
        <x:v>Default/status-quo variant</x:v>
      </x:c>
      <x:c r="F615" s="13" t="str">
        <x:v>decision_biases_behavioural_economics</x:v>
      </x:c>
      <x:c r="G615" s="13" t="str">
        <x:v>operational_variant</x:v>
      </x:c>
      <x:c r="H615" s="13" t="str">
        <x:v>contextual</x:v>
      </x:c>
      <x:c r="I615" s="13" t="str">
        <x:v>claim+context</x:v>
      </x:c>
      <x:c r="J615" s="13" t="str">
        <x:v>derived_operational_subtype</x:v>
      </x:c>
      <x:c r="K615" s="13" t="str">
        <x:v>derived_from_established_parent_review_required</x:v>
      </x:c>
      <x:c r="L615" s="13" t="str">
        <x:v>P3</x:v>
      </x:c>
      <x:c r="M615" s="13" t="str">
        <x:v>no</x:v>
      </x:c>
      <x:c r="N615" s="13" t="str">
        <x:v>Operational subtype under Disposition effect: the default or current state is treated as preferable without reasons. Parent definition: Selling gains too quickly and holding losses too long.</x:v>
      </x:c>
      <x:c r="O615" s="13" t="str">
        <x:v>Look for: explicit claim-level evidence; parent-family cues for Disposition effect; variant cue: the default or current state is treated as preferable without reasons; avoid author-level inference.</x:v>
      </x:c>
      <x:c r="P615" s="13" t="str">
        <x:v>Exact evidence span in text plus claim-level reasoning link; for contextual/discourse entries, require surrounding context.</x:v>
      </x:c>
      <x:c r="Q615" s="13" t="str">
        <x:v>Do not label merely because topic is controversial, emotional, or wrong. Do not judge intent or personality. Require textual evidence and consider healthy-reasoning cues.</x:v>
      </x:c>
      <x:c r="R615" s="13" t="str">
        <x:v>Stub: A claim relies on the default or current state is treated as preferable without reasons to support a conclusion without adequate qualification.</x:v>
      </x:c>
      <x:c r="S615" s="13" t="str">
        <x:v>Stub: A claim discusses disposition effect with caveats, balanced evidence, or no argumentative use of the pattern.</x:v>
      </x:c>
      <x:c r="T615" s="13" t="str">
        <x:v>Mild or ambiguous cue; do not classify without clear evidence span.</x:v>
      </x:c>
      <x:c r="U615" s="13" t="str">
        <x:v>Clear claim-level pattern with some argumentative impact.</x:v>
      </x:c>
      <x:c r="V615" s="13" t="str">
        <x:v>Strong pattern central to the conclusion and likely to materially distort reasoning.</x:v>
      </x:c>
      <x:c r="W615" s="13" t="str"/>
      <x:c r="X615" s="13" t="str">
        <x:v>kahneman_tversky_prospect_1979</x:v>
      </x:c>
      <x:c r="Y615" s="13" t="str">
        <x:v>https://doi.org/10.2307/1914185</x:v>
      </x:c>
      <x:c r="Z615" s="13" t="str">
        <x:v>Review before enabling. This workbook is a living taxonomy scaffold, not a validated scientific benchmark.</x:v>
      </x:c>
      <x:c r="AA615" s="13" t="str">
        <x:v>0.1.0-draft</x:v>
      </x:c>
      <x:c r="AB615" s="12" t="str">
        <x:f>IF(ISNUMBER(SEARCH("healthy",F615)),"healthy_reasoning_patterns",IF(ISNUMBER(SEARCH("statistical",F615)),"statistical_reasoning",IF(ISNUMBER(SEARCH("causal",F615)),"causal_reasoning",IF(ISNUMBER(SEARCH("social",F615)),"social_influence",IF(ISNUMBER(SEARCH("rhetoric",F615)),"rhetoric_discourse",IF(ISNUMBER(SEARCH("behavior",F615)),"behavioural_economics",IF(ISNUMBER(SEARCH("cognitive",F615)),"cognitive_biases",IF(J615="protective_pattern","healthy_reasoning_patterns",IF(L615="P0","core_mvp","extended_fallacies")))))))))</x:f>
        <x:v>extended_fallacies</x:v>
      </x:c>
      <x:c r="AC615" s="12" t="str">
        <x:f>IF(ISNUMBER(SEARCH("operational",J615)),"operational",IF(ISNUMBER(SEARCH("deprecated",J615)),"deprecated",IF(L615="P0","canonical","recognized_subtype")))</x:f>
        <x:v>operational</x:v>
      </x:c>
      <x:c r="AD615" s="12" t="str">
        <x:f>IF(AC615="canonical","high",IF(AC615="recognized_subtype","medium",IF(AC615="operational","operational_only","debated")))</x:f>
        <x:v>operational_only</x:v>
      </x:c>
      <x:c r="AE615" s="12" t="str">
        <x:f>IF(AC615="deprecated","deprecated",IF(M615="yes","active",IF(M615="review","review_required","backlog")))</x:f>
        <x:v>backlog</x:v>
      </x:c>
      <x:c r="AF615" s="12" t="str">
        <x:f>IF(OR(AE615="active",AE615="review_required"),"yes","no")</x:f>
        <x:v>no</x:v>
      </x:c>
      <x:c r="AG615" s="12" t="str">
        <x:f>IF(AND(AE615="active",M615="yes",NOT(ISNUMBER(SEARCH("healthy",AB615)))),"yes","no")</x:f>
        <x:v>no</x:v>
      </x:c>
      <x:c r="AH615" s="12" t="str">
        <x:f>IF(OR(H615="contextual",H615="dialogue",H615="discourse",I615="claim+context",I615="discourse_segment"),"yes","no")</x:f>
        <x:v>yes</x:v>
      </x:c>
      <x:c r="AI615" s="12" t="str">
        <x:f>IF(OR(AH615="yes",AD615="debated",AC615="operational"),"yes","no")</x:f>
        <x:v>yes</x:v>
      </x:c>
      <x:c r="AJ615" s="12" t="str">
        <x:f>IF(OR(AH615="yes",AC615="operational",AD615="debated"),"high",IF(AND(AG615="yes",L615="P0"),"medium","low"))</x:f>
        <x:v>high</x:v>
      </x:c>
      <x:c r="AK615" s="12" t="str">
        <x:f>IF(ISNUMBER(SEARCH("healthy",AB615)),"yes","no")</x:f>
        <x:v>no</x:v>
      </x:c>
      <x:c r="AL615" s="12" t="str">
        <x:f>IF(AG615="yes","yes","candidate_only")</x:f>
        <x:v>candidate_only</x:v>
      </x:c>
      <x:c r="AM615" s="12" t="str">
        <x:f>IF(OR(AC615="canonical",AG615="yes"),"yes","recommended")</x:f>
        <x:v>recommended</x:v>
      </x:c>
      <x:c r="AN615" s="12" t="str">
        <x:f>IF(AC615="deprecated","exclude",IF(AND(AG615="yes",AJ615="high"),"import_but_human_review_required",IF(AG615="yes","import_as_active","import_as_backlog")))</x:f>
        <x:v>import_as_backlog</x:v>
      </x:c>
      <x:c r="AO615" s="12" t="str">
        <x:f>IF(AND(AG615="yes",OR(P615="",Q615="",R615="",S615="")),"missing_required_mvp_fields",IF(AND(AC615="canonical",Y615=""),"missing_source_ref","ok"))</x:f>
        <x:v>ok</x:v>
      </x:c>
      <x:c r="AP615" s="12" t="str">
        <x:f>IF(AO615="ok","ready_for_codex_import","needs_review")</x:f>
        <x:v>ready_for_codex_import</x:v>
      </x:c>
      <x:c r="AQ615" s="12"/>
      <x:c r="AR615" s="12" t="str">
        <x:v>Added v2 operational fields. Review before classification activation.</x:v>
      </x:c>
    </x:row>
    <x:row r="616">
      <x:c r="A616" s="13" t="str">
        <x:v>availability_in_decision_default_or_status_quo_variant</x:v>
      </x:c>
      <x:c r="B616" s="13" t="str">
        <x:v>availability_in_decision</x:v>
      </x:c>
      <x:c r="C616" s="13" t="str">
        <x:v>Availability in decision-making</x:v>
      </x:c>
      <x:c r="D616" s="13" t="str">
        <x:v>دسترسی‌پذیری در تصمیم</x:v>
      </x:c>
      <x:c r="E616" s="13" t="str">
        <x:v>Default/status-quo variant</x:v>
      </x:c>
      <x:c r="F616" s="13" t="str">
        <x:v>decision_biases_behavioural_economics</x:v>
      </x:c>
      <x:c r="G616" s="13" t="str">
        <x:v>operational_variant</x:v>
      </x:c>
      <x:c r="H616" s="13" t="str">
        <x:v>contextual</x:v>
      </x:c>
      <x:c r="I616" s="13" t="str">
        <x:v>claim+context</x:v>
      </x:c>
      <x:c r="J616" s="13" t="str">
        <x:v>derived_operational_subtype</x:v>
      </x:c>
      <x:c r="K616" s="13" t="str">
        <x:v>derived_from_established_parent_review_required</x:v>
      </x:c>
      <x:c r="L616" s="13" t="str">
        <x:v>P3</x:v>
      </x:c>
      <x:c r="M616" s="13" t="str">
        <x:v>no</x:v>
      </x:c>
      <x:c r="N616" s="13" t="str">
        <x:v>Operational subtype under Availability in decision-making: the default or current state is treated as preferable without reasons. Parent definition: Choosing based on memorable cases rather than representative evidence.</x:v>
      </x:c>
      <x:c r="O616" s="13" t="str">
        <x:v>Look for: explicit claim-level evidence; parent-family cues for Availability in decision-making; variant cue: the default or current state is treated as preferable without reasons; avoid author-level inference.</x:v>
      </x:c>
      <x:c r="P616" s="13" t="str">
        <x:v>Exact evidence span in text plus claim-level reasoning link; for contextual/discourse entries, require surrounding context.</x:v>
      </x:c>
      <x:c r="Q616" s="13" t="str">
        <x:v>Do not label merely because topic is controversial, emotional, or wrong. Do not judge intent or personality. Require textual evidence and consider healthy-reasoning cues.</x:v>
      </x:c>
      <x:c r="R616" s="13" t="str">
        <x:v>Stub: A claim relies on the default or current state is treated as preferable without reasons to support a conclusion without adequate qualification.</x:v>
      </x:c>
      <x:c r="S616" s="13" t="str">
        <x:v>Stub: A claim discusses availability in decision-making with caveats, balanced evidence, or no argumentative use of the pattern.</x:v>
      </x:c>
      <x:c r="T616" s="13" t="str">
        <x:v>Mild or ambiguous cue; do not classify without clear evidence span.</x:v>
      </x:c>
      <x:c r="U616" s="13" t="str">
        <x:v>Clear claim-level pattern with some argumentative impact.</x:v>
      </x:c>
      <x:c r="V616" s="13" t="str">
        <x:v>Strong pattern central to the conclusion and likely to materially distort reasoning.</x:v>
      </x:c>
      <x:c r="W616" s="13" t="str">
        <x:v>cherry_picking; missing_counterevidence; evidence_grading</x:v>
      </x:c>
      <x:c r="X616" s="13" t="str">
        <x:v>kahneman_tversky_heuristics_1974</x:v>
      </x:c>
      <x:c r="Y616" s="13" t="str">
        <x:v>https://doi.org/10.1126/science.185.4157.1124</x:v>
      </x:c>
      <x:c r="Z616" s="13" t="str">
        <x:v>Review before enabling. This workbook is a living taxonomy scaffold, not a validated scientific benchmark.</x:v>
      </x:c>
      <x:c r="AA616" s="13" t="str">
        <x:v>0.1.0-draft</x:v>
      </x:c>
      <x:c r="AB616" s="12" t="str">
        <x:f>IF(ISNUMBER(SEARCH("healthy",F616)),"healthy_reasoning_patterns",IF(ISNUMBER(SEARCH("statistical",F616)),"statistical_reasoning",IF(ISNUMBER(SEARCH("causal",F616)),"causal_reasoning",IF(ISNUMBER(SEARCH("social",F616)),"social_influence",IF(ISNUMBER(SEARCH("rhetoric",F616)),"rhetoric_discourse",IF(ISNUMBER(SEARCH("behavior",F616)),"behavioural_economics",IF(ISNUMBER(SEARCH("cognitive",F616)),"cognitive_biases",IF(J616="protective_pattern","healthy_reasoning_patterns",IF(L616="P0","core_mvp","extended_fallacies")))))))))</x:f>
        <x:v>extended_fallacies</x:v>
      </x:c>
      <x:c r="AC616" s="12" t="str">
        <x:f>IF(ISNUMBER(SEARCH("operational",J616)),"operational",IF(ISNUMBER(SEARCH("deprecated",J616)),"deprecated",IF(L616="P0","canonical","recognized_subtype")))</x:f>
        <x:v>operational</x:v>
      </x:c>
      <x:c r="AD616" s="12" t="str">
        <x:f>IF(AC616="canonical","high",IF(AC616="recognized_subtype","medium",IF(AC616="operational","operational_only","debated")))</x:f>
        <x:v>operational_only</x:v>
      </x:c>
      <x:c r="AE616" s="12" t="str">
        <x:f>IF(AC616="deprecated","deprecated",IF(M616="yes","active",IF(M616="review","review_required","backlog")))</x:f>
        <x:v>backlog</x:v>
      </x:c>
      <x:c r="AF616" s="12" t="str">
        <x:f>IF(OR(AE616="active",AE616="review_required"),"yes","no")</x:f>
        <x:v>no</x:v>
      </x:c>
      <x:c r="AG616" s="12" t="str">
        <x:f>IF(AND(AE616="active",M616="yes",NOT(ISNUMBER(SEARCH("healthy",AB616)))),"yes","no")</x:f>
        <x:v>no</x:v>
      </x:c>
      <x:c r="AH616" s="12" t="str">
        <x:f>IF(OR(H616="contextual",H616="dialogue",H616="discourse",I616="claim+context",I616="discourse_segment"),"yes","no")</x:f>
        <x:v>yes</x:v>
      </x:c>
      <x:c r="AI616" s="12" t="str">
        <x:f>IF(OR(AH616="yes",AD616="debated",AC616="operational"),"yes","no")</x:f>
        <x:v>yes</x:v>
      </x:c>
      <x:c r="AJ616" s="12" t="str">
        <x:f>IF(OR(AH616="yes",AC616="operational",AD616="debated"),"high",IF(AND(AG616="yes",L616="P0"),"medium","low"))</x:f>
        <x:v>high</x:v>
      </x:c>
      <x:c r="AK616" s="12" t="str">
        <x:f>IF(ISNUMBER(SEARCH("healthy",AB616)),"yes","no")</x:f>
        <x:v>no</x:v>
      </x:c>
      <x:c r="AL616" s="12" t="str">
        <x:f>IF(AG616="yes","yes","candidate_only")</x:f>
        <x:v>candidate_only</x:v>
      </x:c>
      <x:c r="AM616" s="12" t="str">
        <x:f>IF(OR(AC616="canonical",AG616="yes"),"yes","recommended")</x:f>
        <x:v>recommended</x:v>
      </x:c>
      <x:c r="AN616" s="12" t="str">
        <x:f>IF(AC616="deprecated","exclude",IF(AND(AG616="yes",AJ616="high"),"import_but_human_review_required",IF(AG616="yes","import_as_active","import_as_backlog")))</x:f>
        <x:v>import_as_backlog</x:v>
      </x:c>
      <x:c r="AO616" s="12" t="str">
        <x:f>IF(AND(AG616="yes",OR(P616="",Q616="",R616="",S616="")),"missing_required_mvp_fields",IF(AND(AC616="canonical",Y616=""),"missing_source_ref","ok"))</x:f>
        <x:v>ok</x:v>
      </x:c>
      <x:c r="AP616" s="12" t="str">
        <x:f>IF(AO616="ok","ready_for_codex_import","needs_review")</x:f>
        <x:v>ready_for_codex_import</x:v>
      </x:c>
      <x:c r="AQ616" s="12"/>
      <x:c r="AR616" s="12" t="str">
        <x:v>Added v2 operational fields. Review before classification activation.</x:v>
      </x:c>
    </x:row>
    <x:row r="617">
      <x:c r="A617" s="13" t="str">
        <x:v>friction_cost_neglect_default_or_status_quo_variant</x:v>
      </x:c>
      <x:c r="B617" s="13" t="str">
        <x:v>friction_cost_neglect</x:v>
      </x:c>
      <x:c r="C617" s="13" t="str">
        <x:v>Friction-cost neglect</x:v>
      </x:c>
      <x:c r="D617" s="13" t="str">
        <x:v>نادیده‌گرفتن هزینه اصطکاکی</x:v>
      </x:c>
      <x:c r="E617" s="13" t="str">
        <x:v>Default/status-quo variant</x:v>
      </x:c>
      <x:c r="F617" s="13" t="str">
        <x:v>decision_biases_behavioural_economics</x:v>
      </x:c>
      <x:c r="G617" s="13" t="str">
        <x:v>operational_variant</x:v>
      </x:c>
      <x:c r="H617" s="13" t="str">
        <x:v>contextual</x:v>
      </x:c>
      <x:c r="I617" s="13" t="str">
        <x:v>claim+context</x:v>
      </x:c>
      <x:c r="J617" s="13" t="str">
        <x:v>derived_operational_subtype</x:v>
      </x:c>
      <x:c r="K617" s="13" t="str">
        <x:v>derived_from_established_parent_review_required</x:v>
      </x:c>
      <x:c r="L617" s="13" t="str">
        <x:v>P3</x:v>
      </x:c>
      <x:c r="M617" s="13" t="str">
        <x:v>no</x:v>
      </x:c>
      <x:c r="N617" s="13" t="str">
        <x:v>Operational subtype under Friction-cost neglect: the default or current state is treated as preferable without reasons. Parent definition: Ignoring transaction costs, cognitive load, or access barriers in choices.</x:v>
      </x:c>
      <x:c r="O617" s="13" t="str">
        <x:v>Look for: explicit claim-level evidence; parent-family cues for Friction-cost neglect; variant cue: the default or current state is treated as preferable without reasons; avoid author-level inference.</x:v>
      </x:c>
      <x:c r="P617" s="13" t="str">
        <x:v>Exact evidence span in text plus claim-level reasoning link; for contextual/discourse entries, require surrounding context.</x:v>
      </x:c>
      <x:c r="Q617" s="13" t="str">
        <x:v>Do not label merely because topic is controversial, emotional, or wrong. Do not judge intent or personality. Require textual evidence and consider healthy-reasoning cues.</x:v>
      </x:c>
      <x:c r="R617" s="13" t="str">
        <x:v>Stub: A claim relies on the default or current state is treated as preferable without reasons to support a conclusion without adequate qualification.</x:v>
      </x:c>
      <x:c r="S617" s="13" t="str">
        <x:v>Stub: A claim discusses friction-cost neglect with caveats, balanced evidence, or no argumentative use of the pattern.</x:v>
      </x:c>
      <x:c r="T617" s="13" t="str">
        <x:v>Mild or ambiguous cue; do not classify without clear evidence span.</x:v>
      </x:c>
      <x:c r="U617" s="13" t="str">
        <x:v>Clear claim-level pattern with some argumentative impact.</x:v>
      </x:c>
      <x:c r="V617" s="13" t="str">
        <x:v>Strong pattern central to the conclusion and likely to materially distort reasoning.</x:v>
      </x:c>
      <x:c r="W617" s="13" t="str"/>
      <x:c r="X617" s="13" t="str">
        <x:v>thaler_sunstein_nudge</x:v>
      </x:c>
      <x:c r="Y617" s="13" t="str">
        <x:v>https://yalebooks.yale.edu/book/9780300262285/nudge/</x:v>
      </x:c>
      <x:c r="Z617" s="13" t="str">
        <x:v>Review before enabling. This workbook is a living taxonomy scaffold, not a validated scientific benchmark.</x:v>
      </x:c>
      <x:c r="AA617" s="13" t="str">
        <x:v>0.1.0-draft</x:v>
      </x:c>
      <x:c r="AB617" s="12" t="str">
        <x:f>IF(ISNUMBER(SEARCH("healthy",F617)),"healthy_reasoning_patterns",IF(ISNUMBER(SEARCH("statistical",F617)),"statistical_reasoning",IF(ISNUMBER(SEARCH("causal",F617)),"causal_reasoning",IF(ISNUMBER(SEARCH("social",F617)),"social_influence",IF(ISNUMBER(SEARCH("rhetoric",F617)),"rhetoric_discourse",IF(ISNUMBER(SEARCH("behavior",F617)),"behavioural_economics",IF(ISNUMBER(SEARCH("cognitive",F617)),"cognitive_biases",IF(J617="protective_pattern","healthy_reasoning_patterns",IF(L617="P0","core_mvp","extended_fallacies")))))))))</x:f>
        <x:v>extended_fallacies</x:v>
      </x:c>
      <x:c r="AC617" s="12" t="str">
        <x:f>IF(ISNUMBER(SEARCH("operational",J617)),"operational",IF(ISNUMBER(SEARCH("deprecated",J617)),"deprecated",IF(L617="P0","canonical","recognized_subtype")))</x:f>
        <x:v>operational</x:v>
      </x:c>
      <x:c r="AD617" s="12" t="str">
        <x:f>IF(AC617="canonical","high",IF(AC617="recognized_subtype","medium",IF(AC617="operational","operational_only","debated")))</x:f>
        <x:v>operational_only</x:v>
      </x:c>
      <x:c r="AE617" s="12" t="str">
        <x:f>IF(AC617="deprecated","deprecated",IF(M617="yes","active",IF(M617="review","review_required","backlog")))</x:f>
        <x:v>backlog</x:v>
      </x:c>
      <x:c r="AF617" s="12" t="str">
        <x:f>IF(OR(AE617="active",AE617="review_required"),"yes","no")</x:f>
        <x:v>no</x:v>
      </x:c>
      <x:c r="AG617" s="12" t="str">
        <x:f>IF(AND(AE617="active",M617="yes",NOT(ISNUMBER(SEARCH("healthy",AB617)))),"yes","no")</x:f>
        <x:v>no</x:v>
      </x:c>
      <x:c r="AH617" s="12" t="str">
        <x:f>IF(OR(H617="contextual",H617="dialogue",H617="discourse",I617="claim+context",I617="discourse_segment"),"yes","no")</x:f>
        <x:v>yes</x:v>
      </x:c>
      <x:c r="AI617" s="12" t="str">
        <x:f>IF(OR(AH617="yes",AD617="debated",AC617="operational"),"yes","no")</x:f>
        <x:v>yes</x:v>
      </x:c>
      <x:c r="AJ617" s="12" t="str">
        <x:f>IF(OR(AH617="yes",AC617="operational",AD617="debated"),"high",IF(AND(AG617="yes",L617="P0"),"medium","low"))</x:f>
        <x:v>high</x:v>
      </x:c>
      <x:c r="AK617" s="12" t="str">
        <x:f>IF(ISNUMBER(SEARCH("healthy",AB617)),"yes","no")</x:f>
        <x:v>no</x:v>
      </x:c>
      <x:c r="AL617" s="12" t="str">
        <x:f>IF(AG617="yes","yes","candidate_only")</x:f>
        <x:v>candidate_only</x:v>
      </x:c>
      <x:c r="AM617" s="12" t="str">
        <x:f>IF(OR(AC617="canonical",AG617="yes"),"yes","recommended")</x:f>
        <x:v>recommended</x:v>
      </x:c>
      <x:c r="AN617" s="12" t="str">
        <x:f>IF(AC617="deprecated","exclude",IF(AND(AG617="yes",AJ617="high"),"import_but_human_review_required",IF(AG617="yes","import_as_active","import_as_backlog")))</x:f>
        <x:v>import_as_backlog</x:v>
      </x:c>
      <x:c r="AO617" s="12" t="str">
        <x:f>IF(AND(AG617="yes",OR(P617="",Q617="",R617="",S617="")),"missing_required_mvp_fields",IF(AND(AC617="canonical",Y617=""),"missing_source_ref","ok"))</x:f>
        <x:v>ok</x:v>
      </x:c>
      <x:c r="AP617" s="12" t="str">
        <x:f>IF(AO617="ok","ready_for_codex_import","needs_review")</x:f>
        <x:v>ready_for_codex_import</x:v>
      </x:c>
      <x:c r="AQ617" s="12"/>
      <x:c r="AR617" s="12" t="str">
        <x:v>Added v2 operational fields. Review before classification activation.</x:v>
      </x:c>
    </x:row>
    <x:row r="618">
      <x:c r="A618" s="13" t="str">
        <x:v>loss_aversion_time_or_friction_variant</x:v>
      </x:c>
      <x:c r="B618" s="13" t="str">
        <x:v>loss_aversion</x:v>
      </x:c>
      <x:c r="C618" s="13" t="str">
        <x:v>Loss aversion</x:v>
      </x:c>
      <x:c r="D618" s="13" t="str">
        <x:v>اجتناب از زیان</x:v>
      </x:c>
      <x:c r="E618" s="13" t="str">
        <x:v>Time/friction variant</x:v>
      </x:c>
      <x:c r="F618" s="13" t="str">
        <x:v>decision_biases_behavioural_economics</x:v>
      </x:c>
      <x:c r="G618" s="13" t="str">
        <x:v>operational_variant</x:v>
      </x:c>
      <x:c r="H618" s="13" t="str">
        <x:v>contextual</x:v>
      </x:c>
      <x:c r="I618" s="13" t="str">
        <x:v>claim+context</x:v>
      </x:c>
      <x:c r="J618" s="13" t="str">
        <x:v>derived_operational_subtype</x:v>
      </x:c>
      <x:c r="K618" s="13" t="str">
        <x:v>derived_from_established_parent_review_required</x:v>
      </x:c>
      <x:c r="L618" s="13" t="str">
        <x:v>P3</x:v>
      </x:c>
      <x:c r="M618" s="13" t="str">
        <x:v>no</x:v>
      </x:c>
      <x:c r="N618" s="13" t="str">
        <x:v>Operational subtype under Loss aversion: short-term costs, delays, or friction distort evaluation. Parent definition: Losses are weighted more strongly than comparable gains.</x:v>
      </x:c>
      <x:c r="O618" s="13" t="str">
        <x:v>Look for: explicit claim-level evidence; parent-family cues for Loss aversion; variant cue: short-term costs, delays, or friction distort evaluation; avoid author-level inference.</x:v>
      </x:c>
      <x:c r="P618" s="13" t="str">
        <x:v>Exact evidence span in text plus claim-level reasoning link; for contextual/discourse entries, require surrounding context.</x:v>
      </x:c>
      <x:c r="Q618" s="13" t="str">
        <x:v>Do not label merely because topic is controversial, emotional, or wrong. Do not judge intent or personality. Require textual evidence and consider healthy-reasoning cues.</x:v>
      </x:c>
      <x:c r="R618" s="13" t="str">
        <x:v>Stub: A claim relies on short-term costs, delays, or friction distort evaluation to support a conclusion without adequate qualification.</x:v>
      </x:c>
      <x:c r="S618" s="13" t="str">
        <x:v>Stub: A claim discusses loss aversion with caveats, balanced evidence, or no argumentative use of the pattern.</x:v>
      </x:c>
      <x:c r="T618" s="13" t="str">
        <x:v>Mild or ambiguous cue; do not classify without clear evidence span.</x:v>
      </x:c>
      <x:c r="U618" s="13" t="str">
        <x:v>Clear claim-level pattern with some argumentative impact.</x:v>
      </x:c>
      <x:c r="V618" s="13" t="str">
        <x:v>Strong pattern central to the conclusion and likely to materially distort reasoning.</x:v>
      </x:c>
      <x:c r="W618" s="13" t="str"/>
      <x:c r="X618" s="13" t="str">
        <x:v>kahneman_tversky_prospect_1979</x:v>
      </x:c>
      <x:c r="Y618" s="13" t="str">
        <x:v>https://doi.org/10.2307/1914185</x:v>
      </x:c>
      <x:c r="Z618" s="13" t="str">
        <x:v>Review before enabling. This workbook is a living taxonomy scaffold, not a validated scientific benchmark.</x:v>
      </x:c>
      <x:c r="AA618" s="13" t="str">
        <x:v>0.1.0-draft</x:v>
      </x:c>
      <x:c r="AB618" s="12" t="str">
        <x:f>IF(ISNUMBER(SEARCH("healthy",F618)),"healthy_reasoning_patterns",IF(ISNUMBER(SEARCH("statistical",F618)),"statistical_reasoning",IF(ISNUMBER(SEARCH("causal",F618)),"causal_reasoning",IF(ISNUMBER(SEARCH("social",F618)),"social_influence",IF(ISNUMBER(SEARCH("rhetoric",F618)),"rhetoric_discourse",IF(ISNUMBER(SEARCH("behavior",F618)),"behavioural_economics",IF(ISNUMBER(SEARCH("cognitive",F618)),"cognitive_biases",IF(J618="protective_pattern","healthy_reasoning_patterns",IF(L618="P0","core_mvp","extended_fallacies")))))))))</x:f>
        <x:v>extended_fallacies</x:v>
      </x:c>
      <x:c r="AC618" s="12" t="str">
        <x:f>IF(ISNUMBER(SEARCH("operational",J618)),"operational",IF(ISNUMBER(SEARCH("deprecated",J618)),"deprecated",IF(L618="P0","canonical","recognized_subtype")))</x:f>
        <x:v>operational</x:v>
      </x:c>
      <x:c r="AD618" s="12" t="str">
        <x:f>IF(AC618="canonical","high",IF(AC618="recognized_subtype","medium",IF(AC618="operational","operational_only","debated")))</x:f>
        <x:v>operational_only</x:v>
      </x:c>
      <x:c r="AE618" s="12" t="str">
        <x:f>IF(AC618="deprecated","deprecated",IF(M618="yes","active",IF(M618="review","review_required","backlog")))</x:f>
        <x:v>backlog</x:v>
      </x:c>
      <x:c r="AF618" s="12" t="str">
        <x:f>IF(OR(AE618="active",AE618="review_required"),"yes","no")</x:f>
        <x:v>no</x:v>
      </x:c>
      <x:c r="AG618" s="12" t="str">
        <x:f>IF(AND(AE618="active",M618="yes",NOT(ISNUMBER(SEARCH("healthy",AB618)))),"yes","no")</x:f>
        <x:v>no</x:v>
      </x:c>
      <x:c r="AH618" s="12" t="str">
        <x:f>IF(OR(H618="contextual",H618="dialogue",H618="discourse",I618="claim+context",I618="discourse_segment"),"yes","no")</x:f>
        <x:v>yes</x:v>
      </x:c>
      <x:c r="AI618" s="12" t="str">
        <x:f>IF(OR(AH618="yes",AD618="debated",AC618="operational"),"yes","no")</x:f>
        <x:v>yes</x:v>
      </x:c>
      <x:c r="AJ618" s="12" t="str">
        <x:f>IF(OR(AH618="yes",AC618="operational",AD618="debated"),"high",IF(AND(AG618="yes",L618="P0"),"medium","low"))</x:f>
        <x:v>high</x:v>
      </x:c>
      <x:c r="AK618" s="12" t="str">
        <x:f>IF(ISNUMBER(SEARCH("healthy",AB618)),"yes","no")</x:f>
        <x:v>no</x:v>
      </x:c>
      <x:c r="AL618" s="12" t="str">
        <x:f>IF(AG618="yes","yes","candidate_only")</x:f>
        <x:v>candidate_only</x:v>
      </x:c>
      <x:c r="AM618" s="12" t="str">
        <x:f>IF(OR(AC618="canonical",AG618="yes"),"yes","recommended")</x:f>
        <x:v>recommended</x:v>
      </x:c>
      <x:c r="AN618" s="12" t="str">
        <x:f>IF(AC618="deprecated","exclude",IF(AND(AG618="yes",AJ618="high"),"import_but_human_review_required",IF(AG618="yes","import_as_active","import_as_backlog")))</x:f>
        <x:v>import_as_backlog</x:v>
      </x:c>
      <x:c r="AO618" s="12" t="str">
        <x:f>IF(AND(AG618="yes",OR(P618="",Q618="",R618="",S618="")),"missing_required_mvp_fields",IF(AND(AC618="canonical",Y618=""),"missing_source_ref","ok"))</x:f>
        <x:v>ok</x:v>
      </x:c>
      <x:c r="AP618" s="12" t="str">
        <x:f>IF(AO618="ok","ready_for_codex_import","needs_review")</x:f>
        <x:v>ready_for_codex_import</x:v>
      </x:c>
      <x:c r="AQ618" s="12"/>
      <x:c r="AR618" s="12" t="str">
        <x:v>Added v2 operational fields. Review before classification activation.</x:v>
      </x:c>
    </x:row>
    <x:row r="619">
      <x:c r="A619" s="13" t="str">
        <x:v>endowment_effect_time_or_friction_variant</x:v>
      </x:c>
      <x:c r="B619" s="13" t="str">
        <x:v>endowment_effect</x:v>
      </x:c>
      <x:c r="C619" s="13" t="str">
        <x:v>Endowment effect</x:v>
      </x:c>
      <x:c r="D619" s="13" t="str">
        <x:v>اثر مالکیت</x:v>
      </x:c>
      <x:c r="E619" s="13" t="str">
        <x:v>Time/friction variant</x:v>
      </x:c>
      <x:c r="F619" s="13" t="str">
        <x:v>decision_biases_behavioural_economics</x:v>
      </x:c>
      <x:c r="G619" s="13" t="str">
        <x:v>operational_variant</x:v>
      </x:c>
      <x:c r="H619" s="13" t="str">
        <x:v>contextual</x:v>
      </x:c>
      <x:c r="I619" s="13" t="str">
        <x:v>claim+context</x:v>
      </x:c>
      <x:c r="J619" s="13" t="str">
        <x:v>derived_operational_subtype</x:v>
      </x:c>
      <x:c r="K619" s="13" t="str">
        <x:v>derived_from_established_parent_review_required</x:v>
      </x:c>
      <x:c r="L619" s="13" t="str">
        <x:v>P3</x:v>
      </x:c>
      <x:c r="M619" s="13" t="str">
        <x:v>no</x:v>
      </x:c>
      <x:c r="N619" s="13" t="str">
        <x:v>Operational subtype under Endowment effect: short-term costs, delays, or friction distort evaluation. Parent definition: Valuing something more highly because one owns it.</x:v>
      </x:c>
      <x:c r="O619" s="13" t="str">
        <x:v>Look for: explicit claim-level evidence; parent-family cues for Endowment effect; variant cue: short-term costs, delays, or friction distort evaluation; avoid author-level inference.</x:v>
      </x:c>
      <x:c r="P619" s="13" t="str">
        <x:v>Exact evidence span in text plus claim-level reasoning link; for contextual/discourse entries, require surrounding context.</x:v>
      </x:c>
      <x:c r="Q619" s="13" t="str">
        <x:v>Do not label merely because topic is controversial, emotional, or wrong. Do not judge intent or personality. Require textual evidence and consider healthy-reasoning cues.</x:v>
      </x:c>
      <x:c r="R619" s="13" t="str">
        <x:v>Stub: A claim relies on short-term costs, delays, or friction distort evaluation to support a conclusion without adequate qualification.</x:v>
      </x:c>
      <x:c r="S619" s="13" t="str">
        <x:v>Stub: A claim discusses endowment effect with caveats, balanced evidence, or no argumentative use of the pattern.</x:v>
      </x:c>
      <x:c r="T619" s="13" t="str">
        <x:v>Mild or ambiguous cue; do not classify without clear evidence span.</x:v>
      </x:c>
      <x:c r="U619" s="13" t="str">
        <x:v>Clear claim-level pattern with some argumentative impact.</x:v>
      </x:c>
      <x:c r="V619" s="13" t="str">
        <x:v>Strong pattern central to the conclusion and likely to materially distort reasoning.</x:v>
      </x:c>
      <x:c r="W619" s="13" t="str"/>
      <x:c r="X619" s="13" t="str">
        <x:v>kahneman_tversky_prospect_1979</x:v>
      </x:c>
      <x:c r="Y619" s="13" t="str">
        <x:v>https://doi.org/10.2307/1914185</x:v>
      </x:c>
      <x:c r="Z619" s="13" t="str">
        <x:v>Review before enabling. This workbook is a living taxonomy scaffold, not a validated scientific benchmark.</x:v>
      </x:c>
      <x:c r="AA619" s="13" t="str">
        <x:v>0.1.0-draft</x:v>
      </x:c>
      <x:c r="AB619" s="12" t="str">
        <x:f>IF(ISNUMBER(SEARCH("healthy",F619)),"healthy_reasoning_patterns",IF(ISNUMBER(SEARCH("statistical",F619)),"statistical_reasoning",IF(ISNUMBER(SEARCH("causal",F619)),"causal_reasoning",IF(ISNUMBER(SEARCH("social",F619)),"social_influence",IF(ISNUMBER(SEARCH("rhetoric",F619)),"rhetoric_discourse",IF(ISNUMBER(SEARCH("behavior",F619)),"behavioural_economics",IF(ISNUMBER(SEARCH("cognitive",F619)),"cognitive_biases",IF(J619="protective_pattern","healthy_reasoning_patterns",IF(L619="P0","core_mvp","extended_fallacies")))))))))</x:f>
        <x:v>extended_fallacies</x:v>
      </x:c>
      <x:c r="AC619" s="12" t="str">
        <x:f>IF(ISNUMBER(SEARCH("operational",J619)),"operational",IF(ISNUMBER(SEARCH("deprecated",J619)),"deprecated",IF(L619="P0","canonical","recognized_subtype")))</x:f>
        <x:v>operational</x:v>
      </x:c>
      <x:c r="AD619" s="12" t="str">
        <x:f>IF(AC619="canonical","high",IF(AC619="recognized_subtype","medium",IF(AC619="operational","operational_only","debated")))</x:f>
        <x:v>operational_only</x:v>
      </x:c>
      <x:c r="AE619" s="12" t="str">
        <x:f>IF(AC619="deprecated","deprecated",IF(M619="yes","active",IF(M619="review","review_required","backlog")))</x:f>
        <x:v>backlog</x:v>
      </x:c>
      <x:c r="AF619" s="12" t="str">
        <x:f>IF(OR(AE619="active",AE619="review_required"),"yes","no")</x:f>
        <x:v>no</x:v>
      </x:c>
      <x:c r="AG619" s="12" t="str">
        <x:f>IF(AND(AE619="active",M619="yes",NOT(ISNUMBER(SEARCH("healthy",AB619)))),"yes","no")</x:f>
        <x:v>no</x:v>
      </x:c>
      <x:c r="AH619" s="12" t="str">
        <x:f>IF(OR(H619="contextual",H619="dialogue",H619="discourse",I619="claim+context",I619="discourse_segment"),"yes","no")</x:f>
        <x:v>yes</x:v>
      </x:c>
      <x:c r="AI619" s="12" t="str">
        <x:f>IF(OR(AH619="yes",AD619="debated",AC619="operational"),"yes","no")</x:f>
        <x:v>yes</x:v>
      </x:c>
      <x:c r="AJ619" s="12" t="str">
        <x:f>IF(OR(AH619="yes",AC619="operational",AD619="debated"),"high",IF(AND(AG619="yes",L619="P0"),"medium","low"))</x:f>
        <x:v>high</x:v>
      </x:c>
      <x:c r="AK619" s="12" t="str">
        <x:f>IF(ISNUMBER(SEARCH("healthy",AB619)),"yes","no")</x:f>
        <x:v>no</x:v>
      </x:c>
      <x:c r="AL619" s="12" t="str">
        <x:f>IF(AG619="yes","yes","candidate_only")</x:f>
        <x:v>candidate_only</x:v>
      </x:c>
      <x:c r="AM619" s="12" t="str">
        <x:f>IF(OR(AC619="canonical",AG619="yes"),"yes","recommended")</x:f>
        <x:v>recommended</x:v>
      </x:c>
      <x:c r="AN619" s="12" t="str">
        <x:f>IF(AC619="deprecated","exclude",IF(AND(AG619="yes",AJ619="high"),"import_but_human_review_required",IF(AG619="yes","import_as_active","import_as_backlog")))</x:f>
        <x:v>import_as_backlog</x:v>
      </x:c>
      <x:c r="AO619" s="12" t="str">
        <x:f>IF(AND(AG619="yes",OR(P619="",Q619="",R619="",S619="")),"missing_required_mvp_fields",IF(AND(AC619="canonical",Y619=""),"missing_source_ref","ok"))</x:f>
        <x:v>ok</x:v>
      </x:c>
      <x:c r="AP619" s="12" t="str">
        <x:f>IF(AO619="ok","ready_for_codex_import","needs_review")</x:f>
        <x:v>ready_for_codex_import</x:v>
      </x:c>
      <x:c r="AQ619" s="12"/>
      <x:c r="AR619" s="12" t="str">
        <x:v>Added v2 operational fields. Review before classification activation.</x:v>
      </x:c>
    </x:row>
    <x:row r="620">
      <x:c r="A620" s="13" t="str">
        <x:v>status_quo_bias_time_or_friction_variant</x:v>
      </x:c>
      <x:c r="B620" s="13" t="str">
        <x:v>status_quo_bias</x:v>
      </x:c>
      <x:c r="C620" s="13" t="str">
        <x:v>Status quo bias</x:v>
      </x:c>
      <x:c r="D620" s="13" t="str">
        <x:v>سوگیری وضع موجود</x:v>
      </x:c>
      <x:c r="E620" s="13" t="str">
        <x:v>Time/friction variant</x:v>
      </x:c>
      <x:c r="F620" s="13" t="str">
        <x:v>decision_biases_behavioural_economics</x:v>
      </x:c>
      <x:c r="G620" s="13" t="str">
        <x:v>operational_variant</x:v>
      </x:c>
      <x:c r="H620" s="13" t="str">
        <x:v>contextual</x:v>
      </x:c>
      <x:c r="I620" s="13" t="str">
        <x:v>claim+context</x:v>
      </x:c>
      <x:c r="J620" s="13" t="str">
        <x:v>derived_operational_subtype</x:v>
      </x:c>
      <x:c r="K620" s="13" t="str">
        <x:v>derived_from_established_parent_review_required</x:v>
      </x:c>
      <x:c r="L620" s="13" t="str">
        <x:v>P3</x:v>
      </x:c>
      <x:c r="M620" s="13" t="str">
        <x:v>no</x:v>
      </x:c>
      <x:c r="N620" s="13" t="str">
        <x:v>Operational subtype under Status quo bias: short-term costs, delays, or friction distort evaluation. Parent definition: Preferring the existing state partly because it is the default.</x:v>
      </x:c>
      <x:c r="O620" s="13" t="str">
        <x:v>Look for: explicit claim-level evidence; parent-family cues for Status quo bias; variant cue: short-term costs, delays, or friction distort evaluation; avoid author-level inference.</x:v>
      </x:c>
      <x:c r="P620" s="13" t="str">
        <x:v>Exact evidence span in text plus claim-level reasoning link; for contextual/discourse entries, require surrounding context.</x:v>
      </x:c>
      <x:c r="Q620" s="13" t="str">
        <x:v>Do not label merely because topic is controversial, emotional, or wrong. Do not judge intent or personality. Require textual evidence and consider healthy-reasoning cues.</x:v>
      </x:c>
      <x:c r="R620" s="13" t="str">
        <x:v>Stub: A claim relies on short-term costs, delays, or friction distort evaluation to support a conclusion without adequate qualification.</x:v>
      </x:c>
      <x:c r="S620" s="13" t="str">
        <x:v>Stub: A claim discusses status quo bias with caveats, balanced evidence, or no argumentative use of the pattern.</x:v>
      </x:c>
      <x:c r="T620" s="13" t="str">
        <x:v>Mild or ambiguous cue; do not classify without clear evidence span.</x:v>
      </x:c>
      <x:c r="U620" s="13" t="str">
        <x:v>Clear claim-level pattern with some argumentative impact.</x:v>
      </x:c>
      <x:c r="V620" s="13" t="str">
        <x:v>Strong pattern central to the conclusion and likely to materially distort reasoning.</x:v>
      </x:c>
      <x:c r="W620" s="13" t="str"/>
      <x:c r="X620" s="13" t="str">
        <x:v>thaler_sunstein_nudge</x:v>
      </x:c>
      <x:c r="Y620" s="13" t="str">
        <x:v>https://yalebooks.yale.edu/book/9780300262285/nudge/</x:v>
      </x:c>
      <x:c r="Z620" s="13" t="str">
        <x:v>Review before enabling. This workbook is a living taxonomy scaffold, not a validated scientific benchmark.</x:v>
      </x:c>
      <x:c r="AA620" s="13" t="str">
        <x:v>0.1.0-draft</x:v>
      </x:c>
      <x:c r="AB620" s="12" t="str">
        <x:f>IF(ISNUMBER(SEARCH("healthy",F620)),"healthy_reasoning_patterns",IF(ISNUMBER(SEARCH("statistical",F620)),"statistical_reasoning",IF(ISNUMBER(SEARCH("causal",F620)),"causal_reasoning",IF(ISNUMBER(SEARCH("social",F620)),"social_influence",IF(ISNUMBER(SEARCH("rhetoric",F620)),"rhetoric_discourse",IF(ISNUMBER(SEARCH("behavior",F620)),"behavioural_economics",IF(ISNUMBER(SEARCH("cognitive",F620)),"cognitive_biases",IF(J620="protective_pattern","healthy_reasoning_patterns",IF(L620="P0","core_mvp","extended_fallacies")))))))))</x:f>
        <x:v>extended_fallacies</x:v>
      </x:c>
      <x:c r="AC620" s="12" t="str">
        <x:f>IF(ISNUMBER(SEARCH("operational",J620)),"operational",IF(ISNUMBER(SEARCH("deprecated",J620)),"deprecated",IF(L620="P0","canonical","recognized_subtype")))</x:f>
        <x:v>operational</x:v>
      </x:c>
      <x:c r="AD620" s="12" t="str">
        <x:f>IF(AC620="canonical","high",IF(AC620="recognized_subtype","medium",IF(AC620="operational","operational_only","debated")))</x:f>
        <x:v>operational_only</x:v>
      </x:c>
      <x:c r="AE620" s="12" t="str">
        <x:f>IF(AC620="deprecated","deprecated",IF(M620="yes","active",IF(M620="review","review_required","backlog")))</x:f>
        <x:v>backlog</x:v>
      </x:c>
      <x:c r="AF620" s="12" t="str">
        <x:f>IF(OR(AE620="active",AE620="review_required"),"yes","no")</x:f>
        <x:v>no</x:v>
      </x:c>
      <x:c r="AG620" s="12" t="str">
        <x:f>IF(AND(AE620="active",M620="yes",NOT(ISNUMBER(SEARCH("healthy",AB620)))),"yes","no")</x:f>
        <x:v>no</x:v>
      </x:c>
      <x:c r="AH620" s="12" t="str">
        <x:f>IF(OR(H620="contextual",H620="dialogue",H620="discourse",I620="claim+context",I620="discourse_segment"),"yes","no")</x:f>
        <x:v>yes</x:v>
      </x:c>
      <x:c r="AI620" s="12" t="str">
        <x:f>IF(OR(AH620="yes",AD620="debated",AC620="operational"),"yes","no")</x:f>
        <x:v>yes</x:v>
      </x:c>
      <x:c r="AJ620" s="12" t="str">
        <x:f>IF(OR(AH620="yes",AC620="operational",AD620="debated"),"high",IF(AND(AG620="yes",L620="P0"),"medium","low"))</x:f>
        <x:v>high</x:v>
      </x:c>
      <x:c r="AK620" s="12" t="str">
        <x:f>IF(ISNUMBER(SEARCH("healthy",AB620)),"yes","no")</x:f>
        <x:v>no</x:v>
      </x:c>
      <x:c r="AL620" s="12" t="str">
        <x:f>IF(AG620="yes","yes","candidate_only")</x:f>
        <x:v>candidate_only</x:v>
      </x:c>
      <x:c r="AM620" s="12" t="str">
        <x:f>IF(OR(AC620="canonical",AG620="yes"),"yes","recommended")</x:f>
        <x:v>recommended</x:v>
      </x:c>
      <x:c r="AN620" s="12" t="str">
        <x:f>IF(AC620="deprecated","exclude",IF(AND(AG620="yes",AJ620="high"),"import_but_human_review_required",IF(AG620="yes","import_as_active","import_as_backlog")))</x:f>
        <x:v>import_as_backlog</x:v>
      </x:c>
      <x:c r="AO620" s="12" t="str">
        <x:f>IF(AND(AG620="yes",OR(P620="",Q620="",R620="",S620="")),"missing_required_mvp_fields",IF(AND(AC620="canonical",Y620=""),"missing_source_ref","ok"))</x:f>
        <x:v>ok</x:v>
      </x:c>
      <x:c r="AP620" s="12" t="str">
        <x:f>IF(AO620="ok","ready_for_codex_import","needs_review")</x:f>
        <x:v>ready_for_codex_import</x:v>
      </x:c>
      <x:c r="AQ620" s="12"/>
      <x:c r="AR620" s="12" t="str">
        <x:v>Added v2 operational fields. Review before classification activation.</x:v>
      </x:c>
    </x:row>
    <x:row r="621">
      <x:c r="A621" s="13" t="str">
        <x:v>default_effect_time_or_friction_variant</x:v>
      </x:c>
      <x:c r="B621" s="13" t="str">
        <x:v>default_effect</x:v>
      </x:c>
      <x:c r="C621" s="13" t="str">
        <x:v>Default effect</x:v>
      </x:c>
      <x:c r="D621" s="13" t="str">
        <x:v>اثر گزینه پیش‌فرض</x:v>
      </x:c>
      <x:c r="E621" s="13" t="str">
        <x:v>Time/friction variant</x:v>
      </x:c>
      <x:c r="F621" s="13" t="str">
        <x:v>decision_biases_behavioural_economics</x:v>
      </x:c>
      <x:c r="G621" s="13" t="str">
        <x:v>operational_variant</x:v>
      </x:c>
      <x:c r="H621" s="13" t="str">
        <x:v>contextual</x:v>
      </x:c>
      <x:c r="I621" s="13" t="str">
        <x:v>claim+context</x:v>
      </x:c>
      <x:c r="J621" s="13" t="str">
        <x:v>derived_operational_subtype</x:v>
      </x:c>
      <x:c r="K621" s="13" t="str">
        <x:v>derived_from_established_parent_review_required</x:v>
      </x:c>
      <x:c r="L621" s="13" t="str">
        <x:v>P3</x:v>
      </x:c>
      <x:c r="M621" s="13" t="str">
        <x:v>no</x:v>
      </x:c>
      <x:c r="N621" s="13" t="str">
        <x:v>Operational subtype under Default effect: short-term costs, delays, or friction distort evaluation. Parent definition: Choosing an option disproportionately because it is preselected.</x:v>
      </x:c>
      <x:c r="O621" s="13" t="str">
        <x:v>Look for: explicit claim-level evidence; parent-family cues for Default effect; variant cue: short-term costs, delays, or friction distort evaluation; avoid author-level inference.</x:v>
      </x:c>
      <x:c r="P621" s="13" t="str">
        <x:v>Exact evidence span in text plus claim-level reasoning link; for contextual/discourse entries, require surrounding context.</x:v>
      </x:c>
      <x:c r="Q621" s="13" t="str">
        <x:v>Do not label merely because topic is controversial, emotional, or wrong. Do not judge intent or personality. Require textual evidence and consider healthy-reasoning cues.</x:v>
      </x:c>
      <x:c r="R621" s="13" t="str">
        <x:v>Stub: A claim relies on short-term costs, delays, or friction distort evaluation to support a conclusion without adequate qualification.</x:v>
      </x:c>
      <x:c r="S621" s="13" t="str">
        <x:v>Stub: A claim discusses default effect with caveats, balanced evidence, or no argumentative use of the pattern.</x:v>
      </x:c>
      <x:c r="T621" s="13" t="str">
        <x:v>Mild or ambiguous cue; do not classify without clear evidence span.</x:v>
      </x:c>
      <x:c r="U621" s="13" t="str">
        <x:v>Clear claim-level pattern with some argumentative impact.</x:v>
      </x:c>
      <x:c r="V621" s="13" t="str">
        <x:v>Strong pattern central to the conclusion and likely to materially distort reasoning.</x:v>
      </x:c>
      <x:c r="W621" s="13" t="str"/>
      <x:c r="X621" s="13" t="str">
        <x:v>thaler_sunstein_nudge</x:v>
      </x:c>
      <x:c r="Y621" s="13" t="str">
        <x:v>https://yalebooks.yale.edu/book/9780300262285/nudge/</x:v>
      </x:c>
      <x:c r="Z621" s="13" t="str">
        <x:v>Review before enabling. This workbook is a living taxonomy scaffold, not a validated scientific benchmark.</x:v>
      </x:c>
      <x:c r="AA621" s="13" t="str">
        <x:v>0.1.0-draft</x:v>
      </x:c>
      <x:c r="AB621" s="12" t="str">
        <x:f>IF(ISNUMBER(SEARCH("healthy",F621)),"healthy_reasoning_patterns",IF(ISNUMBER(SEARCH("statistical",F621)),"statistical_reasoning",IF(ISNUMBER(SEARCH("causal",F621)),"causal_reasoning",IF(ISNUMBER(SEARCH("social",F621)),"social_influence",IF(ISNUMBER(SEARCH("rhetoric",F621)),"rhetoric_discourse",IF(ISNUMBER(SEARCH("behavior",F621)),"behavioural_economics",IF(ISNUMBER(SEARCH("cognitive",F621)),"cognitive_biases",IF(J621="protective_pattern","healthy_reasoning_patterns",IF(L621="P0","core_mvp","extended_fallacies")))))))))</x:f>
        <x:v>extended_fallacies</x:v>
      </x:c>
      <x:c r="AC621" s="12" t="str">
        <x:f>IF(ISNUMBER(SEARCH("operational",J621)),"operational",IF(ISNUMBER(SEARCH("deprecated",J621)),"deprecated",IF(L621="P0","canonical","recognized_subtype")))</x:f>
        <x:v>operational</x:v>
      </x:c>
      <x:c r="AD621" s="12" t="str">
        <x:f>IF(AC621="canonical","high",IF(AC621="recognized_subtype","medium",IF(AC621="operational","operational_only","debated")))</x:f>
        <x:v>operational_only</x:v>
      </x:c>
      <x:c r="AE621" s="12" t="str">
        <x:f>IF(AC621="deprecated","deprecated",IF(M621="yes","active",IF(M621="review","review_required","backlog")))</x:f>
        <x:v>backlog</x:v>
      </x:c>
      <x:c r="AF621" s="12" t="str">
        <x:f>IF(OR(AE621="active",AE621="review_required"),"yes","no")</x:f>
        <x:v>no</x:v>
      </x:c>
      <x:c r="AG621" s="12" t="str">
        <x:f>IF(AND(AE621="active",M621="yes",NOT(ISNUMBER(SEARCH("healthy",AB621)))),"yes","no")</x:f>
        <x:v>no</x:v>
      </x:c>
      <x:c r="AH621" s="12" t="str">
        <x:f>IF(OR(H621="contextual",H621="dialogue",H621="discourse",I621="claim+context",I621="discourse_segment"),"yes","no")</x:f>
        <x:v>yes</x:v>
      </x:c>
      <x:c r="AI621" s="12" t="str">
        <x:f>IF(OR(AH621="yes",AD621="debated",AC621="operational"),"yes","no")</x:f>
        <x:v>yes</x:v>
      </x:c>
      <x:c r="AJ621" s="12" t="str">
        <x:f>IF(OR(AH621="yes",AC621="operational",AD621="debated"),"high",IF(AND(AG621="yes",L621="P0"),"medium","low"))</x:f>
        <x:v>high</x:v>
      </x:c>
      <x:c r="AK621" s="12" t="str">
        <x:f>IF(ISNUMBER(SEARCH("healthy",AB621)),"yes","no")</x:f>
        <x:v>no</x:v>
      </x:c>
      <x:c r="AL621" s="12" t="str">
        <x:f>IF(AG621="yes","yes","candidate_only")</x:f>
        <x:v>candidate_only</x:v>
      </x:c>
      <x:c r="AM621" s="12" t="str">
        <x:f>IF(OR(AC621="canonical",AG621="yes"),"yes","recommended")</x:f>
        <x:v>recommended</x:v>
      </x:c>
      <x:c r="AN621" s="12" t="str">
        <x:f>IF(AC621="deprecated","exclude",IF(AND(AG621="yes",AJ621="high"),"import_but_human_review_required",IF(AG621="yes","import_as_active","import_as_backlog")))</x:f>
        <x:v>import_as_backlog</x:v>
      </x:c>
      <x:c r="AO621" s="12" t="str">
        <x:f>IF(AND(AG621="yes",OR(P621="",Q621="",R621="",S621="")),"missing_required_mvp_fields",IF(AND(AC621="canonical",Y621=""),"missing_source_ref","ok"))</x:f>
        <x:v>ok</x:v>
      </x:c>
      <x:c r="AP621" s="12" t="str">
        <x:f>IF(AO621="ok","ready_for_codex_import","needs_review")</x:f>
        <x:v>ready_for_codex_import</x:v>
      </x:c>
      <x:c r="AQ621" s="12"/>
      <x:c r="AR621" s="12" t="str">
        <x:v>Added v2 operational fields. Review before classification activation.</x:v>
      </x:c>
    </x:row>
    <x:row r="622">
      <x:c r="A622" s="13" t="str">
        <x:v>sunk_cost_fallacy_time_or_friction_variant</x:v>
      </x:c>
      <x:c r="B622" s="13" t="str">
        <x:v>sunk_cost_fallacy</x:v>
      </x:c>
      <x:c r="C622" s="13" t="str">
        <x:v>Sunk-cost fallacy</x:v>
      </x:c>
      <x:c r="D622" s="13" t="str">
        <x:v>مغالطه هزینه ازدست‌رفته</x:v>
      </x:c>
      <x:c r="E622" s="13" t="str">
        <x:v>Time/friction variant</x:v>
      </x:c>
      <x:c r="F622" s="13" t="str">
        <x:v>decision_biases_behavioural_economics</x:v>
      </x:c>
      <x:c r="G622" s="13" t="str">
        <x:v>operational_variant</x:v>
      </x:c>
      <x:c r="H622" s="13" t="str">
        <x:v>contextual</x:v>
      </x:c>
      <x:c r="I622" s="13" t="str">
        <x:v>claim+context</x:v>
      </x:c>
      <x:c r="J622" s="13" t="str">
        <x:v>derived_operational_subtype</x:v>
      </x:c>
      <x:c r="K622" s="13" t="str">
        <x:v>derived_from_established_parent_review_required</x:v>
      </x:c>
      <x:c r="L622" s="13" t="str">
        <x:v>P3</x:v>
      </x:c>
      <x:c r="M622" s="13" t="str">
        <x:v>no</x:v>
      </x:c>
      <x:c r="N622" s="13" t="str">
        <x:v>Operational subtype under Sunk-cost fallacy: short-term costs, delays, or friction distort evaluation. Parent definition: Continuing a choice because of past costs that cannot be recovered.</x:v>
      </x:c>
      <x:c r="O622" s="13" t="str">
        <x:v>Look for: explicit claim-level evidence; parent-family cues for Sunk-cost fallacy; variant cue: short-term costs, delays, or friction distort evaluation; avoid author-level inference.</x:v>
      </x:c>
      <x:c r="P622" s="13" t="str">
        <x:v>Exact evidence span in text plus claim-level reasoning link; for contextual/discourse entries, require surrounding context.</x:v>
      </x:c>
      <x:c r="Q622" s="13" t="str">
        <x:v>Do not label merely because topic is controversial, emotional, or wrong. Do not judge intent or personality. Require textual evidence and consider healthy-reasoning cues.</x:v>
      </x:c>
      <x:c r="R622" s="13" t="str">
        <x:v>Stub: A claim relies on short-term costs, delays, or friction distort evaluation to support a conclusion without adequate qualification.</x:v>
      </x:c>
      <x:c r="S622" s="13" t="str">
        <x:v>Stub: A claim discusses sunk-cost fallacy with caveats, balanced evidence, or no argumentative use of the pattern.</x:v>
      </x:c>
      <x:c r="T622" s="13" t="str">
        <x:v>Mild or ambiguous cue; do not classify without clear evidence span.</x:v>
      </x:c>
      <x:c r="U622" s="13" t="str">
        <x:v>Clear claim-level pattern with some argumentative impact.</x:v>
      </x:c>
      <x:c r="V622" s="13" t="str">
        <x:v>Strong pattern central to the conclusion and likely to materially distort reasoning.</x:v>
      </x:c>
      <x:c r="W622" s="13" t="str"/>
      <x:c r="X622" s="13" t="str">
        <x:v>kahneman_tversky_prospect_1979</x:v>
      </x:c>
      <x:c r="Y622" s="13" t="str">
        <x:v>https://doi.org/10.2307/1914185</x:v>
      </x:c>
      <x:c r="Z622" s="13" t="str">
        <x:v>Review before enabling. This workbook is a living taxonomy scaffold, not a validated scientific benchmark.</x:v>
      </x:c>
      <x:c r="AA622" s="13" t="str">
        <x:v>0.1.0-draft</x:v>
      </x:c>
      <x:c r="AB622" s="12" t="str">
        <x:f>IF(ISNUMBER(SEARCH("healthy",F622)),"healthy_reasoning_patterns",IF(ISNUMBER(SEARCH("statistical",F622)),"statistical_reasoning",IF(ISNUMBER(SEARCH("causal",F622)),"causal_reasoning",IF(ISNUMBER(SEARCH("social",F622)),"social_influence",IF(ISNUMBER(SEARCH("rhetoric",F622)),"rhetoric_discourse",IF(ISNUMBER(SEARCH("behavior",F622)),"behavioural_economics",IF(ISNUMBER(SEARCH("cognitive",F622)),"cognitive_biases",IF(J622="protective_pattern","healthy_reasoning_patterns",IF(L622="P0","core_mvp","extended_fallacies")))))))))</x:f>
        <x:v>extended_fallacies</x:v>
      </x:c>
      <x:c r="AC622" s="12" t="str">
        <x:f>IF(ISNUMBER(SEARCH("operational",J622)),"operational",IF(ISNUMBER(SEARCH("deprecated",J622)),"deprecated",IF(L622="P0","canonical","recognized_subtype")))</x:f>
        <x:v>operational</x:v>
      </x:c>
      <x:c r="AD622" s="12" t="str">
        <x:f>IF(AC622="canonical","high",IF(AC622="recognized_subtype","medium",IF(AC622="operational","operational_only","debated")))</x:f>
        <x:v>operational_only</x:v>
      </x:c>
      <x:c r="AE622" s="12" t="str">
        <x:f>IF(AC622="deprecated","deprecated",IF(M622="yes","active",IF(M622="review","review_required","backlog")))</x:f>
        <x:v>backlog</x:v>
      </x:c>
      <x:c r="AF622" s="12" t="str">
        <x:f>IF(OR(AE622="active",AE622="review_required"),"yes","no")</x:f>
        <x:v>no</x:v>
      </x:c>
      <x:c r="AG622" s="12" t="str">
        <x:f>IF(AND(AE622="active",M622="yes",NOT(ISNUMBER(SEARCH("healthy",AB622)))),"yes","no")</x:f>
        <x:v>no</x:v>
      </x:c>
      <x:c r="AH622" s="12" t="str">
        <x:f>IF(OR(H622="contextual",H622="dialogue",H622="discourse",I622="claim+context",I622="discourse_segment"),"yes","no")</x:f>
        <x:v>yes</x:v>
      </x:c>
      <x:c r="AI622" s="12" t="str">
        <x:f>IF(OR(AH622="yes",AD622="debated",AC622="operational"),"yes","no")</x:f>
        <x:v>yes</x:v>
      </x:c>
      <x:c r="AJ622" s="12" t="str">
        <x:f>IF(OR(AH622="yes",AC622="operational",AD622="debated"),"high",IF(AND(AG622="yes",L622="P0"),"medium","low"))</x:f>
        <x:v>high</x:v>
      </x:c>
      <x:c r="AK622" s="12" t="str">
        <x:f>IF(ISNUMBER(SEARCH("healthy",AB622)),"yes","no")</x:f>
        <x:v>no</x:v>
      </x:c>
      <x:c r="AL622" s="12" t="str">
        <x:f>IF(AG622="yes","yes","candidate_only")</x:f>
        <x:v>candidate_only</x:v>
      </x:c>
      <x:c r="AM622" s="12" t="str">
        <x:f>IF(OR(AC622="canonical",AG622="yes"),"yes","recommended")</x:f>
        <x:v>recommended</x:v>
      </x:c>
      <x:c r="AN622" s="12" t="str">
        <x:f>IF(AC622="deprecated","exclude",IF(AND(AG622="yes",AJ622="high"),"import_but_human_review_required",IF(AG622="yes","import_as_active","import_as_backlog")))</x:f>
        <x:v>import_as_backlog</x:v>
      </x:c>
      <x:c r="AO622" s="12" t="str">
        <x:f>IF(AND(AG622="yes",OR(P622="",Q622="",R622="",S622="")),"missing_required_mvp_fields",IF(AND(AC622="canonical",Y622=""),"missing_source_ref","ok"))</x:f>
        <x:v>ok</x:v>
      </x:c>
      <x:c r="AP622" s="12" t="str">
        <x:f>IF(AO622="ok","ready_for_codex_import","needs_review")</x:f>
        <x:v>ready_for_codex_import</x:v>
      </x:c>
      <x:c r="AQ622" s="12"/>
      <x:c r="AR622" s="12" t="str">
        <x:v>Added v2 operational fields. Review before classification activation.</x:v>
      </x:c>
    </x:row>
    <x:row r="623">
      <x:c r="A623" s="13" t="str">
        <x:v>present_bias_time_or_friction_variant</x:v>
      </x:c>
      <x:c r="B623" s="13" t="str">
        <x:v>present_bias</x:v>
      </x:c>
      <x:c r="C623" s="13" t="str">
        <x:v>Present bias</x:v>
      </x:c>
      <x:c r="D623" s="13" t="str">
        <x:v>سوگیری حال</x:v>
      </x:c>
      <x:c r="E623" s="13" t="str">
        <x:v>Time/friction variant</x:v>
      </x:c>
      <x:c r="F623" s="13" t="str">
        <x:v>decision_biases_behavioural_economics</x:v>
      </x:c>
      <x:c r="G623" s="13" t="str">
        <x:v>operational_variant</x:v>
      </x:c>
      <x:c r="H623" s="13" t="str">
        <x:v>contextual</x:v>
      </x:c>
      <x:c r="I623" s="13" t="str">
        <x:v>claim+context</x:v>
      </x:c>
      <x:c r="J623" s="13" t="str">
        <x:v>derived_operational_subtype</x:v>
      </x:c>
      <x:c r="K623" s="13" t="str">
        <x:v>derived_from_established_parent_review_required</x:v>
      </x:c>
      <x:c r="L623" s="13" t="str">
        <x:v>P3</x:v>
      </x:c>
      <x:c r="M623" s="13" t="str">
        <x:v>no</x:v>
      </x:c>
      <x:c r="N623" s="13" t="str">
        <x:v>Operational subtype under Present bias: short-term costs, delays, or friction distort evaluation. Parent definition: Overweighting immediate costs or rewards relative to future ones.</x:v>
      </x:c>
      <x:c r="O623" s="13" t="str">
        <x:v>Look for: explicit claim-level evidence; parent-family cues for Present bias; variant cue: short-term costs, delays, or friction distort evaluation; avoid author-level inference.</x:v>
      </x:c>
      <x:c r="P623" s="13" t="str">
        <x:v>Exact evidence span in text plus claim-level reasoning link; for contextual/discourse entries, require surrounding context.</x:v>
      </x:c>
      <x:c r="Q623" s="13" t="str">
        <x:v>Do not label merely because topic is controversial, emotional, or wrong. Do not judge intent or personality. Require textual evidence and consider healthy-reasoning cues.</x:v>
      </x:c>
      <x:c r="R623" s="13" t="str">
        <x:v>Stub: A claim relies on short-term costs, delays, or friction distort evaluation to support a conclusion without adequate qualification.</x:v>
      </x:c>
      <x:c r="S623" s="13" t="str">
        <x:v>Stub: A claim discusses present bias with caveats, balanced evidence, or no argumentative use of the pattern.</x:v>
      </x:c>
      <x:c r="T623" s="13" t="str">
        <x:v>Mild or ambiguous cue; do not classify without clear evidence span.</x:v>
      </x:c>
      <x:c r="U623" s="13" t="str">
        <x:v>Clear claim-level pattern with some argumentative impact.</x:v>
      </x:c>
      <x:c r="V623" s="13" t="str">
        <x:v>Strong pattern central to the conclusion and likely to materially distort reasoning.</x:v>
      </x:c>
      <x:c r="W623" s="13" t="str"/>
      <x:c r="X623" s="13" t="str">
        <x:v>thaler_sunstein_nudge</x:v>
      </x:c>
      <x:c r="Y623" s="13" t="str">
        <x:v>https://yalebooks.yale.edu/book/9780300262285/nudge/</x:v>
      </x:c>
      <x:c r="Z623" s="13" t="str">
        <x:v>Review before enabling. This workbook is a living taxonomy scaffold, not a validated scientific benchmark.</x:v>
      </x:c>
      <x:c r="AA623" s="13" t="str">
        <x:v>0.1.0-draft</x:v>
      </x:c>
      <x:c r="AB623" s="12" t="str">
        <x:f>IF(ISNUMBER(SEARCH("healthy",F623)),"healthy_reasoning_patterns",IF(ISNUMBER(SEARCH("statistical",F623)),"statistical_reasoning",IF(ISNUMBER(SEARCH("causal",F623)),"causal_reasoning",IF(ISNUMBER(SEARCH("social",F623)),"social_influence",IF(ISNUMBER(SEARCH("rhetoric",F623)),"rhetoric_discourse",IF(ISNUMBER(SEARCH("behavior",F623)),"behavioural_economics",IF(ISNUMBER(SEARCH("cognitive",F623)),"cognitive_biases",IF(J623="protective_pattern","healthy_reasoning_patterns",IF(L623="P0","core_mvp","extended_fallacies")))))))))</x:f>
        <x:v>extended_fallacies</x:v>
      </x:c>
      <x:c r="AC623" s="12" t="str">
        <x:f>IF(ISNUMBER(SEARCH("operational",J623)),"operational",IF(ISNUMBER(SEARCH("deprecated",J623)),"deprecated",IF(L623="P0","canonical","recognized_subtype")))</x:f>
        <x:v>operational</x:v>
      </x:c>
      <x:c r="AD623" s="12" t="str">
        <x:f>IF(AC623="canonical","high",IF(AC623="recognized_subtype","medium",IF(AC623="operational","operational_only","debated")))</x:f>
        <x:v>operational_only</x:v>
      </x:c>
      <x:c r="AE623" s="12" t="str">
        <x:f>IF(AC623="deprecated","deprecated",IF(M623="yes","active",IF(M623="review","review_required","backlog")))</x:f>
        <x:v>backlog</x:v>
      </x:c>
      <x:c r="AF623" s="12" t="str">
        <x:f>IF(OR(AE623="active",AE623="review_required"),"yes","no")</x:f>
        <x:v>no</x:v>
      </x:c>
      <x:c r="AG623" s="12" t="str">
        <x:f>IF(AND(AE623="active",M623="yes",NOT(ISNUMBER(SEARCH("healthy",AB623)))),"yes","no")</x:f>
        <x:v>no</x:v>
      </x:c>
      <x:c r="AH623" s="12" t="str">
        <x:f>IF(OR(H623="contextual",H623="dialogue",H623="discourse",I623="claim+context",I623="discourse_segment"),"yes","no")</x:f>
        <x:v>yes</x:v>
      </x:c>
      <x:c r="AI623" s="12" t="str">
        <x:f>IF(OR(AH623="yes",AD623="debated",AC623="operational"),"yes","no")</x:f>
        <x:v>yes</x:v>
      </x:c>
      <x:c r="AJ623" s="12" t="str">
        <x:f>IF(OR(AH623="yes",AC623="operational",AD623="debated"),"high",IF(AND(AG623="yes",L623="P0"),"medium","low"))</x:f>
        <x:v>high</x:v>
      </x:c>
      <x:c r="AK623" s="12" t="str">
        <x:f>IF(ISNUMBER(SEARCH("healthy",AB623)),"yes","no")</x:f>
        <x:v>no</x:v>
      </x:c>
      <x:c r="AL623" s="12" t="str">
        <x:f>IF(AG623="yes","yes","candidate_only")</x:f>
        <x:v>candidate_only</x:v>
      </x:c>
      <x:c r="AM623" s="12" t="str">
        <x:f>IF(OR(AC623="canonical",AG623="yes"),"yes","recommended")</x:f>
        <x:v>recommended</x:v>
      </x:c>
      <x:c r="AN623" s="12" t="str">
        <x:f>IF(AC623="deprecated","exclude",IF(AND(AG623="yes",AJ623="high"),"import_but_human_review_required",IF(AG623="yes","import_as_active","import_as_backlog")))</x:f>
        <x:v>import_as_backlog</x:v>
      </x:c>
      <x:c r="AO623" s="12" t="str">
        <x:f>IF(AND(AG623="yes",OR(P623="",Q623="",R623="",S623="")),"missing_required_mvp_fields",IF(AND(AC623="canonical",Y623=""),"missing_source_ref","ok"))</x:f>
        <x:v>ok</x:v>
      </x:c>
      <x:c r="AP623" s="12" t="str">
        <x:f>IF(AO623="ok","ready_for_codex_import","needs_review")</x:f>
        <x:v>ready_for_codex_import</x:v>
      </x:c>
      <x:c r="AQ623" s="12"/>
      <x:c r="AR623" s="12" t="str">
        <x:v>Added v2 operational fields. Review before classification activation.</x:v>
      </x:c>
    </x:row>
    <x:row r="624">
      <x:c r="A624" s="13" t="str">
        <x:v>hyperbolic_discounting_time_or_friction_variant</x:v>
      </x:c>
      <x:c r="B624" s="13" t="str">
        <x:v>hyperbolic_discounting</x:v>
      </x:c>
      <x:c r="C624" s="13" t="str">
        <x:v>Hyperbolic discounting</x:v>
      </x:c>
      <x:c r="D624" s="13" t="str">
        <x:v>تنزیل هذلولوی</x:v>
      </x:c>
      <x:c r="E624" s="13" t="str">
        <x:v>Time/friction variant</x:v>
      </x:c>
      <x:c r="F624" s="13" t="str">
        <x:v>decision_biases_behavioural_economics</x:v>
      </x:c>
      <x:c r="G624" s="13" t="str">
        <x:v>operational_variant</x:v>
      </x:c>
      <x:c r="H624" s="13" t="str">
        <x:v>contextual</x:v>
      </x:c>
      <x:c r="I624" s="13" t="str">
        <x:v>claim+context</x:v>
      </x:c>
      <x:c r="J624" s="13" t="str">
        <x:v>derived_operational_subtype</x:v>
      </x:c>
      <x:c r="K624" s="13" t="str">
        <x:v>derived_from_established_parent_review_required</x:v>
      </x:c>
      <x:c r="L624" s="13" t="str">
        <x:v>P3</x:v>
      </x:c>
      <x:c r="M624" s="13" t="str">
        <x:v>no</x:v>
      </x:c>
      <x:c r="N624" s="13" t="str">
        <x:v>Operational subtype under Hyperbolic discounting: short-term costs, delays, or friction distort evaluation. Parent definition: Discounting future outcomes in a time-inconsistent way.</x:v>
      </x:c>
      <x:c r="O624" s="13" t="str">
        <x:v>Look for: explicit claim-level evidence; parent-family cues for Hyperbolic discounting; variant cue: short-term costs, delays, or friction distort evaluation; avoid author-level inference.</x:v>
      </x:c>
      <x:c r="P624" s="13" t="str">
        <x:v>Exact evidence span in text plus claim-level reasoning link; for contextual/discourse entries, require surrounding context.</x:v>
      </x:c>
      <x:c r="Q624" s="13" t="str">
        <x:v>Do not label merely because topic is controversial, emotional, or wrong. Do not judge intent or personality. Require textual evidence and consider healthy-reasoning cues.</x:v>
      </x:c>
      <x:c r="R624" s="13" t="str">
        <x:v>Stub: A claim relies on short-term costs, delays, or friction distort evaluation to support a conclusion without adequate qualification.</x:v>
      </x:c>
      <x:c r="S624" s="13" t="str">
        <x:v>Stub: A claim discusses hyperbolic discounting with caveats, balanced evidence, or no argumentative use of the pattern.</x:v>
      </x:c>
      <x:c r="T624" s="13" t="str">
        <x:v>Mild or ambiguous cue; do not classify without clear evidence span.</x:v>
      </x:c>
      <x:c r="U624" s="13" t="str">
        <x:v>Clear claim-level pattern with some argumentative impact.</x:v>
      </x:c>
      <x:c r="V624" s="13" t="str">
        <x:v>Strong pattern central to the conclusion and likely to materially distort reasoning.</x:v>
      </x:c>
      <x:c r="W624" s="13" t="str"/>
      <x:c r="X624" s="13" t="str">
        <x:v>thaler_sunstein_nudge</x:v>
      </x:c>
      <x:c r="Y624" s="13" t="str">
        <x:v>https://yalebooks.yale.edu/book/9780300262285/nudge/</x:v>
      </x:c>
      <x:c r="Z624" s="13" t="str">
        <x:v>Review before enabling. This workbook is a living taxonomy scaffold, not a validated scientific benchmark.</x:v>
      </x:c>
      <x:c r="AA624" s="13" t="str">
        <x:v>0.1.0-draft</x:v>
      </x:c>
      <x:c r="AB624" s="12" t="str">
        <x:f>IF(ISNUMBER(SEARCH("healthy",F624)),"healthy_reasoning_patterns",IF(ISNUMBER(SEARCH("statistical",F624)),"statistical_reasoning",IF(ISNUMBER(SEARCH("causal",F624)),"causal_reasoning",IF(ISNUMBER(SEARCH("social",F624)),"social_influence",IF(ISNUMBER(SEARCH("rhetoric",F624)),"rhetoric_discourse",IF(ISNUMBER(SEARCH("behavior",F624)),"behavioural_economics",IF(ISNUMBER(SEARCH("cognitive",F624)),"cognitive_biases",IF(J624="protective_pattern","healthy_reasoning_patterns",IF(L624="P0","core_mvp","extended_fallacies")))))))))</x:f>
        <x:v>extended_fallacies</x:v>
      </x:c>
      <x:c r="AC624" s="12" t="str">
        <x:f>IF(ISNUMBER(SEARCH("operational",J624)),"operational",IF(ISNUMBER(SEARCH("deprecated",J624)),"deprecated",IF(L624="P0","canonical","recognized_subtype")))</x:f>
        <x:v>operational</x:v>
      </x:c>
      <x:c r="AD624" s="12" t="str">
        <x:f>IF(AC624="canonical","high",IF(AC624="recognized_subtype","medium",IF(AC624="operational","operational_only","debated")))</x:f>
        <x:v>operational_only</x:v>
      </x:c>
      <x:c r="AE624" s="12" t="str">
        <x:f>IF(AC624="deprecated","deprecated",IF(M624="yes","active",IF(M624="review","review_required","backlog")))</x:f>
        <x:v>backlog</x:v>
      </x:c>
      <x:c r="AF624" s="12" t="str">
        <x:f>IF(OR(AE624="active",AE624="review_required"),"yes","no")</x:f>
        <x:v>no</x:v>
      </x:c>
      <x:c r="AG624" s="12" t="str">
        <x:f>IF(AND(AE624="active",M624="yes",NOT(ISNUMBER(SEARCH("healthy",AB624)))),"yes","no")</x:f>
        <x:v>no</x:v>
      </x:c>
      <x:c r="AH624" s="12" t="str">
        <x:f>IF(OR(H624="contextual",H624="dialogue",H624="discourse",I624="claim+context",I624="discourse_segment"),"yes","no")</x:f>
        <x:v>yes</x:v>
      </x:c>
      <x:c r="AI624" s="12" t="str">
        <x:f>IF(OR(AH624="yes",AD624="debated",AC624="operational"),"yes","no")</x:f>
        <x:v>yes</x:v>
      </x:c>
      <x:c r="AJ624" s="12" t="str">
        <x:f>IF(OR(AH624="yes",AC624="operational",AD624="debated"),"high",IF(AND(AG624="yes",L624="P0"),"medium","low"))</x:f>
        <x:v>high</x:v>
      </x:c>
      <x:c r="AK624" s="12" t="str">
        <x:f>IF(ISNUMBER(SEARCH("healthy",AB624)),"yes","no")</x:f>
        <x:v>no</x:v>
      </x:c>
      <x:c r="AL624" s="12" t="str">
        <x:f>IF(AG624="yes","yes","candidate_only")</x:f>
        <x:v>candidate_only</x:v>
      </x:c>
      <x:c r="AM624" s="12" t="str">
        <x:f>IF(OR(AC624="canonical",AG624="yes"),"yes","recommended")</x:f>
        <x:v>recommended</x:v>
      </x:c>
      <x:c r="AN624" s="12" t="str">
        <x:f>IF(AC624="deprecated","exclude",IF(AND(AG624="yes",AJ624="high"),"import_but_human_review_required",IF(AG624="yes","import_as_active","import_as_backlog")))</x:f>
        <x:v>import_as_backlog</x:v>
      </x:c>
      <x:c r="AO624" s="12" t="str">
        <x:f>IF(AND(AG624="yes",OR(P624="",Q624="",R624="",S624="")),"missing_required_mvp_fields",IF(AND(AC624="canonical",Y624=""),"missing_source_ref","ok"))</x:f>
        <x:v>ok</x:v>
      </x:c>
      <x:c r="AP624" s="12" t="str">
        <x:f>IF(AO624="ok","ready_for_codex_import","needs_review")</x:f>
        <x:v>ready_for_codex_import</x:v>
      </x:c>
      <x:c r="AQ624" s="12"/>
      <x:c r="AR624" s="12" t="str">
        <x:v>Added v2 operational fields. Review before classification activation.</x:v>
      </x:c>
    </x:row>
    <x:row r="625">
      <x:c r="A625" s="13" t="str">
        <x:v>planning_fallacy_time_or_friction_variant</x:v>
      </x:c>
      <x:c r="B625" s="13" t="str">
        <x:v>planning_fallacy</x:v>
      </x:c>
      <x:c r="C625" s="13" t="str">
        <x:v>Planning fallacy</x:v>
      </x:c>
      <x:c r="D625" s="13" t="str">
        <x:v>خطای برنامه‌ریزی</x:v>
      </x:c>
      <x:c r="E625" s="13" t="str">
        <x:v>Time/friction variant</x:v>
      </x:c>
      <x:c r="F625" s="13" t="str">
        <x:v>decision_biases_behavioural_economics</x:v>
      </x:c>
      <x:c r="G625" s="13" t="str">
        <x:v>operational_variant</x:v>
      </x:c>
      <x:c r="H625" s="13" t="str">
        <x:v>contextual</x:v>
      </x:c>
      <x:c r="I625" s="13" t="str">
        <x:v>claim+context</x:v>
      </x:c>
      <x:c r="J625" s="13" t="str">
        <x:v>derived_operational_subtype</x:v>
      </x:c>
      <x:c r="K625" s="13" t="str">
        <x:v>derived_from_established_parent_review_required</x:v>
      </x:c>
      <x:c r="L625" s="13" t="str">
        <x:v>P3</x:v>
      </x:c>
      <x:c r="M625" s="13" t="str">
        <x:v>no</x:v>
      </x:c>
      <x:c r="N625" s="13" t="str">
        <x:v>Operational subtype under Planning fallacy: short-term costs, delays, or friction distort evaluation. Parent definition: Underestimating time, costs, or risks of future tasks.</x:v>
      </x:c>
      <x:c r="O625" s="13" t="str">
        <x:v>Look for: explicit claim-level evidence; parent-family cues for Planning fallacy; variant cue: short-term costs, delays, or friction distort evaluation; avoid author-level inference.</x:v>
      </x:c>
      <x:c r="P625" s="13" t="str">
        <x:v>Exact evidence span in text plus claim-level reasoning link; for contextual/discourse entries, require surrounding context.</x:v>
      </x:c>
      <x:c r="Q625" s="13" t="str">
        <x:v>Do not label merely because topic is controversial, emotional, or wrong. Do not judge intent or personality. Require textual evidence and consider healthy-reasoning cues.</x:v>
      </x:c>
      <x:c r="R625" s="13" t="str">
        <x:v>Stub: A claim relies on short-term costs, delays, or friction distort evaluation to support a conclusion without adequate qualification.</x:v>
      </x:c>
      <x:c r="S625" s="13" t="str">
        <x:v>Stub: A claim discusses planning fallacy with caveats, balanced evidence, or no argumentative use of the pattern.</x:v>
      </x:c>
      <x:c r="T625" s="13" t="str">
        <x:v>Mild or ambiguous cue; do not classify without clear evidence span.</x:v>
      </x:c>
      <x:c r="U625" s="13" t="str">
        <x:v>Clear claim-level pattern with some argumentative impact.</x:v>
      </x:c>
      <x:c r="V625" s="13" t="str">
        <x:v>Strong pattern central to the conclusion and likely to materially distort reasoning.</x:v>
      </x:c>
      <x:c r="W625" s="13" t="str"/>
      <x:c r="X625" s="13" t="str">
        <x:v>gilovich_heuristics_biases</x:v>
      </x:c>
      <x:c r="Y625" s="13" t="str">
        <x:v>https://www.cambridge.org/core/books/heuristics-and-biases/3C30D3B05D2F190C3B8BE5E2531EFD24</x:v>
      </x:c>
      <x:c r="Z625" s="13" t="str">
        <x:v>Review before enabling. This workbook is a living taxonomy scaffold, not a validated scientific benchmark.</x:v>
      </x:c>
      <x:c r="AA625" s="13" t="str">
        <x:v>0.1.0-draft</x:v>
      </x:c>
      <x:c r="AB625" s="12" t="str">
        <x:f>IF(ISNUMBER(SEARCH("healthy",F625)),"healthy_reasoning_patterns",IF(ISNUMBER(SEARCH("statistical",F625)),"statistical_reasoning",IF(ISNUMBER(SEARCH("causal",F625)),"causal_reasoning",IF(ISNUMBER(SEARCH("social",F625)),"social_influence",IF(ISNUMBER(SEARCH("rhetoric",F625)),"rhetoric_discourse",IF(ISNUMBER(SEARCH("behavior",F625)),"behavioural_economics",IF(ISNUMBER(SEARCH("cognitive",F625)),"cognitive_biases",IF(J625="protective_pattern","healthy_reasoning_patterns",IF(L625="P0","core_mvp","extended_fallacies")))))))))</x:f>
        <x:v>extended_fallacies</x:v>
      </x:c>
      <x:c r="AC625" s="12" t="str">
        <x:f>IF(ISNUMBER(SEARCH("operational",J625)),"operational",IF(ISNUMBER(SEARCH("deprecated",J625)),"deprecated",IF(L625="P0","canonical","recognized_subtype")))</x:f>
        <x:v>operational</x:v>
      </x:c>
      <x:c r="AD625" s="12" t="str">
        <x:f>IF(AC625="canonical","high",IF(AC625="recognized_subtype","medium",IF(AC625="operational","operational_only","debated")))</x:f>
        <x:v>operational_only</x:v>
      </x:c>
      <x:c r="AE625" s="12" t="str">
        <x:f>IF(AC625="deprecated","deprecated",IF(M625="yes","active",IF(M625="review","review_required","backlog")))</x:f>
        <x:v>backlog</x:v>
      </x:c>
      <x:c r="AF625" s="12" t="str">
        <x:f>IF(OR(AE625="active",AE625="review_required"),"yes","no")</x:f>
        <x:v>no</x:v>
      </x:c>
      <x:c r="AG625" s="12" t="str">
        <x:f>IF(AND(AE625="active",M625="yes",NOT(ISNUMBER(SEARCH("healthy",AB625)))),"yes","no")</x:f>
        <x:v>no</x:v>
      </x:c>
      <x:c r="AH625" s="12" t="str">
        <x:f>IF(OR(H625="contextual",H625="dialogue",H625="discourse",I625="claim+context",I625="discourse_segment"),"yes","no")</x:f>
        <x:v>yes</x:v>
      </x:c>
      <x:c r="AI625" s="12" t="str">
        <x:f>IF(OR(AH625="yes",AD625="debated",AC625="operational"),"yes","no")</x:f>
        <x:v>yes</x:v>
      </x:c>
      <x:c r="AJ625" s="12" t="str">
        <x:f>IF(OR(AH625="yes",AC625="operational",AD625="debated"),"high",IF(AND(AG625="yes",L625="P0"),"medium","low"))</x:f>
        <x:v>high</x:v>
      </x:c>
      <x:c r="AK625" s="12" t="str">
        <x:f>IF(ISNUMBER(SEARCH("healthy",AB625)),"yes","no")</x:f>
        <x:v>no</x:v>
      </x:c>
      <x:c r="AL625" s="12" t="str">
        <x:f>IF(AG625="yes","yes","candidate_only")</x:f>
        <x:v>candidate_only</x:v>
      </x:c>
      <x:c r="AM625" s="12" t="str">
        <x:f>IF(OR(AC625="canonical",AG625="yes"),"yes","recommended")</x:f>
        <x:v>recommended</x:v>
      </x:c>
      <x:c r="AN625" s="12" t="str">
        <x:f>IF(AC625="deprecated","exclude",IF(AND(AG625="yes",AJ625="high"),"import_but_human_review_required",IF(AG625="yes","import_as_active","import_as_backlog")))</x:f>
        <x:v>import_as_backlog</x:v>
      </x:c>
      <x:c r="AO625" s="12" t="str">
        <x:f>IF(AND(AG625="yes",OR(P625="",Q625="",R625="",S625="")),"missing_required_mvp_fields",IF(AND(AC625="canonical",Y625=""),"missing_source_ref","ok"))</x:f>
        <x:v>ok</x:v>
      </x:c>
      <x:c r="AP625" s="12" t="str">
        <x:f>IF(AO625="ok","ready_for_codex_import","needs_review")</x:f>
        <x:v>ready_for_codex_import</x:v>
      </x:c>
      <x:c r="AQ625" s="12"/>
      <x:c r="AR625" s="12" t="str">
        <x:v>Added v2 operational fields. Review before classification activation.</x:v>
      </x:c>
    </x:row>
    <x:row r="626">
      <x:c r="A626" s="13" t="str">
        <x:v>choice_overload_time_or_friction_variant</x:v>
      </x:c>
      <x:c r="B626" s="13" t="str">
        <x:v>choice_overload</x:v>
      </x:c>
      <x:c r="C626" s="13" t="str">
        <x:v>Choice overload</x:v>
      </x:c>
      <x:c r="D626" s="13" t="str">
        <x:v>بار زیاد انتخاب</x:v>
      </x:c>
      <x:c r="E626" s="13" t="str">
        <x:v>Time/friction variant</x:v>
      </x:c>
      <x:c r="F626" s="13" t="str">
        <x:v>decision_biases_behavioural_economics</x:v>
      </x:c>
      <x:c r="G626" s="13" t="str">
        <x:v>operational_variant</x:v>
      </x:c>
      <x:c r="H626" s="13" t="str">
        <x:v>contextual</x:v>
      </x:c>
      <x:c r="I626" s="13" t="str">
        <x:v>claim+context</x:v>
      </x:c>
      <x:c r="J626" s="13" t="str">
        <x:v>derived_operational_subtype</x:v>
      </x:c>
      <x:c r="K626" s="13" t="str">
        <x:v>derived_from_established_parent_review_required</x:v>
      </x:c>
      <x:c r="L626" s="13" t="str">
        <x:v>P3</x:v>
      </x:c>
      <x:c r="M626" s="13" t="str">
        <x:v>no</x:v>
      </x:c>
      <x:c r="N626" s="13" t="str">
        <x:v>Operational subtype under Choice overload: short-term costs, delays, or friction distort evaluation. Parent definition: Decision quality or satisfaction decreases when options become excessive.</x:v>
      </x:c>
      <x:c r="O626" s="13" t="str">
        <x:v>Look for: explicit claim-level evidence; parent-family cues for Choice overload; variant cue: short-term costs, delays, or friction distort evaluation; avoid author-level inference.</x:v>
      </x:c>
      <x:c r="P626" s="13" t="str">
        <x:v>Exact evidence span in text plus claim-level reasoning link; for contextual/discourse entries, require surrounding context.</x:v>
      </x:c>
      <x:c r="Q626" s="13" t="str">
        <x:v>Do not label merely because topic is controversial, emotional, or wrong. Do not judge intent or personality. Require textual evidence and consider healthy-reasoning cues.</x:v>
      </x:c>
      <x:c r="R626" s="13" t="str">
        <x:v>Stub: A claim relies on short-term costs, delays, or friction distort evaluation to support a conclusion without adequate qualification.</x:v>
      </x:c>
      <x:c r="S626" s="13" t="str">
        <x:v>Stub: A claim discusses choice overload with caveats, balanced evidence, or no argumentative use of the pattern.</x:v>
      </x:c>
      <x:c r="T626" s="13" t="str">
        <x:v>Mild or ambiguous cue; do not classify without clear evidence span.</x:v>
      </x:c>
      <x:c r="U626" s="13" t="str">
        <x:v>Clear claim-level pattern with some argumentative impact.</x:v>
      </x:c>
      <x:c r="V626" s="13" t="str">
        <x:v>Strong pattern central to the conclusion and likely to materially distort reasoning.</x:v>
      </x:c>
      <x:c r="W626" s="13" t="str"/>
      <x:c r="X626" s="13" t="str">
        <x:v>thaler_sunstein_nudge</x:v>
      </x:c>
      <x:c r="Y626" s="13" t="str">
        <x:v>https://yalebooks.yale.edu/book/9780300262285/nudge/</x:v>
      </x:c>
      <x:c r="Z626" s="13" t="str">
        <x:v>Review before enabling. This workbook is a living taxonomy scaffold, not a validated scientific benchmark.</x:v>
      </x:c>
      <x:c r="AA626" s="13" t="str">
        <x:v>0.1.0-draft</x:v>
      </x:c>
      <x:c r="AB626" s="12" t="str">
        <x:f>IF(ISNUMBER(SEARCH("healthy",F626)),"healthy_reasoning_patterns",IF(ISNUMBER(SEARCH("statistical",F626)),"statistical_reasoning",IF(ISNUMBER(SEARCH("causal",F626)),"causal_reasoning",IF(ISNUMBER(SEARCH("social",F626)),"social_influence",IF(ISNUMBER(SEARCH("rhetoric",F626)),"rhetoric_discourse",IF(ISNUMBER(SEARCH("behavior",F626)),"behavioural_economics",IF(ISNUMBER(SEARCH("cognitive",F626)),"cognitive_biases",IF(J626="protective_pattern","healthy_reasoning_patterns",IF(L626="P0","core_mvp","extended_fallacies")))))))))</x:f>
        <x:v>extended_fallacies</x:v>
      </x:c>
      <x:c r="AC626" s="12" t="str">
        <x:f>IF(ISNUMBER(SEARCH("operational",J626)),"operational",IF(ISNUMBER(SEARCH("deprecated",J626)),"deprecated",IF(L626="P0","canonical","recognized_subtype")))</x:f>
        <x:v>operational</x:v>
      </x:c>
      <x:c r="AD626" s="12" t="str">
        <x:f>IF(AC626="canonical","high",IF(AC626="recognized_subtype","medium",IF(AC626="operational","operational_only","debated")))</x:f>
        <x:v>operational_only</x:v>
      </x:c>
      <x:c r="AE626" s="12" t="str">
        <x:f>IF(AC626="deprecated","deprecated",IF(M626="yes","active",IF(M626="review","review_required","backlog")))</x:f>
        <x:v>backlog</x:v>
      </x:c>
      <x:c r="AF626" s="12" t="str">
        <x:f>IF(OR(AE626="active",AE626="review_required"),"yes","no")</x:f>
        <x:v>no</x:v>
      </x:c>
      <x:c r="AG626" s="12" t="str">
        <x:f>IF(AND(AE626="active",M626="yes",NOT(ISNUMBER(SEARCH("healthy",AB626)))),"yes","no")</x:f>
        <x:v>no</x:v>
      </x:c>
      <x:c r="AH626" s="12" t="str">
        <x:f>IF(OR(H626="contextual",H626="dialogue",H626="discourse",I626="claim+context",I626="discourse_segment"),"yes","no")</x:f>
        <x:v>yes</x:v>
      </x:c>
      <x:c r="AI626" s="12" t="str">
        <x:f>IF(OR(AH626="yes",AD626="debated",AC626="operational"),"yes","no")</x:f>
        <x:v>yes</x:v>
      </x:c>
      <x:c r="AJ626" s="12" t="str">
        <x:f>IF(OR(AH626="yes",AC626="operational",AD626="debated"),"high",IF(AND(AG626="yes",L626="P0"),"medium","low"))</x:f>
        <x:v>high</x:v>
      </x:c>
      <x:c r="AK626" s="12" t="str">
        <x:f>IF(ISNUMBER(SEARCH("healthy",AB626)),"yes","no")</x:f>
        <x:v>no</x:v>
      </x:c>
      <x:c r="AL626" s="12" t="str">
        <x:f>IF(AG626="yes","yes","candidate_only")</x:f>
        <x:v>candidate_only</x:v>
      </x:c>
      <x:c r="AM626" s="12" t="str">
        <x:f>IF(OR(AC626="canonical",AG626="yes"),"yes","recommended")</x:f>
        <x:v>recommended</x:v>
      </x:c>
      <x:c r="AN626" s="12" t="str">
        <x:f>IF(AC626="deprecated","exclude",IF(AND(AG626="yes",AJ626="high"),"import_but_human_review_required",IF(AG626="yes","import_as_active","import_as_backlog")))</x:f>
        <x:v>import_as_backlog</x:v>
      </x:c>
      <x:c r="AO626" s="12" t="str">
        <x:f>IF(AND(AG626="yes",OR(P626="",Q626="",R626="",S626="")),"missing_required_mvp_fields",IF(AND(AC626="canonical",Y626=""),"missing_source_ref","ok"))</x:f>
        <x:v>ok</x:v>
      </x:c>
      <x:c r="AP626" s="12" t="str">
        <x:f>IF(AO626="ok","ready_for_codex_import","needs_review")</x:f>
        <x:v>ready_for_codex_import</x:v>
      </x:c>
      <x:c r="AQ626" s="12"/>
      <x:c r="AR626" s="12" t="str">
        <x:v>Added v2 operational fields. Review before classification activation.</x:v>
      </x:c>
    </x:row>
    <x:row r="627">
      <x:c r="A627" s="13" t="str">
        <x:v>decoy_effect_time_or_friction_variant</x:v>
      </x:c>
      <x:c r="B627" s="13" t="str">
        <x:v>decoy_effect</x:v>
      </x:c>
      <x:c r="C627" s="13" t="str">
        <x:v>Decoy effect</x:v>
      </x:c>
      <x:c r="D627" s="13" t="str">
        <x:v>اثر طعمه</x:v>
      </x:c>
      <x:c r="E627" s="13" t="str">
        <x:v>Time/friction variant</x:v>
      </x:c>
      <x:c r="F627" s="13" t="str">
        <x:v>decision_biases_behavioural_economics</x:v>
      </x:c>
      <x:c r="G627" s="13" t="str">
        <x:v>operational_variant</x:v>
      </x:c>
      <x:c r="H627" s="13" t="str">
        <x:v>contextual</x:v>
      </x:c>
      <x:c r="I627" s="13" t="str">
        <x:v>claim+context</x:v>
      </x:c>
      <x:c r="J627" s="13" t="str">
        <x:v>derived_operational_subtype</x:v>
      </x:c>
      <x:c r="K627" s="13" t="str">
        <x:v>derived_from_established_parent_review_required</x:v>
      </x:c>
      <x:c r="L627" s="13" t="str">
        <x:v>P3</x:v>
      </x:c>
      <x:c r="M627" s="13" t="str">
        <x:v>no</x:v>
      </x:c>
      <x:c r="N627" s="13" t="str">
        <x:v>Operational subtype under Decoy effect: short-term costs, delays, or friction distort evaluation. Parent definition: Preferences change when an asymmetrically dominated option is introduced.</x:v>
      </x:c>
      <x:c r="O627" s="13" t="str">
        <x:v>Look for: explicit claim-level evidence; parent-family cues for Decoy effect; variant cue: short-term costs, delays, or friction distort evaluation; avoid author-level inference.</x:v>
      </x:c>
      <x:c r="P627" s="13" t="str">
        <x:v>Exact evidence span in text plus claim-level reasoning link; for contextual/discourse entries, require surrounding context.</x:v>
      </x:c>
      <x:c r="Q627" s="13" t="str">
        <x:v>Do not label merely because topic is controversial, emotional, or wrong. Do not judge intent or personality. Require textual evidence and consider healthy-reasoning cues.</x:v>
      </x:c>
      <x:c r="R627" s="13" t="str">
        <x:v>Stub: A claim relies on short-term costs, delays, or friction distort evaluation to support a conclusion without adequate qualification.</x:v>
      </x:c>
      <x:c r="S627" s="13" t="str">
        <x:v>Stub: A claim discusses decoy effect with caveats, balanced evidence, or no argumentative use of the pattern.</x:v>
      </x:c>
      <x:c r="T627" s="13" t="str">
        <x:v>Mild or ambiguous cue; do not classify without clear evidence span.</x:v>
      </x:c>
      <x:c r="U627" s="13" t="str">
        <x:v>Clear claim-level pattern with some argumentative impact.</x:v>
      </x:c>
      <x:c r="V627" s="13" t="str">
        <x:v>Strong pattern central to the conclusion and likely to materially distort reasoning.</x:v>
      </x:c>
      <x:c r="W627" s="13" t="str"/>
      <x:c r="X627" s="13" t="str">
        <x:v>thaler_sunstein_nudge</x:v>
      </x:c>
      <x:c r="Y627" s="13" t="str">
        <x:v>https://yalebooks.yale.edu/book/9780300262285/nudge/</x:v>
      </x:c>
      <x:c r="Z627" s="13" t="str">
        <x:v>Review before enabling. This workbook is a living taxonomy scaffold, not a validated scientific benchmark.</x:v>
      </x:c>
      <x:c r="AA627" s="13" t="str">
        <x:v>0.1.0-draft</x:v>
      </x:c>
      <x:c r="AB627" s="12" t="str">
        <x:f>IF(ISNUMBER(SEARCH("healthy",F627)),"healthy_reasoning_patterns",IF(ISNUMBER(SEARCH("statistical",F627)),"statistical_reasoning",IF(ISNUMBER(SEARCH("causal",F627)),"causal_reasoning",IF(ISNUMBER(SEARCH("social",F627)),"social_influence",IF(ISNUMBER(SEARCH("rhetoric",F627)),"rhetoric_discourse",IF(ISNUMBER(SEARCH("behavior",F627)),"behavioural_economics",IF(ISNUMBER(SEARCH("cognitive",F627)),"cognitive_biases",IF(J627="protective_pattern","healthy_reasoning_patterns",IF(L627="P0","core_mvp","extended_fallacies")))))))))</x:f>
        <x:v>extended_fallacies</x:v>
      </x:c>
      <x:c r="AC627" s="12" t="str">
        <x:f>IF(ISNUMBER(SEARCH("operational",J627)),"operational",IF(ISNUMBER(SEARCH("deprecated",J627)),"deprecated",IF(L627="P0","canonical","recognized_subtype")))</x:f>
        <x:v>operational</x:v>
      </x:c>
      <x:c r="AD627" s="12" t="str">
        <x:f>IF(AC627="canonical","high",IF(AC627="recognized_subtype","medium",IF(AC627="operational","operational_only","debated")))</x:f>
        <x:v>operational_only</x:v>
      </x:c>
      <x:c r="AE627" s="12" t="str">
        <x:f>IF(AC627="deprecated","deprecated",IF(M627="yes","active",IF(M627="review","review_required","backlog")))</x:f>
        <x:v>backlog</x:v>
      </x:c>
      <x:c r="AF627" s="12" t="str">
        <x:f>IF(OR(AE627="active",AE627="review_required"),"yes","no")</x:f>
        <x:v>no</x:v>
      </x:c>
      <x:c r="AG627" s="12" t="str">
        <x:f>IF(AND(AE627="active",M627="yes",NOT(ISNUMBER(SEARCH("healthy",AB627)))),"yes","no")</x:f>
        <x:v>no</x:v>
      </x:c>
      <x:c r="AH627" s="12" t="str">
        <x:f>IF(OR(H627="contextual",H627="dialogue",H627="discourse",I627="claim+context",I627="discourse_segment"),"yes","no")</x:f>
        <x:v>yes</x:v>
      </x:c>
      <x:c r="AI627" s="12" t="str">
        <x:f>IF(OR(AH627="yes",AD627="debated",AC627="operational"),"yes","no")</x:f>
        <x:v>yes</x:v>
      </x:c>
      <x:c r="AJ627" s="12" t="str">
        <x:f>IF(OR(AH627="yes",AC627="operational",AD627="debated"),"high",IF(AND(AG627="yes",L627="P0"),"medium","low"))</x:f>
        <x:v>high</x:v>
      </x:c>
      <x:c r="AK627" s="12" t="str">
        <x:f>IF(ISNUMBER(SEARCH("healthy",AB627)),"yes","no")</x:f>
        <x:v>no</x:v>
      </x:c>
      <x:c r="AL627" s="12" t="str">
        <x:f>IF(AG627="yes","yes","candidate_only")</x:f>
        <x:v>candidate_only</x:v>
      </x:c>
      <x:c r="AM627" s="12" t="str">
        <x:f>IF(OR(AC627="canonical",AG627="yes"),"yes","recommended")</x:f>
        <x:v>recommended</x:v>
      </x:c>
      <x:c r="AN627" s="12" t="str">
        <x:f>IF(AC627="deprecated","exclude",IF(AND(AG627="yes",AJ627="high"),"import_but_human_review_required",IF(AG627="yes","import_as_active","import_as_backlog")))</x:f>
        <x:v>import_as_backlog</x:v>
      </x:c>
      <x:c r="AO627" s="12" t="str">
        <x:f>IF(AND(AG627="yes",OR(P627="",Q627="",R627="",S627="")),"missing_required_mvp_fields",IF(AND(AC627="canonical",Y627=""),"missing_source_ref","ok"))</x:f>
        <x:v>ok</x:v>
      </x:c>
      <x:c r="AP627" s="12" t="str">
        <x:f>IF(AO627="ok","ready_for_codex_import","needs_review")</x:f>
        <x:v>ready_for_codex_import</x:v>
      </x:c>
      <x:c r="AQ627" s="12"/>
      <x:c r="AR627" s="12" t="str">
        <x:v>Added v2 operational fields. Review before classification activation.</x:v>
      </x:c>
    </x:row>
    <x:row r="628">
      <x:c r="A628" s="13" t="str">
        <x:v>compromise_effect_time_or_friction_variant</x:v>
      </x:c>
      <x:c r="B628" s="13" t="str">
        <x:v>compromise_effect</x:v>
      </x:c>
      <x:c r="C628" s="13" t="str">
        <x:v>Compromise effect</x:v>
      </x:c>
      <x:c r="D628" s="13" t="str">
        <x:v>اثر گزینه میانی</x:v>
      </x:c>
      <x:c r="E628" s="13" t="str">
        <x:v>Time/friction variant</x:v>
      </x:c>
      <x:c r="F628" s="13" t="str">
        <x:v>decision_biases_behavioural_economics</x:v>
      </x:c>
      <x:c r="G628" s="13" t="str">
        <x:v>operational_variant</x:v>
      </x:c>
      <x:c r="H628" s="13" t="str">
        <x:v>contextual</x:v>
      </x:c>
      <x:c r="I628" s="13" t="str">
        <x:v>claim+context</x:v>
      </x:c>
      <x:c r="J628" s="13" t="str">
        <x:v>derived_operational_subtype</x:v>
      </x:c>
      <x:c r="K628" s="13" t="str">
        <x:v>derived_from_established_parent_review_required</x:v>
      </x:c>
      <x:c r="L628" s="13" t="str">
        <x:v>P3</x:v>
      </x:c>
      <x:c r="M628" s="13" t="str">
        <x:v>no</x:v>
      </x:c>
      <x:c r="N628" s="13" t="str">
        <x:v>Operational subtype under Compromise effect: short-term costs, delays, or friction distort evaluation. Parent definition: Preferring middle options because they appear safer or balanced.</x:v>
      </x:c>
      <x:c r="O628" s="13" t="str">
        <x:v>Look for: explicit claim-level evidence; parent-family cues for Compromise effect; variant cue: short-term costs, delays, or friction distort evaluation; avoid author-level inference.</x:v>
      </x:c>
      <x:c r="P628" s="13" t="str">
        <x:v>Exact evidence span in text plus claim-level reasoning link; for contextual/discourse entries, require surrounding context.</x:v>
      </x:c>
      <x:c r="Q628" s="13" t="str">
        <x:v>Do not label merely because topic is controversial, emotional, or wrong. Do not judge intent or personality. Require textual evidence and consider healthy-reasoning cues.</x:v>
      </x:c>
      <x:c r="R628" s="13" t="str">
        <x:v>Stub: A claim relies on short-term costs, delays, or friction distort evaluation to support a conclusion without adequate qualification.</x:v>
      </x:c>
      <x:c r="S628" s="13" t="str">
        <x:v>Stub: A claim discusses compromise effect with caveats, balanced evidence, or no argumentative use of the pattern.</x:v>
      </x:c>
      <x:c r="T628" s="13" t="str">
        <x:v>Mild or ambiguous cue; do not classify without clear evidence span.</x:v>
      </x:c>
      <x:c r="U628" s="13" t="str">
        <x:v>Clear claim-level pattern with some argumentative impact.</x:v>
      </x:c>
      <x:c r="V628" s="13" t="str">
        <x:v>Strong pattern central to the conclusion and likely to materially distort reasoning.</x:v>
      </x:c>
      <x:c r="W628" s="13" t="str"/>
      <x:c r="X628" s="13" t="str">
        <x:v>thaler_sunstein_nudge</x:v>
      </x:c>
      <x:c r="Y628" s="13" t="str">
        <x:v>https://yalebooks.yale.edu/book/9780300262285/nudge/</x:v>
      </x:c>
      <x:c r="Z628" s="13" t="str">
        <x:v>Review before enabling. This workbook is a living taxonomy scaffold, not a validated scientific benchmark.</x:v>
      </x:c>
      <x:c r="AA628" s="13" t="str">
        <x:v>0.1.0-draft</x:v>
      </x:c>
      <x:c r="AB628" s="12" t="str">
        <x:f>IF(ISNUMBER(SEARCH("healthy",F628)),"healthy_reasoning_patterns",IF(ISNUMBER(SEARCH("statistical",F628)),"statistical_reasoning",IF(ISNUMBER(SEARCH("causal",F628)),"causal_reasoning",IF(ISNUMBER(SEARCH("social",F628)),"social_influence",IF(ISNUMBER(SEARCH("rhetoric",F628)),"rhetoric_discourse",IF(ISNUMBER(SEARCH("behavior",F628)),"behavioural_economics",IF(ISNUMBER(SEARCH("cognitive",F628)),"cognitive_biases",IF(J628="protective_pattern","healthy_reasoning_patterns",IF(L628="P0","core_mvp","extended_fallacies")))))))))</x:f>
        <x:v>extended_fallacies</x:v>
      </x:c>
      <x:c r="AC628" s="12" t="str">
        <x:f>IF(ISNUMBER(SEARCH("operational",J628)),"operational",IF(ISNUMBER(SEARCH("deprecated",J628)),"deprecated",IF(L628="P0","canonical","recognized_subtype")))</x:f>
        <x:v>operational</x:v>
      </x:c>
      <x:c r="AD628" s="12" t="str">
        <x:f>IF(AC628="canonical","high",IF(AC628="recognized_subtype","medium",IF(AC628="operational","operational_only","debated")))</x:f>
        <x:v>operational_only</x:v>
      </x:c>
      <x:c r="AE628" s="12" t="str">
        <x:f>IF(AC628="deprecated","deprecated",IF(M628="yes","active",IF(M628="review","review_required","backlog")))</x:f>
        <x:v>backlog</x:v>
      </x:c>
      <x:c r="AF628" s="12" t="str">
        <x:f>IF(OR(AE628="active",AE628="review_required"),"yes","no")</x:f>
        <x:v>no</x:v>
      </x:c>
      <x:c r="AG628" s="12" t="str">
        <x:f>IF(AND(AE628="active",M628="yes",NOT(ISNUMBER(SEARCH("healthy",AB628)))),"yes","no")</x:f>
        <x:v>no</x:v>
      </x:c>
      <x:c r="AH628" s="12" t="str">
        <x:f>IF(OR(H628="contextual",H628="dialogue",H628="discourse",I628="claim+context",I628="discourse_segment"),"yes","no")</x:f>
        <x:v>yes</x:v>
      </x:c>
      <x:c r="AI628" s="12" t="str">
        <x:f>IF(OR(AH628="yes",AD628="debated",AC628="operational"),"yes","no")</x:f>
        <x:v>yes</x:v>
      </x:c>
      <x:c r="AJ628" s="12" t="str">
        <x:f>IF(OR(AH628="yes",AC628="operational",AD628="debated"),"high",IF(AND(AG628="yes",L628="P0"),"medium","low"))</x:f>
        <x:v>high</x:v>
      </x:c>
      <x:c r="AK628" s="12" t="str">
        <x:f>IF(ISNUMBER(SEARCH("healthy",AB628)),"yes","no")</x:f>
        <x:v>no</x:v>
      </x:c>
      <x:c r="AL628" s="12" t="str">
        <x:f>IF(AG628="yes","yes","candidate_only")</x:f>
        <x:v>candidate_only</x:v>
      </x:c>
      <x:c r="AM628" s="12" t="str">
        <x:f>IF(OR(AC628="canonical",AG628="yes"),"yes","recommended")</x:f>
        <x:v>recommended</x:v>
      </x:c>
      <x:c r="AN628" s="12" t="str">
        <x:f>IF(AC628="deprecated","exclude",IF(AND(AG628="yes",AJ628="high"),"import_but_human_review_required",IF(AG628="yes","import_as_active","import_as_backlog")))</x:f>
        <x:v>import_as_backlog</x:v>
      </x:c>
      <x:c r="AO628" s="12" t="str">
        <x:f>IF(AND(AG628="yes",OR(P628="",Q628="",R628="",S628="")),"missing_required_mvp_fields",IF(AND(AC628="canonical",Y628=""),"missing_source_ref","ok"))</x:f>
        <x:v>ok</x:v>
      </x:c>
      <x:c r="AP628" s="12" t="str">
        <x:f>IF(AO628="ok","ready_for_codex_import","needs_review")</x:f>
        <x:v>ready_for_codex_import</x:v>
      </x:c>
      <x:c r="AQ628" s="12"/>
      <x:c r="AR628" s="12" t="str">
        <x:v>Added v2 operational fields. Review before classification activation.</x:v>
      </x:c>
    </x:row>
    <x:row r="629">
      <x:c r="A629" s="13" t="str">
        <x:v>scarcity_bias_time_or_friction_variant</x:v>
      </x:c>
      <x:c r="B629" s="13" t="str">
        <x:v>scarcity_bias</x:v>
      </x:c>
      <x:c r="C629" s="13" t="str">
        <x:v>Scarcity bias</x:v>
      </x:c>
      <x:c r="D629" s="13" t="str">
        <x:v>سوگیری کمیابی</x:v>
      </x:c>
      <x:c r="E629" s="13" t="str">
        <x:v>Time/friction variant</x:v>
      </x:c>
      <x:c r="F629" s="13" t="str">
        <x:v>decision_biases_behavioural_economics</x:v>
      </x:c>
      <x:c r="G629" s="13" t="str">
        <x:v>operational_variant</x:v>
      </x:c>
      <x:c r="H629" s="13" t="str">
        <x:v>discourse</x:v>
      </x:c>
      <x:c r="I629" s="13" t="str">
        <x:v>discourse_segment</x:v>
      </x:c>
      <x:c r="J629" s="13" t="str">
        <x:v>derived_operational_subtype</x:v>
      </x:c>
      <x:c r="K629" s="13" t="str">
        <x:v>derived_from_established_parent_review_required</x:v>
      </x:c>
      <x:c r="L629" s="13" t="str">
        <x:v>P3</x:v>
      </x:c>
      <x:c r="M629" s="13" t="str">
        <x:v>no</x:v>
      </x:c>
      <x:c r="N629" s="13" t="str">
        <x:v>Operational subtype under Scarcity bias: short-term costs, delays, or friction distort evaluation. Parent definition: Overvaluing something because it is framed as scarce.</x:v>
      </x:c>
      <x:c r="O629" s="13" t="str">
        <x:v>Look for: explicit claim-level evidence; parent-family cues for Scarcity bias; variant cue: short-term costs, delays, or friction distort evaluation; avoid author-level inference.</x:v>
      </x:c>
      <x:c r="P629" s="13" t="str">
        <x:v>Exact evidence span in text plus claim-level reasoning link; for contextual/discourse entries, require surrounding context.</x:v>
      </x:c>
      <x:c r="Q629" s="13" t="str">
        <x:v>Do not label merely because topic is controversial, emotional, or wrong. Do not judge intent or personality. Require textual evidence and consider healthy-reasoning cues.</x:v>
      </x:c>
      <x:c r="R629" s="13" t="str">
        <x:v>Stub: A claim relies on short-term costs, delays, or friction distort evaluation to support a conclusion without adequate qualification.</x:v>
      </x:c>
      <x:c r="S629" s="13" t="str">
        <x:v>Stub: A claim discusses scarcity bias with caveats, balanced evidence, or no argumentative use of the pattern.</x:v>
      </x:c>
      <x:c r="T629" s="13" t="str">
        <x:v>Mild or ambiguous cue; do not classify without clear evidence span.</x:v>
      </x:c>
      <x:c r="U629" s="13" t="str">
        <x:v>Clear claim-level pattern with some argumentative impact.</x:v>
      </x:c>
      <x:c r="V629" s="13" t="str">
        <x:v>Strong pattern central to the conclusion and likely to materially distort reasoning.</x:v>
      </x:c>
      <x:c r="W629" s="13" t="str"/>
      <x:c r="X629" s="13" t="str">
        <x:v>cialdini_influence</x:v>
      </x:c>
      <x:c r="Y629" s="13" t="str">
        <x:v>https://www.pearson.com/en-us/subject-catalog/p/influence-science-and-practice/P200000003004</x:v>
      </x:c>
      <x:c r="Z629" s="13" t="str">
        <x:v>Review before enabling. This workbook is a living taxonomy scaffold, not a validated scientific benchmark.</x:v>
      </x:c>
      <x:c r="AA629" s="13" t="str">
        <x:v>0.1.0-draft</x:v>
      </x:c>
      <x:c r="AB629" s="12" t="str">
        <x:f>IF(ISNUMBER(SEARCH("healthy",F629)),"healthy_reasoning_patterns",IF(ISNUMBER(SEARCH("statistical",F629)),"statistical_reasoning",IF(ISNUMBER(SEARCH("causal",F629)),"causal_reasoning",IF(ISNUMBER(SEARCH("social",F629)),"social_influence",IF(ISNUMBER(SEARCH("rhetoric",F629)),"rhetoric_discourse",IF(ISNUMBER(SEARCH("behavior",F629)),"behavioural_economics",IF(ISNUMBER(SEARCH("cognitive",F629)),"cognitive_biases",IF(J629="protective_pattern","healthy_reasoning_patterns",IF(L629="P0","core_mvp","extended_fallacies")))))))))</x:f>
        <x:v>extended_fallacies</x:v>
      </x:c>
      <x:c r="AC629" s="12" t="str">
        <x:f>IF(ISNUMBER(SEARCH("operational",J629)),"operational",IF(ISNUMBER(SEARCH("deprecated",J629)),"deprecated",IF(L629="P0","canonical","recognized_subtype")))</x:f>
        <x:v>operational</x:v>
      </x:c>
      <x:c r="AD629" s="12" t="str">
        <x:f>IF(AC629="canonical","high",IF(AC629="recognized_subtype","medium",IF(AC629="operational","operational_only","debated")))</x:f>
        <x:v>operational_only</x:v>
      </x:c>
      <x:c r="AE629" s="12" t="str">
        <x:f>IF(AC629="deprecated","deprecated",IF(M629="yes","active",IF(M629="review","review_required","backlog")))</x:f>
        <x:v>backlog</x:v>
      </x:c>
      <x:c r="AF629" s="12" t="str">
        <x:f>IF(OR(AE629="active",AE629="review_required"),"yes","no")</x:f>
        <x:v>no</x:v>
      </x:c>
      <x:c r="AG629" s="12" t="str">
        <x:f>IF(AND(AE629="active",M629="yes",NOT(ISNUMBER(SEARCH("healthy",AB629)))),"yes","no")</x:f>
        <x:v>no</x:v>
      </x:c>
      <x:c r="AH629" s="12" t="str">
        <x:f>IF(OR(H629="contextual",H629="dialogue",H629="discourse",I629="claim+context",I629="discourse_segment"),"yes","no")</x:f>
        <x:v>yes</x:v>
      </x:c>
      <x:c r="AI629" s="12" t="str">
        <x:f>IF(OR(AH629="yes",AD629="debated",AC629="operational"),"yes","no")</x:f>
        <x:v>yes</x:v>
      </x:c>
      <x:c r="AJ629" s="12" t="str">
        <x:f>IF(OR(AH629="yes",AC629="operational",AD629="debated"),"high",IF(AND(AG629="yes",L629="P0"),"medium","low"))</x:f>
        <x:v>high</x:v>
      </x:c>
      <x:c r="AK629" s="12" t="str">
        <x:f>IF(ISNUMBER(SEARCH("healthy",AB629)),"yes","no")</x:f>
        <x:v>no</x:v>
      </x:c>
      <x:c r="AL629" s="12" t="str">
        <x:f>IF(AG629="yes","yes","candidate_only")</x:f>
        <x:v>candidate_only</x:v>
      </x:c>
      <x:c r="AM629" s="12" t="str">
        <x:f>IF(OR(AC629="canonical",AG629="yes"),"yes","recommended")</x:f>
        <x:v>recommended</x:v>
      </x:c>
      <x:c r="AN629" s="12" t="str">
        <x:f>IF(AC629="deprecated","exclude",IF(AND(AG629="yes",AJ629="high"),"import_but_human_review_required",IF(AG629="yes","import_as_active","import_as_backlog")))</x:f>
        <x:v>import_as_backlog</x:v>
      </x:c>
      <x:c r="AO629" s="12" t="str">
        <x:f>IF(AND(AG629="yes",OR(P629="",Q629="",R629="",S629="")),"missing_required_mvp_fields",IF(AND(AC629="canonical",Y629=""),"missing_source_ref","ok"))</x:f>
        <x:v>ok</x:v>
      </x:c>
      <x:c r="AP629" s="12" t="str">
        <x:f>IF(AO629="ok","ready_for_codex_import","needs_review")</x:f>
        <x:v>ready_for_codex_import</x:v>
      </x:c>
      <x:c r="AQ629" s="12"/>
      <x:c r="AR629" s="12" t="str">
        <x:v>Added v2 operational fields. Review before classification activation.</x:v>
      </x:c>
    </x:row>
    <x:row r="630">
      <x:c r="A630" s="13" t="str">
        <x:v>zero_price_effect_time_or_friction_variant</x:v>
      </x:c>
      <x:c r="B630" s="13" t="str">
        <x:v>zero_price_effect</x:v>
      </x:c>
      <x:c r="C630" s="13" t="str">
        <x:v>Zero-price effect</x:v>
      </x:c>
      <x:c r="D630" s="13" t="str">
        <x:v>اثر قیمت صفر</x:v>
      </x:c>
      <x:c r="E630" s="13" t="str">
        <x:v>Time/friction variant</x:v>
      </x:c>
      <x:c r="F630" s="13" t="str">
        <x:v>decision_biases_behavioural_economics</x:v>
      </x:c>
      <x:c r="G630" s="13" t="str">
        <x:v>operational_variant</x:v>
      </x:c>
      <x:c r="H630" s="13" t="str">
        <x:v>contextual</x:v>
      </x:c>
      <x:c r="I630" s="13" t="str">
        <x:v>claim+context</x:v>
      </x:c>
      <x:c r="J630" s="13" t="str">
        <x:v>derived_operational_subtype</x:v>
      </x:c>
      <x:c r="K630" s="13" t="str">
        <x:v>derived_from_established_parent_review_required</x:v>
      </x:c>
      <x:c r="L630" s="13" t="str">
        <x:v>P3</x:v>
      </x:c>
      <x:c r="M630" s="13" t="str">
        <x:v>no</x:v>
      </x:c>
      <x:c r="N630" s="13" t="str">
        <x:v>Operational subtype under Zero-price effect: short-term costs, delays, or friction distort evaluation. Parent definition: Overvaluing free options relative to small-cost alternatives.</x:v>
      </x:c>
      <x:c r="O630" s="13" t="str">
        <x:v>Look for: explicit claim-level evidence; parent-family cues for Zero-price effect; variant cue: short-term costs, delays, or friction distort evaluation; avoid author-level inference.</x:v>
      </x:c>
      <x:c r="P630" s="13" t="str">
        <x:v>Exact evidence span in text plus claim-level reasoning link; for contextual/discourse entries, require surrounding context.</x:v>
      </x:c>
      <x:c r="Q630" s="13" t="str">
        <x:v>Do not label merely because topic is controversial, emotional, or wrong. Do not judge intent or personality. Require textual evidence and consider healthy-reasoning cues.</x:v>
      </x:c>
      <x:c r="R630" s="13" t="str">
        <x:v>Stub: A claim relies on short-term costs, delays, or friction distort evaluation to support a conclusion without adequate qualification.</x:v>
      </x:c>
      <x:c r="S630" s="13" t="str">
        <x:v>Stub: A claim discusses zero-price effect with caveats, balanced evidence, or no argumentative use of the pattern.</x:v>
      </x:c>
      <x:c r="T630" s="13" t="str">
        <x:v>Mild or ambiguous cue; do not classify without clear evidence span.</x:v>
      </x:c>
      <x:c r="U630" s="13" t="str">
        <x:v>Clear claim-level pattern with some argumentative impact.</x:v>
      </x:c>
      <x:c r="V630" s="13" t="str">
        <x:v>Strong pattern central to the conclusion and likely to materially distort reasoning.</x:v>
      </x:c>
      <x:c r="W630" s="13" t="str"/>
      <x:c r="X630" s="13" t="str">
        <x:v>thaler_sunstein_nudge</x:v>
      </x:c>
      <x:c r="Y630" s="13" t="str">
        <x:v>https://yalebooks.yale.edu/book/9780300262285/nudge/</x:v>
      </x:c>
      <x:c r="Z630" s="13" t="str">
        <x:v>Review before enabling. This workbook is a living taxonomy scaffold, not a validated scientific benchmark.</x:v>
      </x:c>
      <x:c r="AA630" s="13" t="str">
        <x:v>0.1.0-draft</x:v>
      </x:c>
      <x:c r="AB630" s="12" t="str">
        <x:f>IF(ISNUMBER(SEARCH("healthy",F630)),"healthy_reasoning_patterns",IF(ISNUMBER(SEARCH("statistical",F630)),"statistical_reasoning",IF(ISNUMBER(SEARCH("causal",F630)),"causal_reasoning",IF(ISNUMBER(SEARCH("social",F630)),"social_influence",IF(ISNUMBER(SEARCH("rhetoric",F630)),"rhetoric_discourse",IF(ISNUMBER(SEARCH("behavior",F630)),"behavioural_economics",IF(ISNUMBER(SEARCH("cognitive",F630)),"cognitive_biases",IF(J630="protective_pattern","healthy_reasoning_patterns",IF(L630="P0","core_mvp","extended_fallacies")))))))))</x:f>
        <x:v>extended_fallacies</x:v>
      </x:c>
      <x:c r="AC630" s="12" t="str">
        <x:f>IF(ISNUMBER(SEARCH("operational",J630)),"operational",IF(ISNUMBER(SEARCH("deprecated",J630)),"deprecated",IF(L630="P0","canonical","recognized_subtype")))</x:f>
        <x:v>operational</x:v>
      </x:c>
      <x:c r="AD630" s="12" t="str">
        <x:f>IF(AC630="canonical","high",IF(AC630="recognized_subtype","medium",IF(AC630="operational","operational_only","debated")))</x:f>
        <x:v>operational_only</x:v>
      </x:c>
      <x:c r="AE630" s="12" t="str">
        <x:f>IF(AC630="deprecated","deprecated",IF(M630="yes","active",IF(M630="review","review_required","backlog")))</x:f>
        <x:v>backlog</x:v>
      </x:c>
      <x:c r="AF630" s="12" t="str">
        <x:f>IF(OR(AE630="active",AE630="review_required"),"yes","no")</x:f>
        <x:v>no</x:v>
      </x:c>
      <x:c r="AG630" s="12" t="str">
        <x:f>IF(AND(AE630="active",M630="yes",NOT(ISNUMBER(SEARCH("healthy",AB630)))),"yes","no")</x:f>
        <x:v>no</x:v>
      </x:c>
      <x:c r="AH630" s="12" t="str">
        <x:f>IF(OR(H630="contextual",H630="dialogue",H630="discourse",I630="claim+context",I630="discourse_segment"),"yes","no")</x:f>
        <x:v>yes</x:v>
      </x:c>
      <x:c r="AI630" s="12" t="str">
        <x:f>IF(OR(AH630="yes",AD630="debated",AC630="operational"),"yes","no")</x:f>
        <x:v>yes</x:v>
      </x:c>
      <x:c r="AJ630" s="12" t="str">
        <x:f>IF(OR(AH630="yes",AC630="operational",AD630="debated"),"high",IF(AND(AG630="yes",L630="P0"),"medium","low"))</x:f>
        <x:v>high</x:v>
      </x:c>
      <x:c r="AK630" s="12" t="str">
        <x:f>IF(ISNUMBER(SEARCH("healthy",AB630)),"yes","no")</x:f>
        <x:v>no</x:v>
      </x:c>
      <x:c r="AL630" s="12" t="str">
        <x:f>IF(AG630="yes","yes","candidate_only")</x:f>
        <x:v>candidate_only</x:v>
      </x:c>
      <x:c r="AM630" s="12" t="str">
        <x:f>IF(OR(AC630="canonical",AG630="yes"),"yes","recommended")</x:f>
        <x:v>recommended</x:v>
      </x:c>
      <x:c r="AN630" s="12" t="str">
        <x:f>IF(AC630="deprecated","exclude",IF(AND(AG630="yes",AJ630="high"),"import_but_human_review_required",IF(AG630="yes","import_as_active","import_as_backlog")))</x:f>
        <x:v>import_as_backlog</x:v>
      </x:c>
      <x:c r="AO630" s="12" t="str">
        <x:f>IF(AND(AG630="yes",OR(P630="",Q630="",R630="",S630="")),"missing_required_mvp_fields",IF(AND(AC630="canonical",Y630=""),"missing_source_ref","ok"))</x:f>
        <x:v>ok</x:v>
      </x:c>
      <x:c r="AP630" s="12" t="str">
        <x:f>IF(AO630="ok","ready_for_codex_import","needs_review")</x:f>
        <x:v>ready_for_codex_import</x:v>
      </x:c>
      <x:c r="AQ630" s="12"/>
      <x:c r="AR630" s="12" t="str">
        <x:v>Added v2 operational fields. Review before classification activation.</x:v>
      </x:c>
    </x:row>
    <x:row r="631">
      <x:c r="A631" s="13" t="str">
        <x:v>mental_accounting_time_or_friction_variant</x:v>
      </x:c>
      <x:c r="B631" s="13" t="str">
        <x:v>mental_accounting</x:v>
      </x:c>
      <x:c r="C631" s="13" t="str">
        <x:v>Mental accounting</x:v>
      </x:c>
      <x:c r="D631" s="13" t="str">
        <x:v>حسابداری ذهنی</x:v>
      </x:c>
      <x:c r="E631" s="13" t="str">
        <x:v>Time/friction variant</x:v>
      </x:c>
      <x:c r="F631" s="13" t="str">
        <x:v>decision_biases_behavioural_economics</x:v>
      </x:c>
      <x:c r="G631" s="13" t="str">
        <x:v>operational_variant</x:v>
      </x:c>
      <x:c r="H631" s="13" t="str">
        <x:v>contextual</x:v>
      </x:c>
      <x:c r="I631" s="13" t="str">
        <x:v>claim+context</x:v>
      </x:c>
      <x:c r="J631" s="13" t="str">
        <x:v>derived_operational_subtype</x:v>
      </x:c>
      <x:c r="K631" s="13" t="str">
        <x:v>derived_from_established_parent_review_required</x:v>
      </x:c>
      <x:c r="L631" s="13" t="str">
        <x:v>P3</x:v>
      </x:c>
      <x:c r="M631" s="13" t="str">
        <x:v>no</x:v>
      </x:c>
      <x:c r="N631" s="13" t="str">
        <x:v>Operational subtype under Mental accounting: short-term costs, delays, or friction distort evaluation. Parent definition: Treating money or resources differently based on arbitrary mental categories.</x:v>
      </x:c>
      <x:c r="O631" s="13" t="str">
        <x:v>Look for: explicit claim-level evidence; parent-family cues for Mental accounting; variant cue: short-term costs, delays, or friction distort evaluation; avoid author-level inference.</x:v>
      </x:c>
      <x:c r="P631" s="13" t="str">
        <x:v>Exact evidence span in text plus claim-level reasoning link; for contextual/discourse entries, require surrounding context.</x:v>
      </x:c>
      <x:c r="Q631" s="13" t="str">
        <x:v>Do not label merely because topic is controversial, emotional, or wrong. Do not judge intent or personality. Require textual evidence and consider healthy-reasoning cues.</x:v>
      </x:c>
      <x:c r="R631" s="13" t="str">
        <x:v>Stub: A claim relies on short-term costs, delays, or friction distort evaluation to support a conclusion without adequate qualification.</x:v>
      </x:c>
      <x:c r="S631" s="13" t="str">
        <x:v>Stub: A claim discusses mental accounting with caveats, balanced evidence, or no argumentative use of the pattern.</x:v>
      </x:c>
      <x:c r="T631" s="13" t="str">
        <x:v>Mild or ambiguous cue; do not classify without clear evidence span.</x:v>
      </x:c>
      <x:c r="U631" s="13" t="str">
        <x:v>Clear claim-level pattern with some argumentative impact.</x:v>
      </x:c>
      <x:c r="V631" s="13" t="str">
        <x:v>Strong pattern central to the conclusion and likely to materially distort reasoning.</x:v>
      </x:c>
      <x:c r="W631" s="13" t="str"/>
      <x:c r="X631" s="13" t="str">
        <x:v>thaler_sunstein_nudge</x:v>
      </x:c>
      <x:c r="Y631" s="13" t="str">
        <x:v>https://yalebooks.yale.edu/book/9780300262285/nudge/</x:v>
      </x:c>
      <x:c r="Z631" s="13" t="str">
        <x:v>Review before enabling. This workbook is a living taxonomy scaffold, not a validated scientific benchmark.</x:v>
      </x:c>
      <x:c r="AA631" s="13" t="str">
        <x:v>0.1.0-draft</x:v>
      </x:c>
      <x:c r="AB631" s="12" t="str">
        <x:f>IF(ISNUMBER(SEARCH("healthy",F631)),"healthy_reasoning_patterns",IF(ISNUMBER(SEARCH("statistical",F631)),"statistical_reasoning",IF(ISNUMBER(SEARCH("causal",F631)),"causal_reasoning",IF(ISNUMBER(SEARCH("social",F631)),"social_influence",IF(ISNUMBER(SEARCH("rhetoric",F631)),"rhetoric_discourse",IF(ISNUMBER(SEARCH("behavior",F631)),"behavioural_economics",IF(ISNUMBER(SEARCH("cognitive",F631)),"cognitive_biases",IF(J631="protective_pattern","healthy_reasoning_patterns",IF(L631="P0","core_mvp","extended_fallacies")))))))))</x:f>
        <x:v>extended_fallacies</x:v>
      </x:c>
      <x:c r="AC631" s="12" t="str">
        <x:f>IF(ISNUMBER(SEARCH("operational",J631)),"operational",IF(ISNUMBER(SEARCH("deprecated",J631)),"deprecated",IF(L631="P0","canonical","recognized_subtype")))</x:f>
        <x:v>operational</x:v>
      </x:c>
      <x:c r="AD631" s="12" t="str">
        <x:f>IF(AC631="canonical","high",IF(AC631="recognized_subtype","medium",IF(AC631="operational","operational_only","debated")))</x:f>
        <x:v>operational_only</x:v>
      </x:c>
      <x:c r="AE631" s="12" t="str">
        <x:f>IF(AC631="deprecated","deprecated",IF(M631="yes","active",IF(M631="review","review_required","backlog")))</x:f>
        <x:v>backlog</x:v>
      </x:c>
      <x:c r="AF631" s="12" t="str">
        <x:f>IF(OR(AE631="active",AE631="review_required"),"yes","no")</x:f>
        <x:v>no</x:v>
      </x:c>
      <x:c r="AG631" s="12" t="str">
        <x:f>IF(AND(AE631="active",M631="yes",NOT(ISNUMBER(SEARCH("healthy",AB631)))),"yes","no")</x:f>
        <x:v>no</x:v>
      </x:c>
      <x:c r="AH631" s="12" t="str">
        <x:f>IF(OR(H631="contextual",H631="dialogue",H631="discourse",I631="claim+context",I631="discourse_segment"),"yes","no")</x:f>
        <x:v>yes</x:v>
      </x:c>
      <x:c r="AI631" s="12" t="str">
        <x:f>IF(OR(AH631="yes",AD631="debated",AC631="operational"),"yes","no")</x:f>
        <x:v>yes</x:v>
      </x:c>
      <x:c r="AJ631" s="12" t="str">
        <x:f>IF(OR(AH631="yes",AC631="operational",AD631="debated"),"high",IF(AND(AG631="yes",L631="P0"),"medium","low"))</x:f>
        <x:v>high</x:v>
      </x:c>
      <x:c r="AK631" s="12" t="str">
        <x:f>IF(ISNUMBER(SEARCH("healthy",AB631)),"yes","no")</x:f>
        <x:v>no</x:v>
      </x:c>
      <x:c r="AL631" s="12" t="str">
        <x:f>IF(AG631="yes","yes","candidate_only")</x:f>
        <x:v>candidate_only</x:v>
      </x:c>
      <x:c r="AM631" s="12" t="str">
        <x:f>IF(OR(AC631="canonical",AG631="yes"),"yes","recommended")</x:f>
        <x:v>recommended</x:v>
      </x:c>
      <x:c r="AN631" s="12" t="str">
        <x:f>IF(AC631="deprecated","exclude",IF(AND(AG631="yes",AJ631="high"),"import_but_human_review_required",IF(AG631="yes","import_as_active","import_as_backlog")))</x:f>
        <x:v>import_as_backlog</x:v>
      </x:c>
      <x:c r="AO631" s="12" t="str">
        <x:f>IF(AND(AG631="yes",OR(P631="",Q631="",R631="",S631="")),"missing_required_mvp_fields",IF(AND(AC631="canonical",Y631=""),"missing_source_ref","ok"))</x:f>
        <x:v>ok</x:v>
      </x:c>
      <x:c r="AP631" s="12" t="str">
        <x:f>IF(AO631="ok","ready_for_codex_import","needs_review")</x:f>
        <x:v>ready_for_codex_import</x:v>
      </x:c>
      <x:c r="AQ631" s="12"/>
      <x:c r="AR631" s="12" t="str">
        <x:v>Added v2 operational fields. Review before classification activation.</x:v>
      </x:c>
    </x:row>
    <x:row r="632">
      <x:c r="A632" s="13" t="str">
        <x:v>reference_dependence_time_or_friction_variant</x:v>
      </x:c>
      <x:c r="B632" s="13" t="str">
        <x:v>reference_dependence</x:v>
      </x:c>
      <x:c r="C632" s="13" t="str">
        <x:v>Reference dependence</x:v>
      </x:c>
      <x:c r="D632" s="13" t="str">
        <x:v>وابستگی به نقطه مرجع</x:v>
      </x:c>
      <x:c r="E632" s="13" t="str">
        <x:v>Time/friction variant</x:v>
      </x:c>
      <x:c r="F632" s="13" t="str">
        <x:v>decision_biases_behavioural_economics</x:v>
      </x:c>
      <x:c r="G632" s="13" t="str">
        <x:v>operational_variant</x:v>
      </x:c>
      <x:c r="H632" s="13" t="str">
        <x:v>contextual</x:v>
      </x:c>
      <x:c r="I632" s="13" t="str">
        <x:v>claim+context</x:v>
      </x:c>
      <x:c r="J632" s="13" t="str">
        <x:v>derived_operational_subtype</x:v>
      </x:c>
      <x:c r="K632" s="13" t="str">
        <x:v>derived_from_established_parent_review_required</x:v>
      </x:c>
      <x:c r="L632" s="13" t="str">
        <x:v>P3</x:v>
      </x:c>
      <x:c r="M632" s="13" t="str">
        <x:v>no</x:v>
      </x:c>
      <x:c r="N632" s="13" t="str">
        <x:v>Operational subtype under Reference dependence: short-term costs, delays, or friction distort evaluation. Parent definition: Evaluating outcomes relative to a reference point rather than final state.</x:v>
      </x:c>
      <x:c r="O632" s="13" t="str">
        <x:v>Look for: explicit claim-level evidence; parent-family cues for Reference dependence; variant cue: short-term costs, delays, or friction distort evaluation; avoid author-level inference.</x:v>
      </x:c>
      <x:c r="P632" s="13" t="str">
        <x:v>Exact evidence span in text plus claim-level reasoning link; for contextual/discourse entries, require surrounding context.</x:v>
      </x:c>
      <x:c r="Q632" s="13" t="str">
        <x:v>Do not label merely because topic is controversial, emotional, or wrong. Do not judge intent or personality. Require textual evidence and consider healthy-reasoning cues.</x:v>
      </x:c>
      <x:c r="R632" s="13" t="str">
        <x:v>Stub: A claim relies on short-term costs, delays, or friction distort evaluation to support a conclusion without adequate qualification.</x:v>
      </x:c>
      <x:c r="S632" s="13" t="str">
        <x:v>Stub: A claim discusses reference dependence with caveats, balanced evidence, or no argumentative use of the pattern.</x:v>
      </x:c>
      <x:c r="T632" s="13" t="str">
        <x:v>Mild or ambiguous cue; do not classify without clear evidence span.</x:v>
      </x:c>
      <x:c r="U632" s="13" t="str">
        <x:v>Clear claim-level pattern with some argumentative impact.</x:v>
      </x:c>
      <x:c r="V632" s="13" t="str">
        <x:v>Strong pattern central to the conclusion and likely to materially distort reasoning.</x:v>
      </x:c>
      <x:c r="W632" s="13" t="str"/>
      <x:c r="X632" s="13" t="str">
        <x:v>kahneman_tversky_prospect_1979</x:v>
      </x:c>
      <x:c r="Y632" s="13" t="str">
        <x:v>https://doi.org/10.2307/1914185</x:v>
      </x:c>
      <x:c r="Z632" s="13" t="str">
        <x:v>Review before enabling. This workbook is a living taxonomy scaffold, not a validated scientific benchmark.</x:v>
      </x:c>
      <x:c r="AA632" s="13" t="str">
        <x:v>0.1.0-draft</x:v>
      </x:c>
      <x:c r="AB632" s="12" t="str">
        <x:f>IF(ISNUMBER(SEARCH("healthy",F632)),"healthy_reasoning_patterns",IF(ISNUMBER(SEARCH("statistical",F632)),"statistical_reasoning",IF(ISNUMBER(SEARCH("causal",F632)),"causal_reasoning",IF(ISNUMBER(SEARCH("social",F632)),"social_influence",IF(ISNUMBER(SEARCH("rhetoric",F632)),"rhetoric_discourse",IF(ISNUMBER(SEARCH("behavior",F632)),"behavioural_economics",IF(ISNUMBER(SEARCH("cognitive",F632)),"cognitive_biases",IF(J632="protective_pattern","healthy_reasoning_patterns",IF(L632="P0","core_mvp","extended_fallacies")))))))))</x:f>
        <x:v>extended_fallacies</x:v>
      </x:c>
      <x:c r="AC632" s="12" t="str">
        <x:f>IF(ISNUMBER(SEARCH("operational",J632)),"operational",IF(ISNUMBER(SEARCH("deprecated",J632)),"deprecated",IF(L632="P0","canonical","recognized_subtype")))</x:f>
        <x:v>operational</x:v>
      </x:c>
      <x:c r="AD632" s="12" t="str">
        <x:f>IF(AC632="canonical","high",IF(AC632="recognized_subtype","medium",IF(AC632="operational","operational_only","debated")))</x:f>
        <x:v>operational_only</x:v>
      </x:c>
      <x:c r="AE632" s="12" t="str">
        <x:f>IF(AC632="deprecated","deprecated",IF(M632="yes","active",IF(M632="review","review_required","backlog")))</x:f>
        <x:v>backlog</x:v>
      </x:c>
      <x:c r="AF632" s="12" t="str">
        <x:f>IF(OR(AE632="active",AE632="review_required"),"yes","no")</x:f>
        <x:v>no</x:v>
      </x:c>
      <x:c r="AG632" s="12" t="str">
        <x:f>IF(AND(AE632="active",M632="yes",NOT(ISNUMBER(SEARCH("healthy",AB632)))),"yes","no")</x:f>
        <x:v>no</x:v>
      </x:c>
      <x:c r="AH632" s="12" t="str">
        <x:f>IF(OR(H632="contextual",H632="dialogue",H632="discourse",I632="claim+context",I632="discourse_segment"),"yes","no")</x:f>
        <x:v>yes</x:v>
      </x:c>
      <x:c r="AI632" s="12" t="str">
        <x:f>IF(OR(AH632="yes",AD632="debated",AC632="operational"),"yes","no")</x:f>
        <x:v>yes</x:v>
      </x:c>
      <x:c r="AJ632" s="12" t="str">
        <x:f>IF(OR(AH632="yes",AC632="operational",AD632="debated"),"high",IF(AND(AG632="yes",L632="P0"),"medium","low"))</x:f>
        <x:v>high</x:v>
      </x:c>
      <x:c r="AK632" s="12" t="str">
        <x:f>IF(ISNUMBER(SEARCH("healthy",AB632)),"yes","no")</x:f>
        <x:v>no</x:v>
      </x:c>
      <x:c r="AL632" s="12" t="str">
        <x:f>IF(AG632="yes","yes","candidate_only")</x:f>
        <x:v>candidate_only</x:v>
      </x:c>
      <x:c r="AM632" s="12" t="str">
        <x:f>IF(OR(AC632="canonical",AG632="yes"),"yes","recommended")</x:f>
        <x:v>recommended</x:v>
      </x:c>
      <x:c r="AN632" s="12" t="str">
        <x:f>IF(AC632="deprecated","exclude",IF(AND(AG632="yes",AJ632="high"),"import_but_human_review_required",IF(AG632="yes","import_as_active","import_as_backlog")))</x:f>
        <x:v>import_as_backlog</x:v>
      </x:c>
      <x:c r="AO632" s="12" t="str">
        <x:f>IF(AND(AG632="yes",OR(P632="",Q632="",R632="",S632="")),"missing_required_mvp_fields",IF(AND(AC632="canonical",Y632=""),"missing_source_ref","ok"))</x:f>
        <x:v>ok</x:v>
      </x:c>
      <x:c r="AP632" s="12" t="str">
        <x:f>IF(AO632="ok","ready_for_codex_import","needs_review")</x:f>
        <x:v>ready_for_codex_import</x:v>
      </x:c>
      <x:c r="AQ632" s="12"/>
      <x:c r="AR632" s="12" t="str">
        <x:v>Added v2 operational fields. Review before classification activation.</x:v>
      </x:c>
    </x:row>
    <x:row r="633">
      <x:c r="A633" s="13" t="str">
        <x:v>risk_seeking_in_losses_time_or_friction_variant</x:v>
      </x:c>
      <x:c r="B633" s="13" t="str">
        <x:v>risk_seeking_in_losses</x:v>
      </x:c>
      <x:c r="C633" s="13" t="str">
        <x:v>Risk seeking in losses</x:v>
      </x:c>
      <x:c r="D633" s="13" t="str">
        <x:v>ریسک‌پذیری در چارچوب زیان</x:v>
      </x:c>
      <x:c r="E633" s="13" t="str">
        <x:v>Time/friction variant</x:v>
      </x:c>
      <x:c r="F633" s="13" t="str">
        <x:v>decision_biases_behavioural_economics</x:v>
      </x:c>
      <x:c r="G633" s="13" t="str">
        <x:v>operational_variant</x:v>
      </x:c>
      <x:c r="H633" s="13" t="str">
        <x:v>contextual</x:v>
      </x:c>
      <x:c r="I633" s="13" t="str">
        <x:v>claim+context</x:v>
      </x:c>
      <x:c r="J633" s="13" t="str">
        <x:v>derived_operational_subtype</x:v>
      </x:c>
      <x:c r="K633" s="13" t="str">
        <x:v>derived_from_established_parent_review_required</x:v>
      </x:c>
      <x:c r="L633" s="13" t="str">
        <x:v>P3</x:v>
      </x:c>
      <x:c r="M633" s="13" t="str">
        <x:v>no</x:v>
      </x:c>
      <x:c r="N633" s="13" t="str">
        <x:v>Operational subtype under Risk seeking in losses: short-term costs, delays, or friction distort evaluation. Parent definition: Choosing riskier options to avoid a framed loss.</x:v>
      </x:c>
      <x:c r="O633" s="13" t="str">
        <x:v>Look for: explicit claim-level evidence; parent-family cues for Risk seeking in losses; variant cue: short-term costs, delays, or friction distort evaluation; avoid author-level inference.</x:v>
      </x:c>
      <x:c r="P633" s="13" t="str">
        <x:v>Exact evidence span in text plus claim-level reasoning link; for contextual/discourse entries, require surrounding context.</x:v>
      </x:c>
      <x:c r="Q633" s="13" t="str">
        <x:v>Do not label merely because topic is controversial, emotional, or wrong. Do not judge intent or personality. Require textual evidence and consider healthy-reasoning cues.</x:v>
      </x:c>
      <x:c r="R633" s="13" t="str">
        <x:v>Stub: A claim relies on short-term costs, delays, or friction distort evaluation to support a conclusion without adequate qualification.</x:v>
      </x:c>
      <x:c r="S633" s="13" t="str">
        <x:v>Stub: A claim discusses risk seeking in losses with caveats, balanced evidence, or no argumentative use of the pattern.</x:v>
      </x:c>
      <x:c r="T633" s="13" t="str">
        <x:v>Mild or ambiguous cue; do not classify without clear evidence span.</x:v>
      </x:c>
      <x:c r="U633" s="13" t="str">
        <x:v>Clear claim-level pattern with some argumentative impact.</x:v>
      </x:c>
      <x:c r="V633" s="13" t="str">
        <x:v>Strong pattern central to the conclusion and likely to materially distort reasoning.</x:v>
      </x:c>
      <x:c r="W633" s="13" t="str"/>
      <x:c r="X633" s="13" t="str">
        <x:v>kahneman_tversky_prospect_1979</x:v>
      </x:c>
      <x:c r="Y633" s="13" t="str">
        <x:v>https://doi.org/10.2307/1914185</x:v>
      </x:c>
      <x:c r="Z633" s="13" t="str">
        <x:v>Review before enabling. This workbook is a living taxonomy scaffold, not a validated scientific benchmark.</x:v>
      </x:c>
      <x:c r="AA633" s="13" t="str">
        <x:v>0.1.0-draft</x:v>
      </x:c>
      <x:c r="AB633" s="12" t="str">
        <x:f>IF(ISNUMBER(SEARCH("healthy",F633)),"healthy_reasoning_patterns",IF(ISNUMBER(SEARCH("statistical",F633)),"statistical_reasoning",IF(ISNUMBER(SEARCH("causal",F633)),"causal_reasoning",IF(ISNUMBER(SEARCH("social",F633)),"social_influence",IF(ISNUMBER(SEARCH("rhetoric",F633)),"rhetoric_discourse",IF(ISNUMBER(SEARCH("behavior",F633)),"behavioural_economics",IF(ISNUMBER(SEARCH("cognitive",F633)),"cognitive_biases",IF(J633="protective_pattern","healthy_reasoning_patterns",IF(L633="P0","core_mvp","extended_fallacies")))))))))</x:f>
        <x:v>extended_fallacies</x:v>
      </x:c>
      <x:c r="AC633" s="12" t="str">
        <x:f>IF(ISNUMBER(SEARCH("operational",J633)),"operational",IF(ISNUMBER(SEARCH("deprecated",J633)),"deprecated",IF(L633="P0","canonical","recognized_subtype")))</x:f>
        <x:v>operational</x:v>
      </x:c>
      <x:c r="AD633" s="12" t="str">
        <x:f>IF(AC633="canonical","high",IF(AC633="recognized_subtype","medium",IF(AC633="operational","operational_only","debated")))</x:f>
        <x:v>operational_only</x:v>
      </x:c>
      <x:c r="AE633" s="12" t="str">
        <x:f>IF(AC633="deprecated","deprecated",IF(M633="yes","active",IF(M633="review","review_required","backlog")))</x:f>
        <x:v>backlog</x:v>
      </x:c>
      <x:c r="AF633" s="12" t="str">
        <x:f>IF(OR(AE633="active",AE633="review_required"),"yes","no")</x:f>
        <x:v>no</x:v>
      </x:c>
      <x:c r="AG633" s="12" t="str">
        <x:f>IF(AND(AE633="active",M633="yes",NOT(ISNUMBER(SEARCH("healthy",AB633)))),"yes","no")</x:f>
        <x:v>no</x:v>
      </x:c>
      <x:c r="AH633" s="12" t="str">
        <x:f>IF(OR(H633="contextual",H633="dialogue",H633="discourse",I633="claim+context",I633="discourse_segment"),"yes","no")</x:f>
        <x:v>yes</x:v>
      </x:c>
      <x:c r="AI633" s="12" t="str">
        <x:f>IF(OR(AH633="yes",AD633="debated",AC633="operational"),"yes","no")</x:f>
        <x:v>yes</x:v>
      </x:c>
      <x:c r="AJ633" s="12" t="str">
        <x:f>IF(OR(AH633="yes",AC633="operational",AD633="debated"),"high",IF(AND(AG633="yes",L633="P0"),"medium","low"))</x:f>
        <x:v>high</x:v>
      </x:c>
      <x:c r="AK633" s="12" t="str">
        <x:f>IF(ISNUMBER(SEARCH("healthy",AB633)),"yes","no")</x:f>
        <x:v>no</x:v>
      </x:c>
      <x:c r="AL633" s="12" t="str">
        <x:f>IF(AG633="yes","yes","candidate_only")</x:f>
        <x:v>candidate_only</x:v>
      </x:c>
      <x:c r="AM633" s="12" t="str">
        <x:f>IF(OR(AC633="canonical",AG633="yes"),"yes","recommended")</x:f>
        <x:v>recommended</x:v>
      </x:c>
      <x:c r="AN633" s="12" t="str">
        <x:f>IF(AC633="deprecated","exclude",IF(AND(AG633="yes",AJ633="high"),"import_but_human_review_required",IF(AG633="yes","import_as_active","import_as_backlog")))</x:f>
        <x:v>import_as_backlog</x:v>
      </x:c>
      <x:c r="AO633" s="12" t="str">
        <x:f>IF(AND(AG633="yes",OR(P633="",Q633="",R633="",S633="")),"missing_required_mvp_fields",IF(AND(AC633="canonical",Y633=""),"missing_source_ref","ok"))</x:f>
        <x:v>ok</x:v>
      </x:c>
      <x:c r="AP633" s="12" t="str">
        <x:f>IF(AO633="ok","ready_for_codex_import","needs_review")</x:f>
        <x:v>ready_for_codex_import</x:v>
      </x:c>
      <x:c r="AQ633" s="12"/>
      <x:c r="AR633" s="12" t="str">
        <x:v>Added v2 operational fields. Review before classification activation.</x:v>
      </x:c>
    </x:row>
    <x:row r="634">
      <x:c r="A634" s="13" t="str">
        <x:v>risk_aversion_in_gains_time_or_friction_variant</x:v>
      </x:c>
      <x:c r="B634" s="13" t="str">
        <x:v>risk_aversion_in_gains</x:v>
      </x:c>
      <x:c r="C634" s="13" t="str">
        <x:v>Risk aversion in gains</x:v>
      </x:c>
      <x:c r="D634" s="13" t="str">
        <x:v>ریسک‌گریزی در چارچوب سود</x:v>
      </x:c>
      <x:c r="E634" s="13" t="str">
        <x:v>Time/friction variant</x:v>
      </x:c>
      <x:c r="F634" s="13" t="str">
        <x:v>decision_biases_behavioural_economics</x:v>
      </x:c>
      <x:c r="G634" s="13" t="str">
        <x:v>operational_variant</x:v>
      </x:c>
      <x:c r="H634" s="13" t="str">
        <x:v>contextual</x:v>
      </x:c>
      <x:c r="I634" s="13" t="str">
        <x:v>claim+context</x:v>
      </x:c>
      <x:c r="J634" s="13" t="str">
        <x:v>derived_operational_subtype</x:v>
      </x:c>
      <x:c r="K634" s="13" t="str">
        <x:v>derived_from_established_parent_review_required</x:v>
      </x:c>
      <x:c r="L634" s="13" t="str">
        <x:v>P3</x:v>
      </x:c>
      <x:c r="M634" s="13" t="str">
        <x:v>no</x:v>
      </x:c>
      <x:c r="N634" s="13" t="str">
        <x:v>Operational subtype under Risk aversion in gains: short-term costs, delays, or friction distort evaluation. Parent definition: Preferring sure gains over higher expected but risky gains.</x:v>
      </x:c>
      <x:c r="O634" s="13" t="str">
        <x:v>Look for: explicit claim-level evidence; parent-family cues for Risk aversion in gains; variant cue: short-term costs, delays, or friction distort evaluation; avoid author-level inference.</x:v>
      </x:c>
      <x:c r="P634" s="13" t="str">
        <x:v>Exact evidence span in text plus claim-level reasoning link; for contextual/discourse entries, require surrounding context.</x:v>
      </x:c>
      <x:c r="Q634" s="13" t="str">
        <x:v>Do not label merely because topic is controversial, emotional, or wrong. Do not judge intent or personality. Require textual evidence and consider healthy-reasoning cues.</x:v>
      </x:c>
      <x:c r="R634" s="13" t="str">
        <x:v>Stub: A claim relies on short-term costs, delays, or friction distort evaluation to support a conclusion without adequate qualification.</x:v>
      </x:c>
      <x:c r="S634" s="13" t="str">
        <x:v>Stub: A claim discusses risk aversion in gains with caveats, balanced evidence, or no argumentative use of the pattern.</x:v>
      </x:c>
      <x:c r="T634" s="13" t="str">
        <x:v>Mild or ambiguous cue; do not classify without clear evidence span.</x:v>
      </x:c>
      <x:c r="U634" s="13" t="str">
        <x:v>Clear claim-level pattern with some argumentative impact.</x:v>
      </x:c>
      <x:c r="V634" s="13" t="str">
        <x:v>Strong pattern central to the conclusion and likely to materially distort reasoning.</x:v>
      </x:c>
      <x:c r="W634" s="13" t="str"/>
      <x:c r="X634" s="13" t="str">
        <x:v>kahneman_tversky_prospect_1979</x:v>
      </x:c>
      <x:c r="Y634" s="13" t="str">
        <x:v>https://doi.org/10.2307/1914185</x:v>
      </x:c>
      <x:c r="Z634" s="13" t="str">
        <x:v>Review before enabling. This workbook is a living taxonomy scaffold, not a validated scientific benchmark.</x:v>
      </x:c>
      <x:c r="AA634" s="13" t="str">
        <x:v>0.1.0-draft</x:v>
      </x:c>
      <x:c r="AB634" s="12" t="str">
        <x:f>IF(ISNUMBER(SEARCH("healthy",F634)),"healthy_reasoning_patterns",IF(ISNUMBER(SEARCH("statistical",F634)),"statistical_reasoning",IF(ISNUMBER(SEARCH("causal",F634)),"causal_reasoning",IF(ISNUMBER(SEARCH("social",F634)),"social_influence",IF(ISNUMBER(SEARCH("rhetoric",F634)),"rhetoric_discourse",IF(ISNUMBER(SEARCH("behavior",F634)),"behavioural_economics",IF(ISNUMBER(SEARCH("cognitive",F634)),"cognitive_biases",IF(J634="protective_pattern","healthy_reasoning_patterns",IF(L634="P0","core_mvp","extended_fallacies")))))))))</x:f>
        <x:v>extended_fallacies</x:v>
      </x:c>
      <x:c r="AC634" s="12" t="str">
        <x:f>IF(ISNUMBER(SEARCH("operational",J634)),"operational",IF(ISNUMBER(SEARCH("deprecated",J634)),"deprecated",IF(L634="P0","canonical","recognized_subtype")))</x:f>
        <x:v>operational</x:v>
      </x:c>
      <x:c r="AD634" s="12" t="str">
        <x:f>IF(AC634="canonical","high",IF(AC634="recognized_subtype","medium",IF(AC634="operational","operational_only","debated")))</x:f>
        <x:v>operational_only</x:v>
      </x:c>
      <x:c r="AE634" s="12" t="str">
        <x:f>IF(AC634="deprecated","deprecated",IF(M634="yes","active",IF(M634="review","review_required","backlog")))</x:f>
        <x:v>backlog</x:v>
      </x:c>
      <x:c r="AF634" s="12" t="str">
        <x:f>IF(OR(AE634="active",AE634="review_required"),"yes","no")</x:f>
        <x:v>no</x:v>
      </x:c>
      <x:c r="AG634" s="12" t="str">
        <x:f>IF(AND(AE634="active",M634="yes",NOT(ISNUMBER(SEARCH("healthy",AB634)))),"yes","no")</x:f>
        <x:v>no</x:v>
      </x:c>
      <x:c r="AH634" s="12" t="str">
        <x:f>IF(OR(H634="contextual",H634="dialogue",H634="discourse",I634="claim+context",I634="discourse_segment"),"yes","no")</x:f>
        <x:v>yes</x:v>
      </x:c>
      <x:c r="AI634" s="12" t="str">
        <x:f>IF(OR(AH634="yes",AD634="debated",AC634="operational"),"yes","no")</x:f>
        <x:v>yes</x:v>
      </x:c>
      <x:c r="AJ634" s="12" t="str">
        <x:f>IF(OR(AH634="yes",AC634="operational",AD634="debated"),"high",IF(AND(AG634="yes",L634="P0"),"medium","low"))</x:f>
        <x:v>high</x:v>
      </x:c>
      <x:c r="AK634" s="12" t="str">
        <x:f>IF(ISNUMBER(SEARCH("healthy",AB634)),"yes","no")</x:f>
        <x:v>no</x:v>
      </x:c>
      <x:c r="AL634" s="12" t="str">
        <x:f>IF(AG634="yes","yes","candidate_only")</x:f>
        <x:v>candidate_only</x:v>
      </x:c>
      <x:c r="AM634" s="12" t="str">
        <x:f>IF(OR(AC634="canonical",AG634="yes"),"yes","recommended")</x:f>
        <x:v>recommended</x:v>
      </x:c>
      <x:c r="AN634" s="12" t="str">
        <x:f>IF(AC634="deprecated","exclude",IF(AND(AG634="yes",AJ634="high"),"import_but_human_review_required",IF(AG634="yes","import_as_active","import_as_backlog")))</x:f>
        <x:v>import_as_backlog</x:v>
      </x:c>
      <x:c r="AO634" s="12" t="str">
        <x:f>IF(AND(AG634="yes",OR(P634="",Q634="",R634="",S634="")),"missing_required_mvp_fields",IF(AND(AC634="canonical",Y634=""),"missing_source_ref","ok"))</x:f>
        <x:v>ok</x:v>
      </x:c>
      <x:c r="AP634" s="12" t="str">
        <x:f>IF(AO634="ok","ready_for_codex_import","needs_review")</x:f>
        <x:v>ready_for_codex_import</x:v>
      </x:c>
      <x:c r="AQ634" s="12"/>
      <x:c r="AR634" s="12" t="str">
        <x:v>Added v2 operational fields. Review before classification activation.</x:v>
      </x:c>
    </x:row>
    <x:row r="635">
      <x:c r="A635" s="13" t="str">
        <x:v>omission_bias_time_or_friction_variant</x:v>
      </x:c>
      <x:c r="B635" s="13" t="str">
        <x:v>omission_bias</x:v>
      </x:c>
      <x:c r="C635" s="13" t="str">
        <x:v>Omission bias</x:v>
      </x:c>
      <x:c r="D635" s="13" t="str">
        <x:v>سوگیری ترک فعل</x:v>
      </x:c>
      <x:c r="E635" s="13" t="str">
        <x:v>Time/friction variant</x:v>
      </x:c>
      <x:c r="F635" s="13" t="str">
        <x:v>decision_biases_behavioural_economics</x:v>
      </x:c>
      <x:c r="G635" s="13" t="str">
        <x:v>operational_variant</x:v>
      </x:c>
      <x:c r="H635" s="13" t="str">
        <x:v>contextual</x:v>
      </x:c>
      <x:c r="I635" s="13" t="str">
        <x:v>claim+context</x:v>
      </x:c>
      <x:c r="J635" s="13" t="str">
        <x:v>derived_operational_subtype</x:v>
      </x:c>
      <x:c r="K635" s="13" t="str">
        <x:v>derived_from_established_parent_review_required</x:v>
      </x:c>
      <x:c r="L635" s="13" t="str">
        <x:v>P3</x:v>
      </x:c>
      <x:c r="M635" s="13" t="str">
        <x:v>no</x:v>
      </x:c>
      <x:c r="N635" s="13" t="str">
        <x:v>Operational subtype under Omission bias: short-term costs, delays, or friction distort evaluation. Parent definition: Judging harmful inaction more leniently than harmful action.</x:v>
      </x:c>
      <x:c r="O635" s="13" t="str">
        <x:v>Look for: explicit claim-level evidence; parent-family cues for Omission bias; variant cue: short-term costs, delays, or friction distort evaluation; avoid author-level inference.</x:v>
      </x:c>
      <x:c r="P635" s="13" t="str">
        <x:v>Exact evidence span in text plus claim-level reasoning link; for contextual/discourse entries, require surrounding context.</x:v>
      </x:c>
      <x:c r="Q635" s="13" t="str">
        <x:v>Do not label merely because topic is controversial, emotional, or wrong. Do not judge intent or personality. Require textual evidence and consider healthy-reasoning cues.</x:v>
      </x:c>
      <x:c r="R635" s="13" t="str">
        <x:v>Stub: A claim relies on short-term costs, delays, or friction distort evaluation to support a conclusion without adequate qualification.</x:v>
      </x:c>
      <x:c r="S635" s="13" t="str">
        <x:v>Stub: A claim discusses omission bias with caveats, balanced evidence, or no argumentative use of the pattern.</x:v>
      </x:c>
      <x:c r="T635" s="13" t="str">
        <x:v>Mild or ambiguous cue; do not classify without clear evidence span.</x:v>
      </x:c>
      <x:c r="U635" s="13" t="str">
        <x:v>Clear claim-level pattern with some argumentative impact.</x:v>
      </x:c>
      <x:c r="V635" s="13" t="str">
        <x:v>Strong pattern central to the conclusion and likely to materially distort reasoning.</x:v>
      </x:c>
      <x:c r="W635" s="13" t="str"/>
      <x:c r="X635" s="13" t="str">
        <x:v>gilovich_heuristics_biases</x:v>
      </x:c>
      <x:c r="Y635" s="13" t="str">
        <x:v>https://www.cambridge.org/core/books/heuristics-and-biases/3C30D3B05D2F190C3B8BE5E2531EFD24</x:v>
      </x:c>
      <x:c r="Z635" s="13" t="str">
        <x:v>Review before enabling. This workbook is a living taxonomy scaffold, not a validated scientific benchmark.</x:v>
      </x:c>
      <x:c r="AA635" s="13" t="str">
        <x:v>0.1.0-draft</x:v>
      </x:c>
      <x:c r="AB635" s="12" t="str">
        <x:f>IF(ISNUMBER(SEARCH("healthy",F635)),"healthy_reasoning_patterns",IF(ISNUMBER(SEARCH("statistical",F635)),"statistical_reasoning",IF(ISNUMBER(SEARCH("causal",F635)),"causal_reasoning",IF(ISNUMBER(SEARCH("social",F635)),"social_influence",IF(ISNUMBER(SEARCH("rhetoric",F635)),"rhetoric_discourse",IF(ISNUMBER(SEARCH("behavior",F635)),"behavioural_economics",IF(ISNUMBER(SEARCH("cognitive",F635)),"cognitive_biases",IF(J635="protective_pattern","healthy_reasoning_patterns",IF(L635="P0","core_mvp","extended_fallacies")))))))))</x:f>
        <x:v>extended_fallacies</x:v>
      </x:c>
      <x:c r="AC635" s="12" t="str">
        <x:f>IF(ISNUMBER(SEARCH("operational",J635)),"operational",IF(ISNUMBER(SEARCH("deprecated",J635)),"deprecated",IF(L635="P0","canonical","recognized_subtype")))</x:f>
        <x:v>operational</x:v>
      </x:c>
      <x:c r="AD635" s="12" t="str">
        <x:f>IF(AC635="canonical","high",IF(AC635="recognized_subtype","medium",IF(AC635="operational","operational_only","debated")))</x:f>
        <x:v>operational_only</x:v>
      </x:c>
      <x:c r="AE635" s="12" t="str">
        <x:f>IF(AC635="deprecated","deprecated",IF(M635="yes","active",IF(M635="review","review_required","backlog")))</x:f>
        <x:v>backlog</x:v>
      </x:c>
      <x:c r="AF635" s="12" t="str">
        <x:f>IF(OR(AE635="active",AE635="review_required"),"yes","no")</x:f>
        <x:v>no</x:v>
      </x:c>
      <x:c r="AG635" s="12" t="str">
        <x:f>IF(AND(AE635="active",M635="yes",NOT(ISNUMBER(SEARCH("healthy",AB635)))),"yes","no")</x:f>
        <x:v>no</x:v>
      </x:c>
      <x:c r="AH635" s="12" t="str">
        <x:f>IF(OR(H635="contextual",H635="dialogue",H635="discourse",I635="claim+context",I635="discourse_segment"),"yes","no")</x:f>
        <x:v>yes</x:v>
      </x:c>
      <x:c r="AI635" s="12" t="str">
        <x:f>IF(OR(AH635="yes",AD635="debated",AC635="operational"),"yes","no")</x:f>
        <x:v>yes</x:v>
      </x:c>
      <x:c r="AJ635" s="12" t="str">
        <x:f>IF(OR(AH635="yes",AC635="operational",AD635="debated"),"high",IF(AND(AG635="yes",L635="P0"),"medium","low"))</x:f>
        <x:v>high</x:v>
      </x:c>
      <x:c r="AK635" s="12" t="str">
        <x:f>IF(ISNUMBER(SEARCH("healthy",AB635)),"yes","no")</x:f>
        <x:v>no</x:v>
      </x:c>
      <x:c r="AL635" s="12" t="str">
        <x:f>IF(AG635="yes","yes","candidate_only")</x:f>
        <x:v>candidate_only</x:v>
      </x:c>
      <x:c r="AM635" s="12" t="str">
        <x:f>IF(OR(AC635="canonical",AG635="yes"),"yes","recommended")</x:f>
        <x:v>recommended</x:v>
      </x:c>
      <x:c r="AN635" s="12" t="str">
        <x:f>IF(AC635="deprecated","exclude",IF(AND(AG635="yes",AJ635="high"),"import_but_human_review_required",IF(AG635="yes","import_as_active","import_as_backlog")))</x:f>
        <x:v>import_as_backlog</x:v>
      </x:c>
      <x:c r="AO635" s="12" t="str">
        <x:f>IF(AND(AG635="yes",OR(P635="",Q635="",R635="",S635="")),"missing_required_mvp_fields",IF(AND(AC635="canonical",Y635=""),"missing_source_ref","ok"))</x:f>
        <x:v>ok</x:v>
      </x:c>
      <x:c r="AP635" s="12" t="str">
        <x:f>IF(AO635="ok","ready_for_codex_import","needs_review")</x:f>
        <x:v>ready_for_codex_import</x:v>
      </x:c>
      <x:c r="AQ635" s="12"/>
      <x:c r="AR635" s="12" t="str">
        <x:v>Added v2 operational fields. Review before classification activation.</x:v>
      </x:c>
    </x:row>
    <x:row r="636">
      <x:c r="A636" s="13" t="str">
        <x:v>action_bias_time_or_friction_variant</x:v>
      </x:c>
      <x:c r="B636" s="13" t="str">
        <x:v>action_bias</x:v>
      </x:c>
      <x:c r="C636" s="13" t="str">
        <x:v>Action bias</x:v>
      </x:c>
      <x:c r="D636" s="13" t="str">
        <x:v>سوگیری اقدام</x:v>
      </x:c>
      <x:c r="E636" s="13" t="str">
        <x:v>Time/friction variant</x:v>
      </x:c>
      <x:c r="F636" s="13" t="str">
        <x:v>decision_biases_behavioural_economics</x:v>
      </x:c>
      <x:c r="G636" s="13" t="str">
        <x:v>operational_variant</x:v>
      </x:c>
      <x:c r="H636" s="13" t="str">
        <x:v>contextual</x:v>
      </x:c>
      <x:c r="I636" s="13" t="str">
        <x:v>claim+context</x:v>
      </x:c>
      <x:c r="J636" s="13" t="str">
        <x:v>derived_operational_subtype</x:v>
      </x:c>
      <x:c r="K636" s="13" t="str">
        <x:v>derived_from_established_parent_review_required</x:v>
      </x:c>
      <x:c r="L636" s="13" t="str">
        <x:v>P3</x:v>
      </x:c>
      <x:c r="M636" s="13" t="str">
        <x:v>no</x:v>
      </x:c>
      <x:c r="N636" s="13" t="str">
        <x:v>Operational subtype under Action bias: short-term costs, delays, or friction distort evaluation. Parent definition: Preferring action even when waiting or gathering evidence would be better.</x:v>
      </x:c>
      <x:c r="O636" s="13" t="str">
        <x:v>Look for: explicit claim-level evidence; parent-family cues for Action bias; variant cue: short-term costs, delays, or friction distort evaluation; avoid author-level inference.</x:v>
      </x:c>
      <x:c r="P636" s="13" t="str">
        <x:v>Exact evidence span in text plus claim-level reasoning link; for contextual/discourse entries, require surrounding context.</x:v>
      </x:c>
      <x:c r="Q636" s="13" t="str">
        <x:v>Do not label merely because topic is controversial, emotional, or wrong. Do not judge intent or personality. Require textual evidence and consider healthy-reasoning cues.</x:v>
      </x:c>
      <x:c r="R636" s="13" t="str">
        <x:v>Stub: A claim relies on short-term costs, delays, or friction distort evaluation to support a conclusion without adequate qualification.</x:v>
      </x:c>
      <x:c r="S636" s="13" t="str">
        <x:v>Stub: A claim discusses action bias with caveats, balanced evidence, or no argumentative use of the pattern.</x:v>
      </x:c>
      <x:c r="T636" s="13" t="str">
        <x:v>Mild or ambiguous cue; do not classify without clear evidence span.</x:v>
      </x:c>
      <x:c r="U636" s="13" t="str">
        <x:v>Clear claim-level pattern with some argumentative impact.</x:v>
      </x:c>
      <x:c r="V636" s="13" t="str">
        <x:v>Strong pattern central to the conclusion and likely to materially distort reasoning.</x:v>
      </x:c>
      <x:c r="W636" s="13" t="str">
        <x:v>cherry_picking; missing_counterevidence; evidence_grading</x:v>
      </x:c>
      <x:c r="X636" s="13" t="str">
        <x:v>gilovich_heuristics_biases</x:v>
      </x:c>
      <x:c r="Y636" s="13" t="str">
        <x:v>https://www.cambridge.org/core/books/heuristics-and-biases/3C30D3B05D2F190C3B8BE5E2531EFD24</x:v>
      </x:c>
      <x:c r="Z636" s="13" t="str">
        <x:v>Review before enabling. This workbook is a living taxonomy scaffold, not a validated scientific benchmark.</x:v>
      </x:c>
      <x:c r="AA636" s="13" t="str">
        <x:v>0.1.0-draft</x:v>
      </x:c>
      <x:c r="AB636" s="12" t="str">
        <x:f>IF(ISNUMBER(SEARCH("healthy",F636)),"healthy_reasoning_patterns",IF(ISNUMBER(SEARCH("statistical",F636)),"statistical_reasoning",IF(ISNUMBER(SEARCH("causal",F636)),"causal_reasoning",IF(ISNUMBER(SEARCH("social",F636)),"social_influence",IF(ISNUMBER(SEARCH("rhetoric",F636)),"rhetoric_discourse",IF(ISNUMBER(SEARCH("behavior",F636)),"behavioural_economics",IF(ISNUMBER(SEARCH("cognitive",F636)),"cognitive_biases",IF(J636="protective_pattern","healthy_reasoning_patterns",IF(L636="P0","core_mvp","extended_fallacies")))))))))</x:f>
        <x:v>extended_fallacies</x:v>
      </x:c>
      <x:c r="AC636" s="12" t="str">
        <x:f>IF(ISNUMBER(SEARCH("operational",J636)),"operational",IF(ISNUMBER(SEARCH("deprecated",J636)),"deprecated",IF(L636="P0","canonical","recognized_subtype")))</x:f>
        <x:v>operational</x:v>
      </x:c>
      <x:c r="AD636" s="12" t="str">
        <x:f>IF(AC636="canonical","high",IF(AC636="recognized_subtype","medium",IF(AC636="operational","operational_only","debated")))</x:f>
        <x:v>operational_only</x:v>
      </x:c>
      <x:c r="AE636" s="12" t="str">
        <x:f>IF(AC636="deprecated","deprecated",IF(M636="yes","active",IF(M636="review","review_required","backlog")))</x:f>
        <x:v>backlog</x:v>
      </x:c>
      <x:c r="AF636" s="12" t="str">
        <x:f>IF(OR(AE636="active",AE636="review_required"),"yes","no")</x:f>
        <x:v>no</x:v>
      </x:c>
      <x:c r="AG636" s="12" t="str">
        <x:f>IF(AND(AE636="active",M636="yes",NOT(ISNUMBER(SEARCH("healthy",AB636)))),"yes","no")</x:f>
        <x:v>no</x:v>
      </x:c>
      <x:c r="AH636" s="12" t="str">
        <x:f>IF(OR(H636="contextual",H636="dialogue",H636="discourse",I636="claim+context",I636="discourse_segment"),"yes","no")</x:f>
        <x:v>yes</x:v>
      </x:c>
      <x:c r="AI636" s="12" t="str">
        <x:f>IF(OR(AH636="yes",AD636="debated",AC636="operational"),"yes","no")</x:f>
        <x:v>yes</x:v>
      </x:c>
      <x:c r="AJ636" s="12" t="str">
        <x:f>IF(OR(AH636="yes",AC636="operational",AD636="debated"),"high",IF(AND(AG636="yes",L636="P0"),"medium","low"))</x:f>
        <x:v>high</x:v>
      </x:c>
      <x:c r="AK636" s="12" t="str">
        <x:f>IF(ISNUMBER(SEARCH("healthy",AB636)),"yes","no")</x:f>
        <x:v>no</x:v>
      </x:c>
      <x:c r="AL636" s="12" t="str">
        <x:f>IF(AG636="yes","yes","candidate_only")</x:f>
        <x:v>candidate_only</x:v>
      </x:c>
      <x:c r="AM636" s="12" t="str">
        <x:f>IF(OR(AC636="canonical",AG636="yes"),"yes","recommended")</x:f>
        <x:v>recommended</x:v>
      </x:c>
      <x:c r="AN636" s="12" t="str">
        <x:f>IF(AC636="deprecated","exclude",IF(AND(AG636="yes",AJ636="high"),"import_but_human_review_required",IF(AG636="yes","import_as_active","import_as_backlog")))</x:f>
        <x:v>import_as_backlog</x:v>
      </x:c>
      <x:c r="AO636" s="12" t="str">
        <x:f>IF(AND(AG636="yes",OR(P636="",Q636="",R636="",S636="")),"missing_required_mvp_fields",IF(AND(AC636="canonical",Y636=""),"missing_source_ref","ok"))</x:f>
        <x:v>ok</x:v>
      </x:c>
      <x:c r="AP636" s="12" t="str">
        <x:f>IF(AO636="ok","ready_for_codex_import","needs_review")</x:f>
        <x:v>ready_for_codex_import</x:v>
      </x:c>
      <x:c r="AQ636" s="12"/>
      <x:c r="AR636" s="12" t="str">
        <x:v>Added v2 operational fields. Review before classification activation.</x:v>
      </x:c>
    </x:row>
    <x:row r="637">
      <x:c r="A637" s="13" t="str">
        <x:v>time_inconsistency_time_or_friction_variant</x:v>
      </x:c>
      <x:c r="B637" s="13" t="str">
        <x:v>time_inconsistency</x:v>
      </x:c>
      <x:c r="C637" s="13" t="str">
        <x:v>Time inconsistency</x:v>
      </x:c>
      <x:c r="D637" s="13" t="str">
        <x:v>ناسازگاری زمانی ترجیح</x:v>
      </x:c>
      <x:c r="E637" s="13" t="str">
        <x:v>Time/friction variant</x:v>
      </x:c>
      <x:c r="F637" s="13" t="str">
        <x:v>decision_biases_behavioural_economics</x:v>
      </x:c>
      <x:c r="G637" s="13" t="str">
        <x:v>operational_variant</x:v>
      </x:c>
      <x:c r="H637" s="13" t="str">
        <x:v>contextual</x:v>
      </x:c>
      <x:c r="I637" s="13" t="str">
        <x:v>claim+context</x:v>
      </x:c>
      <x:c r="J637" s="13" t="str">
        <x:v>derived_operational_subtype</x:v>
      </x:c>
      <x:c r="K637" s="13" t="str">
        <x:v>derived_from_established_parent_review_required</x:v>
      </x:c>
      <x:c r="L637" s="13" t="str">
        <x:v>P3</x:v>
      </x:c>
      <x:c r="M637" s="13" t="str">
        <x:v>no</x:v>
      </x:c>
      <x:c r="N637" s="13" t="str">
        <x:v>Operational subtype under Time inconsistency: short-term costs, delays, or friction distort evaluation. Parent definition: Preferences change over time in ways that undermine prior plans.</x:v>
      </x:c>
      <x:c r="O637" s="13" t="str">
        <x:v>Look for: explicit claim-level evidence; parent-family cues for Time inconsistency; variant cue: short-term costs, delays, or friction distort evaluation; avoid author-level inference.</x:v>
      </x:c>
      <x:c r="P637" s="13" t="str">
        <x:v>Exact evidence span in text plus claim-level reasoning link; for contextual/discourse entries, require surrounding context.</x:v>
      </x:c>
      <x:c r="Q637" s="13" t="str">
        <x:v>Do not label merely because topic is controversial, emotional, or wrong. Do not judge intent or personality. Require textual evidence and consider healthy-reasoning cues.</x:v>
      </x:c>
      <x:c r="R637" s="13" t="str">
        <x:v>Stub: A claim relies on short-term costs, delays, or friction distort evaluation to support a conclusion without adequate qualification.</x:v>
      </x:c>
      <x:c r="S637" s="13" t="str">
        <x:v>Stub: A claim discusses time inconsistency with caveats, balanced evidence, or no argumentative use of the pattern.</x:v>
      </x:c>
      <x:c r="T637" s="13" t="str">
        <x:v>Mild or ambiguous cue; do not classify without clear evidence span.</x:v>
      </x:c>
      <x:c r="U637" s="13" t="str">
        <x:v>Clear claim-level pattern with some argumentative impact.</x:v>
      </x:c>
      <x:c r="V637" s="13" t="str">
        <x:v>Strong pattern central to the conclusion and likely to materially distort reasoning.</x:v>
      </x:c>
      <x:c r="W637" s="13" t="str"/>
      <x:c r="X637" s="13" t="str">
        <x:v>thaler_sunstein_nudge</x:v>
      </x:c>
      <x:c r="Y637" s="13" t="str">
        <x:v>https://yalebooks.yale.edu/book/9780300262285/nudge/</x:v>
      </x:c>
      <x:c r="Z637" s="13" t="str">
        <x:v>Review before enabling. This workbook is a living taxonomy scaffold, not a validated scientific benchmark.</x:v>
      </x:c>
      <x:c r="AA637" s="13" t="str">
        <x:v>0.1.0-draft</x:v>
      </x:c>
      <x:c r="AB637" s="12" t="str">
        <x:f>IF(ISNUMBER(SEARCH("healthy",F637)),"healthy_reasoning_patterns",IF(ISNUMBER(SEARCH("statistical",F637)),"statistical_reasoning",IF(ISNUMBER(SEARCH("causal",F637)),"causal_reasoning",IF(ISNUMBER(SEARCH("social",F637)),"social_influence",IF(ISNUMBER(SEARCH("rhetoric",F637)),"rhetoric_discourse",IF(ISNUMBER(SEARCH("behavior",F637)),"behavioural_economics",IF(ISNUMBER(SEARCH("cognitive",F637)),"cognitive_biases",IF(J637="protective_pattern","healthy_reasoning_patterns",IF(L637="P0","core_mvp","extended_fallacies")))))))))</x:f>
        <x:v>extended_fallacies</x:v>
      </x:c>
      <x:c r="AC637" s="12" t="str">
        <x:f>IF(ISNUMBER(SEARCH("operational",J637)),"operational",IF(ISNUMBER(SEARCH("deprecated",J637)),"deprecated",IF(L637="P0","canonical","recognized_subtype")))</x:f>
        <x:v>operational</x:v>
      </x:c>
      <x:c r="AD637" s="12" t="str">
        <x:f>IF(AC637="canonical","high",IF(AC637="recognized_subtype","medium",IF(AC637="operational","operational_only","debated")))</x:f>
        <x:v>operational_only</x:v>
      </x:c>
      <x:c r="AE637" s="12" t="str">
        <x:f>IF(AC637="deprecated","deprecated",IF(M637="yes","active",IF(M637="review","review_required","backlog")))</x:f>
        <x:v>backlog</x:v>
      </x:c>
      <x:c r="AF637" s="12" t="str">
        <x:f>IF(OR(AE637="active",AE637="review_required"),"yes","no")</x:f>
        <x:v>no</x:v>
      </x:c>
      <x:c r="AG637" s="12" t="str">
        <x:f>IF(AND(AE637="active",M637="yes",NOT(ISNUMBER(SEARCH("healthy",AB637)))),"yes","no")</x:f>
        <x:v>no</x:v>
      </x:c>
      <x:c r="AH637" s="12" t="str">
        <x:f>IF(OR(H637="contextual",H637="dialogue",H637="discourse",I637="claim+context",I637="discourse_segment"),"yes","no")</x:f>
        <x:v>yes</x:v>
      </x:c>
      <x:c r="AI637" s="12" t="str">
        <x:f>IF(OR(AH637="yes",AD637="debated",AC637="operational"),"yes","no")</x:f>
        <x:v>yes</x:v>
      </x:c>
      <x:c r="AJ637" s="12" t="str">
        <x:f>IF(OR(AH637="yes",AC637="operational",AD637="debated"),"high",IF(AND(AG637="yes",L637="P0"),"medium","low"))</x:f>
        <x:v>high</x:v>
      </x:c>
      <x:c r="AK637" s="12" t="str">
        <x:f>IF(ISNUMBER(SEARCH("healthy",AB637)),"yes","no")</x:f>
        <x:v>no</x:v>
      </x:c>
      <x:c r="AL637" s="12" t="str">
        <x:f>IF(AG637="yes","yes","candidate_only")</x:f>
        <x:v>candidate_only</x:v>
      </x:c>
      <x:c r="AM637" s="12" t="str">
        <x:f>IF(OR(AC637="canonical",AG637="yes"),"yes","recommended")</x:f>
        <x:v>recommended</x:v>
      </x:c>
      <x:c r="AN637" s="12" t="str">
        <x:f>IF(AC637="deprecated","exclude",IF(AND(AG637="yes",AJ637="high"),"import_but_human_review_required",IF(AG637="yes","import_as_active","import_as_backlog")))</x:f>
        <x:v>import_as_backlog</x:v>
      </x:c>
      <x:c r="AO637" s="12" t="str">
        <x:f>IF(AND(AG637="yes",OR(P637="",Q637="",R637="",S637="")),"missing_required_mvp_fields",IF(AND(AC637="canonical",Y637=""),"missing_source_ref","ok"))</x:f>
        <x:v>ok</x:v>
      </x:c>
      <x:c r="AP637" s="12" t="str">
        <x:f>IF(AO637="ok","ready_for_codex_import","needs_review")</x:f>
        <x:v>ready_for_codex_import</x:v>
      </x:c>
      <x:c r="AQ637" s="12"/>
      <x:c r="AR637" s="12" t="str">
        <x:v>Added v2 operational fields. Review before classification activation.</x:v>
      </x:c>
    </x:row>
    <x:row r="638">
      <x:c r="A638" s="13" t="str">
        <x:v>commitment_escalation_time_or_friction_variant</x:v>
      </x:c>
      <x:c r="B638" s="13" t="str">
        <x:v>commitment_escalation</x:v>
      </x:c>
      <x:c r="C638" s="13" t="str">
        <x:v>Escalation of commitment</x:v>
      </x:c>
      <x:c r="D638" s="13" t="str">
        <x:v>افزایش تعهد به تصمیم قبلی</x:v>
      </x:c>
      <x:c r="E638" s="13" t="str">
        <x:v>Time/friction variant</x:v>
      </x:c>
      <x:c r="F638" s="13" t="str">
        <x:v>decision_biases_behavioural_economics</x:v>
      </x:c>
      <x:c r="G638" s="13" t="str">
        <x:v>operational_variant</x:v>
      </x:c>
      <x:c r="H638" s="13" t="str">
        <x:v>contextual</x:v>
      </x:c>
      <x:c r="I638" s="13" t="str">
        <x:v>claim+context</x:v>
      </x:c>
      <x:c r="J638" s="13" t="str">
        <x:v>derived_operational_subtype</x:v>
      </x:c>
      <x:c r="K638" s="13" t="str">
        <x:v>derived_from_established_parent_review_required</x:v>
      </x:c>
      <x:c r="L638" s="13" t="str">
        <x:v>P3</x:v>
      </x:c>
      <x:c r="M638" s="13" t="str">
        <x:v>no</x:v>
      </x:c>
      <x:c r="N638" s="13" t="str">
        <x:v>Operational subtype under Escalation of commitment: short-term costs, delays, or friction distort evaluation. Parent definition: Increasing commitment to a failing course of action.</x:v>
      </x:c>
      <x:c r="O638" s="13" t="str">
        <x:v>Look for: explicit claim-level evidence; parent-family cues for Escalation of commitment; variant cue: short-term costs, delays, or friction distort evaluation; avoid author-level inference.</x:v>
      </x:c>
      <x:c r="P638" s="13" t="str">
        <x:v>Exact evidence span in text plus claim-level reasoning link; for contextual/discourse entries, require surrounding context.</x:v>
      </x:c>
      <x:c r="Q638" s="13" t="str">
        <x:v>Do not label merely because topic is controversial, emotional, or wrong. Do not judge intent or personality. Require textual evidence and consider healthy-reasoning cues.</x:v>
      </x:c>
      <x:c r="R638" s="13" t="str">
        <x:v>Stub: A claim relies on short-term costs, delays, or friction distort evaluation to support a conclusion without adequate qualification.</x:v>
      </x:c>
      <x:c r="S638" s="13" t="str">
        <x:v>Stub: A claim discusses escalation of commitment with caveats, balanced evidence, or no argumentative use of the pattern.</x:v>
      </x:c>
      <x:c r="T638" s="13" t="str">
        <x:v>Mild or ambiguous cue; do not classify without clear evidence span.</x:v>
      </x:c>
      <x:c r="U638" s="13" t="str">
        <x:v>Clear claim-level pattern with some argumentative impact.</x:v>
      </x:c>
      <x:c r="V638" s="13" t="str">
        <x:v>Strong pattern central to the conclusion and likely to materially distort reasoning.</x:v>
      </x:c>
      <x:c r="W638" s="13" t="str"/>
      <x:c r="X638" s="13" t="str">
        <x:v>thaler_sunstein_nudge</x:v>
      </x:c>
      <x:c r="Y638" s="13" t="str">
        <x:v>https://yalebooks.yale.edu/book/9780300262285/nudge/</x:v>
      </x:c>
      <x:c r="Z638" s="13" t="str">
        <x:v>Review before enabling. This workbook is a living taxonomy scaffold, not a validated scientific benchmark.</x:v>
      </x:c>
      <x:c r="AA638" s="13" t="str">
        <x:v>0.1.0-draft</x:v>
      </x:c>
      <x:c r="AB638" s="12" t="str">
        <x:f>IF(ISNUMBER(SEARCH("healthy",F638)),"healthy_reasoning_patterns",IF(ISNUMBER(SEARCH("statistical",F638)),"statistical_reasoning",IF(ISNUMBER(SEARCH("causal",F638)),"causal_reasoning",IF(ISNUMBER(SEARCH("social",F638)),"social_influence",IF(ISNUMBER(SEARCH("rhetoric",F638)),"rhetoric_discourse",IF(ISNUMBER(SEARCH("behavior",F638)),"behavioural_economics",IF(ISNUMBER(SEARCH("cognitive",F638)),"cognitive_biases",IF(J638="protective_pattern","healthy_reasoning_patterns",IF(L638="P0","core_mvp","extended_fallacies")))))))))</x:f>
        <x:v>extended_fallacies</x:v>
      </x:c>
      <x:c r="AC638" s="12" t="str">
        <x:f>IF(ISNUMBER(SEARCH("operational",J638)),"operational",IF(ISNUMBER(SEARCH("deprecated",J638)),"deprecated",IF(L638="P0","canonical","recognized_subtype")))</x:f>
        <x:v>operational</x:v>
      </x:c>
      <x:c r="AD638" s="12" t="str">
        <x:f>IF(AC638="canonical","high",IF(AC638="recognized_subtype","medium",IF(AC638="operational","operational_only","debated")))</x:f>
        <x:v>operational_only</x:v>
      </x:c>
      <x:c r="AE638" s="12" t="str">
        <x:f>IF(AC638="deprecated","deprecated",IF(M638="yes","active",IF(M638="review","review_required","backlog")))</x:f>
        <x:v>backlog</x:v>
      </x:c>
      <x:c r="AF638" s="12" t="str">
        <x:f>IF(OR(AE638="active",AE638="review_required"),"yes","no")</x:f>
        <x:v>no</x:v>
      </x:c>
      <x:c r="AG638" s="12" t="str">
        <x:f>IF(AND(AE638="active",M638="yes",NOT(ISNUMBER(SEARCH("healthy",AB638)))),"yes","no")</x:f>
        <x:v>no</x:v>
      </x:c>
      <x:c r="AH638" s="12" t="str">
        <x:f>IF(OR(H638="contextual",H638="dialogue",H638="discourse",I638="claim+context",I638="discourse_segment"),"yes","no")</x:f>
        <x:v>yes</x:v>
      </x:c>
      <x:c r="AI638" s="12" t="str">
        <x:f>IF(OR(AH638="yes",AD638="debated",AC638="operational"),"yes","no")</x:f>
        <x:v>yes</x:v>
      </x:c>
      <x:c r="AJ638" s="12" t="str">
        <x:f>IF(OR(AH638="yes",AC638="operational",AD638="debated"),"high",IF(AND(AG638="yes",L638="P0"),"medium","low"))</x:f>
        <x:v>high</x:v>
      </x:c>
      <x:c r="AK638" s="12" t="str">
        <x:f>IF(ISNUMBER(SEARCH("healthy",AB638)),"yes","no")</x:f>
        <x:v>no</x:v>
      </x:c>
      <x:c r="AL638" s="12" t="str">
        <x:f>IF(AG638="yes","yes","candidate_only")</x:f>
        <x:v>candidate_only</x:v>
      </x:c>
      <x:c r="AM638" s="12" t="str">
        <x:f>IF(OR(AC638="canonical",AG638="yes"),"yes","recommended")</x:f>
        <x:v>recommended</x:v>
      </x:c>
      <x:c r="AN638" s="12" t="str">
        <x:f>IF(AC638="deprecated","exclude",IF(AND(AG638="yes",AJ638="high"),"import_but_human_review_required",IF(AG638="yes","import_as_active","import_as_backlog")))</x:f>
        <x:v>import_as_backlog</x:v>
      </x:c>
      <x:c r="AO638" s="12" t="str">
        <x:f>IF(AND(AG638="yes",OR(P638="",Q638="",R638="",S638="")),"missing_required_mvp_fields",IF(AND(AC638="canonical",Y638=""),"missing_source_ref","ok"))</x:f>
        <x:v>ok</x:v>
      </x:c>
      <x:c r="AP638" s="12" t="str">
        <x:f>IF(AO638="ok","ready_for_codex_import","needs_review")</x:f>
        <x:v>ready_for_codex_import</x:v>
      </x:c>
      <x:c r="AQ638" s="12"/>
      <x:c r="AR638" s="12" t="str">
        <x:v>Added v2 operational fields. Review before classification activation.</x:v>
      </x:c>
    </x:row>
    <x:row r="639">
      <x:c r="A639" s="13" t="str">
        <x:v>disposition_effect_time_or_friction_variant</x:v>
      </x:c>
      <x:c r="B639" s="13" t="str">
        <x:v>disposition_effect</x:v>
      </x:c>
      <x:c r="C639" s="13" t="str">
        <x:v>Disposition effect</x:v>
      </x:c>
      <x:c r="D639" s="13" t="str">
        <x:v>اثر تمایل به نگهداری بازنده</x:v>
      </x:c>
      <x:c r="E639" s="13" t="str">
        <x:v>Time/friction variant</x:v>
      </x:c>
      <x:c r="F639" s="13" t="str">
        <x:v>decision_biases_behavioural_economics</x:v>
      </x:c>
      <x:c r="G639" s="13" t="str">
        <x:v>operational_variant</x:v>
      </x:c>
      <x:c r="H639" s="13" t="str">
        <x:v>contextual</x:v>
      </x:c>
      <x:c r="I639" s="13" t="str">
        <x:v>claim+context</x:v>
      </x:c>
      <x:c r="J639" s="13" t="str">
        <x:v>derived_operational_subtype</x:v>
      </x:c>
      <x:c r="K639" s="13" t="str">
        <x:v>derived_from_established_parent_review_required</x:v>
      </x:c>
      <x:c r="L639" s="13" t="str">
        <x:v>P3</x:v>
      </x:c>
      <x:c r="M639" s="13" t="str">
        <x:v>no</x:v>
      </x:c>
      <x:c r="N639" s="13" t="str">
        <x:v>Operational subtype under Disposition effect: short-term costs, delays, or friction distort evaluation. Parent definition: Selling gains too quickly and holding losses too long.</x:v>
      </x:c>
      <x:c r="O639" s="13" t="str">
        <x:v>Look for: explicit claim-level evidence; parent-family cues for Disposition effect; variant cue: short-term costs, delays, or friction distort evaluation; avoid author-level inference.</x:v>
      </x:c>
      <x:c r="P639" s="13" t="str">
        <x:v>Exact evidence span in text plus claim-level reasoning link; for contextual/discourse entries, require surrounding context.</x:v>
      </x:c>
      <x:c r="Q639" s="13" t="str">
        <x:v>Do not label merely because topic is controversial, emotional, or wrong. Do not judge intent or personality. Require textual evidence and consider healthy-reasoning cues.</x:v>
      </x:c>
      <x:c r="R639" s="13" t="str">
        <x:v>Stub: A claim relies on short-term costs, delays, or friction distort evaluation to support a conclusion without adequate qualification.</x:v>
      </x:c>
      <x:c r="S639" s="13" t="str">
        <x:v>Stub: A claim discusses disposition effect with caveats, balanced evidence, or no argumentative use of the pattern.</x:v>
      </x:c>
      <x:c r="T639" s="13" t="str">
        <x:v>Mild or ambiguous cue; do not classify without clear evidence span.</x:v>
      </x:c>
      <x:c r="U639" s="13" t="str">
        <x:v>Clear claim-level pattern with some argumentative impact.</x:v>
      </x:c>
      <x:c r="V639" s="13" t="str">
        <x:v>Strong pattern central to the conclusion and likely to materially distort reasoning.</x:v>
      </x:c>
      <x:c r="W639" s="13" t="str"/>
      <x:c r="X639" s="13" t="str">
        <x:v>kahneman_tversky_prospect_1979</x:v>
      </x:c>
      <x:c r="Y639" s="13" t="str">
        <x:v>https://doi.org/10.2307/1914185</x:v>
      </x:c>
      <x:c r="Z639" s="13" t="str">
        <x:v>Review before enabling. This workbook is a living taxonomy scaffold, not a validated scientific benchmark.</x:v>
      </x:c>
      <x:c r="AA639" s="13" t="str">
        <x:v>0.1.0-draft</x:v>
      </x:c>
      <x:c r="AB639" s="12" t="str">
        <x:f>IF(ISNUMBER(SEARCH("healthy",F639)),"healthy_reasoning_patterns",IF(ISNUMBER(SEARCH("statistical",F639)),"statistical_reasoning",IF(ISNUMBER(SEARCH("causal",F639)),"causal_reasoning",IF(ISNUMBER(SEARCH("social",F639)),"social_influence",IF(ISNUMBER(SEARCH("rhetoric",F639)),"rhetoric_discourse",IF(ISNUMBER(SEARCH("behavior",F639)),"behavioural_economics",IF(ISNUMBER(SEARCH("cognitive",F639)),"cognitive_biases",IF(J639="protective_pattern","healthy_reasoning_patterns",IF(L639="P0","core_mvp","extended_fallacies")))))))))</x:f>
        <x:v>extended_fallacies</x:v>
      </x:c>
      <x:c r="AC639" s="12" t="str">
        <x:f>IF(ISNUMBER(SEARCH("operational",J639)),"operational",IF(ISNUMBER(SEARCH("deprecated",J639)),"deprecated",IF(L639="P0","canonical","recognized_subtype")))</x:f>
        <x:v>operational</x:v>
      </x:c>
      <x:c r="AD639" s="12" t="str">
        <x:f>IF(AC639="canonical","high",IF(AC639="recognized_subtype","medium",IF(AC639="operational","operational_only","debated")))</x:f>
        <x:v>operational_only</x:v>
      </x:c>
      <x:c r="AE639" s="12" t="str">
        <x:f>IF(AC639="deprecated","deprecated",IF(M639="yes","active",IF(M639="review","review_required","backlog")))</x:f>
        <x:v>backlog</x:v>
      </x:c>
      <x:c r="AF639" s="12" t="str">
        <x:f>IF(OR(AE639="active",AE639="review_required"),"yes","no")</x:f>
        <x:v>no</x:v>
      </x:c>
      <x:c r="AG639" s="12" t="str">
        <x:f>IF(AND(AE639="active",M639="yes",NOT(ISNUMBER(SEARCH("healthy",AB639)))),"yes","no")</x:f>
        <x:v>no</x:v>
      </x:c>
      <x:c r="AH639" s="12" t="str">
        <x:f>IF(OR(H639="contextual",H639="dialogue",H639="discourse",I639="claim+context",I639="discourse_segment"),"yes","no")</x:f>
        <x:v>yes</x:v>
      </x:c>
      <x:c r="AI639" s="12" t="str">
        <x:f>IF(OR(AH639="yes",AD639="debated",AC639="operational"),"yes","no")</x:f>
        <x:v>yes</x:v>
      </x:c>
      <x:c r="AJ639" s="12" t="str">
        <x:f>IF(OR(AH639="yes",AC639="operational",AD639="debated"),"high",IF(AND(AG639="yes",L639="P0"),"medium","low"))</x:f>
        <x:v>high</x:v>
      </x:c>
      <x:c r="AK639" s="12" t="str">
        <x:f>IF(ISNUMBER(SEARCH("healthy",AB639)),"yes","no")</x:f>
        <x:v>no</x:v>
      </x:c>
      <x:c r="AL639" s="12" t="str">
        <x:f>IF(AG639="yes","yes","candidate_only")</x:f>
        <x:v>candidate_only</x:v>
      </x:c>
      <x:c r="AM639" s="12" t="str">
        <x:f>IF(OR(AC639="canonical",AG639="yes"),"yes","recommended")</x:f>
        <x:v>recommended</x:v>
      </x:c>
      <x:c r="AN639" s="12" t="str">
        <x:f>IF(AC639="deprecated","exclude",IF(AND(AG639="yes",AJ639="high"),"import_but_human_review_required",IF(AG639="yes","import_as_active","import_as_backlog")))</x:f>
        <x:v>import_as_backlog</x:v>
      </x:c>
      <x:c r="AO639" s="12" t="str">
        <x:f>IF(AND(AG639="yes",OR(P639="",Q639="",R639="",S639="")),"missing_required_mvp_fields",IF(AND(AC639="canonical",Y639=""),"missing_source_ref","ok"))</x:f>
        <x:v>ok</x:v>
      </x:c>
      <x:c r="AP639" s="12" t="str">
        <x:f>IF(AO639="ok","ready_for_codex_import","needs_review")</x:f>
        <x:v>ready_for_codex_import</x:v>
      </x:c>
      <x:c r="AQ639" s="12"/>
      <x:c r="AR639" s="12" t="str">
        <x:v>Added v2 operational fields. Review before classification activation.</x:v>
      </x:c>
    </x:row>
    <x:row r="640">
      <x:c r="A640" s="13" t="str">
        <x:v>availability_in_decision_time_or_friction_variant</x:v>
      </x:c>
      <x:c r="B640" s="13" t="str">
        <x:v>availability_in_decision</x:v>
      </x:c>
      <x:c r="C640" s="13" t="str">
        <x:v>Availability in decision-making</x:v>
      </x:c>
      <x:c r="D640" s="13" t="str">
        <x:v>دسترسی‌پذیری در تصمیم</x:v>
      </x:c>
      <x:c r="E640" s="13" t="str">
        <x:v>Time/friction variant</x:v>
      </x:c>
      <x:c r="F640" s="13" t="str">
        <x:v>decision_biases_behavioural_economics</x:v>
      </x:c>
      <x:c r="G640" s="13" t="str">
        <x:v>operational_variant</x:v>
      </x:c>
      <x:c r="H640" s="13" t="str">
        <x:v>contextual</x:v>
      </x:c>
      <x:c r="I640" s="13" t="str">
        <x:v>claim+context</x:v>
      </x:c>
      <x:c r="J640" s="13" t="str">
        <x:v>derived_operational_subtype</x:v>
      </x:c>
      <x:c r="K640" s="13" t="str">
        <x:v>derived_from_established_parent_review_required</x:v>
      </x:c>
      <x:c r="L640" s="13" t="str">
        <x:v>P3</x:v>
      </x:c>
      <x:c r="M640" s="13" t="str">
        <x:v>no</x:v>
      </x:c>
      <x:c r="N640" s="13" t="str">
        <x:v>Operational subtype under Availability in decision-making: short-term costs, delays, or friction distort evaluation. Parent definition: Choosing based on memorable cases rather than representative evidence.</x:v>
      </x:c>
      <x:c r="O640" s="13" t="str">
        <x:v>Look for: explicit claim-level evidence; parent-family cues for Availability in decision-making; variant cue: short-term costs, delays, or friction distort evaluation; avoid author-level inference.</x:v>
      </x:c>
      <x:c r="P640" s="13" t="str">
        <x:v>Exact evidence span in text plus claim-level reasoning link; for contextual/discourse entries, require surrounding context.</x:v>
      </x:c>
      <x:c r="Q640" s="13" t="str">
        <x:v>Do not label merely because topic is controversial, emotional, or wrong. Do not judge intent or personality. Require textual evidence and consider healthy-reasoning cues.</x:v>
      </x:c>
      <x:c r="R640" s="13" t="str">
        <x:v>Stub: A claim relies on short-term costs, delays, or friction distort evaluation to support a conclusion without adequate qualification.</x:v>
      </x:c>
      <x:c r="S640" s="13" t="str">
        <x:v>Stub: A claim discusses availability in decision-making with caveats, balanced evidence, or no argumentative use of the pattern.</x:v>
      </x:c>
      <x:c r="T640" s="13" t="str">
        <x:v>Mild or ambiguous cue; do not classify without clear evidence span.</x:v>
      </x:c>
      <x:c r="U640" s="13" t="str">
        <x:v>Clear claim-level pattern with some argumentative impact.</x:v>
      </x:c>
      <x:c r="V640" s="13" t="str">
        <x:v>Strong pattern central to the conclusion and likely to materially distort reasoning.</x:v>
      </x:c>
      <x:c r="W640" s="13" t="str">
        <x:v>cherry_picking; missing_counterevidence; evidence_grading</x:v>
      </x:c>
      <x:c r="X640" s="13" t="str">
        <x:v>kahneman_tversky_heuristics_1974</x:v>
      </x:c>
      <x:c r="Y640" s="13" t="str">
        <x:v>https://doi.org/10.1126/science.185.4157.1124</x:v>
      </x:c>
      <x:c r="Z640" s="13" t="str">
        <x:v>Review before enabling. This workbook is a living taxonomy scaffold, not a validated scientific benchmark.</x:v>
      </x:c>
      <x:c r="AA640" s="13" t="str">
        <x:v>0.1.0-draft</x:v>
      </x:c>
      <x:c r="AB640" s="12" t="str">
        <x:f>IF(ISNUMBER(SEARCH("healthy",F640)),"healthy_reasoning_patterns",IF(ISNUMBER(SEARCH("statistical",F640)),"statistical_reasoning",IF(ISNUMBER(SEARCH("causal",F640)),"causal_reasoning",IF(ISNUMBER(SEARCH("social",F640)),"social_influence",IF(ISNUMBER(SEARCH("rhetoric",F640)),"rhetoric_discourse",IF(ISNUMBER(SEARCH("behavior",F640)),"behavioural_economics",IF(ISNUMBER(SEARCH("cognitive",F640)),"cognitive_biases",IF(J640="protective_pattern","healthy_reasoning_patterns",IF(L640="P0","core_mvp","extended_fallacies")))))))))</x:f>
        <x:v>extended_fallacies</x:v>
      </x:c>
      <x:c r="AC640" s="12" t="str">
        <x:f>IF(ISNUMBER(SEARCH("operational",J640)),"operational",IF(ISNUMBER(SEARCH("deprecated",J640)),"deprecated",IF(L640="P0","canonical","recognized_subtype")))</x:f>
        <x:v>operational</x:v>
      </x:c>
      <x:c r="AD640" s="12" t="str">
        <x:f>IF(AC640="canonical","high",IF(AC640="recognized_subtype","medium",IF(AC640="operational","operational_only","debated")))</x:f>
        <x:v>operational_only</x:v>
      </x:c>
      <x:c r="AE640" s="12" t="str">
        <x:f>IF(AC640="deprecated","deprecated",IF(M640="yes","active",IF(M640="review","review_required","backlog")))</x:f>
        <x:v>backlog</x:v>
      </x:c>
      <x:c r="AF640" s="12" t="str">
        <x:f>IF(OR(AE640="active",AE640="review_required"),"yes","no")</x:f>
        <x:v>no</x:v>
      </x:c>
      <x:c r="AG640" s="12" t="str">
        <x:f>IF(AND(AE640="active",M640="yes",NOT(ISNUMBER(SEARCH("healthy",AB640)))),"yes","no")</x:f>
        <x:v>no</x:v>
      </x:c>
      <x:c r="AH640" s="12" t="str">
        <x:f>IF(OR(H640="contextual",H640="dialogue",H640="discourse",I640="claim+context",I640="discourse_segment"),"yes","no")</x:f>
        <x:v>yes</x:v>
      </x:c>
      <x:c r="AI640" s="12" t="str">
        <x:f>IF(OR(AH640="yes",AD640="debated",AC640="operational"),"yes","no")</x:f>
        <x:v>yes</x:v>
      </x:c>
      <x:c r="AJ640" s="12" t="str">
        <x:f>IF(OR(AH640="yes",AC640="operational",AD640="debated"),"high",IF(AND(AG640="yes",L640="P0"),"medium","low"))</x:f>
        <x:v>high</x:v>
      </x:c>
      <x:c r="AK640" s="12" t="str">
        <x:f>IF(ISNUMBER(SEARCH("healthy",AB640)),"yes","no")</x:f>
        <x:v>no</x:v>
      </x:c>
      <x:c r="AL640" s="12" t="str">
        <x:f>IF(AG640="yes","yes","candidate_only")</x:f>
        <x:v>candidate_only</x:v>
      </x:c>
      <x:c r="AM640" s="12" t="str">
        <x:f>IF(OR(AC640="canonical",AG640="yes"),"yes","recommended")</x:f>
        <x:v>recommended</x:v>
      </x:c>
      <x:c r="AN640" s="12" t="str">
        <x:f>IF(AC640="deprecated","exclude",IF(AND(AG640="yes",AJ640="high"),"import_but_human_review_required",IF(AG640="yes","import_as_active","import_as_backlog")))</x:f>
        <x:v>import_as_backlog</x:v>
      </x:c>
      <x:c r="AO640" s="12" t="str">
        <x:f>IF(AND(AG640="yes",OR(P640="",Q640="",R640="",S640="")),"missing_required_mvp_fields",IF(AND(AC640="canonical",Y640=""),"missing_source_ref","ok"))</x:f>
        <x:v>ok</x:v>
      </x:c>
      <x:c r="AP640" s="12" t="str">
        <x:f>IF(AO640="ok","ready_for_codex_import","needs_review")</x:f>
        <x:v>ready_for_codex_import</x:v>
      </x:c>
      <x:c r="AQ640" s="12"/>
      <x:c r="AR640" s="12" t="str">
        <x:v>Added v2 operational fields. Review before classification activation.</x:v>
      </x:c>
    </x:row>
    <x:row r="641">
      <x:c r="A641" s="13" t="str">
        <x:v>friction_cost_neglect_time_or_friction_variant</x:v>
      </x:c>
      <x:c r="B641" s="13" t="str">
        <x:v>friction_cost_neglect</x:v>
      </x:c>
      <x:c r="C641" s="13" t="str">
        <x:v>Friction-cost neglect</x:v>
      </x:c>
      <x:c r="D641" s="13" t="str">
        <x:v>نادیده‌گرفتن هزینه اصطکاکی</x:v>
      </x:c>
      <x:c r="E641" s="13" t="str">
        <x:v>Time/friction variant</x:v>
      </x:c>
      <x:c r="F641" s="13" t="str">
        <x:v>decision_biases_behavioural_economics</x:v>
      </x:c>
      <x:c r="G641" s="13" t="str">
        <x:v>operational_variant</x:v>
      </x:c>
      <x:c r="H641" s="13" t="str">
        <x:v>contextual</x:v>
      </x:c>
      <x:c r="I641" s="13" t="str">
        <x:v>claim+context</x:v>
      </x:c>
      <x:c r="J641" s="13" t="str">
        <x:v>derived_operational_subtype</x:v>
      </x:c>
      <x:c r="K641" s="13" t="str">
        <x:v>derived_from_established_parent_review_required</x:v>
      </x:c>
      <x:c r="L641" s="13" t="str">
        <x:v>P3</x:v>
      </x:c>
      <x:c r="M641" s="13" t="str">
        <x:v>no</x:v>
      </x:c>
      <x:c r="N641" s="13" t="str">
        <x:v>Operational subtype under Friction-cost neglect: short-term costs, delays, or friction distort evaluation. Parent definition: Ignoring transaction costs, cognitive load, or access barriers in choices.</x:v>
      </x:c>
      <x:c r="O641" s="13" t="str">
        <x:v>Look for: explicit claim-level evidence; parent-family cues for Friction-cost neglect; variant cue: short-term costs, delays, or friction distort evaluation; avoid author-level inference.</x:v>
      </x:c>
      <x:c r="P641" s="13" t="str">
        <x:v>Exact evidence span in text plus claim-level reasoning link; for contextual/discourse entries, require surrounding context.</x:v>
      </x:c>
      <x:c r="Q641" s="13" t="str">
        <x:v>Do not label merely because topic is controversial, emotional, or wrong. Do not judge intent or personality. Require textual evidence and consider healthy-reasoning cues.</x:v>
      </x:c>
      <x:c r="R641" s="13" t="str">
        <x:v>Stub: A claim relies on short-term costs, delays, or friction distort evaluation to support a conclusion without adequate qualification.</x:v>
      </x:c>
      <x:c r="S641" s="13" t="str">
        <x:v>Stub: A claim discusses friction-cost neglect with caveats, balanced evidence, or no argumentative use of the pattern.</x:v>
      </x:c>
      <x:c r="T641" s="13" t="str">
        <x:v>Mild or ambiguous cue; do not classify without clear evidence span.</x:v>
      </x:c>
      <x:c r="U641" s="13" t="str">
        <x:v>Clear claim-level pattern with some argumentative impact.</x:v>
      </x:c>
      <x:c r="V641" s="13" t="str">
        <x:v>Strong pattern central to the conclusion and likely to materially distort reasoning.</x:v>
      </x:c>
      <x:c r="W641" s="13" t="str"/>
      <x:c r="X641" s="13" t="str">
        <x:v>thaler_sunstein_nudge</x:v>
      </x:c>
      <x:c r="Y641" s="13" t="str">
        <x:v>https://yalebooks.yale.edu/book/9780300262285/nudge/</x:v>
      </x:c>
      <x:c r="Z641" s="13" t="str">
        <x:v>Review before enabling. This workbook is a living taxonomy scaffold, not a validated scientific benchmark.</x:v>
      </x:c>
      <x:c r="AA641" s="13" t="str">
        <x:v>0.1.0-draft</x:v>
      </x:c>
      <x:c r="AB641" s="12" t="str">
        <x:f>IF(ISNUMBER(SEARCH("healthy",F641)),"healthy_reasoning_patterns",IF(ISNUMBER(SEARCH("statistical",F641)),"statistical_reasoning",IF(ISNUMBER(SEARCH("causal",F641)),"causal_reasoning",IF(ISNUMBER(SEARCH("social",F641)),"social_influence",IF(ISNUMBER(SEARCH("rhetoric",F641)),"rhetoric_discourse",IF(ISNUMBER(SEARCH("behavior",F641)),"behavioural_economics",IF(ISNUMBER(SEARCH("cognitive",F641)),"cognitive_biases",IF(J641="protective_pattern","healthy_reasoning_patterns",IF(L641="P0","core_mvp","extended_fallacies")))))))))</x:f>
        <x:v>extended_fallacies</x:v>
      </x:c>
      <x:c r="AC641" s="12" t="str">
        <x:f>IF(ISNUMBER(SEARCH("operational",J641)),"operational",IF(ISNUMBER(SEARCH("deprecated",J641)),"deprecated",IF(L641="P0","canonical","recognized_subtype")))</x:f>
        <x:v>operational</x:v>
      </x:c>
      <x:c r="AD641" s="12" t="str">
        <x:f>IF(AC641="canonical","high",IF(AC641="recognized_subtype","medium",IF(AC641="operational","operational_only","debated")))</x:f>
        <x:v>operational_only</x:v>
      </x:c>
      <x:c r="AE641" s="12" t="str">
        <x:f>IF(AC641="deprecated","deprecated",IF(M641="yes","active",IF(M641="review","review_required","backlog")))</x:f>
        <x:v>backlog</x:v>
      </x:c>
      <x:c r="AF641" s="12" t="str">
        <x:f>IF(OR(AE641="active",AE641="review_required"),"yes","no")</x:f>
        <x:v>no</x:v>
      </x:c>
      <x:c r="AG641" s="12" t="str">
        <x:f>IF(AND(AE641="active",M641="yes",NOT(ISNUMBER(SEARCH("healthy",AB641)))),"yes","no")</x:f>
        <x:v>no</x:v>
      </x:c>
      <x:c r="AH641" s="12" t="str">
        <x:f>IF(OR(H641="contextual",H641="dialogue",H641="discourse",I641="claim+context",I641="discourse_segment"),"yes","no")</x:f>
        <x:v>yes</x:v>
      </x:c>
      <x:c r="AI641" s="12" t="str">
        <x:f>IF(OR(AH641="yes",AD641="debated",AC641="operational"),"yes","no")</x:f>
        <x:v>yes</x:v>
      </x:c>
      <x:c r="AJ641" s="12" t="str">
        <x:f>IF(OR(AH641="yes",AC641="operational",AD641="debated"),"high",IF(AND(AG641="yes",L641="P0"),"medium","low"))</x:f>
        <x:v>high</x:v>
      </x:c>
      <x:c r="AK641" s="12" t="str">
        <x:f>IF(ISNUMBER(SEARCH("healthy",AB641)),"yes","no")</x:f>
        <x:v>no</x:v>
      </x:c>
      <x:c r="AL641" s="12" t="str">
        <x:f>IF(AG641="yes","yes","candidate_only")</x:f>
        <x:v>candidate_only</x:v>
      </x:c>
      <x:c r="AM641" s="12" t="str">
        <x:f>IF(OR(AC641="canonical",AG641="yes"),"yes","recommended")</x:f>
        <x:v>recommended</x:v>
      </x:c>
      <x:c r="AN641" s="12" t="str">
        <x:f>IF(AC641="deprecated","exclude",IF(AND(AG641="yes",AJ641="high"),"import_but_human_review_required",IF(AG641="yes","import_as_active","import_as_backlog")))</x:f>
        <x:v>import_as_backlog</x:v>
      </x:c>
      <x:c r="AO641" s="12" t="str">
        <x:f>IF(AND(AG641="yes",OR(P641="",Q641="",R641="",S641="")),"missing_required_mvp_fields",IF(AND(AC641="canonical",Y641=""),"missing_source_ref","ok"))</x:f>
        <x:v>ok</x:v>
      </x:c>
      <x:c r="AP641" s="12" t="str">
        <x:f>IF(AO641="ok","ready_for_codex_import","needs_review")</x:f>
        <x:v>ready_for_codex_import</x:v>
      </x:c>
      <x:c r="AQ641" s="12"/>
      <x:c r="AR641" s="12" t="str">
        <x:v>Added v2 operational fields. Review before classification activation.</x:v>
      </x:c>
    </x:row>
    <x:row r="642">
      <x:c r="A642" s="13" t="str">
        <x:v>loss_aversion_canonical_121</x:v>
      </x:c>
      <x:c r="B642" s="13" t="str">
        <x:v>loss_aversion</x:v>
      </x:c>
      <x:c r="C642" s="13" t="str">
        <x:v>Loss aversion</x:v>
      </x:c>
      <x:c r="D642" s="13" t="str">
        <x:v>اجتناب از زیان</x:v>
      </x:c>
      <x:c r="E642" s="13" t="str">
        <x:v>Canonical form</x:v>
      </x:c>
      <x:c r="F642" s="13" t="str">
        <x:v>decision_biases_behavioural_economics</x:v>
      </x:c>
      <x:c r="G642" s="13" t="str">
        <x:v>canonical</x:v>
      </x:c>
      <x:c r="H642" s="13" t="str">
        <x:v>contextual</x:v>
      </x:c>
      <x:c r="I642" s="13" t="str">
        <x:v>claim+context</x:v>
      </x:c>
      <x:c r="J642" s="13" t="str">
        <x:v>derived_operational_subtype</x:v>
      </x:c>
      <x:c r="K642" s="13" t="str">
        <x:v>derived_from_established_parent_review_required</x:v>
      </x:c>
      <x:c r="L642" s="13" t="str">
        <x:v>P3</x:v>
      </x:c>
      <x:c r="M642" s="13" t="str">
        <x:v>no</x:v>
      </x:c>
      <x:c r="N642" s="13" t="str">
        <x:v>Operational subtype under Loss aversion: the parent decision tendency appears in a choice argument. Parent definition: Losses are weighted more strongly than comparable gains.</x:v>
      </x:c>
      <x:c r="O642" s="13" t="str">
        <x:v>Look for: explicit claim-level evidence; parent-family cues for Loss aversion; variant cue: the parent decision tendency appears in a choice argument; avoid author-level inference.</x:v>
      </x:c>
      <x:c r="P642" s="13" t="str">
        <x:v>Exact evidence span in text plus claim-level reasoning link; for contextual/discourse entries, require surrounding context.</x:v>
      </x:c>
      <x:c r="Q642" s="13" t="str">
        <x:v>Do not label merely because topic is controversial, emotional, or wrong. Do not judge intent or personality. Require textual evidence and consider healthy-reasoning cues.</x:v>
      </x:c>
      <x:c r="R642" s="13" t="str">
        <x:v>Stub: A claim relies on the parent decision tendency appears in a choice argument to support a conclusion without adequate qualification.</x:v>
      </x:c>
      <x:c r="S642" s="13" t="str">
        <x:v>Stub: A claim discusses loss aversion with caveats, balanced evidence, or no argumentative use of the pattern.</x:v>
      </x:c>
      <x:c r="T642" s="13" t="str">
        <x:v>Mild or ambiguous cue; do not classify without clear evidence span.</x:v>
      </x:c>
      <x:c r="U642" s="13" t="str">
        <x:v>Clear claim-level pattern with some argumentative impact.</x:v>
      </x:c>
      <x:c r="V642" s="13" t="str">
        <x:v>Strong pattern central to the conclusion and likely to materially distort reasoning.</x:v>
      </x:c>
      <x:c r="W642" s="13" t="str"/>
      <x:c r="X642" s="13" t="str">
        <x:v>kahneman_tversky_prospect_1979</x:v>
      </x:c>
      <x:c r="Y642" s="13" t="str">
        <x:v>https://doi.org/10.2307/1914185</x:v>
      </x:c>
      <x:c r="Z642" s="13" t="str">
        <x:v>Review before enabling. This workbook is a living taxonomy scaffold, not a validated scientific benchmark.</x:v>
      </x:c>
      <x:c r="AA642" s="13" t="str">
        <x:v>0.1.0-draft</x:v>
      </x:c>
      <x:c r="AB642" s="12" t="str">
        <x:f>IF(ISNUMBER(SEARCH("healthy",F642)),"healthy_reasoning_patterns",IF(ISNUMBER(SEARCH("statistical",F642)),"statistical_reasoning",IF(ISNUMBER(SEARCH("causal",F642)),"causal_reasoning",IF(ISNUMBER(SEARCH("social",F642)),"social_influence",IF(ISNUMBER(SEARCH("rhetoric",F642)),"rhetoric_discourse",IF(ISNUMBER(SEARCH("behavior",F642)),"behavioural_economics",IF(ISNUMBER(SEARCH("cognitive",F642)),"cognitive_biases",IF(J642="protective_pattern","healthy_reasoning_patterns",IF(L642="P0","core_mvp","extended_fallacies")))))))))</x:f>
        <x:v>extended_fallacies</x:v>
      </x:c>
      <x:c r="AC642" s="12" t="str">
        <x:f>IF(ISNUMBER(SEARCH("operational",J642)),"operational",IF(ISNUMBER(SEARCH("deprecated",J642)),"deprecated",IF(L642="P0","canonical","recognized_subtype")))</x:f>
        <x:v>operational</x:v>
      </x:c>
      <x:c r="AD642" s="12" t="str">
        <x:f>IF(AC642="canonical","high",IF(AC642="recognized_subtype","medium",IF(AC642="operational","operational_only","debated")))</x:f>
        <x:v>operational_only</x:v>
      </x:c>
      <x:c r="AE642" s="12" t="str">
        <x:f>IF(AC642="deprecated","deprecated",IF(M642="yes","active",IF(M642="review","review_required","backlog")))</x:f>
        <x:v>backlog</x:v>
      </x:c>
      <x:c r="AF642" s="12" t="str">
        <x:f>IF(OR(AE642="active",AE642="review_required"),"yes","no")</x:f>
        <x:v>no</x:v>
      </x:c>
      <x:c r="AG642" s="12" t="str">
        <x:f>IF(AND(AE642="active",M642="yes",NOT(ISNUMBER(SEARCH("healthy",AB642)))),"yes","no")</x:f>
        <x:v>no</x:v>
      </x:c>
      <x:c r="AH642" s="12" t="str">
        <x:f>IF(OR(H642="contextual",H642="dialogue",H642="discourse",I642="claim+context",I642="discourse_segment"),"yes","no")</x:f>
        <x:v>yes</x:v>
      </x:c>
      <x:c r="AI642" s="12" t="str">
        <x:f>IF(OR(AH642="yes",AD642="debated",AC642="operational"),"yes","no")</x:f>
        <x:v>yes</x:v>
      </x:c>
      <x:c r="AJ642" s="12" t="str">
        <x:f>IF(OR(AH642="yes",AC642="operational",AD642="debated"),"high",IF(AND(AG642="yes",L642="P0"),"medium","low"))</x:f>
        <x:v>high</x:v>
      </x:c>
      <x:c r="AK642" s="12" t="str">
        <x:f>IF(ISNUMBER(SEARCH("healthy",AB642)),"yes","no")</x:f>
        <x:v>no</x:v>
      </x:c>
      <x:c r="AL642" s="12" t="str">
        <x:f>IF(AG642="yes","yes","candidate_only")</x:f>
        <x:v>candidate_only</x:v>
      </x:c>
      <x:c r="AM642" s="12" t="str">
        <x:f>IF(OR(AC642="canonical",AG642="yes"),"yes","recommended")</x:f>
        <x:v>recommended</x:v>
      </x:c>
      <x:c r="AN642" s="12" t="str">
        <x:f>IF(AC642="deprecated","exclude",IF(AND(AG642="yes",AJ642="high"),"import_but_human_review_required",IF(AG642="yes","import_as_active","import_as_backlog")))</x:f>
        <x:v>import_as_backlog</x:v>
      </x:c>
      <x:c r="AO642" s="12" t="str">
        <x:f>IF(AND(AG642="yes",OR(P642="",Q642="",R642="",S642="")),"missing_required_mvp_fields",IF(AND(AC642="canonical",Y642=""),"missing_source_ref","ok"))</x:f>
        <x:v>ok</x:v>
      </x:c>
      <x:c r="AP642" s="12" t="str">
        <x:f>IF(AO642="ok","ready_for_codex_import","needs_review")</x:f>
        <x:v>ready_for_codex_import</x:v>
      </x:c>
      <x:c r="AQ642" s="12"/>
      <x:c r="AR642" s="12" t="str">
        <x:v>Added v2 operational fields. Review before classification activation.</x:v>
      </x:c>
    </x:row>
    <x:row r="643">
      <x:c r="A643" s="13" t="str">
        <x:v>endowment_effect_canonical_122</x:v>
      </x:c>
      <x:c r="B643" s="13" t="str">
        <x:v>endowment_effect</x:v>
      </x:c>
      <x:c r="C643" s="13" t="str">
        <x:v>Endowment effect</x:v>
      </x:c>
      <x:c r="D643" s="13" t="str">
        <x:v>اثر مالکیت</x:v>
      </x:c>
      <x:c r="E643" s="13" t="str">
        <x:v>Canonical form</x:v>
      </x:c>
      <x:c r="F643" s="13" t="str">
        <x:v>decision_biases_behavioural_economics</x:v>
      </x:c>
      <x:c r="G643" s="13" t="str">
        <x:v>canonical</x:v>
      </x:c>
      <x:c r="H643" s="13" t="str">
        <x:v>contextual</x:v>
      </x:c>
      <x:c r="I643" s="13" t="str">
        <x:v>claim+context</x:v>
      </x:c>
      <x:c r="J643" s="13" t="str">
        <x:v>derived_operational_subtype</x:v>
      </x:c>
      <x:c r="K643" s="13" t="str">
        <x:v>derived_from_established_parent_review_required</x:v>
      </x:c>
      <x:c r="L643" s="13" t="str">
        <x:v>P3</x:v>
      </x:c>
      <x:c r="M643" s="13" t="str">
        <x:v>no</x:v>
      </x:c>
      <x:c r="N643" s="13" t="str">
        <x:v>Operational subtype under Endowment effect: the parent decision tendency appears in a choice argument. Parent definition: Valuing something more highly because one owns it.</x:v>
      </x:c>
      <x:c r="O643" s="13" t="str">
        <x:v>Look for: explicit claim-level evidence; parent-family cues for Endowment effect; variant cue: the parent decision tendency appears in a choice argument; avoid author-level inference.</x:v>
      </x:c>
      <x:c r="P643" s="13" t="str">
        <x:v>Exact evidence span in text plus claim-level reasoning link; for contextual/discourse entries, require surrounding context.</x:v>
      </x:c>
      <x:c r="Q643" s="13" t="str">
        <x:v>Do not label merely because topic is controversial, emotional, or wrong. Do not judge intent or personality. Require textual evidence and consider healthy-reasoning cues.</x:v>
      </x:c>
      <x:c r="R643" s="13" t="str">
        <x:v>Stub: A claim relies on the parent decision tendency appears in a choice argument to support a conclusion without adequate qualification.</x:v>
      </x:c>
      <x:c r="S643" s="13" t="str">
        <x:v>Stub: A claim discusses endowment effect with caveats, balanced evidence, or no argumentative use of the pattern.</x:v>
      </x:c>
      <x:c r="T643" s="13" t="str">
        <x:v>Mild or ambiguous cue; do not classify without clear evidence span.</x:v>
      </x:c>
      <x:c r="U643" s="13" t="str">
        <x:v>Clear claim-level pattern with some argumentative impact.</x:v>
      </x:c>
      <x:c r="V643" s="13" t="str">
        <x:v>Strong pattern central to the conclusion and likely to materially distort reasoning.</x:v>
      </x:c>
      <x:c r="W643" s="13" t="str"/>
      <x:c r="X643" s="13" t="str">
        <x:v>kahneman_tversky_prospect_1979</x:v>
      </x:c>
      <x:c r="Y643" s="13" t="str">
        <x:v>https://doi.org/10.2307/1914185</x:v>
      </x:c>
      <x:c r="Z643" s="13" t="str">
        <x:v>Review before enabling. This workbook is a living taxonomy scaffold, not a validated scientific benchmark.</x:v>
      </x:c>
      <x:c r="AA643" s="13" t="str">
        <x:v>0.1.0-draft</x:v>
      </x:c>
      <x:c r="AB643" s="12" t="str">
        <x:f>IF(ISNUMBER(SEARCH("healthy",F643)),"healthy_reasoning_patterns",IF(ISNUMBER(SEARCH("statistical",F643)),"statistical_reasoning",IF(ISNUMBER(SEARCH("causal",F643)),"causal_reasoning",IF(ISNUMBER(SEARCH("social",F643)),"social_influence",IF(ISNUMBER(SEARCH("rhetoric",F643)),"rhetoric_discourse",IF(ISNUMBER(SEARCH("behavior",F643)),"behavioural_economics",IF(ISNUMBER(SEARCH("cognitive",F643)),"cognitive_biases",IF(J643="protective_pattern","healthy_reasoning_patterns",IF(L643="P0","core_mvp","extended_fallacies")))))))))</x:f>
        <x:v>extended_fallacies</x:v>
      </x:c>
      <x:c r="AC643" s="12" t="str">
        <x:f>IF(ISNUMBER(SEARCH("operational",J643)),"operational",IF(ISNUMBER(SEARCH("deprecated",J643)),"deprecated",IF(L643="P0","canonical","recognized_subtype")))</x:f>
        <x:v>operational</x:v>
      </x:c>
      <x:c r="AD643" s="12" t="str">
        <x:f>IF(AC643="canonical","high",IF(AC643="recognized_subtype","medium",IF(AC643="operational","operational_only","debated")))</x:f>
        <x:v>operational_only</x:v>
      </x:c>
      <x:c r="AE643" s="12" t="str">
        <x:f>IF(AC643="deprecated","deprecated",IF(M643="yes","active",IF(M643="review","review_required","backlog")))</x:f>
        <x:v>backlog</x:v>
      </x:c>
      <x:c r="AF643" s="12" t="str">
        <x:f>IF(OR(AE643="active",AE643="review_required"),"yes","no")</x:f>
        <x:v>no</x:v>
      </x:c>
      <x:c r="AG643" s="12" t="str">
        <x:f>IF(AND(AE643="active",M643="yes",NOT(ISNUMBER(SEARCH("healthy",AB643)))),"yes","no")</x:f>
        <x:v>no</x:v>
      </x:c>
      <x:c r="AH643" s="12" t="str">
        <x:f>IF(OR(H643="contextual",H643="dialogue",H643="discourse",I643="claim+context",I643="discourse_segment"),"yes","no")</x:f>
        <x:v>yes</x:v>
      </x:c>
      <x:c r="AI643" s="12" t="str">
        <x:f>IF(OR(AH643="yes",AD643="debated",AC643="operational"),"yes","no")</x:f>
        <x:v>yes</x:v>
      </x:c>
      <x:c r="AJ643" s="12" t="str">
        <x:f>IF(OR(AH643="yes",AC643="operational",AD643="debated"),"high",IF(AND(AG643="yes",L643="P0"),"medium","low"))</x:f>
        <x:v>high</x:v>
      </x:c>
      <x:c r="AK643" s="12" t="str">
        <x:f>IF(ISNUMBER(SEARCH("healthy",AB643)),"yes","no")</x:f>
        <x:v>no</x:v>
      </x:c>
      <x:c r="AL643" s="12" t="str">
        <x:f>IF(AG643="yes","yes","candidate_only")</x:f>
        <x:v>candidate_only</x:v>
      </x:c>
      <x:c r="AM643" s="12" t="str">
        <x:f>IF(OR(AC643="canonical",AG643="yes"),"yes","recommended")</x:f>
        <x:v>recommended</x:v>
      </x:c>
      <x:c r="AN643" s="12" t="str">
        <x:f>IF(AC643="deprecated","exclude",IF(AND(AG643="yes",AJ643="high"),"import_but_human_review_required",IF(AG643="yes","import_as_active","import_as_backlog")))</x:f>
        <x:v>import_as_backlog</x:v>
      </x:c>
      <x:c r="AO643" s="12" t="str">
        <x:f>IF(AND(AG643="yes",OR(P643="",Q643="",R643="",S643="")),"missing_required_mvp_fields",IF(AND(AC643="canonical",Y643=""),"missing_source_ref","ok"))</x:f>
        <x:v>ok</x:v>
      </x:c>
      <x:c r="AP643" s="12" t="str">
        <x:f>IF(AO643="ok","ready_for_codex_import","needs_review")</x:f>
        <x:v>ready_for_codex_import</x:v>
      </x:c>
      <x:c r="AQ643" s="12"/>
      <x:c r="AR643" s="12" t="str">
        <x:v>Added v2 operational fields. Review before classification activation.</x:v>
      </x:c>
    </x:row>
    <x:row r="644">
      <x:c r="A644" s="13" t="str">
        <x:v>status_quo_bias_canonical_123</x:v>
      </x:c>
      <x:c r="B644" s="13" t="str">
        <x:v>status_quo_bias</x:v>
      </x:c>
      <x:c r="C644" s="13" t="str">
        <x:v>Status quo bias</x:v>
      </x:c>
      <x:c r="D644" s="13" t="str">
        <x:v>سوگیری وضع موجود</x:v>
      </x:c>
      <x:c r="E644" s="13" t="str">
        <x:v>Canonical form</x:v>
      </x:c>
      <x:c r="F644" s="13" t="str">
        <x:v>decision_biases_behavioural_economics</x:v>
      </x:c>
      <x:c r="G644" s="13" t="str">
        <x:v>canonical</x:v>
      </x:c>
      <x:c r="H644" s="13" t="str">
        <x:v>contextual</x:v>
      </x:c>
      <x:c r="I644" s="13" t="str">
        <x:v>claim+context</x:v>
      </x:c>
      <x:c r="J644" s="13" t="str">
        <x:v>derived_operational_subtype</x:v>
      </x:c>
      <x:c r="K644" s="13" t="str">
        <x:v>derived_from_established_parent_review_required</x:v>
      </x:c>
      <x:c r="L644" s="13" t="str">
        <x:v>P3</x:v>
      </x:c>
      <x:c r="M644" s="13" t="str">
        <x:v>no</x:v>
      </x:c>
      <x:c r="N644" s="13" t="str">
        <x:v>Operational subtype under Status quo bias: the parent decision tendency appears in a choice argument. Parent definition: Preferring the existing state partly because it is the default.</x:v>
      </x:c>
      <x:c r="O644" s="13" t="str">
        <x:v>Look for: explicit claim-level evidence; parent-family cues for Status quo bias; variant cue: the parent decision tendency appears in a choice argument; avoid author-level inference.</x:v>
      </x:c>
      <x:c r="P644" s="13" t="str">
        <x:v>Exact evidence span in text plus claim-level reasoning link; for contextual/discourse entries, require surrounding context.</x:v>
      </x:c>
      <x:c r="Q644" s="13" t="str">
        <x:v>Do not label merely because topic is controversial, emotional, or wrong. Do not judge intent or personality. Require textual evidence and consider healthy-reasoning cues.</x:v>
      </x:c>
      <x:c r="R644" s="13" t="str">
        <x:v>Stub: A claim relies on the parent decision tendency appears in a choice argument to support a conclusion without adequate qualification.</x:v>
      </x:c>
      <x:c r="S644" s="13" t="str">
        <x:v>Stub: A claim discusses status quo bias with caveats, balanced evidence, or no argumentative use of the pattern.</x:v>
      </x:c>
      <x:c r="T644" s="13" t="str">
        <x:v>Mild or ambiguous cue; do not classify without clear evidence span.</x:v>
      </x:c>
      <x:c r="U644" s="13" t="str">
        <x:v>Clear claim-level pattern with some argumentative impact.</x:v>
      </x:c>
      <x:c r="V644" s="13" t="str">
        <x:v>Strong pattern central to the conclusion and likely to materially distort reasoning.</x:v>
      </x:c>
      <x:c r="W644" s="13" t="str"/>
      <x:c r="X644" s="13" t="str">
        <x:v>thaler_sunstein_nudge</x:v>
      </x:c>
      <x:c r="Y644" s="13" t="str">
        <x:v>https://yalebooks.yale.edu/book/9780300262285/nudge/</x:v>
      </x:c>
      <x:c r="Z644" s="13" t="str">
        <x:v>Review before enabling. This workbook is a living taxonomy scaffold, not a validated scientific benchmark.</x:v>
      </x:c>
      <x:c r="AA644" s="13" t="str">
        <x:v>0.1.0-draft</x:v>
      </x:c>
      <x:c r="AB644" s="12" t="str">
        <x:f>IF(ISNUMBER(SEARCH("healthy",F644)),"healthy_reasoning_patterns",IF(ISNUMBER(SEARCH("statistical",F644)),"statistical_reasoning",IF(ISNUMBER(SEARCH("causal",F644)),"causal_reasoning",IF(ISNUMBER(SEARCH("social",F644)),"social_influence",IF(ISNUMBER(SEARCH("rhetoric",F644)),"rhetoric_discourse",IF(ISNUMBER(SEARCH("behavior",F644)),"behavioural_economics",IF(ISNUMBER(SEARCH("cognitive",F644)),"cognitive_biases",IF(J644="protective_pattern","healthy_reasoning_patterns",IF(L644="P0","core_mvp","extended_fallacies")))))))))</x:f>
        <x:v>extended_fallacies</x:v>
      </x:c>
      <x:c r="AC644" s="12" t="str">
        <x:f>IF(ISNUMBER(SEARCH("operational",J644)),"operational",IF(ISNUMBER(SEARCH("deprecated",J644)),"deprecated",IF(L644="P0","canonical","recognized_subtype")))</x:f>
        <x:v>operational</x:v>
      </x:c>
      <x:c r="AD644" s="12" t="str">
        <x:f>IF(AC644="canonical","high",IF(AC644="recognized_subtype","medium",IF(AC644="operational","operational_only","debated")))</x:f>
        <x:v>operational_only</x:v>
      </x:c>
      <x:c r="AE644" s="12" t="str">
        <x:f>IF(AC644="deprecated","deprecated",IF(M644="yes","active",IF(M644="review","review_required","backlog")))</x:f>
        <x:v>backlog</x:v>
      </x:c>
      <x:c r="AF644" s="12" t="str">
        <x:f>IF(OR(AE644="active",AE644="review_required"),"yes","no")</x:f>
        <x:v>no</x:v>
      </x:c>
      <x:c r="AG644" s="12" t="str">
        <x:f>IF(AND(AE644="active",M644="yes",NOT(ISNUMBER(SEARCH("healthy",AB644)))),"yes","no")</x:f>
        <x:v>no</x:v>
      </x:c>
      <x:c r="AH644" s="12" t="str">
        <x:f>IF(OR(H644="contextual",H644="dialogue",H644="discourse",I644="claim+context",I644="discourse_segment"),"yes","no")</x:f>
        <x:v>yes</x:v>
      </x:c>
      <x:c r="AI644" s="12" t="str">
        <x:f>IF(OR(AH644="yes",AD644="debated",AC644="operational"),"yes","no")</x:f>
        <x:v>yes</x:v>
      </x:c>
      <x:c r="AJ644" s="12" t="str">
        <x:f>IF(OR(AH644="yes",AC644="operational",AD644="debated"),"high",IF(AND(AG644="yes",L644="P0"),"medium","low"))</x:f>
        <x:v>high</x:v>
      </x:c>
      <x:c r="AK644" s="12" t="str">
        <x:f>IF(ISNUMBER(SEARCH("healthy",AB644)),"yes","no")</x:f>
        <x:v>no</x:v>
      </x:c>
      <x:c r="AL644" s="12" t="str">
        <x:f>IF(AG644="yes","yes","candidate_only")</x:f>
        <x:v>candidate_only</x:v>
      </x:c>
      <x:c r="AM644" s="12" t="str">
        <x:f>IF(OR(AC644="canonical",AG644="yes"),"yes","recommended")</x:f>
        <x:v>recommended</x:v>
      </x:c>
      <x:c r="AN644" s="12" t="str">
        <x:f>IF(AC644="deprecated","exclude",IF(AND(AG644="yes",AJ644="high"),"import_but_human_review_required",IF(AG644="yes","import_as_active","import_as_backlog")))</x:f>
        <x:v>import_as_backlog</x:v>
      </x:c>
      <x:c r="AO644" s="12" t="str">
        <x:f>IF(AND(AG644="yes",OR(P644="",Q644="",R644="",S644="")),"missing_required_mvp_fields",IF(AND(AC644="canonical",Y644=""),"missing_source_ref","ok"))</x:f>
        <x:v>ok</x:v>
      </x:c>
      <x:c r="AP644" s="12" t="str">
        <x:f>IF(AO644="ok","ready_for_codex_import","needs_review")</x:f>
        <x:v>ready_for_codex_import</x:v>
      </x:c>
      <x:c r="AQ644" s="12"/>
      <x:c r="AR644" s="12" t="str">
        <x:v>Added v2 operational fields. Review before classification activation.</x:v>
      </x:c>
    </x:row>
    <x:row r="645">
      <x:c r="A645" s="13" t="str">
        <x:v>default_effect_canonical_124</x:v>
      </x:c>
      <x:c r="B645" s="13" t="str">
        <x:v>default_effect</x:v>
      </x:c>
      <x:c r="C645" s="13" t="str">
        <x:v>Default effect</x:v>
      </x:c>
      <x:c r="D645" s="13" t="str">
        <x:v>اثر گزینه پیش‌فرض</x:v>
      </x:c>
      <x:c r="E645" s="13" t="str">
        <x:v>Canonical form</x:v>
      </x:c>
      <x:c r="F645" s="13" t="str">
        <x:v>decision_biases_behavioural_economics</x:v>
      </x:c>
      <x:c r="G645" s="13" t="str">
        <x:v>canonical</x:v>
      </x:c>
      <x:c r="H645" s="13" t="str">
        <x:v>contextual</x:v>
      </x:c>
      <x:c r="I645" s="13" t="str">
        <x:v>claim+context</x:v>
      </x:c>
      <x:c r="J645" s="13" t="str">
        <x:v>derived_operational_subtype</x:v>
      </x:c>
      <x:c r="K645" s="13" t="str">
        <x:v>derived_from_established_parent_review_required</x:v>
      </x:c>
      <x:c r="L645" s="13" t="str">
        <x:v>P3</x:v>
      </x:c>
      <x:c r="M645" s="13" t="str">
        <x:v>no</x:v>
      </x:c>
      <x:c r="N645" s="13" t="str">
        <x:v>Operational subtype under Default effect: the parent decision tendency appears in a choice argument. Parent definition: Choosing an option disproportionately because it is preselected.</x:v>
      </x:c>
      <x:c r="O645" s="13" t="str">
        <x:v>Look for: explicit claim-level evidence; parent-family cues for Default effect; variant cue: the parent decision tendency appears in a choice argument; avoid author-level inference.</x:v>
      </x:c>
      <x:c r="P645" s="13" t="str">
        <x:v>Exact evidence span in text plus claim-level reasoning link; for contextual/discourse entries, require surrounding context.</x:v>
      </x:c>
      <x:c r="Q645" s="13" t="str">
        <x:v>Do not label merely because topic is controversial, emotional, or wrong. Do not judge intent or personality. Require textual evidence and consider healthy-reasoning cues.</x:v>
      </x:c>
      <x:c r="R645" s="13" t="str">
        <x:v>Stub: A claim relies on the parent decision tendency appears in a choice argument to support a conclusion without adequate qualification.</x:v>
      </x:c>
      <x:c r="S645" s="13" t="str">
        <x:v>Stub: A claim discusses default effect with caveats, balanced evidence, or no argumentative use of the pattern.</x:v>
      </x:c>
      <x:c r="T645" s="13" t="str">
        <x:v>Mild or ambiguous cue; do not classify without clear evidence span.</x:v>
      </x:c>
      <x:c r="U645" s="13" t="str">
        <x:v>Clear claim-level pattern with some argumentative impact.</x:v>
      </x:c>
      <x:c r="V645" s="13" t="str">
        <x:v>Strong pattern central to the conclusion and likely to materially distort reasoning.</x:v>
      </x:c>
      <x:c r="W645" s="13" t="str"/>
      <x:c r="X645" s="13" t="str">
        <x:v>thaler_sunstein_nudge</x:v>
      </x:c>
      <x:c r="Y645" s="13" t="str">
        <x:v>https://yalebooks.yale.edu/book/9780300262285/nudge/</x:v>
      </x:c>
      <x:c r="Z645" s="13" t="str">
        <x:v>Review before enabling. This workbook is a living taxonomy scaffold, not a validated scientific benchmark.</x:v>
      </x:c>
      <x:c r="AA645" s="13" t="str">
        <x:v>0.1.0-draft</x:v>
      </x:c>
      <x:c r="AB645" s="12" t="str">
        <x:f>IF(ISNUMBER(SEARCH("healthy",F645)),"healthy_reasoning_patterns",IF(ISNUMBER(SEARCH("statistical",F645)),"statistical_reasoning",IF(ISNUMBER(SEARCH("causal",F645)),"causal_reasoning",IF(ISNUMBER(SEARCH("social",F645)),"social_influence",IF(ISNUMBER(SEARCH("rhetoric",F645)),"rhetoric_discourse",IF(ISNUMBER(SEARCH("behavior",F645)),"behavioural_economics",IF(ISNUMBER(SEARCH("cognitive",F645)),"cognitive_biases",IF(J645="protective_pattern","healthy_reasoning_patterns",IF(L645="P0","core_mvp","extended_fallacies")))))))))</x:f>
        <x:v>extended_fallacies</x:v>
      </x:c>
      <x:c r="AC645" s="12" t="str">
        <x:f>IF(ISNUMBER(SEARCH("operational",J645)),"operational",IF(ISNUMBER(SEARCH("deprecated",J645)),"deprecated",IF(L645="P0","canonical","recognized_subtype")))</x:f>
        <x:v>operational</x:v>
      </x:c>
      <x:c r="AD645" s="12" t="str">
        <x:f>IF(AC645="canonical","high",IF(AC645="recognized_subtype","medium",IF(AC645="operational","operational_only","debated")))</x:f>
        <x:v>operational_only</x:v>
      </x:c>
      <x:c r="AE645" s="12" t="str">
        <x:f>IF(AC645="deprecated","deprecated",IF(M645="yes","active",IF(M645="review","review_required","backlog")))</x:f>
        <x:v>backlog</x:v>
      </x:c>
      <x:c r="AF645" s="12" t="str">
        <x:f>IF(OR(AE645="active",AE645="review_required"),"yes","no")</x:f>
        <x:v>no</x:v>
      </x:c>
      <x:c r="AG645" s="12" t="str">
        <x:f>IF(AND(AE645="active",M645="yes",NOT(ISNUMBER(SEARCH("healthy",AB645)))),"yes","no")</x:f>
        <x:v>no</x:v>
      </x:c>
      <x:c r="AH645" s="12" t="str">
        <x:f>IF(OR(H645="contextual",H645="dialogue",H645="discourse",I645="claim+context",I645="discourse_segment"),"yes","no")</x:f>
        <x:v>yes</x:v>
      </x:c>
      <x:c r="AI645" s="12" t="str">
        <x:f>IF(OR(AH645="yes",AD645="debated",AC645="operational"),"yes","no")</x:f>
        <x:v>yes</x:v>
      </x:c>
      <x:c r="AJ645" s="12" t="str">
        <x:f>IF(OR(AH645="yes",AC645="operational",AD645="debated"),"high",IF(AND(AG645="yes",L645="P0"),"medium","low"))</x:f>
        <x:v>high</x:v>
      </x:c>
      <x:c r="AK645" s="12" t="str">
        <x:f>IF(ISNUMBER(SEARCH("healthy",AB645)),"yes","no")</x:f>
        <x:v>no</x:v>
      </x:c>
      <x:c r="AL645" s="12" t="str">
        <x:f>IF(AG645="yes","yes","candidate_only")</x:f>
        <x:v>candidate_only</x:v>
      </x:c>
      <x:c r="AM645" s="12" t="str">
        <x:f>IF(OR(AC645="canonical",AG645="yes"),"yes","recommended")</x:f>
        <x:v>recommended</x:v>
      </x:c>
      <x:c r="AN645" s="12" t="str">
        <x:f>IF(AC645="deprecated","exclude",IF(AND(AG645="yes",AJ645="high"),"import_but_human_review_required",IF(AG645="yes","import_as_active","import_as_backlog")))</x:f>
        <x:v>import_as_backlog</x:v>
      </x:c>
      <x:c r="AO645" s="12" t="str">
        <x:f>IF(AND(AG645="yes",OR(P645="",Q645="",R645="",S645="")),"missing_required_mvp_fields",IF(AND(AC645="canonical",Y645=""),"missing_source_ref","ok"))</x:f>
        <x:v>ok</x:v>
      </x:c>
      <x:c r="AP645" s="12" t="str">
        <x:f>IF(AO645="ok","ready_for_codex_import","needs_review")</x:f>
        <x:v>ready_for_codex_import</x:v>
      </x:c>
      <x:c r="AQ645" s="12"/>
      <x:c r="AR645" s="12" t="str">
        <x:v>Added v2 operational fields. Review before classification activation.</x:v>
      </x:c>
    </x:row>
    <x:row r="646">
      <x:c r="A646" s="13" t="str">
        <x:v>sunk_cost_fallacy_canonical_125</x:v>
      </x:c>
      <x:c r="B646" s="13" t="str">
        <x:v>sunk_cost_fallacy</x:v>
      </x:c>
      <x:c r="C646" s="13" t="str">
        <x:v>Sunk-cost fallacy</x:v>
      </x:c>
      <x:c r="D646" s="13" t="str">
        <x:v>مغالطه هزینه ازدست‌رفته</x:v>
      </x:c>
      <x:c r="E646" s="13" t="str">
        <x:v>Canonical form</x:v>
      </x:c>
      <x:c r="F646" s="13" t="str">
        <x:v>decision_biases_behavioural_economics</x:v>
      </x:c>
      <x:c r="G646" s="13" t="str">
        <x:v>canonical</x:v>
      </x:c>
      <x:c r="H646" s="13" t="str">
        <x:v>contextual</x:v>
      </x:c>
      <x:c r="I646" s="13" t="str">
        <x:v>claim+context</x:v>
      </x:c>
      <x:c r="J646" s="13" t="str">
        <x:v>derived_operational_subtype</x:v>
      </x:c>
      <x:c r="K646" s="13" t="str">
        <x:v>derived_from_established_parent_review_required</x:v>
      </x:c>
      <x:c r="L646" s="13" t="str">
        <x:v>P3</x:v>
      </x:c>
      <x:c r="M646" s="13" t="str">
        <x:v>no</x:v>
      </x:c>
      <x:c r="N646" s="13" t="str">
        <x:v>Operational subtype under Sunk-cost fallacy: the parent decision tendency appears in a choice argument. Parent definition: Continuing a choice because of past costs that cannot be recovered.</x:v>
      </x:c>
      <x:c r="O646" s="13" t="str">
        <x:v>Look for: explicit claim-level evidence; parent-family cues for Sunk-cost fallacy; variant cue: the parent decision tendency appears in a choice argument; avoid author-level inference.</x:v>
      </x:c>
      <x:c r="P646" s="13" t="str">
        <x:v>Exact evidence span in text plus claim-level reasoning link; for contextual/discourse entries, require surrounding context.</x:v>
      </x:c>
      <x:c r="Q646" s="13" t="str">
        <x:v>Do not label merely because topic is controversial, emotional, or wrong. Do not judge intent or personality. Require textual evidence and consider healthy-reasoning cues.</x:v>
      </x:c>
      <x:c r="R646" s="13" t="str">
        <x:v>Stub: A claim relies on the parent decision tendency appears in a choice argument to support a conclusion without adequate qualification.</x:v>
      </x:c>
      <x:c r="S646" s="13" t="str">
        <x:v>Stub: A claim discusses sunk-cost fallacy with caveats, balanced evidence, or no argumentative use of the pattern.</x:v>
      </x:c>
      <x:c r="T646" s="13" t="str">
        <x:v>Mild or ambiguous cue; do not classify without clear evidence span.</x:v>
      </x:c>
      <x:c r="U646" s="13" t="str">
        <x:v>Clear claim-level pattern with some argumentative impact.</x:v>
      </x:c>
      <x:c r="V646" s="13" t="str">
        <x:v>Strong pattern central to the conclusion and likely to materially distort reasoning.</x:v>
      </x:c>
      <x:c r="W646" s="13" t="str"/>
      <x:c r="X646" s="13" t="str">
        <x:v>kahneman_tversky_prospect_1979</x:v>
      </x:c>
      <x:c r="Y646" s="13" t="str">
        <x:v>https://doi.org/10.2307/1914185</x:v>
      </x:c>
      <x:c r="Z646" s="13" t="str">
        <x:v>Review before enabling. This workbook is a living taxonomy scaffold, not a validated scientific benchmark.</x:v>
      </x:c>
      <x:c r="AA646" s="13" t="str">
        <x:v>0.1.0-draft</x:v>
      </x:c>
      <x:c r="AB646" s="12" t="str">
        <x:f>IF(ISNUMBER(SEARCH("healthy",F646)),"healthy_reasoning_patterns",IF(ISNUMBER(SEARCH("statistical",F646)),"statistical_reasoning",IF(ISNUMBER(SEARCH("causal",F646)),"causal_reasoning",IF(ISNUMBER(SEARCH("social",F646)),"social_influence",IF(ISNUMBER(SEARCH("rhetoric",F646)),"rhetoric_discourse",IF(ISNUMBER(SEARCH("behavior",F646)),"behavioural_economics",IF(ISNUMBER(SEARCH("cognitive",F646)),"cognitive_biases",IF(J646="protective_pattern","healthy_reasoning_patterns",IF(L646="P0","core_mvp","extended_fallacies")))))))))</x:f>
        <x:v>extended_fallacies</x:v>
      </x:c>
      <x:c r="AC646" s="12" t="str">
        <x:f>IF(ISNUMBER(SEARCH("operational",J646)),"operational",IF(ISNUMBER(SEARCH("deprecated",J646)),"deprecated",IF(L646="P0","canonical","recognized_subtype")))</x:f>
        <x:v>operational</x:v>
      </x:c>
      <x:c r="AD646" s="12" t="str">
        <x:f>IF(AC646="canonical","high",IF(AC646="recognized_subtype","medium",IF(AC646="operational","operational_only","debated")))</x:f>
        <x:v>operational_only</x:v>
      </x:c>
      <x:c r="AE646" s="12" t="str">
        <x:f>IF(AC646="deprecated","deprecated",IF(M646="yes","active",IF(M646="review","review_required","backlog")))</x:f>
        <x:v>backlog</x:v>
      </x:c>
      <x:c r="AF646" s="12" t="str">
        <x:f>IF(OR(AE646="active",AE646="review_required"),"yes","no")</x:f>
        <x:v>no</x:v>
      </x:c>
      <x:c r="AG646" s="12" t="str">
        <x:f>IF(AND(AE646="active",M646="yes",NOT(ISNUMBER(SEARCH("healthy",AB646)))),"yes","no")</x:f>
        <x:v>no</x:v>
      </x:c>
      <x:c r="AH646" s="12" t="str">
        <x:f>IF(OR(H646="contextual",H646="dialogue",H646="discourse",I646="claim+context",I646="discourse_segment"),"yes","no")</x:f>
        <x:v>yes</x:v>
      </x:c>
      <x:c r="AI646" s="12" t="str">
        <x:f>IF(OR(AH646="yes",AD646="debated",AC646="operational"),"yes","no")</x:f>
        <x:v>yes</x:v>
      </x:c>
      <x:c r="AJ646" s="12" t="str">
        <x:f>IF(OR(AH646="yes",AC646="operational",AD646="debated"),"high",IF(AND(AG646="yes",L646="P0"),"medium","low"))</x:f>
        <x:v>high</x:v>
      </x:c>
      <x:c r="AK646" s="12" t="str">
        <x:f>IF(ISNUMBER(SEARCH("healthy",AB646)),"yes","no")</x:f>
        <x:v>no</x:v>
      </x:c>
      <x:c r="AL646" s="12" t="str">
        <x:f>IF(AG646="yes","yes","candidate_only")</x:f>
        <x:v>candidate_only</x:v>
      </x:c>
      <x:c r="AM646" s="12" t="str">
        <x:f>IF(OR(AC646="canonical",AG646="yes"),"yes","recommended")</x:f>
        <x:v>recommended</x:v>
      </x:c>
      <x:c r="AN646" s="12" t="str">
        <x:f>IF(AC646="deprecated","exclude",IF(AND(AG646="yes",AJ646="high"),"import_but_human_review_required",IF(AG646="yes","import_as_active","import_as_backlog")))</x:f>
        <x:v>import_as_backlog</x:v>
      </x:c>
      <x:c r="AO646" s="12" t="str">
        <x:f>IF(AND(AG646="yes",OR(P646="",Q646="",R646="",S646="")),"missing_required_mvp_fields",IF(AND(AC646="canonical",Y646=""),"missing_source_ref","ok"))</x:f>
        <x:v>ok</x:v>
      </x:c>
      <x:c r="AP646" s="12" t="str">
        <x:f>IF(AO646="ok","ready_for_codex_import","needs_review")</x:f>
        <x:v>ready_for_codex_import</x:v>
      </x:c>
      <x:c r="AQ646" s="12"/>
      <x:c r="AR646" s="12" t="str">
        <x:v>Added v2 operational fields. Review before classification activation.</x:v>
      </x:c>
    </x:row>
    <x:row r="647">
      <x:c r="A647" s="13" t="str">
        <x:v>present_bias_canonical_126</x:v>
      </x:c>
      <x:c r="B647" s="13" t="str">
        <x:v>present_bias</x:v>
      </x:c>
      <x:c r="C647" s="13" t="str">
        <x:v>Present bias</x:v>
      </x:c>
      <x:c r="D647" s="13" t="str">
        <x:v>سوگیری حال</x:v>
      </x:c>
      <x:c r="E647" s="13" t="str">
        <x:v>Canonical form</x:v>
      </x:c>
      <x:c r="F647" s="13" t="str">
        <x:v>decision_biases_behavioural_economics</x:v>
      </x:c>
      <x:c r="G647" s="13" t="str">
        <x:v>canonical</x:v>
      </x:c>
      <x:c r="H647" s="13" t="str">
        <x:v>contextual</x:v>
      </x:c>
      <x:c r="I647" s="13" t="str">
        <x:v>claim+context</x:v>
      </x:c>
      <x:c r="J647" s="13" t="str">
        <x:v>derived_operational_subtype</x:v>
      </x:c>
      <x:c r="K647" s="13" t="str">
        <x:v>derived_from_established_parent_review_required</x:v>
      </x:c>
      <x:c r="L647" s="13" t="str">
        <x:v>P3</x:v>
      </x:c>
      <x:c r="M647" s="13" t="str">
        <x:v>no</x:v>
      </x:c>
      <x:c r="N647" s="13" t="str">
        <x:v>Operational subtype under Present bias: the parent decision tendency appears in a choice argument. Parent definition: Overweighting immediate costs or rewards relative to future ones.</x:v>
      </x:c>
      <x:c r="O647" s="13" t="str">
        <x:v>Look for: explicit claim-level evidence; parent-family cues for Present bias; variant cue: the parent decision tendency appears in a choice argument; avoid author-level inference.</x:v>
      </x:c>
      <x:c r="P647" s="13" t="str">
        <x:v>Exact evidence span in text plus claim-level reasoning link; for contextual/discourse entries, require surrounding context.</x:v>
      </x:c>
      <x:c r="Q647" s="13" t="str">
        <x:v>Do not label merely because topic is controversial, emotional, or wrong. Do not judge intent or personality. Require textual evidence and consider healthy-reasoning cues.</x:v>
      </x:c>
      <x:c r="R647" s="13" t="str">
        <x:v>Stub: A claim relies on the parent decision tendency appears in a choice argument to support a conclusion without adequate qualification.</x:v>
      </x:c>
      <x:c r="S647" s="13" t="str">
        <x:v>Stub: A claim discusses present bias with caveats, balanced evidence, or no argumentative use of the pattern.</x:v>
      </x:c>
      <x:c r="T647" s="13" t="str">
        <x:v>Mild or ambiguous cue; do not classify without clear evidence span.</x:v>
      </x:c>
      <x:c r="U647" s="13" t="str">
        <x:v>Clear claim-level pattern with some argumentative impact.</x:v>
      </x:c>
      <x:c r="V647" s="13" t="str">
        <x:v>Strong pattern central to the conclusion and likely to materially distort reasoning.</x:v>
      </x:c>
      <x:c r="W647" s="13" t="str"/>
      <x:c r="X647" s="13" t="str">
        <x:v>thaler_sunstein_nudge</x:v>
      </x:c>
      <x:c r="Y647" s="13" t="str">
        <x:v>https://yalebooks.yale.edu/book/9780300262285/nudge/</x:v>
      </x:c>
      <x:c r="Z647" s="13" t="str">
        <x:v>Review before enabling. This workbook is a living taxonomy scaffold, not a validated scientific benchmark.</x:v>
      </x:c>
      <x:c r="AA647" s="13" t="str">
        <x:v>0.1.0-draft</x:v>
      </x:c>
      <x:c r="AB647" s="12" t="str">
        <x:f>IF(ISNUMBER(SEARCH("healthy",F647)),"healthy_reasoning_patterns",IF(ISNUMBER(SEARCH("statistical",F647)),"statistical_reasoning",IF(ISNUMBER(SEARCH("causal",F647)),"causal_reasoning",IF(ISNUMBER(SEARCH("social",F647)),"social_influence",IF(ISNUMBER(SEARCH("rhetoric",F647)),"rhetoric_discourse",IF(ISNUMBER(SEARCH("behavior",F647)),"behavioural_economics",IF(ISNUMBER(SEARCH("cognitive",F647)),"cognitive_biases",IF(J647="protective_pattern","healthy_reasoning_patterns",IF(L647="P0","core_mvp","extended_fallacies")))))))))</x:f>
        <x:v>extended_fallacies</x:v>
      </x:c>
      <x:c r="AC647" s="12" t="str">
        <x:f>IF(ISNUMBER(SEARCH("operational",J647)),"operational",IF(ISNUMBER(SEARCH("deprecated",J647)),"deprecated",IF(L647="P0","canonical","recognized_subtype")))</x:f>
        <x:v>operational</x:v>
      </x:c>
      <x:c r="AD647" s="12" t="str">
        <x:f>IF(AC647="canonical","high",IF(AC647="recognized_subtype","medium",IF(AC647="operational","operational_only","debated")))</x:f>
        <x:v>operational_only</x:v>
      </x:c>
      <x:c r="AE647" s="12" t="str">
        <x:f>IF(AC647="deprecated","deprecated",IF(M647="yes","active",IF(M647="review","review_required","backlog")))</x:f>
        <x:v>backlog</x:v>
      </x:c>
      <x:c r="AF647" s="12" t="str">
        <x:f>IF(OR(AE647="active",AE647="review_required"),"yes","no")</x:f>
        <x:v>no</x:v>
      </x:c>
      <x:c r="AG647" s="12" t="str">
        <x:f>IF(AND(AE647="active",M647="yes",NOT(ISNUMBER(SEARCH("healthy",AB647)))),"yes","no")</x:f>
        <x:v>no</x:v>
      </x:c>
      <x:c r="AH647" s="12" t="str">
        <x:f>IF(OR(H647="contextual",H647="dialogue",H647="discourse",I647="claim+context",I647="discourse_segment"),"yes","no")</x:f>
        <x:v>yes</x:v>
      </x:c>
      <x:c r="AI647" s="12" t="str">
        <x:f>IF(OR(AH647="yes",AD647="debated",AC647="operational"),"yes","no")</x:f>
        <x:v>yes</x:v>
      </x:c>
      <x:c r="AJ647" s="12" t="str">
        <x:f>IF(OR(AH647="yes",AC647="operational",AD647="debated"),"high",IF(AND(AG647="yes",L647="P0"),"medium","low"))</x:f>
        <x:v>high</x:v>
      </x:c>
      <x:c r="AK647" s="12" t="str">
        <x:f>IF(ISNUMBER(SEARCH("healthy",AB647)),"yes","no")</x:f>
        <x:v>no</x:v>
      </x:c>
      <x:c r="AL647" s="12" t="str">
        <x:f>IF(AG647="yes","yes","candidate_only")</x:f>
        <x:v>candidate_only</x:v>
      </x:c>
      <x:c r="AM647" s="12" t="str">
        <x:f>IF(OR(AC647="canonical",AG647="yes"),"yes","recommended")</x:f>
        <x:v>recommended</x:v>
      </x:c>
      <x:c r="AN647" s="12" t="str">
        <x:f>IF(AC647="deprecated","exclude",IF(AND(AG647="yes",AJ647="high"),"import_but_human_review_required",IF(AG647="yes","import_as_active","import_as_backlog")))</x:f>
        <x:v>import_as_backlog</x:v>
      </x:c>
      <x:c r="AO647" s="12" t="str">
        <x:f>IF(AND(AG647="yes",OR(P647="",Q647="",R647="",S647="")),"missing_required_mvp_fields",IF(AND(AC647="canonical",Y647=""),"missing_source_ref","ok"))</x:f>
        <x:v>ok</x:v>
      </x:c>
      <x:c r="AP647" s="12" t="str">
        <x:f>IF(AO647="ok","ready_for_codex_import","needs_review")</x:f>
        <x:v>ready_for_codex_import</x:v>
      </x:c>
      <x:c r="AQ647" s="12"/>
      <x:c r="AR647" s="12" t="str">
        <x:v>Added v2 operational fields. Review before classification activation.</x:v>
      </x:c>
    </x:row>
    <x:row r="648">
      <x:c r="A648" s="13" t="str">
        <x:v>hyperbolic_discounting_canonical_127</x:v>
      </x:c>
      <x:c r="B648" s="13" t="str">
        <x:v>hyperbolic_discounting</x:v>
      </x:c>
      <x:c r="C648" s="13" t="str">
        <x:v>Hyperbolic discounting</x:v>
      </x:c>
      <x:c r="D648" s="13" t="str">
        <x:v>تنزیل هذلولوی</x:v>
      </x:c>
      <x:c r="E648" s="13" t="str">
        <x:v>Canonical form</x:v>
      </x:c>
      <x:c r="F648" s="13" t="str">
        <x:v>decision_biases_behavioural_economics</x:v>
      </x:c>
      <x:c r="G648" s="13" t="str">
        <x:v>canonical</x:v>
      </x:c>
      <x:c r="H648" s="13" t="str">
        <x:v>contextual</x:v>
      </x:c>
      <x:c r="I648" s="13" t="str">
        <x:v>claim+context</x:v>
      </x:c>
      <x:c r="J648" s="13" t="str">
        <x:v>derived_operational_subtype</x:v>
      </x:c>
      <x:c r="K648" s="13" t="str">
        <x:v>derived_from_established_parent_review_required</x:v>
      </x:c>
      <x:c r="L648" s="13" t="str">
        <x:v>P3</x:v>
      </x:c>
      <x:c r="M648" s="13" t="str">
        <x:v>no</x:v>
      </x:c>
      <x:c r="N648" s="13" t="str">
        <x:v>Operational subtype under Hyperbolic discounting: the parent decision tendency appears in a choice argument. Parent definition: Discounting future outcomes in a time-inconsistent way.</x:v>
      </x:c>
      <x:c r="O648" s="13" t="str">
        <x:v>Look for: explicit claim-level evidence; parent-family cues for Hyperbolic discounting; variant cue: the parent decision tendency appears in a choice argument; avoid author-level inference.</x:v>
      </x:c>
      <x:c r="P648" s="13" t="str">
        <x:v>Exact evidence span in text plus claim-level reasoning link; for contextual/discourse entries, require surrounding context.</x:v>
      </x:c>
      <x:c r="Q648" s="13" t="str">
        <x:v>Do not label merely because topic is controversial, emotional, or wrong. Do not judge intent or personality. Require textual evidence and consider healthy-reasoning cues.</x:v>
      </x:c>
      <x:c r="R648" s="13" t="str">
        <x:v>Stub: A claim relies on the parent decision tendency appears in a choice argument to support a conclusion without adequate qualification.</x:v>
      </x:c>
      <x:c r="S648" s="13" t="str">
        <x:v>Stub: A claim discusses hyperbolic discounting with caveats, balanced evidence, or no argumentative use of the pattern.</x:v>
      </x:c>
      <x:c r="T648" s="13" t="str">
        <x:v>Mild or ambiguous cue; do not classify without clear evidence span.</x:v>
      </x:c>
      <x:c r="U648" s="13" t="str">
        <x:v>Clear claim-level pattern with some argumentative impact.</x:v>
      </x:c>
      <x:c r="V648" s="13" t="str">
        <x:v>Strong pattern central to the conclusion and likely to materially distort reasoning.</x:v>
      </x:c>
      <x:c r="W648" s="13" t="str"/>
      <x:c r="X648" s="13" t="str">
        <x:v>thaler_sunstein_nudge</x:v>
      </x:c>
      <x:c r="Y648" s="13" t="str">
        <x:v>https://yalebooks.yale.edu/book/9780300262285/nudge/</x:v>
      </x:c>
      <x:c r="Z648" s="13" t="str">
        <x:v>Review before enabling. This workbook is a living taxonomy scaffold, not a validated scientific benchmark.</x:v>
      </x:c>
      <x:c r="AA648" s="13" t="str">
        <x:v>0.1.0-draft</x:v>
      </x:c>
      <x:c r="AB648" s="12" t="str">
        <x:f>IF(ISNUMBER(SEARCH("healthy",F648)),"healthy_reasoning_patterns",IF(ISNUMBER(SEARCH("statistical",F648)),"statistical_reasoning",IF(ISNUMBER(SEARCH("causal",F648)),"causal_reasoning",IF(ISNUMBER(SEARCH("social",F648)),"social_influence",IF(ISNUMBER(SEARCH("rhetoric",F648)),"rhetoric_discourse",IF(ISNUMBER(SEARCH("behavior",F648)),"behavioural_economics",IF(ISNUMBER(SEARCH("cognitive",F648)),"cognitive_biases",IF(J648="protective_pattern","healthy_reasoning_patterns",IF(L648="P0","core_mvp","extended_fallacies")))))))))</x:f>
        <x:v>extended_fallacies</x:v>
      </x:c>
      <x:c r="AC648" s="12" t="str">
        <x:f>IF(ISNUMBER(SEARCH("operational",J648)),"operational",IF(ISNUMBER(SEARCH("deprecated",J648)),"deprecated",IF(L648="P0","canonical","recognized_subtype")))</x:f>
        <x:v>operational</x:v>
      </x:c>
      <x:c r="AD648" s="12" t="str">
        <x:f>IF(AC648="canonical","high",IF(AC648="recognized_subtype","medium",IF(AC648="operational","operational_only","debated")))</x:f>
        <x:v>operational_only</x:v>
      </x:c>
      <x:c r="AE648" s="12" t="str">
        <x:f>IF(AC648="deprecated","deprecated",IF(M648="yes","active",IF(M648="review","review_required","backlog")))</x:f>
        <x:v>backlog</x:v>
      </x:c>
      <x:c r="AF648" s="12" t="str">
        <x:f>IF(OR(AE648="active",AE648="review_required"),"yes","no")</x:f>
        <x:v>no</x:v>
      </x:c>
      <x:c r="AG648" s="12" t="str">
        <x:f>IF(AND(AE648="active",M648="yes",NOT(ISNUMBER(SEARCH("healthy",AB648)))),"yes","no")</x:f>
        <x:v>no</x:v>
      </x:c>
      <x:c r="AH648" s="12" t="str">
        <x:f>IF(OR(H648="contextual",H648="dialogue",H648="discourse",I648="claim+context",I648="discourse_segment"),"yes","no")</x:f>
        <x:v>yes</x:v>
      </x:c>
      <x:c r="AI648" s="12" t="str">
        <x:f>IF(OR(AH648="yes",AD648="debated",AC648="operational"),"yes","no")</x:f>
        <x:v>yes</x:v>
      </x:c>
      <x:c r="AJ648" s="12" t="str">
        <x:f>IF(OR(AH648="yes",AC648="operational",AD648="debated"),"high",IF(AND(AG648="yes",L648="P0"),"medium","low"))</x:f>
        <x:v>high</x:v>
      </x:c>
      <x:c r="AK648" s="12" t="str">
        <x:f>IF(ISNUMBER(SEARCH("healthy",AB648)),"yes","no")</x:f>
        <x:v>no</x:v>
      </x:c>
      <x:c r="AL648" s="12" t="str">
        <x:f>IF(AG648="yes","yes","candidate_only")</x:f>
        <x:v>candidate_only</x:v>
      </x:c>
      <x:c r="AM648" s="12" t="str">
        <x:f>IF(OR(AC648="canonical",AG648="yes"),"yes","recommended")</x:f>
        <x:v>recommended</x:v>
      </x:c>
      <x:c r="AN648" s="12" t="str">
        <x:f>IF(AC648="deprecated","exclude",IF(AND(AG648="yes",AJ648="high"),"import_but_human_review_required",IF(AG648="yes","import_as_active","import_as_backlog")))</x:f>
        <x:v>import_as_backlog</x:v>
      </x:c>
      <x:c r="AO648" s="12" t="str">
        <x:f>IF(AND(AG648="yes",OR(P648="",Q648="",R648="",S648="")),"missing_required_mvp_fields",IF(AND(AC648="canonical",Y648=""),"missing_source_ref","ok"))</x:f>
        <x:v>ok</x:v>
      </x:c>
      <x:c r="AP648" s="12" t="str">
        <x:f>IF(AO648="ok","ready_for_codex_import","needs_review")</x:f>
        <x:v>ready_for_codex_import</x:v>
      </x:c>
      <x:c r="AQ648" s="12"/>
      <x:c r="AR648" s="12" t="str">
        <x:v>Added v2 operational fields. Review before classification activation.</x:v>
      </x:c>
    </x:row>
    <x:row r="649">
      <x:c r="A649" s="13" t="str">
        <x:v>planning_fallacy_canonical_128</x:v>
      </x:c>
      <x:c r="B649" s="13" t="str">
        <x:v>planning_fallacy</x:v>
      </x:c>
      <x:c r="C649" s="13" t="str">
        <x:v>Planning fallacy</x:v>
      </x:c>
      <x:c r="D649" s="13" t="str">
        <x:v>خطای برنامه‌ریزی</x:v>
      </x:c>
      <x:c r="E649" s="13" t="str">
        <x:v>Canonical form</x:v>
      </x:c>
      <x:c r="F649" s="13" t="str">
        <x:v>decision_biases_behavioural_economics</x:v>
      </x:c>
      <x:c r="G649" s="13" t="str">
        <x:v>canonical</x:v>
      </x:c>
      <x:c r="H649" s="13" t="str">
        <x:v>contextual</x:v>
      </x:c>
      <x:c r="I649" s="13" t="str">
        <x:v>claim+context</x:v>
      </x:c>
      <x:c r="J649" s="13" t="str">
        <x:v>derived_operational_subtype</x:v>
      </x:c>
      <x:c r="K649" s="13" t="str">
        <x:v>derived_from_established_parent_review_required</x:v>
      </x:c>
      <x:c r="L649" s="13" t="str">
        <x:v>P3</x:v>
      </x:c>
      <x:c r="M649" s="13" t="str">
        <x:v>no</x:v>
      </x:c>
      <x:c r="N649" s="13" t="str">
        <x:v>Operational subtype under Planning fallacy: the parent decision tendency appears in a choice argument. Parent definition: Underestimating time, costs, or risks of future tasks.</x:v>
      </x:c>
      <x:c r="O649" s="13" t="str">
        <x:v>Look for: explicit claim-level evidence; parent-family cues for Planning fallacy; variant cue: the parent decision tendency appears in a choice argument; avoid author-level inference.</x:v>
      </x:c>
      <x:c r="P649" s="13" t="str">
        <x:v>Exact evidence span in text plus claim-level reasoning link; for contextual/discourse entries, require surrounding context.</x:v>
      </x:c>
      <x:c r="Q649" s="13" t="str">
        <x:v>Do not label merely because topic is controversial, emotional, or wrong. Do not judge intent or personality. Require textual evidence and consider healthy-reasoning cues.</x:v>
      </x:c>
      <x:c r="R649" s="13" t="str">
        <x:v>Stub: A claim relies on the parent decision tendency appears in a choice argument to support a conclusion without adequate qualification.</x:v>
      </x:c>
      <x:c r="S649" s="13" t="str">
        <x:v>Stub: A claim discusses planning fallacy with caveats, balanced evidence, or no argumentative use of the pattern.</x:v>
      </x:c>
      <x:c r="T649" s="13" t="str">
        <x:v>Mild or ambiguous cue; do not classify without clear evidence span.</x:v>
      </x:c>
      <x:c r="U649" s="13" t="str">
        <x:v>Clear claim-level pattern with some argumentative impact.</x:v>
      </x:c>
      <x:c r="V649" s="13" t="str">
        <x:v>Strong pattern central to the conclusion and likely to materially distort reasoning.</x:v>
      </x:c>
      <x:c r="W649" s="13" t="str"/>
      <x:c r="X649" s="13" t="str">
        <x:v>gilovich_heuristics_biases</x:v>
      </x:c>
      <x:c r="Y649" s="13" t="str">
        <x:v>https://www.cambridge.org/core/books/heuristics-and-biases/3C30D3B05D2F190C3B8BE5E2531EFD24</x:v>
      </x:c>
      <x:c r="Z649" s="13" t="str">
        <x:v>Review before enabling. This workbook is a living taxonomy scaffold, not a validated scientific benchmark.</x:v>
      </x:c>
      <x:c r="AA649" s="13" t="str">
        <x:v>0.1.0-draft</x:v>
      </x:c>
      <x:c r="AB649" s="12" t="str">
        <x:f>IF(ISNUMBER(SEARCH("healthy",F649)),"healthy_reasoning_patterns",IF(ISNUMBER(SEARCH("statistical",F649)),"statistical_reasoning",IF(ISNUMBER(SEARCH("causal",F649)),"causal_reasoning",IF(ISNUMBER(SEARCH("social",F649)),"social_influence",IF(ISNUMBER(SEARCH("rhetoric",F649)),"rhetoric_discourse",IF(ISNUMBER(SEARCH("behavior",F649)),"behavioural_economics",IF(ISNUMBER(SEARCH("cognitive",F649)),"cognitive_biases",IF(J649="protective_pattern","healthy_reasoning_patterns",IF(L649="P0","core_mvp","extended_fallacies")))))))))</x:f>
        <x:v>extended_fallacies</x:v>
      </x:c>
      <x:c r="AC649" s="12" t="str">
        <x:f>IF(ISNUMBER(SEARCH("operational",J649)),"operational",IF(ISNUMBER(SEARCH("deprecated",J649)),"deprecated",IF(L649="P0","canonical","recognized_subtype")))</x:f>
        <x:v>operational</x:v>
      </x:c>
      <x:c r="AD649" s="12" t="str">
        <x:f>IF(AC649="canonical","high",IF(AC649="recognized_subtype","medium",IF(AC649="operational","operational_only","debated")))</x:f>
        <x:v>operational_only</x:v>
      </x:c>
      <x:c r="AE649" s="12" t="str">
        <x:f>IF(AC649="deprecated","deprecated",IF(M649="yes","active",IF(M649="review","review_required","backlog")))</x:f>
        <x:v>backlog</x:v>
      </x:c>
      <x:c r="AF649" s="12" t="str">
        <x:f>IF(OR(AE649="active",AE649="review_required"),"yes","no")</x:f>
        <x:v>no</x:v>
      </x:c>
      <x:c r="AG649" s="12" t="str">
        <x:f>IF(AND(AE649="active",M649="yes",NOT(ISNUMBER(SEARCH("healthy",AB649)))),"yes","no")</x:f>
        <x:v>no</x:v>
      </x:c>
      <x:c r="AH649" s="12" t="str">
        <x:f>IF(OR(H649="contextual",H649="dialogue",H649="discourse",I649="claim+context",I649="discourse_segment"),"yes","no")</x:f>
        <x:v>yes</x:v>
      </x:c>
      <x:c r="AI649" s="12" t="str">
        <x:f>IF(OR(AH649="yes",AD649="debated",AC649="operational"),"yes","no")</x:f>
        <x:v>yes</x:v>
      </x:c>
      <x:c r="AJ649" s="12" t="str">
        <x:f>IF(OR(AH649="yes",AC649="operational",AD649="debated"),"high",IF(AND(AG649="yes",L649="P0"),"medium","low"))</x:f>
        <x:v>high</x:v>
      </x:c>
      <x:c r="AK649" s="12" t="str">
        <x:f>IF(ISNUMBER(SEARCH("healthy",AB649)),"yes","no")</x:f>
        <x:v>no</x:v>
      </x:c>
      <x:c r="AL649" s="12" t="str">
        <x:f>IF(AG649="yes","yes","candidate_only")</x:f>
        <x:v>candidate_only</x:v>
      </x:c>
      <x:c r="AM649" s="12" t="str">
        <x:f>IF(OR(AC649="canonical",AG649="yes"),"yes","recommended")</x:f>
        <x:v>recommended</x:v>
      </x:c>
      <x:c r="AN649" s="12" t="str">
        <x:f>IF(AC649="deprecated","exclude",IF(AND(AG649="yes",AJ649="high"),"import_but_human_review_required",IF(AG649="yes","import_as_active","import_as_backlog")))</x:f>
        <x:v>import_as_backlog</x:v>
      </x:c>
      <x:c r="AO649" s="12" t="str">
        <x:f>IF(AND(AG649="yes",OR(P649="",Q649="",R649="",S649="")),"missing_required_mvp_fields",IF(AND(AC649="canonical",Y649=""),"missing_source_ref","ok"))</x:f>
        <x:v>ok</x:v>
      </x:c>
      <x:c r="AP649" s="12" t="str">
        <x:f>IF(AO649="ok","ready_for_codex_import","needs_review")</x:f>
        <x:v>ready_for_codex_import</x:v>
      </x:c>
      <x:c r="AQ649" s="12"/>
      <x:c r="AR649" s="12" t="str">
        <x:v>Added v2 operational fields. Review before classification activation.</x:v>
      </x:c>
    </x:row>
    <x:row r="650">
      <x:c r="A650" s="13" t="str">
        <x:v>choice_overload_canonical_129</x:v>
      </x:c>
      <x:c r="B650" s="13" t="str">
        <x:v>choice_overload</x:v>
      </x:c>
      <x:c r="C650" s="13" t="str">
        <x:v>Choice overload</x:v>
      </x:c>
      <x:c r="D650" s="13" t="str">
        <x:v>بار زیاد انتخاب</x:v>
      </x:c>
      <x:c r="E650" s="13" t="str">
        <x:v>Canonical form</x:v>
      </x:c>
      <x:c r="F650" s="13" t="str">
        <x:v>decision_biases_behavioural_economics</x:v>
      </x:c>
      <x:c r="G650" s="13" t="str">
        <x:v>canonical</x:v>
      </x:c>
      <x:c r="H650" s="13" t="str">
        <x:v>contextual</x:v>
      </x:c>
      <x:c r="I650" s="13" t="str">
        <x:v>claim+context</x:v>
      </x:c>
      <x:c r="J650" s="13" t="str">
        <x:v>derived_operational_subtype</x:v>
      </x:c>
      <x:c r="K650" s="13" t="str">
        <x:v>derived_from_established_parent_review_required</x:v>
      </x:c>
      <x:c r="L650" s="13" t="str">
        <x:v>P3</x:v>
      </x:c>
      <x:c r="M650" s="13" t="str">
        <x:v>no</x:v>
      </x:c>
      <x:c r="N650" s="13" t="str">
        <x:v>Operational subtype under Choice overload: the parent decision tendency appears in a choice argument. Parent definition: Decision quality or satisfaction decreases when options become excessive.</x:v>
      </x:c>
      <x:c r="O650" s="13" t="str">
        <x:v>Look for: explicit claim-level evidence; parent-family cues for Choice overload; variant cue: the parent decision tendency appears in a choice argument; avoid author-level inference.</x:v>
      </x:c>
      <x:c r="P650" s="13" t="str">
        <x:v>Exact evidence span in text plus claim-level reasoning link; for contextual/discourse entries, require surrounding context.</x:v>
      </x:c>
      <x:c r="Q650" s="13" t="str">
        <x:v>Do not label merely because topic is controversial, emotional, or wrong. Do not judge intent or personality. Require textual evidence and consider healthy-reasoning cues.</x:v>
      </x:c>
      <x:c r="R650" s="13" t="str">
        <x:v>Stub: A claim relies on the parent decision tendency appears in a choice argument to support a conclusion without adequate qualification.</x:v>
      </x:c>
      <x:c r="S650" s="13" t="str">
        <x:v>Stub: A claim discusses choice overload with caveats, balanced evidence, or no argumentative use of the pattern.</x:v>
      </x:c>
      <x:c r="T650" s="13" t="str">
        <x:v>Mild or ambiguous cue; do not classify without clear evidence span.</x:v>
      </x:c>
      <x:c r="U650" s="13" t="str">
        <x:v>Clear claim-level pattern with some argumentative impact.</x:v>
      </x:c>
      <x:c r="V650" s="13" t="str">
        <x:v>Strong pattern central to the conclusion and likely to materially distort reasoning.</x:v>
      </x:c>
      <x:c r="W650" s="13" t="str"/>
      <x:c r="X650" s="13" t="str">
        <x:v>thaler_sunstein_nudge</x:v>
      </x:c>
      <x:c r="Y650" s="13" t="str">
        <x:v>https://yalebooks.yale.edu/book/9780300262285/nudge/</x:v>
      </x:c>
      <x:c r="Z650" s="13" t="str">
        <x:v>Review before enabling. This workbook is a living taxonomy scaffold, not a validated scientific benchmark.</x:v>
      </x:c>
      <x:c r="AA650" s="13" t="str">
        <x:v>0.1.0-draft</x:v>
      </x:c>
      <x:c r="AB650" s="12" t="str">
        <x:f>IF(ISNUMBER(SEARCH("healthy",F650)),"healthy_reasoning_patterns",IF(ISNUMBER(SEARCH("statistical",F650)),"statistical_reasoning",IF(ISNUMBER(SEARCH("causal",F650)),"causal_reasoning",IF(ISNUMBER(SEARCH("social",F650)),"social_influence",IF(ISNUMBER(SEARCH("rhetoric",F650)),"rhetoric_discourse",IF(ISNUMBER(SEARCH("behavior",F650)),"behavioural_economics",IF(ISNUMBER(SEARCH("cognitive",F650)),"cognitive_biases",IF(J650="protective_pattern","healthy_reasoning_patterns",IF(L650="P0","core_mvp","extended_fallacies")))))))))</x:f>
        <x:v>extended_fallacies</x:v>
      </x:c>
      <x:c r="AC650" s="12" t="str">
        <x:f>IF(ISNUMBER(SEARCH("operational",J650)),"operational",IF(ISNUMBER(SEARCH("deprecated",J650)),"deprecated",IF(L650="P0","canonical","recognized_subtype")))</x:f>
        <x:v>operational</x:v>
      </x:c>
      <x:c r="AD650" s="12" t="str">
        <x:f>IF(AC650="canonical","high",IF(AC650="recognized_subtype","medium",IF(AC650="operational","operational_only","debated")))</x:f>
        <x:v>operational_only</x:v>
      </x:c>
      <x:c r="AE650" s="12" t="str">
        <x:f>IF(AC650="deprecated","deprecated",IF(M650="yes","active",IF(M650="review","review_required","backlog")))</x:f>
        <x:v>backlog</x:v>
      </x:c>
      <x:c r="AF650" s="12" t="str">
        <x:f>IF(OR(AE650="active",AE650="review_required"),"yes","no")</x:f>
        <x:v>no</x:v>
      </x:c>
      <x:c r="AG650" s="12" t="str">
        <x:f>IF(AND(AE650="active",M650="yes",NOT(ISNUMBER(SEARCH("healthy",AB650)))),"yes","no")</x:f>
        <x:v>no</x:v>
      </x:c>
      <x:c r="AH650" s="12" t="str">
        <x:f>IF(OR(H650="contextual",H650="dialogue",H650="discourse",I650="claim+context",I650="discourse_segment"),"yes","no")</x:f>
        <x:v>yes</x:v>
      </x:c>
      <x:c r="AI650" s="12" t="str">
        <x:f>IF(OR(AH650="yes",AD650="debated",AC650="operational"),"yes","no")</x:f>
        <x:v>yes</x:v>
      </x:c>
      <x:c r="AJ650" s="12" t="str">
        <x:f>IF(OR(AH650="yes",AC650="operational",AD650="debated"),"high",IF(AND(AG650="yes",L650="P0"),"medium","low"))</x:f>
        <x:v>high</x:v>
      </x:c>
      <x:c r="AK650" s="12" t="str">
        <x:f>IF(ISNUMBER(SEARCH("healthy",AB650)),"yes","no")</x:f>
        <x:v>no</x:v>
      </x:c>
      <x:c r="AL650" s="12" t="str">
        <x:f>IF(AG650="yes","yes","candidate_only")</x:f>
        <x:v>candidate_only</x:v>
      </x:c>
      <x:c r="AM650" s="12" t="str">
        <x:f>IF(OR(AC650="canonical",AG650="yes"),"yes","recommended")</x:f>
        <x:v>recommended</x:v>
      </x:c>
      <x:c r="AN650" s="12" t="str">
        <x:f>IF(AC650="deprecated","exclude",IF(AND(AG650="yes",AJ650="high"),"import_but_human_review_required",IF(AG650="yes","import_as_active","import_as_backlog")))</x:f>
        <x:v>import_as_backlog</x:v>
      </x:c>
      <x:c r="AO650" s="12" t="str">
        <x:f>IF(AND(AG650="yes",OR(P650="",Q650="",R650="",S650="")),"missing_required_mvp_fields",IF(AND(AC650="canonical",Y650=""),"missing_source_ref","ok"))</x:f>
        <x:v>ok</x:v>
      </x:c>
      <x:c r="AP650" s="12" t="str">
        <x:f>IF(AO650="ok","ready_for_codex_import","needs_review")</x:f>
        <x:v>ready_for_codex_import</x:v>
      </x:c>
      <x:c r="AQ650" s="12"/>
      <x:c r="AR650" s="12" t="str">
        <x:v>Added v2 operational fields. Review before classification activation.</x:v>
      </x:c>
    </x:row>
    <x:row r="651">
      <x:c r="A651" s="13" t="str">
        <x:v>decoy_effect_canonical_130</x:v>
      </x:c>
      <x:c r="B651" s="13" t="str">
        <x:v>decoy_effect</x:v>
      </x:c>
      <x:c r="C651" s="13" t="str">
        <x:v>Decoy effect</x:v>
      </x:c>
      <x:c r="D651" s="13" t="str">
        <x:v>اثر طعمه</x:v>
      </x:c>
      <x:c r="E651" s="13" t="str">
        <x:v>Canonical form</x:v>
      </x:c>
      <x:c r="F651" s="13" t="str">
        <x:v>decision_biases_behavioural_economics</x:v>
      </x:c>
      <x:c r="G651" s="13" t="str">
        <x:v>canonical</x:v>
      </x:c>
      <x:c r="H651" s="13" t="str">
        <x:v>contextual</x:v>
      </x:c>
      <x:c r="I651" s="13" t="str">
        <x:v>claim+context</x:v>
      </x:c>
      <x:c r="J651" s="13" t="str">
        <x:v>derived_operational_subtype</x:v>
      </x:c>
      <x:c r="K651" s="13" t="str">
        <x:v>derived_from_established_parent_review_required</x:v>
      </x:c>
      <x:c r="L651" s="13" t="str">
        <x:v>P3</x:v>
      </x:c>
      <x:c r="M651" s="13" t="str">
        <x:v>no</x:v>
      </x:c>
      <x:c r="N651" s="13" t="str">
        <x:v>Operational subtype under Decoy effect: the parent decision tendency appears in a choice argument. Parent definition: Preferences change when an asymmetrically dominated option is introduced.</x:v>
      </x:c>
      <x:c r="O651" s="13" t="str">
        <x:v>Look for: explicit claim-level evidence; parent-family cues for Decoy effect; variant cue: the parent decision tendency appears in a choice argument; avoid author-level inference.</x:v>
      </x:c>
      <x:c r="P651" s="13" t="str">
        <x:v>Exact evidence span in text plus claim-level reasoning link; for contextual/discourse entries, require surrounding context.</x:v>
      </x:c>
      <x:c r="Q651" s="13" t="str">
        <x:v>Do not label merely because topic is controversial, emotional, or wrong. Do not judge intent or personality. Require textual evidence and consider healthy-reasoning cues.</x:v>
      </x:c>
      <x:c r="R651" s="13" t="str">
        <x:v>Stub: A claim relies on the parent decision tendency appears in a choice argument to support a conclusion without adequate qualification.</x:v>
      </x:c>
      <x:c r="S651" s="13" t="str">
        <x:v>Stub: A claim discusses decoy effect with caveats, balanced evidence, or no argumentative use of the pattern.</x:v>
      </x:c>
      <x:c r="T651" s="13" t="str">
        <x:v>Mild or ambiguous cue; do not classify without clear evidence span.</x:v>
      </x:c>
      <x:c r="U651" s="13" t="str">
        <x:v>Clear claim-level pattern with some argumentative impact.</x:v>
      </x:c>
      <x:c r="V651" s="13" t="str">
        <x:v>Strong pattern central to the conclusion and likely to materially distort reasoning.</x:v>
      </x:c>
      <x:c r="W651" s="13" t="str"/>
      <x:c r="X651" s="13" t="str">
        <x:v>thaler_sunstein_nudge</x:v>
      </x:c>
      <x:c r="Y651" s="13" t="str">
        <x:v>https://yalebooks.yale.edu/book/9780300262285/nudge/</x:v>
      </x:c>
      <x:c r="Z651" s="13" t="str">
        <x:v>Review before enabling. This workbook is a living taxonomy scaffold, not a validated scientific benchmark.</x:v>
      </x:c>
      <x:c r="AA651" s="13" t="str">
        <x:v>0.1.0-draft</x:v>
      </x:c>
      <x:c r="AB651" s="12" t="str">
        <x:f>IF(ISNUMBER(SEARCH("healthy",F651)),"healthy_reasoning_patterns",IF(ISNUMBER(SEARCH("statistical",F651)),"statistical_reasoning",IF(ISNUMBER(SEARCH("causal",F651)),"causal_reasoning",IF(ISNUMBER(SEARCH("social",F651)),"social_influence",IF(ISNUMBER(SEARCH("rhetoric",F651)),"rhetoric_discourse",IF(ISNUMBER(SEARCH("behavior",F651)),"behavioural_economics",IF(ISNUMBER(SEARCH("cognitive",F651)),"cognitive_biases",IF(J651="protective_pattern","healthy_reasoning_patterns",IF(L651="P0","core_mvp","extended_fallacies")))))))))</x:f>
        <x:v>extended_fallacies</x:v>
      </x:c>
      <x:c r="AC651" s="12" t="str">
        <x:f>IF(ISNUMBER(SEARCH("operational",J651)),"operational",IF(ISNUMBER(SEARCH("deprecated",J651)),"deprecated",IF(L651="P0","canonical","recognized_subtype")))</x:f>
        <x:v>operational</x:v>
      </x:c>
      <x:c r="AD651" s="12" t="str">
        <x:f>IF(AC651="canonical","high",IF(AC651="recognized_subtype","medium",IF(AC651="operational","operational_only","debated")))</x:f>
        <x:v>operational_only</x:v>
      </x:c>
      <x:c r="AE651" s="12" t="str">
        <x:f>IF(AC651="deprecated","deprecated",IF(M651="yes","active",IF(M651="review","review_required","backlog")))</x:f>
        <x:v>backlog</x:v>
      </x:c>
      <x:c r="AF651" s="12" t="str">
        <x:f>IF(OR(AE651="active",AE651="review_required"),"yes","no")</x:f>
        <x:v>no</x:v>
      </x:c>
      <x:c r="AG651" s="12" t="str">
        <x:f>IF(AND(AE651="active",M651="yes",NOT(ISNUMBER(SEARCH("healthy",AB651)))),"yes","no")</x:f>
        <x:v>no</x:v>
      </x:c>
      <x:c r="AH651" s="12" t="str">
        <x:f>IF(OR(H651="contextual",H651="dialogue",H651="discourse",I651="claim+context",I651="discourse_segment"),"yes","no")</x:f>
        <x:v>yes</x:v>
      </x:c>
      <x:c r="AI651" s="12" t="str">
        <x:f>IF(OR(AH651="yes",AD651="debated",AC651="operational"),"yes","no")</x:f>
        <x:v>yes</x:v>
      </x:c>
      <x:c r="AJ651" s="12" t="str">
        <x:f>IF(OR(AH651="yes",AC651="operational",AD651="debated"),"high",IF(AND(AG651="yes",L651="P0"),"medium","low"))</x:f>
        <x:v>high</x:v>
      </x:c>
      <x:c r="AK651" s="12" t="str">
        <x:f>IF(ISNUMBER(SEARCH("healthy",AB651)),"yes","no")</x:f>
        <x:v>no</x:v>
      </x:c>
      <x:c r="AL651" s="12" t="str">
        <x:f>IF(AG651="yes","yes","candidate_only")</x:f>
        <x:v>candidate_only</x:v>
      </x:c>
      <x:c r="AM651" s="12" t="str">
        <x:f>IF(OR(AC651="canonical",AG651="yes"),"yes","recommended")</x:f>
        <x:v>recommended</x:v>
      </x:c>
      <x:c r="AN651" s="12" t="str">
        <x:f>IF(AC651="deprecated","exclude",IF(AND(AG651="yes",AJ651="high"),"import_but_human_review_required",IF(AG651="yes","import_as_active","import_as_backlog")))</x:f>
        <x:v>import_as_backlog</x:v>
      </x:c>
      <x:c r="AO651" s="12" t="str">
        <x:f>IF(AND(AG651="yes",OR(P651="",Q651="",R651="",S651="")),"missing_required_mvp_fields",IF(AND(AC651="canonical",Y651=""),"missing_source_ref","ok"))</x:f>
        <x:v>ok</x:v>
      </x:c>
      <x:c r="AP651" s="12" t="str">
        <x:f>IF(AO651="ok","ready_for_codex_import","needs_review")</x:f>
        <x:v>ready_for_codex_import</x:v>
      </x:c>
      <x:c r="AQ651" s="12"/>
      <x:c r="AR651" s="12" t="str">
        <x:v>Added v2 operational fields. Review before classification activation.</x:v>
      </x:c>
    </x:row>
    <x:row r="652">
      <x:c r="A652" s="13" t="str">
        <x:v>compromise_effect_canonical_131</x:v>
      </x:c>
      <x:c r="B652" s="13" t="str">
        <x:v>compromise_effect</x:v>
      </x:c>
      <x:c r="C652" s="13" t="str">
        <x:v>Compromise effect</x:v>
      </x:c>
      <x:c r="D652" s="13" t="str">
        <x:v>اثر گزینه میانی</x:v>
      </x:c>
      <x:c r="E652" s="13" t="str">
        <x:v>Canonical form</x:v>
      </x:c>
      <x:c r="F652" s="13" t="str">
        <x:v>decision_biases_behavioural_economics</x:v>
      </x:c>
      <x:c r="G652" s="13" t="str">
        <x:v>canonical</x:v>
      </x:c>
      <x:c r="H652" s="13" t="str">
        <x:v>contextual</x:v>
      </x:c>
      <x:c r="I652" s="13" t="str">
        <x:v>claim+context</x:v>
      </x:c>
      <x:c r="J652" s="13" t="str">
        <x:v>derived_operational_subtype</x:v>
      </x:c>
      <x:c r="K652" s="13" t="str">
        <x:v>derived_from_established_parent_review_required</x:v>
      </x:c>
      <x:c r="L652" s="13" t="str">
        <x:v>P3</x:v>
      </x:c>
      <x:c r="M652" s="13" t="str">
        <x:v>no</x:v>
      </x:c>
      <x:c r="N652" s="13" t="str">
        <x:v>Operational subtype under Compromise effect: the parent decision tendency appears in a choice argument. Parent definition: Preferring middle options because they appear safer or balanced.</x:v>
      </x:c>
      <x:c r="O652" s="13" t="str">
        <x:v>Look for: explicit claim-level evidence; parent-family cues for Compromise effect; variant cue: the parent decision tendency appears in a choice argument; avoid author-level inference.</x:v>
      </x:c>
      <x:c r="P652" s="13" t="str">
        <x:v>Exact evidence span in text plus claim-level reasoning link; for contextual/discourse entries, require surrounding context.</x:v>
      </x:c>
      <x:c r="Q652" s="13" t="str">
        <x:v>Do not label merely because topic is controversial, emotional, or wrong. Do not judge intent or personality. Require textual evidence and consider healthy-reasoning cues.</x:v>
      </x:c>
      <x:c r="R652" s="13" t="str">
        <x:v>Stub: A claim relies on the parent decision tendency appears in a choice argument to support a conclusion without adequate qualification.</x:v>
      </x:c>
      <x:c r="S652" s="13" t="str">
        <x:v>Stub: A claim discusses compromise effect with caveats, balanced evidence, or no argumentative use of the pattern.</x:v>
      </x:c>
      <x:c r="T652" s="13" t="str">
        <x:v>Mild or ambiguous cue; do not classify without clear evidence span.</x:v>
      </x:c>
      <x:c r="U652" s="13" t="str">
        <x:v>Clear claim-level pattern with some argumentative impact.</x:v>
      </x:c>
      <x:c r="V652" s="13" t="str">
        <x:v>Strong pattern central to the conclusion and likely to materially distort reasoning.</x:v>
      </x:c>
      <x:c r="W652" s="13" t="str"/>
      <x:c r="X652" s="13" t="str">
        <x:v>thaler_sunstein_nudge</x:v>
      </x:c>
      <x:c r="Y652" s="13" t="str">
        <x:v>https://yalebooks.yale.edu/book/9780300262285/nudge/</x:v>
      </x:c>
      <x:c r="Z652" s="13" t="str">
        <x:v>Review before enabling. This workbook is a living taxonomy scaffold, not a validated scientific benchmark.</x:v>
      </x:c>
      <x:c r="AA652" s="13" t="str">
        <x:v>0.1.0-draft</x:v>
      </x:c>
      <x:c r="AB652" s="12" t="str">
        <x:f>IF(ISNUMBER(SEARCH("healthy",F652)),"healthy_reasoning_patterns",IF(ISNUMBER(SEARCH("statistical",F652)),"statistical_reasoning",IF(ISNUMBER(SEARCH("causal",F652)),"causal_reasoning",IF(ISNUMBER(SEARCH("social",F652)),"social_influence",IF(ISNUMBER(SEARCH("rhetoric",F652)),"rhetoric_discourse",IF(ISNUMBER(SEARCH("behavior",F652)),"behavioural_economics",IF(ISNUMBER(SEARCH("cognitive",F652)),"cognitive_biases",IF(J652="protective_pattern","healthy_reasoning_patterns",IF(L652="P0","core_mvp","extended_fallacies")))))))))</x:f>
        <x:v>extended_fallacies</x:v>
      </x:c>
      <x:c r="AC652" s="12" t="str">
        <x:f>IF(ISNUMBER(SEARCH("operational",J652)),"operational",IF(ISNUMBER(SEARCH("deprecated",J652)),"deprecated",IF(L652="P0","canonical","recognized_subtype")))</x:f>
        <x:v>operational</x:v>
      </x:c>
      <x:c r="AD652" s="12" t="str">
        <x:f>IF(AC652="canonical","high",IF(AC652="recognized_subtype","medium",IF(AC652="operational","operational_only","debated")))</x:f>
        <x:v>operational_only</x:v>
      </x:c>
      <x:c r="AE652" s="12" t="str">
        <x:f>IF(AC652="deprecated","deprecated",IF(M652="yes","active",IF(M652="review","review_required","backlog")))</x:f>
        <x:v>backlog</x:v>
      </x:c>
      <x:c r="AF652" s="12" t="str">
        <x:f>IF(OR(AE652="active",AE652="review_required"),"yes","no")</x:f>
        <x:v>no</x:v>
      </x:c>
      <x:c r="AG652" s="12" t="str">
        <x:f>IF(AND(AE652="active",M652="yes",NOT(ISNUMBER(SEARCH("healthy",AB652)))),"yes","no")</x:f>
        <x:v>no</x:v>
      </x:c>
      <x:c r="AH652" s="12" t="str">
        <x:f>IF(OR(H652="contextual",H652="dialogue",H652="discourse",I652="claim+context",I652="discourse_segment"),"yes","no")</x:f>
        <x:v>yes</x:v>
      </x:c>
      <x:c r="AI652" s="12" t="str">
        <x:f>IF(OR(AH652="yes",AD652="debated",AC652="operational"),"yes","no")</x:f>
        <x:v>yes</x:v>
      </x:c>
      <x:c r="AJ652" s="12" t="str">
        <x:f>IF(OR(AH652="yes",AC652="operational",AD652="debated"),"high",IF(AND(AG652="yes",L652="P0"),"medium","low"))</x:f>
        <x:v>high</x:v>
      </x:c>
      <x:c r="AK652" s="12" t="str">
        <x:f>IF(ISNUMBER(SEARCH("healthy",AB652)),"yes","no")</x:f>
        <x:v>no</x:v>
      </x:c>
      <x:c r="AL652" s="12" t="str">
        <x:f>IF(AG652="yes","yes","candidate_only")</x:f>
        <x:v>candidate_only</x:v>
      </x:c>
      <x:c r="AM652" s="12" t="str">
        <x:f>IF(OR(AC652="canonical",AG652="yes"),"yes","recommended")</x:f>
        <x:v>recommended</x:v>
      </x:c>
      <x:c r="AN652" s="12" t="str">
        <x:f>IF(AC652="deprecated","exclude",IF(AND(AG652="yes",AJ652="high"),"import_but_human_review_required",IF(AG652="yes","import_as_active","import_as_backlog")))</x:f>
        <x:v>import_as_backlog</x:v>
      </x:c>
      <x:c r="AO652" s="12" t="str">
        <x:f>IF(AND(AG652="yes",OR(P652="",Q652="",R652="",S652="")),"missing_required_mvp_fields",IF(AND(AC652="canonical",Y652=""),"missing_source_ref","ok"))</x:f>
        <x:v>ok</x:v>
      </x:c>
      <x:c r="AP652" s="12" t="str">
        <x:f>IF(AO652="ok","ready_for_codex_import","needs_review")</x:f>
        <x:v>ready_for_codex_import</x:v>
      </x:c>
      <x:c r="AQ652" s="12"/>
      <x:c r="AR652" s="12" t="str">
        <x:v>Added v2 operational fields. Review before classification activation.</x:v>
      </x:c>
    </x:row>
    <x:row r="653">
      <x:c r="A653" s="13" t="str">
        <x:v>scarcity_bias_canonical_132</x:v>
      </x:c>
      <x:c r="B653" s="13" t="str">
        <x:v>scarcity_bias</x:v>
      </x:c>
      <x:c r="C653" s="13" t="str">
        <x:v>Scarcity bias</x:v>
      </x:c>
      <x:c r="D653" s="13" t="str">
        <x:v>سوگیری کمیابی</x:v>
      </x:c>
      <x:c r="E653" s="13" t="str">
        <x:v>Canonical form</x:v>
      </x:c>
      <x:c r="F653" s="13" t="str">
        <x:v>decision_biases_behavioural_economics</x:v>
      </x:c>
      <x:c r="G653" s="13" t="str">
        <x:v>canonical</x:v>
      </x:c>
      <x:c r="H653" s="13" t="str">
        <x:v>discourse</x:v>
      </x:c>
      <x:c r="I653" s="13" t="str">
        <x:v>discourse_segment</x:v>
      </x:c>
      <x:c r="J653" s="13" t="str">
        <x:v>derived_operational_subtype</x:v>
      </x:c>
      <x:c r="K653" s="13" t="str">
        <x:v>derived_from_established_parent_review_required</x:v>
      </x:c>
      <x:c r="L653" s="13" t="str">
        <x:v>P3</x:v>
      </x:c>
      <x:c r="M653" s="13" t="str">
        <x:v>no</x:v>
      </x:c>
      <x:c r="N653" s="13" t="str">
        <x:v>Operational subtype under Scarcity bias: the parent decision tendency appears in a choice argument. Parent definition: Overvaluing something because it is framed as scarce.</x:v>
      </x:c>
      <x:c r="O653" s="13" t="str">
        <x:v>Look for: explicit claim-level evidence; parent-family cues for Scarcity bias; variant cue: the parent decision tendency appears in a choice argument; avoid author-level inference.</x:v>
      </x:c>
      <x:c r="P653" s="13" t="str">
        <x:v>Exact evidence span in text plus claim-level reasoning link; for contextual/discourse entries, require surrounding context.</x:v>
      </x:c>
      <x:c r="Q653" s="13" t="str">
        <x:v>Do not label merely because topic is controversial, emotional, or wrong. Do not judge intent or personality. Require textual evidence and consider healthy-reasoning cues.</x:v>
      </x:c>
      <x:c r="R653" s="13" t="str">
        <x:v>Stub: A claim relies on the parent decision tendency appears in a choice argument to support a conclusion without adequate qualification.</x:v>
      </x:c>
      <x:c r="S653" s="13" t="str">
        <x:v>Stub: A claim discusses scarcity bias with caveats, balanced evidence, or no argumentative use of the pattern.</x:v>
      </x:c>
      <x:c r="T653" s="13" t="str">
        <x:v>Mild or ambiguous cue; do not classify without clear evidence span.</x:v>
      </x:c>
      <x:c r="U653" s="13" t="str">
        <x:v>Clear claim-level pattern with some argumentative impact.</x:v>
      </x:c>
      <x:c r="V653" s="13" t="str">
        <x:v>Strong pattern central to the conclusion and likely to materially distort reasoning.</x:v>
      </x:c>
      <x:c r="W653" s="13" t="str"/>
      <x:c r="X653" s="13" t="str">
        <x:v>cialdini_influence</x:v>
      </x:c>
      <x:c r="Y653" s="13" t="str">
        <x:v>https://www.pearson.com/en-us/subject-catalog/p/influence-science-and-practice/P200000003004</x:v>
      </x:c>
      <x:c r="Z653" s="13" t="str">
        <x:v>Review before enabling. This workbook is a living taxonomy scaffold, not a validated scientific benchmark.</x:v>
      </x:c>
      <x:c r="AA653" s="13" t="str">
        <x:v>0.1.0-draft</x:v>
      </x:c>
      <x:c r="AB653" s="12" t="str">
        <x:f>IF(ISNUMBER(SEARCH("healthy",F653)),"healthy_reasoning_patterns",IF(ISNUMBER(SEARCH("statistical",F653)),"statistical_reasoning",IF(ISNUMBER(SEARCH("causal",F653)),"causal_reasoning",IF(ISNUMBER(SEARCH("social",F653)),"social_influence",IF(ISNUMBER(SEARCH("rhetoric",F653)),"rhetoric_discourse",IF(ISNUMBER(SEARCH("behavior",F653)),"behavioural_economics",IF(ISNUMBER(SEARCH("cognitive",F653)),"cognitive_biases",IF(J653="protective_pattern","healthy_reasoning_patterns",IF(L653="P0","core_mvp","extended_fallacies")))))))))</x:f>
        <x:v>extended_fallacies</x:v>
      </x:c>
      <x:c r="AC653" s="12" t="str">
        <x:f>IF(ISNUMBER(SEARCH("operational",J653)),"operational",IF(ISNUMBER(SEARCH("deprecated",J653)),"deprecated",IF(L653="P0","canonical","recognized_subtype")))</x:f>
        <x:v>operational</x:v>
      </x:c>
      <x:c r="AD653" s="12" t="str">
        <x:f>IF(AC653="canonical","high",IF(AC653="recognized_subtype","medium",IF(AC653="operational","operational_only","debated")))</x:f>
        <x:v>operational_only</x:v>
      </x:c>
      <x:c r="AE653" s="12" t="str">
        <x:f>IF(AC653="deprecated","deprecated",IF(M653="yes","active",IF(M653="review","review_required","backlog")))</x:f>
        <x:v>backlog</x:v>
      </x:c>
      <x:c r="AF653" s="12" t="str">
        <x:f>IF(OR(AE653="active",AE653="review_required"),"yes","no")</x:f>
        <x:v>no</x:v>
      </x:c>
      <x:c r="AG653" s="12" t="str">
        <x:f>IF(AND(AE653="active",M653="yes",NOT(ISNUMBER(SEARCH("healthy",AB653)))),"yes","no")</x:f>
        <x:v>no</x:v>
      </x:c>
      <x:c r="AH653" s="12" t="str">
        <x:f>IF(OR(H653="contextual",H653="dialogue",H653="discourse",I653="claim+context",I653="discourse_segment"),"yes","no")</x:f>
        <x:v>yes</x:v>
      </x:c>
      <x:c r="AI653" s="12" t="str">
        <x:f>IF(OR(AH653="yes",AD653="debated",AC653="operational"),"yes","no")</x:f>
        <x:v>yes</x:v>
      </x:c>
      <x:c r="AJ653" s="12" t="str">
        <x:f>IF(OR(AH653="yes",AC653="operational",AD653="debated"),"high",IF(AND(AG653="yes",L653="P0"),"medium","low"))</x:f>
        <x:v>high</x:v>
      </x:c>
      <x:c r="AK653" s="12" t="str">
        <x:f>IF(ISNUMBER(SEARCH("healthy",AB653)),"yes","no")</x:f>
        <x:v>no</x:v>
      </x:c>
      <x:c r="AL653" s="12" t="str">
        <x:f>IF(AG653="yes","yes","candidate_only")</x:f>
        <x:v>candidate_only</x:v>
      </x:c>
      <x:c r="AM653" s="12" t="str">
        <x:f>IF(OR(AC653="canonical",AG653="yes"),"yes","recommended")</x:f>
        <x:v>recommended</x:v>
      </x:c>
      <x:c r="AN653" s="12" t="str">
        <x:f>IF(AC653="deprecated","exclude",IF(AND(AG653="yes",AJ653="high"),"import_but_human_review_required",IF(AG653="yes","import_as_active","import_as_backlog")))</x:f>
        <x:v>import_as_backlog</x:v>
      </x:c>
      <x:c r="AO653" s="12" t="str">
        <x:f>IF(AND(AG653="yes",OR(P653="",Q653="",R653="",S653="")),"missing_required_mvp_fields",IF(AND(AC653="canonical",Y653=""),"missing_source_ref","ok"))</x:f>
        <x:v>ok</x:v>
      </x:c>
      <x:c r="AP653" s="12" t="str">
        <x:f>IF(AO653="ok","ready_for_codex_import","needs_review")</x:f>
        <x:v>ready_for_codex_import</x:v>
      </x:c>
      <x:c r="AQ653" s="12"/>
      <x:c r="AR653" s="12" t="str">
        <x:v>Added v2 operational fields. Review before classification activation.</x:v>
      </x:c>
    </x:row>
    <x:row r="654">
      <x:c r="A654" s="13" t="str">
        <x:v>zero_price_effect_canonical_133</x:v>
      </x:c>
      <x:c r="B654" s="13" t="str">
        <x:v>zero_price_effect</x:v>
      </x:c>
      <x:c r="C654" s="13" t="str">
        <x:v>Zero-price effect</x:v>
      </x:c>
      <x:c r="D654" s="13" t="str">
        <x:v>اثر قیمت صفر</x:v>
      </x:c>
      <x:c r="E654" s="13" t="str">
        <x:v>Canonical form</x:v>
      </x:c>
      <x:c r="F654" s="13" t="str">
        <x:v>decision_biases_behavioural_economics</x:v>
      </x:c>
      <x:c r="G654" s="13" t="str">
        <x:v>canonical</x:v>
      </x:c>
      <x:c r="H654" s="13" t="str">
        <x:v>contextual</x:v>
      </x:c>
      <x:c r="I654" s="13" t="str">
        <x:v>claim+context</x:v>
      </x:c>
      <x:c r="J654" s="13" t="str">
        <x:v>derived_operational_subtype</x:v>
      </x:c>
      <x:c r="K654" s="13" t="str">
        <x:v>derived_from_established_parent_review_required</x:v>
      </x:c>
      <x:c r="L654" s="13" t="str">
        <x:v>P3</x:v>
      </x:c>
      <x:c r="M654" s="13" t="str">
        <x:v>no</x:v>
      </x:c>
      <x:c r="N654" s="13" t="str">
        <x:v>Operational subtype under Zero-price effect: the parent decision tendency appears in a choice argument. Parent definition: Overvaluing free options relative to small-cost alternatives.</x:v>
      </x:c>
      <x:c r="O654" s="13" t="str">
        <x:v>Look for: explicit claim-level evidence; parent-family cues for Zero-price effect; variant cue: the parent decision tendency appears in a choice argument; avoid author-level inference.</x:v>
      </x:c>
      <x:c r="P654" s="13" t="str">
        <x:v>Exact evidence span in text plus claim-level reasoning link; for contextual/discourse entries, require surrounding context.</x:v>
      </x:c>
      <x:c r="Q654" s="13" t="str">
        <x:v>Do not label merely because topic is controversial, emotional, or wrong. Do not judge intent or personality. Require textual evidence and consider healthy-reasoning cues.</x:v>
      </x:c>
      <x:c r="R654" s="13" t="str">
        <x:v>Stub: A claim relies on the parent decision tendency appears in a choice argument to support a conclusion without adequate qualification.</x:v>
      </x:c>
      <x:c r="S654" s="13" t="str">
        <x:v>Stub: A claim discusses zero-price effect with caveats, balanced evidence, or no argumentative use of the pattern.</x:v>
      </x:c>
      <x:c r="T654" s="13" t="str">
        <x:v>Mild or ambiguous cue; do not classify without clear evidence span.</x:v>
      </x:c>
      <x:c r="U654" s="13" t="str">
        <x:v>Clear claim-level pattern with some argumentative impact.</x:v>
      </x:c>
      <x:c r="V654" s="13" t="str">
        <x:v>Strong pattern central to the conclusion and likely to materially distort reasoning.</x:v>
      </x:c>
      <x:c r="W654" s="13" t="str"/>
      <x:c r="X654" s="13" t="str">
        <x:v>thaler_sunstein_nudge</x:v>
      </x:c>
      <x:c r="Y654" s="13" t="str">
        <x:v>https://yalebooks.yale.edu/book/9780300262285/nudge/</x:v>
      </x:c>
      <x:c r="Z654" s="13" t="str">
        <x:v>Review before enabling. This workbook is a living taxonomy scaffold, not a validated scientific benchmark.</x:v>
      </x:c>
      <x:c r="AA654" s="13" t="str">
        <x:v>0.1.0-draft</x:v>
      </x:c>
      <x:c r="AB654" s="12" t="str">
        <x:f>IF(ISNUMBER(SEARCH("healthy",F654)),"healthy_reasoning_patterns",IF(ISNUMBER(SEARCH("statistical",F654)),"statistical_reasoning",IF(ISNUMBER(SEARCH("causal",F654)),"causal_reasoning",IF(ISNUMBER(SEARCH("social",F654)),"social_influence",IF(ISNUMBER(SEARCH("rhetoric",F654)),"rhetoric_discourse",IF(ISNUMBER(SEARCH("behavior",F654)),"behavioural_economics",IF(ISNUMBER(SEARCH("cognitive",F654)),"cognitive_biases",IF(J654="protective_pattern","healthy_reasoning_patterns",IF(L654="P0","core_mvp","extended_fallacies")))))))))</x:f>
        <x:v>extended_fallacies</x:v>
      </x:c>
      <x:c r="AC654" s="12" t="str">
        <x:f>IF(ISNUMBER(SEARCH("operational",J654)),"operational",IF(ISNUMBER(SEARCH("deprecated",J654)),"deprecated",IF(L654="P0","canonical","recognized_subtype")))</x:f>
        <x:v>operational</x:v>
      </x:c>
      <x:c r="AD654" s="12" t="str">
        <x:f>IF(AC654="canonical","high",IF(AC654="recognized_subtype","medium",IF(AC654="operational","operational_only","debated")))</x:f>
        <x:v>operational_only</x:v>
      </x:c>
      <x:c r="AE654" s="12" t="str">
        <x:f>IF(AC654="deprecated","deprecated",IF(M654="yes","active",IF(M654="review","review_required","backlog")))</x:f>
        <x:v>backlog</x:v>
      </x:c>
      <x:c r="AF654" s="12" t="str">
        <x:f>IF(OR(AE654="active",AE654="review_required"),"yes","no")</x:f>
        <x:v>no</x:v>
      </x:c>
      <x:c r="AG654" s="12" t="str">
        <x:f>IF(AND(AE654="active",M654="yes",NOT(ISNUMBER(SEARCH("healthy",AB654)))),"yes","no")</x:f>
        <x:v>no</x:v>
      </x:c>
      <x:c r="AH654" s="12" t="str">
        <x:f>IF(OR(H654="contextual",H654="dialogue",H654="discourse",I654="claim+context",I654="discourse_segment"),"yes","no")</x:f>
        <x:v>yes</x:v>
      </x:c>
      <x:c r="AI654" s="12" t="str">
        <x:f>IF(OR(AH654="yes",AD654="debated",AC654="operational"),"yes","no")</x:f>
        <x:v>yes</x:v>
      </x:c>
      <x:c r="AJ654" s="12" t="str">
        <x:f>IF(OR(AH654="yes",AC654="operational",AD654="debated"),"high",IF(AND(AG654="yes",L654="P0"),"medium","low"))</x:f>
        <x:v>high</x:v>
      </x:c>
      <x:c r="AK654" s="12" t="str">
        <x:f>IF(ISNUMBER(SEARCH("healthy",AB654)),"yes","no")</x:f>
        <x:v>no</x:v>
      </x:c>
      <x:c r="AL654" s="12" t="str">
        <x:f>IF(AG654="yes","yes","candidate_only")</x:f>
        <x:v>candidate_only</x:v>
      </x:c>
      <x:c r="AM654" s="12" t="str">
        <x:f>IF(OR(AC654="canonical",AG654="yes"),"yes","recommended")</x:f>
        <x:v>recommended</x:v>
      </x:c>
      <x:c r="AN654" s="12" t="str">
        <x:f>IF(AC654="deprecated","exclude",IF(AND(AG654="yes",AJ654="high"),"import_but_human_review_required",IF(AG654="yes","import_as_active","import_as_backlog")))</x:f>
        <x:v>import_as_backlog</x:v>
      </x:c>
      <x:c r="AO654" s="12" t="str">
        <x:f>IF(AND(AG654="yes",OR(P654="",Q654="",R654="",S654="")),"missing_required_mvp_fields",IF(AND(AC654="canonical",Y654=""),"missing_source_ref","ok"))</x:f>
        <x:v>ok</x:v>
      </x:c>
      <x:c r="AP654" s="12" t="str">
        <x:f>IF(AO654="ok","ready_for_codex_import","needs_review")</x:f>
        <x:v>ready_for_codex_import</x:v>
      </x:c>
      <x:c r="AQ654" s="12"/>
      <x:c r="AR654" s="12" t="str">
        <x:v>Added v2 operational fields. Review before classification activation.</x:v>
      </x:c>
    </x:row>
    <x:row r="655">
      <x:c r="A655" s="13" t="str">
        <x:v>mental_accounting_canonical_134</x:v>
      </x:c>
      <x:c r="B655" s="13" t="str">
        <x:v>mental_accounting</x:v>
      </x:c>
      <x:c r="C655" s="13" t="str">
        <x:v>Mental accounting</x:v>
      </x:c>
      <x:c r="D655" s="13" t="str">
        <x:v>حسابداری ذهنی</x:v>
      </x:c>
      <x:c r="E655" s="13" t="str">
        <x:v>Canonical form</x:v>
      </x:c>
      <x:c r="F655" s="13" t="str">
        <x:v>decision_biases_behavioural_economics</x:v>
      </x:c>
      <x:c r="G655" s="13" t="str">
        <x:v>canonical</x:v>
      </x:c>
      <x:c r="H655" s="13" t="str">
        <x:v>contextual</x:v>
      </x:c>
      <x:c r="I655" s="13" t="str">
        <x:v>claim+context</x:v>
      </x:c>
      <x:c r="J655" s="13" t="str">
        <x:v>derived_operational_subtype</x:v>
      </x:c>
      <x:c r="K655" s="13" t="str">
        <x:v>derived_from_established_parent_review_required</x:v>
      </x:c>
      <x:c r="L655" s="13" t="str">
        <x:v>P3</x:v>
      </x:c>
      <x:c r="M655" s="13" t="str">
        <x:v>no</x:v>
      </x:c>
      <x:c r="N655" s="13" t="str">
        <x:v>Operational subtype under Mental accounting: the parent decision tendency appears in a choice argument. Parent definition: Treating money or resources differently based on arbitrary mental categories.</x:v>
      </x:c>
      <x:c r="O655" s="13" t="str">
        <x:v>Look for: explicit claim-level evidence; parent-family cues for Mental accounting; variant cue: the parent decision tendency appears in a choice argument; avoid author-level inference.</x:v>
      </x:c>
      <x:c r="P655" s="13" t="str">
        <x:v>Exact evidence span in text plus claim-level reasoning link; for contextual/discourse entries, require surrounding context.</x:v>
      </x:c>
      <x:c r="Q655" s="13" t="str">
        <x:v>Do not label merely because topic is controversial, emotional, or wrong. Do not judge intent or personality. Require textual evidence and consider healthy-reasoning cues.</x:v>
      </x:c>
      <x:c r="R655" s="13" t="str">
        <x:v>Stub: A claim relies on the parent decision tendency appears in a choice argument to support a conclusion without adequate qualification.</x:v>
      </x:c>
      <x:c r="S655" s="13" t="str">
        <x:v>Stub: A claim discusses mental accounting with caveats, balanced evidence, or no argumentative use of the pattern.</x:v>
      </x:c>
      <x:c r="T655" s="13" t="str">
        <x:v>Mild or ambiguous cue; do not classify without clear evidence span.</x:v>
      </x:c>
      <x:c r="U655" s="13" t="str">
        <x:v>Clear claim-level pattern with some argumentative impact.</x:v>
      </x:c>
      <x:c r="V655" s="13" t="str">
        <x:v>Strong pattern central to the conclusion and likely to materially distort reasoning.</x:v>
      </x:c>
      <x:c r="W655" s="13" t="str"/>
      <x:c r="X655" s="13" t="str">
        <x:v>thaler_sunstein_nudge</x:v>
      </x:c>
      <x:c r="Y655" s="13" t="str">
        <x:v>https://yalebooks.yale.edu/book/9780300262285/nudge/</x:v>
      </x:c>
      <x:c r="Z655" s="13" t="str">
        <x:v>Review before enabling. This workbook is a living taxonomy scaffold, not a validated scientific benchmark.</x:v>
      </x:c>
      <x:c r="AA655" s="13" t="str">
        <x:v>0.1.0-draft</x:v>
      </x:c>
      <x:c r="AB655" s="12" t="str">
        <x:f>IF(ISNUMBER(SEARCH("healthy",F655)),"healthy_reasoning_patterns",IF(ISNUMBER(SEARCH("statistical",F655)),"statistical_reasoning",IF(ISNUMBER(SEARCH("causal",F655)),"causal_reasoning",IF(ISNUMBER(SEARCH("social",F655)),"social_influence",IF(ISNUMBER(SEARCH("rhetoric",F655)),"rhetoric_discourse",IF(ISNUMBER(SEARCH("behavior",F655)),"behavioural_economics",IF(ISNUMBER(SEARCH("cognitive",F655)),"cognitive_biases",IF(J655="protective_pattern","healthy_reasoning_patterns",IF(L655="P0","core_mvp","extended_fallacies")))))))))</x:f>
        <x:v>extended_fallacies</x:v>
      </x:c>
      <x:c r="AC655" s="12" t="str">
        <x:f>IF(ISNUMBER(SEARCH("operational",J655)),"operational",IF(ISNUMBER(SEARCH("deprecated",J655)),"deprecated",IF(L655="P0","canonical","recognized_subtype")))</x:f>
        <x:v>operational</x:v>
      </x:c>
      <x:c r="AD655" s="12" t="str">
        <x:f>IF(AC655="canonical","high",IF(AC655="recognized_subtype","medium",IF(AC655="operational","operational_only","debated")))</x:f>
        <x:v>operational_only</x:v>
      </x:c>
      <x:c r="AE655" s="12" t="str">
        <x:f>IF(AC655="deprecated","deprecated",IF(M655="yes","active",IF(M655="review","review_required","backlog")))</x:f>
        <x:v>backlog</x:v>
      </x:c>
      <x:c r="AF655" s="12" t="str">
        <x:f>IF(OR(AE655="active",AE655="review_required"),"yes","no")</x:f>
        <x:v>no</x:v>
      </x:c>
      <x:c r="AG655" s="12" t="str">
        <x:f>IF(AND(AE655="active",M655="yes",NOT(ISNUMBER(SEARCH("healthy",AB655)))),"yes","no")</x:f>
        <x:v>no</x:v>
      </x:c>
      <x:c r="AH655" s="12" t="str">
        <x:f>IF(OR(H655="contextual",H655="dialogue",H655="discourse",I655="claim+context",I655="discourse_segment"),"yes","no")</x:f>
        <x:v>yes</x:v>
      </x:c>
      <x:c r="AI655" s="12" t="str">
        <x:f>IF(OR(AH655="yes",AD655="debated",AC655="operational"),"yes","no")</x:f>
        <x:v>yes</x:v>
      </x:c>
      <x:c r="AJ655" s="12" t="str">
        <x:f>IF(OR(AH655="yes",AC655="operational",AD655="debated"),"high",IF(AND(AG655="yes",L655="P0"),"medium","low"))</x:f>
        <x:v>high</x:v>
      </x:c>
      <x:c r="AK655" s="12" t="str">
        <x:f>IF(ISNUMBER(SEARCH("healthy",AB655)),"yes","no")</x:f>
        <x:v>no</x:v>
      </x:c>
      <x:c r="AL655" s="12" t="str">
        <x:f>IF(AG655="yes","yes","candidate_only")</x:f>
        <x:v>candidate_only</x:v>
      </x:c>
      <x:c r="AM655" s="12" t="str">
        <x:f>IF(OR(AC655="canonical",AG655="yes"),"yes","recommended")</x:f>
        <x:v>recommended</x:v>
      </x:c>
      <x:c r="AN655" s="12" t="str">
        <x:f>IF(AC655="deprecated","exclude",IF(AND(AG655="yes",AJ655="high"),"import_but_human_review_required",IF(AG655="yes","import_as_active","import_as_backlog")))</x:f>
        <x:v>import_as_backlog</x:v>
      </x:c>
      <x:c r="AO655" s="12" t="str">
        <x:f>IF(AND(AG655="yes",OR(P655="",Q655="",R655="",S655="")),"missing_required_mvp_fields",IF(AND(AC655="canonical",Y655=""),"missing_source_ref","ok"))</x:f>
        <x:v>ok</x:v>
      </x:c>
      <x:c r="AP655" s="12" t="str">
        <x:f>IF(AO655="ok","ready_for_codex_import","needs_review")</x:f>
        <x:v>ready_for_codex_import</x:v>
      </x:c>
      <x:c r="AQ655" s="12"/>
      <x:c r="AR655" s="12" t="str">
        <x:v>Added v2 operational fields. Review before classification activation.</x:v>
      </x:c>
    </x:row>
    <x:row r="656">
      <x:c r="A656" s="13" t="str">
        <x:v>reference_dependence_canonical_135</x:v>
      </x:c>
      <x:c r="B656" s="13" t="str">
        <x:v>reference_dependence</x:v>
      </x:c>
      <x:c r="C656" s="13" t="str">
        <x:v>Reference dependence</x:v>
      </x:c>
      <x:c r="D656" s="13" t="str">
        <x:v>وابستگی به نقطه مرجع</x:v>
      </x:c>
      <x:c r="E656" s="13" t="str">
        <x:v>Canonical form</x:v>
      </x:c>
      <x:c r="F656" s="13" t="str">
        <x:v>decision_biases_behavioural_economics</x:v>
      </x:c>
      <x:c r="G656" s="13" t="str">
        <x:v>canonical</x:v>
      </x:c>
      <x:c r="H656" s="13" t="str">
        <x:v>contextual</x:v>
      </x:c>
      <x:c r="I656" s="13" t="str">
        <x:v>claim+context</x:v>
      </x:c>
      <x:c r="J656" s="13" t="str">
        <x:v>derived_operational_subtype</x:v>
      </x:c>
      <x:c r="K656" s="13" t="str">
        <x:v>derived_from_established_parent_review_required</x:v>
      </x:c>
      <x:c r="L656" s="13" t="str">
        <x:v>P3</x:v>
      </x:c>
      <x:c r="M656" s="13" t="str">
        <x:v>no</x:v>
      </x:c>
      <x:c r="N656" s="13" t="str">
        <x:v>Operational subtype under Reference dependence: the parent decision tendency appears in a choice argument. Parent definition: Evaluating outcomes relative to a reference point rather than final state.</x:v>
      </x:c>
      <x:c r="O656" s="13" t="str">
        <x:v>Look for: explicit claim-level evidence; parent-family cues for Reference dependence; variant cue: the parent decision tendency appears in a choice argument; avoid author-level inference.</x:v>
      </x:c>
      <x:c r="P656" s="13" t="str">
        <x:v>Exact evidence span in text plus claim-level reasoning link; for contextual/discourse entries, require surrounding context.</x:v>
      </x:c>
      <x:c r="Q656" s="13" t="str">
        <x:v>Do not label merely because topic is controversial, emotional, or wrong. Do not judge intent or personality. Require textual evidence and consider healthy-reasoning cues.</x:v>
      </x:c>
      <x:c r="R656" s="13" t="str">
        <x:v>Stub: A claim relies on the parent decision tendency appears in a choice argument to support a conclusion without adequate qualification.</x:v>
      </x:c>
      <x:c r="S656" s="13" t="str">
        <x:v>Stub: A claim discusses reference dependence with caveats, balanced evidence, or no argumentative use of the pattern.</x:v>
      </x:c>
      <x:c r="T656" s="13" t="str">
        <x:v>Mild or ambiguous cue; do not classify without clear evidence span.</x:v>
      </x:c>
      <x:c r="U656" s="13" t="str">
        <x:v>Clear claim-level pattern with some argumentative impact.</x:v>
      </x:c>
      <x:c r="V656" s="13" t="str">
        <x:v>Strong pattern central to the conclusion and likely to materially distort reasoning.</x:v>
      </x:c>
      <x:c r="W656" s="13" t="str"/>
      <x:c r="X656" s="13" t="str">
        <x:v>kahneman_tversky_prospect_1979</x:v>
      </x:c>
      <x:c r="Y656" s="13" t="str">
        <x:v>https://doi.org/10.2307/1914185</x:v>
      </x:c>
      <x:c r="Z656" s="13" t="str">
        <x:v>Review before enabling. This workbook is a living taxonomy scaffold, not a validated scientific benchmark.</x:v>
      </x:c>
      <x:c r="AA656" s="13" t="str">
        <x:v>0.1.0-draft</x:v>
      </x:c>
      <x:c r="AB656" s="12" t="str">
        <x:f>IF(ISNUMBER(SEARCH("healthy",F656)),"healthy_reasoning_patterns",IF(ISNUMBER(SEARCH("statistical",F656)),"statistical_reasoning",IF(ISNUMBER(SEARCH("causal",F656)),"causal_reasoning",IF(ISNUMBER(SEARCH("social",F656)),"social_influence",IF(ISNUMBER(SEARCH("rhetoric",F656)),"rhetoric_discourse",IF(ISNUMBER(SEARCH("behavior",F656)),"behavioural_economics",IF(ISNUMBER(SEARCH("cognitive",F656)),"cognitive_biases",IF(J656="protective_pattern","healthy_reasoning_patterns",IF(L656="P0","core_mvp","extended_fallacies")))))))))</x:f>
        <x:v>extended_fallacies</x:v>
      </x:c>
      <x:c r="AC656" s="12" t="str">
        <x:f>IF(ISNUMBER(SEARCH("operational",J656)),"operational",IF(ISNUMBER(SEARCH("deprecated",J656)),"deprecated",IF(L656="P0","canonical","recognized_subtype")))</x:f>
        <x:v>operational</x:v>
      </x:c>
      <x:c r="AD656" s="12" t="str">
        <x:f>IF(AC656="canonical","high",IF(AC656="recognized_subtype","medium",IF(AC656="operational","operational_only","debated")))</x:f>
        <x:v>operational_only</x:v>
      </x:c>
      <x:c r="AE656" s="12" t="str">
        <x:f>IF(AC656="deprecated","deprecated",IF(M656="yes","active",IF(M656="review","review_required","backlog")))</x:f>
        <x:v>backlog</x:v>
      </x:c>
      <x:c r="AF656" s="12" t="str">
        <x:f>IF(OR(AE656="active",AE656="review_required"),"yes","no")</x:f>
        <x:v>no</x:v>
      </x:c>
      <x:c r="AG656" s="12" t="str">
        <x:f>IF(AND(AE656="active",M656="yes",NOT(ISNUMBER(SEARCH("healthy",AB656)))),"yes","no")</x:f>
        <x:v>no</x:v>
      </x:c>
      <x:c r="AH656" s="12" t="str">
        <x:f>IF(OR(H656="contextual",H656="dialogue",H656="discourse",I656="claim+context",I656="discourse_segment"),"yes","no")</x:f>
        <x:v>yes</x:v>
      </x:c>
      <x:c r="AI656" s="12" t="str">
        <x:f>IF(OR(AH656="yes",AD656="debated",AC656="operational"),"yes","no")</x:f>
        <x:v>yes</x:v>
      </x:c>
      <x:c r="AJ656" s="12" t="str">
        <x:f>IF(OR(AH656="yes",AC656="operational",AD656="debated"),"high",IF(AND(AG656="yes",L656="P0"),"medium","low"))</x:f>
        <x:v>high</x:v>
      </x:c>
      <x:c r="AK656" s="12" t="str">
        <x:f>IF(ISNUMBER(SEARCH("healthy",AB656)),"yes","no")</x:f>
        <x:v>no</x:v>
      </x:c>
      <x:c r="AL656" s="12" t="str">
        <x:f>IF(AG656="yes","yes","candidate_only")</x:f>
        <x:v>candidate_only</x:v>
      </x:c>
      <x:c r="AM656" s="12" t="str">
        <x:f>IF(OR(AC656="canonical",AG656="yes"),"yes","recommended")</x:f>
        <x:v>recommended</x:v>
      </x:c>
      <x:c r="AN656" s="12" t="str">
        <x:f>IF(AC656="deprecated","exclude",IF(AND(AG656="yes",AJ656="high"),"import_but_human_review_required",IF(AG656="yes","import_as_active","import_as_backlog")))</x:f>
        <x:v>import_as_backlog</x:v>
      </x:c>
      <x:c r="AO656" s="12" t="str">
        <x:f>IF(AND(AG656="yes",OR(P656="",Q656="",R656="",S656="")),"missing_required_mvp_fields",IF(AND(AC656="canonical",Y656=""),"missing_source_ref","ok"))</x:f>
        <x:v>ok</x:v>
      </x:c>
      <x:c r="AP656" s="12" t="str">
        <x:f>IF(AO656="ok","ready_for_codex_import","needs_review")</x:f>
        <x:v>ready_for_codex_import</x:v>
      </x:c>
      <x:c r="AQ656" s="12"/>
      <x:c r="AR656" s="12" t="str">
        <x:v>Added v2 operational fields. Review before classification activation.</x:v>
      </x:c>
    </x:row>
    <x:row r="657">
      <x:c r="A657" s="13" t="str">
        <x:v>risk_seeking_in_losses_canonical_136</x:v>
      </x:c>
      <x:c r="B657" s="13" t="str">
        <x:v>risk_seeking_in_losses</x:v>
      </x:c>
      <x:c r="C657" s="13" t="str">
        <x:v>Risk seeking in losses</x:v>
      </x:c>
      <x:c r="D657" s="13" t="str">
        <x:v>ریسک‌پذیری در چارچوب زیان</x:v>
      </x:c>
      <x:c r="E657" s="13" t="str">
        <x:v>Canonical form</x:v>
      </x:c>
      <x:c r="F657" s="13" t="str">
        <x:v>decision_biases_behavioural_economics</x:v>
      </x:c>
      <x:c r="G657" s="13" t="str">
        <x:v>canonical</x:v>
      </x:c>
      <x:c r="H657" s="13" t="str">
        <x:v>contextual</x:v>
      </x:c>
      <x:c r="I657" s="13" t="str">
        <x:v>claim+context</x:v>
      </x:c>
      <x:c r="J657" s="13" t="str">
        <x:v>derived_operational_subtype</x:v>
      </x:c>
      <x:c r="K657" s="13" t="str">
        <x:v>derived_from_established_parent_review_required</x:v>
      </x:c>
      <x:c r="L657" s="13" t="str">
        <x:v>P3</x:v>
      </x:c>
      <x:c r="M657" s="13" t="str">
        <x:v>no</x:v>
      </x:c>
      <x:c r="N657" s="13" t="str">
        <x:v>Operational subtype under Risk seeking in losses: the parent decision tendency appears in a choice argument. Parent definition: Choosing riskier options to avoid a framed loss.</x:v>
      </x:c>
      <x:c r="O657" s="13" t="str">
        <x:v>Look for: explicit claim-level evidence; parent-family cues for Risk seeking in losses; variant cue: the parent decision tendency appears in a choice argument; avoid author-level inference.</x:v>
      </x:c>
      <x:c r="P657" s="13" t="str">
        <x:v>Exact evidence span in text plus claim-level reasoning link; for contextual/discourse entries, require surrounding context.</x:v>
      </x:c>
      <x:c r="Q657" s="13" t="str">
        <x:v>Do not label merely because topic is controversial, emotional, or wrong. Do not judge intent or personality. Require textual evidence and consider healthy-reasoning cues.</x:v>
      </x:c>
      <x:c r="R657" s="13" t="str">
        <x:v>Stub: A claim relies on the parent decision tendency appears in a choice argument to support a conclusion without adequate qualification.</x:v>
      </x:c>
      <x:c r="S657" s="13" t="str">
        <x:v>Stub: A claim discusses risk seeking in losses with caveats, balanced evidence, or no argumentative use of the pattern.</x:v>
      </x:c>
      <x:c r="T657" s="13" t="str">
        <x:v>Mild or ambiguous cue; do not classify without clear evidence span.</x:v>
      </x:c>
      <x:c r="U657" s="13" t="str">
        <x:v>Clear claim-level pattern with some argumentative impact.</x:v>
      </x:c>
      <x:c r="V657" s="13" t="str">
        <x:v>Strong pattern central to the conclusion and likely to materially distort reasoning.</x:v>
      </x:c>
      <x:c r="W657" s="13" t="str"/>
      <x:c r="X657" s="13" t="str">
        <x:v>kahneman_tversky_prospect_1979</x:v>
      </x:c>
      <x:c r="Y657" s="13" t="str">
        <x:v>https://doi.org/10.2307/1914185</x:v>
      </x:c>
      <x:c r="Z657" s="13" t="str">
        <x:v>Review before enabling. This workbook is a living taxonomy scaffold, not a validated scientific benchmark.</x:v>
      </x:c>
      <x:c r="AA657" s="13" t="str">
        <x:v>0.1.0-draft</x:v>
      </x:c>
      <x:c r="AB657" s="12" t="str">
        <x:f>IF(ISNUMBER(SEARCH("healthy",F657)),"healthy_reasoning_patterns",IF(ISNUMBER(SEARCH("statistical",F657)),"statistical_reasoning",IF(ISNUMBER(SEARCH("causal",F657)),"causal_reasoning",IF(ISNUMBER(SEARCH("social",F657)),"social_influence",IF(ISNUMBER(SEARCH("rhetoric",F657)),"rhetoric_discourse",IF(ISNUMBER(SEARCH("behavior",F657)),"behavioural_economics",IF(ISNUMBER(SEARCH("cognitive",F657)),"cognitive_biases",IF(J657="protective_pattern","healthy_reasoning_patterns",IF(L657="P0","core_mvp","extended_fallacies")))))))))</x:f>
        <x:v>extended_fallacies</x:v>
      </x:c>
      <x:c r="AC657" s="12" t="str">
        <x:f>IF(ISNUMBER(SEARCH("operational",J657)),"operational",IF(ISNUMBER(SEARCH("deprecated",J657)),"deprecated",IF(L657="P0","canonical","recognized_subtype")))</x:f>
        <x:v>operational</x:v>
      </x:c>
      <x:c r="AD657" s="12" t="str">
        <x:f>IF(AC657="canonical","high",IF(AC657="recognized_subtype","medium",IF(AC657="operational","operational_only","debated")))</x:f>
        <x:v>operational_only</x:v>
      </x:c>
      <x:c r="AE657" s="12" t="str">
        <x:f>IF(AC657="deprecated","deprecated",IF(M657="yes","active",IF(M657="review","review_required","backlog")))</x:f>
        <x:v>backlog</x:v>
      </x:c>
      <x:c r="AF657" s="12" t="str">
        <x:f>IF(OR(AE657="active",AE657="review_required"),"yes","no")</x:f>
        <x:v>no</x:v>
      </x:c>
      <x:c r="AG657" s="12" t="str">
        <x:f>IF(AND(AE657="active",M657="yes",NOT(ISNUMBER(SEARCH("healthy",AB657)))),"yes","no")</x:f>
        <x:v>no</x:v>
      </x:c>
      <x:c r="AH657" s="12" t="str">
        <x:f>IF(OR(H657="contextual",H657="dialogue",H657="discourse",I657="claim+context",I657="discourse_segment"),"yes","no")</x:f>
        <x:v>yes</x:v>
      </x:c>
      <x:c r="AI657" s="12" t="str">
        <x:f>IF(OR(AH657="yes",AD657="debated",AC657="operational"),"yes","no")</x:f>
        <x:v>yes</x:v>
      </x:c>
      <x:c r="AJ657" s="12" t="str">
        <x:f>IF(OR(AH657="yes",AC657="operational",AD657="debated"),"high",IF(AND(AG657="yes",L657="P0"),"medium","low"))</x:f>
        <x:v>high</x:v>
      </x:c>
      <x:c r="AK657" s="12" t="str">
        <x:f>IF(ISNUMBER(SEARCH("healthy",AB657)),"yes","no")</x:f>
        <x:v>no</x:v>
      </x:c>
      <x:c r="AL657" s="12" t="str">
        <x:f>IF(AG657="yes","yes","candidate_only")</x:f>
        <x:v>candidate_only</x:v>
      </x:c>
      <x:c r="AM657" s="12" t="str">
        <x:f>IF(OR(AC657="canonical",AG657="yes"),"yes","recommended")</x:f>
        <x:v>recommended</x:v>
      </x:c>
      <x:c r="AN657" s="12" t="str">
        <x:f>IF(AC657="deprecated","exclude",IF(AND(AG657="yes",AJ657="high"),"import_but_human_review_required",IF(AG657="yes","import_as_active","import_as_backlog")))</x:f>
        <x:v>import_as_backlog</x:v>
      </x:c>
      <x:c r="AO657" s="12" t="str">
        <x:f>IF(AND(AG657="yes",OR(P657="",Q657="",R657="",S657="")),"missing_required_mvp_fields",IF(AND(AC657="canonical",Y657=""),"missing_source_ref","ok"))</x:f>
        <x:v>ok</x:v>
      </x:c>
      <x:c r="AP657" s="12" t="str">
        <x:f>IF(AO657="ok","ready_for_codex_import","needs_review")</x:f>
        <x:v>ready_for_codex_import</x:v>
      </x:c>
      <x:c r="AQ657" s="12"/>
      <x:c r="AR657" s="12" t="str">
        <x:v>Added v2 operational fields. Review before classification activation.</x:v>
      </x:c>
    </x:row>
    <x:row r="658">
      <x:c r="A658" s="13" t="str">
        <x:v>risk_aversion_in_gains_canonical_137</x:v>
      </x:c>
      <x:c r="B658" s="13" t="str">
        <x:v>risk_aversion_in_gains</x:v>
      </x:c>
      <x:c r="C658" s="13" t="str">
        <x:v>Risk aversion in gains</x:v>
      </x:c>
      <x:c r="D658" s="13" t="str">
        <x:v>ریسک‌گریزی در چارچوب سود</x:v>
      </x:c>
      <x:c r="E658" s="13" t="str">
        <x:v>Canonical form</x:v>
      </x:c>
      <x:c r="F658" s="13" t="str">
        <x:v>decision_biases_behavioural_economics</x:v>
      </x:c>
      <x:c r="G658" s="13" t="str">
        <x:v>canonical</x:v>
      </x:c>
      <x:c r="H658" s="13" t="str">
        <x:v>contextual</x:v>
      </x:c>
      <x:c r="I658" s="13" t="str">
        <x:v>claim+context</x:v>
      </x:c>
      <x:c r="J658" s="13" t="str">
        <x:v>derived_operational_subtype</x:v>
      </x:c>
      <x:c r="K658" s="13" t="str">
        <x:v>derived_from_established_parent_review_required</x:v>
      </x:c>
      <x:c r="L658" s="13" t="str">
        <x:v>P3</x:v>
      </x:c>
      <x:c r="M658" s="13" t="str">
        <x:v>no</x:v>
      </x:c>
      <x:c r="N658" s="13" t="str">
        <x:v>Operational subtype under Risk aversion in gains: the parent decision tendency appears in a choice argument. Parent definition: Preferring sure gains over higher expected but risky gains.</x:v>
      </x:c>
      <x:c r="O658" s="13" t="str">
        <x:v>Look for: explicit claim-level evidence; parent-family cues for Risk aversion in gains; variant cue: the parent decision tendency appears in a choice argument; avoid author-level inference.</x:v>
      </x:c>
      <x:c r="P658" s="13" t="str">
        <x:v>Exact evidence span in text plus claim-level reasoning link; for contextual/discourse entries, require surrounding context.</x:v>
      </x:c>
      <x:c r="Q658" s="13" t="str">
        <x:v>Do not label merely because topic is controversial, emotional, or wrong. Do not judge intent or personality. Require textual evidence and consider healthy-reasoning cues.</x:v>
      </x:c>
      <x:c r="R658" s="13" t="str">
        <x:v>Stub: A claim relies on the parent decision tendency appears in a choice argument to support a conclusion without adequate qualification.</x:v>
      </x:c>
      <x:c r="S658" s="13" t="str">
        <x:v>Stub: A claim discusses risk aversion in gains with caveats, balanced evidence, or no argumentative use of the pattern.</x:v>
      </x:c>
      <x:c r="T658" s="13" t="str">
        <x:v>Mild or ambiguous cue; do not classify without clear evidence span.</x:v>
      </x:c>
      <x:c r="U658" s="13" t="str">
        <x:v>Clear claim-level pattern with some argumentative impact.</x:v>
      </x:c>
      <x:c r="V658" s="13" t="str">
        <x:v>Strong pattern central to the conclusion and likely to materially distort reasoning.</x:v>
      </x:c>
      <x:c r="W658" s="13" t="str"/>
      <x:c r="X658" s="13" t="str">
        <x:v>kahneman_tversky_prospect_1979</x:v>
      </x:c>
      <x:c r="Y658" s="13" t="str">
        <x:v>https://doi.org/10.2307/1914185</x:v>
      </x:c>
      <x:c r="Z658" s="13" t="str">
        <x:v>Review before enabling. This workbook is a living taxonomy scaffold, not a validated scientific benchmark.</x:v>
      </x:c>
      <x:c r="AA658" s="13" t="str">
        <x:v>0.1.0-draft</x:v>
      </x:c>
      <x:c r="AB658" s="12" t="str">
        <x:f>IF(ISNUMBER(SEARCH("healthy",F658)),"healthy_reasoning_patterns",IF(ISNUMBER(SEARCH("statistical",F658)),"statistical_reasoning",IF(ISNUMBER(SEARCH("causal",F658)),"causal_reasoning",IF(ISNUMBER(SEARCH("social",F658)),"social_influence",IF(ISNUMBER(SEARCH("rhetoric",F658)),"rhetoric_discourse",IF(ISNUMBER(SEARCH("behavior",F658)),"behavioural_economics",IF(ISNUMBER(SEARCH("cognitive",F658)),"cognitive_biases",IF(J658="protective_pattern","healthy_reasoning_patterns",IF(L658="P0","core_mvp","extended_fallacies")))))))))</x:f>
        <x:v>extended_fallacies</x:v>
      </x:c>
      <x:c r="AC658" s="12" t="str">
        <x:f>IF(ISNUMBER(SEARCH("operational",J658)),"operational",IF(ISNUMBER(SEARCH("deprecated",J658)),"deprecated",IF(L658="P0","canonical","recognized_subtype")))</x:f>
        <x:v>operational</x:v>
      </x:c>
      <x:c r="AD658" s="12" t="str">
        <x:f>IF(AC658="canonical","high",IF(AC658="recognized_subtype","medium",IF(AC658="operational","operational_only","debated")))</x:f>
        <x:v>operational_only</x:v>
      </x:c>
      <x:c r="AE658" s="12" t="str">
        <x:f>IF(AC658="deprecated","deprecated",IF(M658="yes","active",IF(M658="review","review_required","backlog")))</x:f>
        <x:v>backlog</x:v>
      </x:c>
      <x:c r="AF658" s="12" t="str">
        <x:f>IF(OR(AE658="active",AE658="review_required"),"yes","no")</x:f>
        <x:v>no</x:v>
      </x:c>
      <x:c r="AG658" s="12" t="str">
        <x:f>IF(AND(AE658="active",M658="yes",NOT(ISNUMBER(SEARCH("healthy",AB658)))),"yes","no")</x:f>
        <x:v>no</x:v>
      </x:c>
      <x:c r="AH658" s="12" t="str">
        <x:f>IF(OR(H658="contextual",H658="dialogue",H658="discourse",I658="claim+context",I658="discourse_segment"),"yes","no")</x:f>
        <x:v>yes</x:v>
      </x:c>
      <x:c r="AI658" s="12" t="str">
        <x:f>IF(OR(AH658="yes",AD658="debated",AC658="operational"),"yes","no")</x:f>
        <x:v>yes</x:v>
      </x:c>
      <x:c r="AJ658" s="12" t="str">
        <x:f>IF(OR(AH658="yes",AC658="operational",AD658="debated"),"high",IF(AND(AG658="yes",L658="P0"),"medium","low"))</x:f>
        <x:v>high</x:v>
      </x:c>
      <x:c r="AK658" s="12" t="str">
        <x:f>IF(ISNUMBER(SEARCH("healthy",AB658)),"yes","no")</x:f>
        <x:v>no</x:v>
      </x:c>
      <x:c r="AL658" s="12" t="str">
        <x:f>IF(AG658="yes","yes","candidate_only")</x:f>
        <x:v>candidate_only</x:v>
      </x:c>
      <x:c r="AM658" s="12" t="str">
        <x:f>IF(OR(AC658="canonical",AG658="yes"),"yes","recommended")</x:f>
        <x:v>recommended</x:v>
      </x:c>
      <x:c r="AN658" s="12" t="str">
        <x:f>IF(AC658="deprecated","exclude",IF(AND(AG658="yes",AJ658="high"),"import_but_human_review_required",IF(AG658="yes","import_as_active","import_as_backlog")))</x:f>
        <x:v>import_as_backlog</x:v>
      </x:c>
      <x:c r="AO658" s="12" t="str">
        <x:f>IF(AND(AG658="yes",OR(P658="",Q658="",R658="",S658="")),"missing_required_mvp_fields",IF(AND(AC658="canonical",Y658=""),"missing_source_ref","ok"))</x:f>
        <x:v>ok</x:v>
      </x:c>
      <x:c r="AP658" s="12" t="str">
        <x:f>IF(AO658="ok","ready_for_codex_import","needs_review")</x:f>
        <x:v>ready_for_codex_import</x:v>
      </x:c>
      <x:c r="AQ658" s="12"/>
      <x:c r="AR658" s="12" t="str">
        <x:v>Added v2 operational fields. Review before classification activation.</x:v>
      </x:c>
    </x:row>
    <x:row r="659">
      <x:c r="A659" s="13" t="str">
        <x:v>omission_bias_canonical_138</x:v>
      </x:c>
      <x:c r="B659" s="13" t="str">
        <x:v>omission_bias</x:v>
      </x:c>
      <x:c r="C659" s="13" t="str">
        <x:v>Omission bias</x:v>
      </x:c>
      <x:c r="D659" s="13" t="str">
        <x:v>سوگیری ترک فعل</x:v>
      </x:c>
      <x:c r="E659" s="13" t="str">
        <x:v>Canonical form</x:v>
      </x:c>
      <x:c r="F659" s="13" t="str">
        <x:v>decision_biases_behavioural_economics</x:v>
      </x:c>
      <x:c r="G659" s="13" t="str">
        <x:v>canonical</x:v>
      </x:c>
      <x:c r="H659" s="13" t="str">
        <x:v>contextual</x:v>
      </x:c>
      <x:c r="I659" s="13" t="str">
        <x:v>claim+context</x:v>
      </x:c>
      <x:c r="J659" s="13" t="str">
        <x:v>derived_operational_subtype</x:v>
      </x:c>
      <x:c r="K659" s="13" t="str">
        <x:v>derived_from_established_parent_review_required</x:v>
      </x:c>
      <x:c r="L659" s="13" t="str">
        <x:v>P3</x:v>
      </x:c>
      <x:c r="M659" s="13" t="str">
        <x:v>no</x:v>
      </x:c>
      <x:c r="N659" s="13" t="str">
        <x:v>Operational subtype under Omission bias: the parent decision tendency appears in a choice argument. Parent definition: Judging harmful inaction more leniently than harmful action.</x:v>
      </x:c>
      <x:c r="O659" s="13" t="str">
        <x:v>Look for: explicit claim-level evidence; parent-family cues for Omission bias; variant cue: the parent decision tendency appears in a choice argument; avoid author-level inference.</x:v>
      </x:c>
      <x:c r="P659" s="13" t="str">
        <x:v>Exact evidence span in text plus claim-level reasoning link; for contextual/discourse entries, require surrounding context.</x:v>
      </x:c>
      <x:c r="Q659" s="13" t="str">
        <x:v>Do not label merely because topic is controversial, emotional, or wrong. Do not judge intent or personality. Require textual evidence and consider healthy-reasoning cues.</x:v>
      </x:c>
      <x:c r="R659" s="13" t="str">
        <x:v>Stub: A claim relies on the parent decision tendency appears in a choice argument to support a conclusion without adequate qualification.</x:v>
      </x:c>
      <x:c r="S659" s="13" t="str">
        <x:v>Stub: A claim discusses omission bias with caveats, balanced evidence, or no argumentative use of the pattern.</x:v>
      </x:c>
      <x:c r="T659" s="13" t="str">
        <x:v>Mild or ambiguous cue; do not classify without clear evidence span.</x:v>
      </x:c>
      <x:c r="U659" s="13" t="str">
        <x:v>Clear claim-level pattern with some argumentative impact.</x:v>
      </x:c>
      <x:c r="V659" s="13" t="str">
        <x:v>Strong pattern central to the conclusion and likely to materially distort reasoning.</x:v>
      </x:c>
      <x:c r="W659" s="13" t="str"/>
      <x:c r="X659" s="13" t="str">
        <x:v>gilovich_heuristics_biases</x:v>
      </x:c>
      <x:c r="Y659" s="13" t="str">
        <x:v>https://www.cambridge.org/core/books/heuristics-and-biases/3C30D3B05D2F190C3B8BE5E2531EFD24</x:v>
      </x:c>
      <x:c r="Z659" s="13" t="str">
        <x:v>Review before enabling. This workbook is a living taxonomy scaffold, not a validated scientific benchmark.</x:v>
      </x:c>
      <x:c r="AA659" s="13" t="str">
        <x:v>0.1.0-draft</x:v>
      </x:c>
      <x:c r="AB659" s="12" t="str">
        <x:f>IF(ISNUMBER(SEARCH("healthy",F659)),"healthy_reasoning_patterns",IF(ISNUMBER(SEARCH("statistical",F659)),"statistical_reasoning",IF(ISNUMBER(SEARCH("causal",F659)),"causal_reasoning",IF(ISNUMBER(SEARCH("social",F659)),"social_influence",IF(ISNUMBER(SEARCH("rhetoric",F659)),"rhetoric_discourse",IF(ISNUMBER(SEARCH("behavior",F659)),"behavioural_economics",IF(ISNUMBER(SEARCH("cognitive",F659)),"cognitive_biases",IF(J659="protective_pattern","healthy_reasoning_patterns",IF(L659="P0","core_mvp","extended_fallacies")))))))))</x:f>
        <x:v>extended_fallacies</x:v>
      </x:c>
      <x:c r="AC659" s="12" t="str">
        <x:f>IF(ISNUMBER(SEARCH("operational",J659)),"operational",IF(ISNUMBER(SEARCH("deprecated",J659)),"deprecated",IF(L659="P0","canonical","recognized_subtype")))</x:f>
        <x:v>operational</x:v>
      </x:c>
      <x:c r="AD659" s="12" t="str">
        <x:f>IF(AC659="canonical","high",IF(AC659="recognized_subtype","medium",IF(AC659="operational","operational_only","debated")))</x:f>
        <x:v>operational_only</x:v>
      </x:c>
      <x:c r="AE659" s="12" t="str">
        <x:f>IF(AC659="deprecated","deprecated",IF(M659="yes","active",IF(M659="review","review_required","backlog")))</x:f>
        <x:v>backlog</x:v>
      </x:c>
      <x:c r="AF659" s="12" t="str">
        <x:f>IF(OR(AE659="active",AE659="review_required"),"yes","no")</x:f>
        <x:v>no</x:v>
      </x:c>
      <x:c r="AG659" s="12" t="str">
        <x:f>IF(AND(AE659="active",M659="yes",NOT(ISNUMBER(SEARCH("healthy",AB659)))),"yes","no")</x:f>
        <x:v>no</x:v>
      </x:c>
      <x:c r="AH659" s="12" t="str">
        <x:f>IF(OR(H659="contextual",H659="dialogue",H659="discourse",I659="claim+context",I659="discourse_segment"),"yes","no")</x:f>
        <x:v>yes</x:v>
      </x:c>
      <x:c r="AI659" s="12" t="str">
        <x:f>IF(OR(AH659="yes",AD659="debated",AC659="operational"),"yes","no")</x:f>
        <x:v>yes</x:v>
      </x:c>
      <x:c r="AJ659" s="12" t="str">
        <x:f>IF(OR(AH659="yes",AC659="operational",AD659="debated"),"high",IF(AND(AG659="yes",L659="P0"),"medium","low"))</x:f>
        <x:v>high</x:v>
      </x:c>
      <x:c r="AK659" s="12" t="str">
        <x:f>IF(ISNUMBER(SEARCH("healthy",AB659)),"yes","no")</x:f>
        <x:v>no</x:v>
      </x:c>
      <x:c r="AL659" s="12" t="str">
        <x:f>IF(AG659="yes","yes","candidate_only")</x:f>
        <x:v>candidate_only</x:v>
      </x:c>
      <x:c r="AM659" s="12" t="str">
        <x:f>IF(OR(AC659="canonical",AG659="yes"),"yes","recommended")</x:f>
        <x:v>recommended</x:v>
      </x:c>
      <x:c r="AN659" s="12" t="str">
        <x:f>IF(AC659="deprecated","exclude",IF(AND(AG659="yes",AJ659="high"),"import_but_human_review_required",IF(AG659="yes","import_as_active","import_as_backlog")))</x:f>
        <x:v>import_as_backlog</x:v>
      </x:c>
      <x:c r="AO659" s="12" t="str">
        <x:f>IF(AND(AG659="yes",OR(P659="",Q659="",R659="",S659="")),"missing_required_mvp_fields",IF(AND(AC659="canonical",Y659=""),"missing_source_ref","ok"))</x:f>
        <x:v>ok</x:v>
      </x:c>
      <x:c r="AP659" s="12" t="str">
        <x:f>IF(AO659="ok","ready_for_codex_import","needs_review")</x:f>
        <x:v>ready_for_codex_import</x:v>
      </x:c>
      <x:c r="AQ659" s="12"/>
      <x:c r="AR659" s="12" t="str">
        <x:v>Added v2 operational fields. Review before classification activation.</x:v>
      </x:c>
    </x:row>
    <x:row r="660">
      <x:c r="A660" s="13" t="str">
        <x:v>action_bias_canonical_139</x:v>
      </x:c>
      <x:c r="B660" s="13" t="str">
        <x:v>action_bias</x:v>
      </x:c>
      <x:c r="C660" s="13" t="str">
        <x:v>Action bias</x:v>
      </x:c>
      <x:c r="D660" s="13" t="str">
        <x:v>سوگیری اقدام</x:v>
      </x:c>
      <x:c r="E660" s="13" t="str">
        <x:v>Canonical form</x:v>
      </x:c>
      <x:c r="F660" s="13" t="str">
        <x:v>decision_biases_behavioural_economics</x:v>
      </x:c>
      <x:c r="G660" s="13" t="str">
        <x:v>canonical</x:v>
      </x:c>
      <x:c r="H660" s="13" t="str">
        <x:v>contextual</x:v>
      </x:c>
      <x:c r="I660" s="13" t="str">
        <x:v>claim+context</x:v>
      </x:c>
      <x:c r="J660" s="13" t="str">
        <x:v>derived_operational_subtype</x:v>
      </x:c>
      <x:c r="K660" s="13" t="str">
        <x:v>derived_from_established_parent_review_required</x:v>
      </x:c>
      <x:c r="L660" s="13" t="str">
        <x:v>P3</x:v>
      </x:c>
      <x:c r="M660" s="13" t="str">
        <x:v>no</x:v>
      </x:c>
      <x:c r="N660" s="13" t="str">
        <x:v>Operational subtype under Action bias: the parent decision tendency appears in a choice argument. Parent definition: Preferring action even when waiting or gathering evidence would be better.</x:v>
      </x:c>
      <x:c r="O660" s="13" t="str">
        <x:v>Look for: explicit claim-level evidence; parent-family cues for Action bias; variant cue: the parent decision tendency appears in a choice argument; avoid author-level inference.</x:v>
      </x:c>
      <x:c r="P660" s="13" t="str">
        <x:v>Exact evidence span in text plus claim-level reasoning link; for contextual/discourse entries, require surrounding context.</x:v>
      </x:c>
      <x:c r="Q660" s="13" t="str">
        <x:v>Do not label merely because topic is controversial, emotional, or wrong. Do not judge intent or personality. Require textual evidence and consider healthy-reasoning cues.</x:v>
      </x:c>
      <x:c r="R660" s="13" t="str">
        <x:v>Stub: A claim relies on the parent decision tendency appears in a choice argument to support a conclusion without adequate qualification.</x:v>
      </x:c>
      <x:c r="S660" s="13" t="str">
        <x:v>Stub: A claim discusses action bias with caveats, balanced evidence, or no argumentative use of the pattern.</x:v>
      </x:c>
      <x:c r="T660" s="13" t="str">
        <x:v>Mild or ambiguous cue; do not classify without clear evidence span.</x:v>
      </x:c>
      <x:c r="U660" s="13" t="str">
        <x:v>Clear claim-level pattern with some argumentative impact.</x:v>
      </x:c>
      <x:c r="V660" s="13" t="str">
        <x:v>Strong pattern central to the conclusion and likely to materially distort reasoning.</x:v>
      </x:c>
      <x:c r="W660" s="13" t="str">
        <x:v>cherry_picking; missing_counterevidence; evidence_grading</x:v>
      </x:c>
      <x:c r="X660" s="13" t="str">
        <x:v>gilovich_heuristics_biases</x:v>
      </x:c>
      <x:c r="Y660" s="13" t="str">
        <x:v>https://www.cambridge.org/core/books/heuristics-and-biases/3C30D3B05D2F190C3B8BE5E2531EFD24</x:v>
      </x:c>
      <x:c r="Z660" s="13" t="str">
        <x:v>Review before enabling. This workbook is a living taxonomy scaffold, not a validated scientific benchmark.</x:v>
      </x:c>
      <x:c r="AA660" s="13" t="str">
        <x:v>0.1.0-draft</x:v>
      </x:c>
      <x:c r="AB660" s="12" t="str">
        <x:f>IF(ISNUMBER(SEARCH("healthy",F660)),"healthy_reasoning_patterns",IF(ISNUMBER(SEARCH("statistical",F660)),"statistical_reasoning",IF(ISNUMBER(SEARCH("causal",F660)),"causal_reasoning",IF(ISNUMBER(SEARCH("social",F660)),"social_influence",IF(ISNUMBER(SEARCH("rhetoric",F660)),"rhetoric_discourse",IF(ISNUMBER(SEARCH("behavior",F660)),"behavioural_economics",IF(ISNUMBER(SEARCH("cognitive",F660)),"cognitive_biases",IF(J660="protective_pattern","healthy_reasoning_patterns",IF(L660="P0","core_mvp","extended_fallacies")))))))))</x:f>
        <x:v>extended_fallacies</x:v>
      </x:c>
      <x:c r="AC660" s="12" t="str">
        <x:f>IF(ISNUMBER(SEARCH("operational",J660)),"operational",IF(ISNUMBER(SEARCH("deprecated",J660)),"deprecated",IF(L660="P0","canonical","recognized_subtype")))</x:f>
        <x:v>operational</x:v>
      </x:c>
      <x:c r="AD660" s="12" t="str">
        <x:f>IF(AC660="canonical","high",IF(AC660="recognized_subtype","medium",IF(AC660="operational","operational_only","debated")))</x:f>
        <x:v>operational_only</x:v>
      </x:c>
      <x:c r="AE660" s="12" t="str">
        <x:f>IF(AC660="deprecated","deprecated",IF(M660="yes","active",IF(M660="review","review_required","backlog")))</x:f>
        <x:v>backlog</x:v>
      </x:c>
      <x:c r="AF660" s="12" t="str">
        <x:f>IF(OR(AE660="active",AE660="review_required"),"yes","no")</x:f>
        <x:v>no</x:v>
      </x:c>
      <x:c r="AG660" s="12" t="str">
        <x:f>IF(AND(AE660="active",M660="yes",NOT(ISNUMBER(SEARCH("healthy",AB660)))),"yes","no")</x:f>
        <x:v>no</x:v>
      </x:c>
      <x:c r="AH660" s="12" t="str">
        <x:f>IF(OR(H660="contextual",H660="dialogue",H660="discourse",I660="claim+context",I660="discourse_segment"),"yes","no")</x:f>
        <x:v>yes</x:v>
      </x:c>
      <x:c r="AI660" s="12" t="str">
        <x:f>IF(OR(AH660="yes",AD660="debated",AC660="operational"),"yes","no")</x:f>
        <x:v>yes</x:v>
      </x:c>
      <x:c r="AJ660" s="12" t="str">
        <x:f>IF(OR(AH660="yes",AC660="operational",AD660="debated"),"high",IF(AND(AG660="yes",L660="P0"),"medium","low"))</x:f>
        <x:v>high</x:v>
      </x:c>
      <x:c r="AK660" s="12" t="str">
        <x:f>IF(ISNUMBER(SEARCH("healthy",AB660)),"yes","no")</x:f>
        <x:v>no</x:v>
      </x:c>
      <x:c r="AL660" s="12" t="str">
        <x:f>IF(AG660="yes","yes","candidate_only")</x:f>
        <x:v>candidate_only</x:v>
      </x:c>
      <x:c r="AM660" s="12" t="str">
        <x:f>IF(OR(AC660="canonical",AG660="yes"),"yes","recommended")</x:f>
        <x:v>recommended</x:v>
      </x:c>
      <x:c r="AN660" s="12" t="str">
        <x:f>IF(AC660="deprecated","exclude",IF(AND(AG660="yes",AJ660="high"),"import_but_human_review_required",IF(AG660="yes","import_as_active","import_as_backlog")))</x:f>
        <x:v>import_as_backlog</x:v>
      </x:c>
      <x:c r="AO660" s="12" t="str">
        <x:f>IF(AND(AG660="yes",OR(P660="",Q660="",R660="",S660="")),"missing_required_mvp_fields",IF(AND(AC660="canonical",Y660=""),"missing_source_ref","ok"))</x:f>
        <x:v>ok</x:v>
      </x:c>
      <x:c r="AP660" s="12" t="str">
        <x:f>IF(AO660="ok","ready_for_codex_import","needs_review")</x:f>
        <x:v>ready_for_codex_import</x:v>
      </x:c>
      <x:c r="AQ660" s="12"/>
      <x:c r="AR660" s="12" t="str">
        <x:v>Added v2 operational fields. Review before classification activation.</x:v>
      </x:c>
    </x:row>
    <x:row r="661">
      <x:c r="A661" s="13" t="str">
        <x:v>time_inconsistency_canonical_140</x:v>
      </x:c>
      <x:c r="B661" s="13" t="str">
        <x:v>time_inconsistency</x:v>
      </x:c>
      <x:c r="C661" s="13" t="str">
        <x:v>Time inconsistency</x:v>
      </x:c>
      <x:c r="D661" s="13" t="str">
        <x:v>ناسازگاری زمانی ترجیح</x:v>
      </x:c>
      <x:c r="E661" s="13" t="str">
        <x:v>Canonical form</x:v>
      </x:c>
      <x:c r="F661" s="13" t="str">
        <x:v>decision_biases_behavioural_economics</x:v>
      </x:c>
      <x:c r="G661" s="13" t="str">
        <x:v>canonical</x:v>
      </x:c>
      <x:c r="H661" s="13" t="str">
        <x:v>contextual</x:v>
      </x:c>
      <x:c r="I661" s="13" t="str">
        <x:v>claim+context</x:v>
      </x:c>
      <x:c r="J661" s="13" t="str">
        <x:v>derived_operational_subtype</x:v>
      </x:c>
      <x:c r="K661" s="13" t="str">
        <x:v>derived_from_established_parent_review_required</x:v>
      </x:c>
      <x:c r="L661" s="13" t="str">
        <x:v>P3</x:v>
      </x:c>
      <x:c r="M661" s="13" t="str">
        <x:v>no</x:v>
      </x:c>
      <x:c r="N661" s="13" t="str">
        <x:v>Operational subtype under Time inconsistency: the parent decision tendency appears in a choice argument. Parent definition: Preferences change over time in ways that undermine prior plans.</x:v>
      </x:c>
      <x:c r="O661" s="13" t="str">
        <x:v>Look for: explicit claim-level evidence; parent-family cues for Time inconsistency; variant cue: the parent decision tendency appears in a choice argument; avoid author-level inference.</x:v>
      </x:c>
      <x:c r="P661" s="13" t="str">
        <x:v>Exact evidence span in text plus claim-level reasoning link; for contextual/discourse entries, require surrounding context.</x:v>
      </x:c>
      <x:c r="Q661" s="13" t="str">
        <x:v>Do not label merely because topic is controversial, emotional, or wrong. Do not judge intent or personality. Require textual evidence and consider healthy-reasoning cues.</x:v>
      </x:c>
      <x:c r="R661" s="13" t="str">
        <x:v>Stub: A claim relies on the parent decision tendency appears in a choice argument to support a conclusion without adequate qualification.</x:v>
      </x:c>
      <x:c r="S661" s="13" t="str">
        <x:v>Stub: A claim discusses time inconsistency with caveats, balanced evidence, or no argumentative use of the pattern.</x:v>
      </x:c>
      <x:c r="T661" s="13" t="str">
        <x:v>Mild or ambiguous cue; do not classify without clear evidence span.</x:v>
      </x:c>
      <x:c r="U661" s="13" t="str">
        <x:v>Clear claim-level pattern with some argumentative impact.</x:v>
      </x:c>
      <x:c r="V661" s="13" t="str">
        <x:v>Strong pattern central to the conclusion and likely to materially distort reasoning.</x:v>
      </x:c>
      <x:c r="W661" s="13" t="str"/>
      <x:c r="X661" s="13" t="str">
        <x:v>thaler_sunstein_nudge</x:v>
      </x:c>
      <x:c r="Y661" s="13" t="str">
        <x:v>https://yalebooks.yale.edu/book/9780300262285/nudge/</x:v>
      </x:c>
      <x:c r="Z661" s="13" t="str">
        <x:v>Review before enabling. This workbook is a living taxonomy scaffold, not a validated scientific benchmark.</x:v>
      </x:c>
      <x:c r="AA661" s="13" t="str">
        <x:v>0.1.0-draft</x:v>
      </x:c>
      <x:c r="AB661" s="12" t="str">
        <x:f>IF(ISNUMBER(SEARCH("healthy",F661)),"healthy_reasoning_patterns",IF(ISNUMBER(SEARCH("statistical",F661)),"statistical_reasoning",IF(ISNUMBER(SEARCH("causal",F661)),"causal_reasoning",IF(ISNUMBER(SEARCH("social",F661)),"social_influence",IF(ISNUMBER(SEARCH("rhetoric",F661)),"rhetoric_discourse",IF(ISNUMBER(SEARCH("behavior",F661)),"behavioural_economics",IF(ISNUMBER(SEARCH("cognitive",F661)),"cognitive_biases",IF(J661="protective_pattern","healthy_reasoning_patterns",IF(L661="P0","core_mvp","extended_fallacies")))))))))</x:f>
        <x:v>extended_fallacies</x:v>
      </x:c>
      <x:c r="AC661" s="12" t="str">
        <x:f>IF(ISNUMBER(SEARCH("operational",J661)),"operational",IF(ISNUMBER(SEARCH("deprecated",J661)),"deprecated",IF(L661="P0","canonical","recognized_subtype")))</x:f>
        <x:v>operational</x:v>
      </x:c>
      <x:c r="AD661" s="12" t="str">
        <x:f>IF(AC661="canonical","high",IF(AC661="recognized_subtype","medium",IF(AC661="operational","operational_only","debated")))</x:f>
        <x:v>operational_only</x:v>
      </x:c>
      <x:c r="AE661" s="12" t="str">
        <x:f>IF(AC661="deprecated","deprecated",IF(M661="yes","active",IF(M661="review","review_required","backlog")))</x:f>
        <x:v>backlog</x:v>
      </x:c>
      <x:c r="AF661" s="12" t="str">
        <x:f>IF(OR(AE661="active",AE661="review_required"),"yes","no")</x:f>
        <x:v>no</x:v>
      </x:c>
      <x:c r="AG661" s="12" t="str">
        <x:f>IF(AND(AE661="active",M661="yes",NOT(ISNUMBER(SEARCH("healthy",AB661)))),"yes","no")</x:f>
        <x:v>no</x:v>
      </x:c>
      <x:c r="AH661" s="12" t="str">
        <x:f>IF(OR(H661="contextual",H661="dialogue",H661="discourse",I661="claim+context",I661="discourse_segment"),"yes","no")</x:f>
        <x:v>yes</x:v>
      </x:c>
      <x:c r="AI661" s="12" t="str">
        <x:f>IF(OR(AH661="yes",AD661="debated",AC661="operational"),"yes","no")</x:f>
        <x:v>yes</x:v>
      </x:c>
      <x:c r="AJ661" s="12" t="str">
        <x:f>IF(OR(AH661="yes",AC661="operational",AD661="debated"),"high",IF(AND(AG661="yes",L661="P0"),"medium","low"))</x:f>
        <x:v>high</x:v>
      </x:c>
      <x:c r="AK661" s="12" t="str">
        <x:f>IF(ISNUMBER(SEARCH("healthy",AB661)),"yes","no")</x:f>
        <x:v>no</x:v>
      </x:c>
      <x:c r="AL661" s="12" t="str">
        <x:f>IF(AG661="yes","yes","candidate_only")</x:f>
        <x:v>candidate_only</x:v>
      </x:c>
      <x:c r="AM661" s="12" t="str">
        <x:f>IF(OR(AC661="canonical",AG661="yes"),"yes","recommended")</x:f>
        <x:v>recommended</x:v>
      </x:c>
      <x:c r="AN661" s="12" t="str">
        <x:f>IF(AC661="deprecated","exclude",IF(AND(AG661="yes",AJ661="high"),"import_but_human_review_required",IF(AG661="yes","import_as_active","import_as_backlog")))</x:f>
        <x:v>import_as_backlog</x:v>
      </x:c>
      <x:c r="AO661" s="12" t="str">
        <x:f>IF(AND(AG661="yes",OR(P661="",Q661="",R661="",S661="")),"missing_required_mvp_fields",IF(AND(AC661="canonical",Y661=""),"missing_source_ref","ok"))</x:f>
        <x:v>ok</x:v>
      </x:c>
      <x:c r="AP661" s="12" t="str">
        <x:f>IF(AO661="ok","ready_for_codex_import","needs_review")</x:f>
        <x:v>ready_for_codex_import</x:v>
      </x:c>
      <x:c r="AQ661" s="12"/>
      <x:c r="AR661" s="12" t="str">
        <x:v>Added v2 operational fields. Review before classification activation.</x:v>
      </x:c>
    </x:row>
    <x:row r="662">
      <x:c r="A662" s="13" t="str">
        <x:v>social_proof_canonical</x:v>
      </x:c>
      <x:c r="B662" s="13" t="str">
        <x:v>social_proof</x:v>
      </x:c>
      <x:c r="C662" s="13" t="str">
        <x:v>Social proof</x:v>
      </x:c>
      <x:c r="D662" s="13" t="str">
        <x:v>اثبات اجتماعی</x:v>
      </x:c>
      <x:c r="E662" s="13" t="str">
        <x:v>Canonical form</x:v>
      </x:c>
      <x:c r="F662" s="13" t="str">
        <x:v>social_influence_patterns</x:v>
      </x:c>
      <x:c r="G662" s="13" t="str">
        <x:v>canonical</x:v>
      </x:c>
      <x:c r="H662" s="13" t="str">
        <x:v>discourse</x:v>
      </x:c>
      <x:c r="I662" s="13" t="str">
        <x:v>discourse_segment</x:v>
      </x:c>
      <x:c r="J662" s="13" t="str">
        <x:v>derived_operational_subtype</x:v>
      </x:c>
      <x:c r="K662" s="13" t="str">
        <x:v>derived_from_established_parent_review_required</x:v>
      </x:c>
      <x:c r="L662" s="13" t="str">
        <x:v>P2</x:v>
      </x:c>
      <x:c r="M662" s="13" t="str">
        <x:v>no</x:v>
      </x:c>
      <x:c r="N662" s="13" t="str">
        <x:v>Operational subtype under Social proof: social cues are treated as evidence or pressure. Parent definition: Treating others' behavior as evidence of correctness.</x:v>
      </x:c>
      <x:c r="O662" s="13" t="str">
        <x:v>Look for: explicit claim-level evidence; parent-family cues for Social proof; variant cue: social cues are treated as evidence or pressure; avoid author-level inference.</x:v>
      </x:c>
      <x:c r="P662" s="13" t="str">
        <x:v>Exact evidence span in text plus claim-level reasoning link; for contextual/discourse entries, require surrounding context.</x:v>
      </x:c>
      <x:c r="Q662" s="13" t="str">
        <x:v>Do not label merely because topic is controversial, emotional, or wrong. Do not judge intent or personality. Require textual evidence and consider healthy-reasoning cues.</x:v>
      </x:c>
      <x:c r="R662" s="13" t="str">
        <x:v>Stub: A claim relies on social cues are treated as evidence or pressure to support a conclusion without adequate qualification.</x:v>
      </x:c>
      <x:c r="S662" s="13" t="str">
        <x:v>Stub: A claim discusses social proof with caveats, balanced evidence, or no argumentative use of the pattern.</x:v>
      </x:c>
      <x:c r="T662" s="13" t="str">
        <x:v>Mild or ambiguous cue; do not classify without clear evidence span.</x:v>
      </x:c>
      <x:c r="U662" s="13" t="str">
        <x:v>Clear claim-level pattern with some argumentative impact.</x:v>
      </x:c>
      <x:c r="V662" s="13" t="str">
        <x:v>Strong pattern central to the conclusion and likely to materially distort reasoning.</x:v>
      </x:c>
      <x:c r="W662" s="13" t="str">
        <x:v>cherry_picking; missing_counterevidence; evidence_grading</x:v>
      </x:c>
      <x:c r="X662" s="13" t="str">
        <x:v>cialdini_influence</x:v>
      </x:c>
      <x:c r="Y662" s="13" t="str">
        <x:v>https://www.pearson.com/en-us/subject-catalog/p/influence-science-and-practice/P200000003004</x:v>
      </x:c>
      <x:c r="Z662" s="13" t="str">
        <x:v>Review before enabling. This workbook is a living taxonomy scaffold, not a validated scientific benchmark.</x:v>
      </x:c>
      <x:c r="AA662" s="13" t="str">
        <x:v>0.1.0-draft</x:v>
      </x:c>
      <x:c r="AB662" s="12" t="str">
        <x:f>IF(ISNUMBER(SEARCH("healthy",F662)),"healthy_reasoning_patterns",IF(ISNUMBER(SEARCH("statistical",F662)),"statistical_reasoning",IF(ISNUMBER(SEARCH("causal",F662)),"causal_reasoning",IF(ISNUMBER(SEARCH("social",F662)),"social_influence",IF(ISNUMBER(SEARCH("rhetoric",F662)),"rhetoric_discourse",IF(ISNUMBER(SEARCH("behavior",F662)),"behavioural_economics",IF(ISNUMBER(SEARCH("cognitive",F662)),"cognitive_biases",IF(J662="protective_pattern","healthy_reasoning_patterns",IF(L662="P0","core_mvp","extended_fallacies")))))))))</x:f>
        <x:v>social_influence</x:v>
      </x:c>
      <x:c r="AC662" s="12" t="str">
        <x:f>IF(ISNUMBER(SEARCH("operational",J662)),"operational",IF(ISNUMBER(SEARCH("deprecated",J662)),"deprecated",IF(L662="P0","canonical","recognized_subtype")))</x:f>
        <x:v>operational</x:v>
      </x:c>
      <x:c r="AD662" s="12" t="str">
        <x:f>IF(AC662="canonical","high",IF(AC662="recognized_subtype","medium",IF(AC662="operational","operational_only","debated")))</x:f>
        <x:v>operational_only</x:v>
      </x:c>
      <x:c r="AE662" s="12" t="str">
        <x:f>IF(AC662="deprecated","deprecated",IF(M662="yes","active",IF(M662="review","review_required","backlog")))</x:f>
        <x:v>backlog</x:v>
      </x:c>
      <x:c r="AF662" s="12" t="str">
        <x:f>IF(OR(AE662="active",AE662="review_required"),"yes","no")</x:f>
        <x:v>no</x:v>
      </x:c>
      <x:c r="AG662" s="12" t="str">
        <x:f>IF(AND(AE662="active",M662="yes",NOT(ISNUMBER(SEARCH("healthy",AB662)))),"yes","no")</x:f>
        <x:v>no</x:v>
      </x:c>
      <x:c r="AH662" s="12" t="str">
        <x:f>IF(OR(H662="contextual",H662="dialogue",H662="discourse",I662="claim+context",I662="discourse_segment"),"yes","no")</x:f>
        <x:v>yes</x:v>
      </x:c>
      <x:c r="AI662" s="12" t="str">
        <x:f>IF(OR(AH662="yes",AD662="debated",AC662="operational"),"yes","no")</x:f>
        <x:v>yes</x:v>
      </x:c>
      <x:c r="AJ662" s="12" t="str">
        <x:f>IF(OR(AH662="yes",AC662="operational",AD662="debated"),"high",IF(AND(AG662="yes",L662="P0"),"medium","low"))</x:f>
        <x:v>high</x:v>
      </x:c>
      <x:c r="AK662" s="12" t="str">
        <x:f>IF(ISNUMBER(SEARCH("healthy",AB662)),"yes","no")</x:f>
        <x:v>no</x:v>
      </x:c>
      <x:c r="AL662" s="12" t="str">
        <x:f>IF(AG662="yes","yes","candidate_only")</x:f>
        <x:v>candidate_only</x:v>
      </x:c>
      <x:c r="AM662" s="12" t="str">
        <x:f>IF(OR(AC662="canonical",AG662="yes"),"yes","recommended")</x:f>
        <x:v>recommended</x:v>
      </x:c>
      <x:c r="AN662" s="12" t="str">
        <x:f>IF(AC662="deprecated","exclude",IF(AND(AG662="yes",AJ662="high"),"import_but_human_review_required",IF(AG662="yes","import_as_active","import_as_backlog")))</x:f>
        <x:v>import_as_backlog</x:v>
      </x:c>
      <x:c r="AO662" s="12" t="str">
        <x:f>IF(AND(AG662="yes",OR(P662="",Q662="",R662="",S662="")),"missing_required_mvp_fields",IF(AND(AC662="canonical",Y662=""),"missing_source_ref","ok"))</x:f>
        <x:v>ok</x:v>
      </x:c>
      <x:c r="AP662" s="12" t="str">
        <x:f>IF(AO662="ok","ready_for_codex_import","needs_review")</x:f>
        <x:v>ready_for_codex_import</x:v>
      </x:c>
      <x:c r="AQ662" s="12"/>
      <x:c r="AR662" s="12" t="str">
        <x:v>Added v2 operational fields. Review before classification activation.</x:v>
      </x:c>
    </x:row>
    <x:row r="663">
      <x:c r="A663" s="13" t="str">
        <x:v>bandwagon_effect_canonical</x:v>
      </x:c>
      <x:c r="B663" s="13" t="str">
        <x:v>bandwagon_effect</x:v>
      </x:c>
      <x:c r="C663" s="13" t="str">
        <x:v>Bandwagon effect</x:v>
      </x:c>
      <x:c r="D663" s="13" t="str">
        <x:v>اثر همراهی با جمع</x:v>
      </x:c>
      <x:c r="E663" s="13" t="str">
        <x:v>Canonical form</x:v>
      </x:c>
      <x:c r="F663" s="13" t="str">
        <x:v>social_influence_patterns</x:v>
      </x:c>
      <x:c r="G663" s="13" t="str">
        <x:v>canonical</x:v>
      </x:c>
      <x:c r="H663" s="13" t="str">
        <x:v>discourse</x:v>
      </x:c>
      <x:c r="I663" s="13" t="str">
        <x:v>discourse_segment</x:v>
      </x:c>
      <x:c r="J663" s="13" t="str">
        <x:v>derived_operational_subtype</x:v>
      </x:c>
      <x:c r="K663" s="13" t="str">
        <x:v>derived_from_established_parent_review_required</x:v>
      </x:c>
      <x:c r="L663" s="13" t="str">
        <x:v>P2</x:v>
      </x:c>
      <x:c r="M663" s="13" t="str">
        <x:v>no</x:v>
      </x:c>
      <x:c r="N663" s="13" t="str">
        <x:v>Operational subtype under Bandwagon effect: social cues are treated as evidence or pressure. Parent definition: Adopting beliefs or choices primarily because many others do.</x:v>
      </x:c>
      <x:c r="O663" s="13" t="str">
        <x:v>Look for: explicit claim-level evidence; parent-family cues for Bandwagon effect; variant cue: social cues are treated as evidence or pressure; avoid author-level inference.</x:v>
      </x:c>
      <x:c r="P663" s="13" t="str">
        <x:v>Exact evidence span in text plus claim-level reasoning link; for contextual/discourse entries, require surrounding context.</x:v>
      </x:c>
      <x:c r="Q663" s="13" t="str">
        <x:v>Do not label merely because topic is controversial, emotional, or wrong. Do not judge intent or personality. Require textual evidence and consider healthy-reasoning cues.</x:v>
      </x:c>
      <x:c r="R663" s="13" t="str">
        <x:v>Stub: A claim relies on social cues are treated as evidence or pressure to support a conclusion without adequate qualification.</x:v>
      </x:c>
      <x:c r="S663" s="13" t="str">
        <x:v>Stub: A claim discusses bandwagon effect with caveats, balanced evidence, or no argumentative use of the pattern.</x:v>
      </x:c>
      <x:c r="T663" s="13" t="str">
        <x:v>Mild or ambiguous cue; do not classify without clear evidence span.</x:v>
      </x:c>
      <x:c r="U663" s="13" t="str">
        <x:v>Clear claim-level pattern with some argumentative impact.</x:v>
      </x:c>
      <x:c r="V663" s="13" t="str">
        <x:v>Strong pattern central to the conclusion and likely to materially distort reasoning.</x:v>
      </x:c>
      <x:c r="W663" s="13" t="str"/>
      <x:c r="X663" s="13" t="str">
        <x:v>cialdini_influence</x:v>
      </x:c>
      <x:c r="Y663" s="13" t="str">
        <x:v>https://www.pearson.com/en-us/subject-catalog/p/influence-science-and-practice/P200000003004</x:v>
      </x:c>
      <x:c r="Z663" s="13" t="str">
        <x:v>Review before enabling. This workbook is a living taxonomy scaffold, not a validated scientific benchmark.</x:v>
      </x:c>
      <x:c r="AA663" s="13" t="str">
        <x:v>0.1.0-draft</x:v>
      </x:c>
      <x:c r="AB663" s="12" t="str">
        <x:f>IF(ISNUMBER(SEARCH("healthy",F663)),"healthy_reasoning_patterns",IF(ISNUMBER(SEARCH("statistical",F663)),"statistical_reasoning",IF(ISNUMBER(SEARCH("causal",F663)),"causal_reasoning",IF(ISNUMBER(SEARCH("social",F663)),"social_influence",IF(ISNUMBER(SEARCH("rhetoric",F663)),"rhetoric_discourse",IF(ISNUMBER(SEARCH("behavior",F663)),"behavioural_economics",IF(ISNUMBER(SEARCH("cognitive",F663)),"cognitive_biases",IF(J663="protective_pattern","healthy_reasoning_patterns",IF(L663="P0","core_mvp","extended_fallacies")))))))))</x:f>
        <x:v>social_influence</x:v>
      </x:c>
      <x:c r="AC663" s="12" t="str">
        <x:f>IF(ISNUMBER(SEARCH("operational",J663)),"operational",IF(ISNUMBER(SEARCH("deprecated",J663)),"deprecated",IF(L663="P0","canonical","recognized_subtype")))</x:f>
        <x:v>operational</x:v>
      </x:c>
      <x:c r="AD663" s="12" t="str">
        <x:f>IF(AC663="canonical","high",IF(AC663="recognized_subtype","medium",IF(AC663="operational","operational_only","debated")))</x:f>
        <x:v>operational_only</x:v>
      </x:c>
      <x:c r="AE663" s="12" t="str">
        <x:f>IF(AC663="deprecated","deprecated",IF(M663="yes","active",IF(M663="review","review_required","backlog")))</x:f>
        <x:v>backlog</x:v>
      </x:c>
      <x:c r="AF663" s="12" t="str">
        <x:f>IF(OR(AE663="active",AE663="review_required"),"yes","no")</x:f>
        <x:v>no</x:v>
      </x:c>
      <x:c r="AG663" s="12" t="str">
        <x:f>IF(AND(AE663="active",M663="yes",NOT(ISNUMBER(SEARCH("healthy",AB663)))),"yes","no")</x:f>
        <x:v>no</x:v>
      </x:c>
      <x:c r="AH663" s="12" t="str">
        <x:f>IF(OR(H663="contextual",H663="dialogue",H663="discourse",I663="claim+context",I663="discourse_segment"),"yes","no")</x:f>
        <x:v>yes</x:v>
      </x:c>
      <x:c r="AI663" s="12" t="str">
        <x:f>IF(OR(AH663="yes",AD663="debated",AC663="operational"),"yes","no")</x:f>
        <x:v>yes</x:v>
      </x:c>
      <x:c r="AJ663" s="12" t="str">
        <x:f>IF(OR(AH663="yes",AC663="operational",AD663="debated"),"high",IF(AND(AG663="yes",L663="P0"),"medium","low"))</x:f>
        <x:v>high</x:v>
      </x:c>
      <x:c r="AK663" s="12" t="str">
        <x:f>IF(ISNUMBER(SEARCH("healthy",AB663)),"yes","no")</x:f>
        <x:v>no</x:v>
      </x:c>
      <x:c r="AL663" s="12" t="str">
        <x:f>IF(AG663="yes","yes","candidate_only")</x:f>
        <x:v>candidate_only</x:v>
      </x:c>
      <x:c r="AM663" s="12" t="str">
        <x:f>IF(OR(AC663="canonical",AG663="yes"),"yes","recommended")</x:f>
        <x:v>recommended</x:v>
      </x:c>
      <x:c r="AN663" s="12" t="str">
        <x:f>IF(AC663="deprecated","exclude",IF(AND(AG663="yes",AJ663="high"),"import_but_human_review_required",IF(AG663="yes","import_as_active","import_as_backlog")))</x:f>
        <x:v>import_as_backlog</x:v>
      </x:c>
      <x:c r="AO663" s="12" t="str">
        <x:f>IF(AND(AG663="yes",OR(P663="",Q663="",R663="",S663="")),"missing_required_mvp_fields",IF(AND(AC663="canonical",Y663=""),"missing_source_ref","ok"))</x:f>
        <x:v>ok</x:v>
      </x:c>
      <x:c r="AP663" s="12" t="str">
        <x:f>IF(AO663="ok","ready_for_codex_import","needs_review")</x:f>
        <x:v>ready_for_codex_import</x:v>
      </x:c>
      <x:c r="AQ663" s="12"/>
      <x:c r="AR663" s="12" t="str">
        <x:v>Added v2 operational fields. Review before classification activation.</x:v>
      </x:c>
    </x:row>
    <x:row r="664">
      <x:c r="A664" s="13" t="str">
        <x:v>conformity_bias_canonical</x:v>
      </x:c>
      <x:c r="B664" s="13" t="str">
        <x:v>conformity_bias</x:v>
      </x:c>
      <x:c r="C664" s="13" t="str">
        <x:v>Conformity bias</x:v>
      </x:c>
      <x:c r="D664" s="13" t="str">
        <x:v>سوگیری همرنگی</x:v>
      </x:c>
      <x:c r="E664" s="13" t="str">
        <x:v>Canonical form</x:v>
      </x:c>
      <x:c r="F664" s="13" t="str">
        <x:v>social_influence_patterns</x:v>
      </x:c>
      <x:c r="G664" s="13" t="str">
        <x:v>canonical</x:v>
      </x:c>
      <x:c r="H664" s="13" t="str">
        <x:v>contextual</x:v>
      </x:c>
      <x:c r="I664" s="13" t="str">
        <x:v>claim+context</x:v>
      </x:c>
      <x:c r="J664" s="13" t="str">
        <x:v>derived_operational_subtype</x:v>
      </x:c>
      <x:c r="K664" s="13" t="str">
        <x:v>derived_from_established_parent_review_required</x:v>
      </x:c>
      <x:c r="L664" s="13" t="str">
        <x:v>P2</x:v>
      </x:c>
      <x:c r="M664" s="13" t="str">
        <x:v>no</x:v>
      </x:c>
      <x:c r="N664" s="13" t="str">
        <x:v>Operational subtype under Conformity bias: social cues are treated as evidence or pressure. Parent definition: Aligning judgments with group norms despite weak evidence.</x:v>
      </x:c>
      <x:c r="O664" s="13" t="str">
        <x:v>Look for: explicit claim-level evidence; parent-family cues for Conformity bias; variant cue: social cues are treated as evidence or pressure; avoid author-level inference.</x:v>
      </x:c>
      <x:c r="P664" s="13" t="str">
        <x:v>Exact evidence span in text plus claim-level reasoning link; for contextual/discourse entries, require surrounding context.</x:v>
      </x:c>
      <x:c r="Q664" s="13" t="str">
        <x:v>Do not label merely because topic is controversial, emotional, or wrong. Do not judge intent or personality. Require textual evidence and consider healthy-reasoning cues.</x:v>
      </x:c>
      <x:c r="R664" s="13" t="str">
        <x:v>Stub: A claim relies on social cues are treated as evidence or pressure to support a conclusion without adequate qualification.</x:v>
      </x:c>
      <x:c r="S664" s="13" t="str">
        <x:v>Stub: A claim discusses conformity bias with caveats, balanced evidence, or no argumentative use of the pattern.</x:v>
      </x:c>
      <x:c r="T664" s="13" t="str">
        <x:v>Mild or ambiguous cue; do not classify without clear evidence span.</x:v>
      </x:c>
      <x:c r="U664" s="13" t="str">
        <x:v>Clear claim-level pattern with some argumentative impact.</x:v>
      </x:c>
      <x:c r="V664" s="13" t="str">
        <x:v>Strong pattern central to the conclusion and likely to materially distort reasoning.</x:v>
      </x:c>
      <x:c r="W664" s="13" t="str">
        <x:v>cherry_picking; missing_counterevidence; evidence_grading</x:v>
      </x:c>
      <x:c r="X664" s="13" t="str">
        <x:v>cialdini_influence</x:v>
      </x:c>
      <x:c r="Y664" s="13" t="str">
        <x:v>https://www.pearson.com/en-us/subject-catalog/p/influence-science-and-practice/P200000003004</x:v>
      </x:c>
      <x:c r="Z664" s="13" t="str">
        <x:v>Review before enabling. This workbook is a living taxonomy scaffold, not a validated scientific benchmark.</x:v>
      </x:c>
      <x:c r="AA664" s="13" t="str">
        <x:v>0.1.0-draft</x:v>
      </x:c>
      <x:c r="AB664" s="12" t="str">
        <x:f>IF(ISNUMBER(SEARCH("healthy",F664)),"healthy_reasoning_patterns",IF(ISNUMBER(SEARCH("statistical",F664)),"statistical_reasoning",IF(ISNUMBER(SEARCH("causal",F664)),"causal_reasoning",IF(ISNUMBER(SEARCH("social",F664)),"social_influence",IF(ISNUMBER(SEARCH("rhetoric",F664)),"rhetoric_discourse",IF(ISNUMBER(SEARCH("behavior",F664)),"behavioural_economics",IF(ISNUMBER(SEARCH("cognitive",F664)),"cognitive_biases",IF(J664="protective_pattern","healthy_reasoning_patterns",IF(L664="P0","core_mvp","extended_fallacies")))))))))</x:f>
        <x:v>social_influence</x:v>
      </x:c>
      <x:c r="AC664" s="12" t="str">
        <x:f>IF(ISNUMBER(SEARCH("operational",J664)),"operational",IF(ISNUMBER(SEARCH("deprecated",J664)),"deprecated",IF(L664="P0","canonical","recognized_subtype")))</x:f>
        <x:v>operational</x:v>
      </x:c>
      <x:c r="AD664" s="12" t="str">
        <x:f>IF(AC664="canonical","high",IF(AC664="recognized_subtype","medium",IF(AC664="operational","operational_only","debated")))</x:f>
        <x:v>operational_only</x:v>
      </x:c>
      <x:c r="AE664" s="12" t="str">
        <x:f>IF(AC664="deprecated","deprecated",IF(M664="yes","active",IF(M664="review","review_required","backlog")))</x:f>
        <x:v>backlog</x:v>
      </x:c>
      <x:c r="AF664" s="12" t="str">
        <x:f>IF(OR(AE664="active",AE664="review_required"),"yes","no")</x:f>
        <x:v>no</x:v>
      </x:c>
      <x:c r="AG664" s="12" t="str">
        <x:f>IF(AND(AE664="active",M664="yes",NOT(ISNUMBER(SEARCH("healthy",AB664)))),"yes","no")</x:f>
        <x:v>no</x:v>
      </x:c>
      <x:c r="AH664" s="12" t="str">
        <x:f>IF(OR(H664="contextual",H664="dialogue",H664="discourse",I664="claim+context",I664="discourse_segment"),"yes","no")</x:f>
        <x:v>yes</x:v>
      </x:c>
      <x:c r="AI664" s="12" t="str">
        <x:f>IF(OR(AH664="yes",AD664="debated",AC664="operational"),"yes","no")</x:f>
        <x:v>yes</x:v>
      </x:c>
      <x:c r="AJ664" s="12" t="str">
        <x:f>IF(OR(AH664="yes",AC664="operational",AD664="debated"),"high",IF(AND(AG664="yes",L664="P0"),"medium","low"))</x:f>
        <x:v>high</x:v>
      </x:c>
      <x:c r="AK664" s="12" t="str">
        <x:f>IF(ISNUMBER(SEARCH("healthy",AB664)),"yes","no")</x:f>
        <x:v>no</x:v>
      </x:c>
      <x:c r="AL664" s="12" t="str">
        <x:f>IF(AG664="yes","yes","candidate_only")</x:f>
        <x:v>candidate_only</x:v>
      </x:c>
      <x:c r="AM664" s="12" t="str">
        <x:f>IF(OR(AC664="canonical",AG664="yes"),"yes","recommended")</x:f>
        <x:v>recommended</x:v>
      </x:c>
      <x:c r="AN664" s="12" t="str">
        <x:f>IF(AC664="deprecated","exclude",IF(AND(AG664="yes",AJ664="high"),"import_but_human_review_required",IF(AG664="yes","import_as_active","import_as_backlog")))</x:f>
        <x:v>import_as_backlog</x:v>
      </x:c>
      <x:c r="AO664" s="12" t="str">
        <x:f>IF(AND(AG664="yes",OR(P664="",Q664="",R664="",S664="")),"missing_required_mvp_fields",IF(AND(AC664="canonical",Y664=""),"missing_source_ref","ok"))</x:f>
        <x:v>ok</x:v>
      </x:c>
      <x:c r="AP664" s="12" t="str">
        <x:f>IF(AO664="ok","ready_for_codex_import","needs_review")</x:f>
        <x:v>ready_for_codex_import</x:v>
      </x:c>
      <x:c r="AQ664" s="12"/>
      <x:c r="AR664" s="12" t="str">
        <x:v>Added v2 operational fields. Review before classification activation.</x:v>
      </x:c>
    </x:row>
    <x:row r="665">
      <x:c r="A665" s="13" t="str">
        <x:v>authority_bias_canonical</x:v>
      </x:c>
      <x:c r="B665" s="13" t="str">
        <x:v>authority_bias</x:v>
      </x:c>
      <x:c r="C665" s="13" t="str">
        <x:v>Authority bias</x:v>
      </x:c>
      <x:c r="D665" s="13" t="str">
        <x:v>سوگیری اقتدار</x:v>
      </x:c>
      <x:c r="E665" s="13" t="str">
        <x:v>Canonical form</x:v>
      </x:c>
      <x:c r="F665" s="13" t="str">
        <x:v>social_influence_patterns</x:v>
      </x:c>
      <x:c r="G665" s="13" t="str">
        <x:v>canonical</x:v>
      </x:c>
      <x:c r="H665" s="13" t="str">
        <x:v>contextual</x:v>
      </x:c>
      <x:c r="I665" s="13" t="str">
        <x:v>claim+context</x:v>
      </x:c>
      <x:c r="J665" s="13" t="str">
        <x:v>derived_operational_subtype</x:v>
      </x:c>
      <x:c r="K665" s="13" t="str">
        <x:v>derived_from_established_parent_review_required</x:v>
      </x:c>
      <x:c r="L665" s="13" t="str">
        <x:v>P2</x:v>
      </x:c>
      <x:c r="M665" s="13" t="str">
        <x:v>no</x:v>
      </x:c>
      <x:c r="N665" s="13" t="str">
        <x:v>Operational subtype under Authority bias: social cues are treated as evidence or pressure. Parent definition: Giving excessive weight to authority cues.</x:v>
      </x:c>
      <x:c r="O665" s="13" t="str">
        <x:v>Look for: explicit claim-level evidence; parent-family cues for Authority bias; variant cue: social cues are treated as evidence or pressure; avoid author-level inference.</x:v>
      </x:c>
      <x:c r="P665" s="13" t="str">
        <x:v>Exact evidence span in text plus claim-level reasoning link; for contextual/discourse entries, require surrounding context.</x:v>
      </x:c>
      <x:c r="Q665" s="13" t="str">
        <x:v>Do not label merely because topic is controversial, emotional, or wrong. Do not judge intent or personality. Require textual evidence and consider healthy-reasoning cues.</x:v>
      </x:c>
      <x:c r="R665" s="13" t="str">
        <x:v>Stub: A claim relies on social cues are treated as evidence or pressure to support a conclusion without adequate qualification.</x:v>
      </x:c>
      <x:c r="S665" s="13" t="str">
        <x:v>Stub: A claim discusses authority bias with caveats, balanced evidence, or no argumentative use of the pattern.</x:v>
      </x:c>
      <x:c r="T665" s="13" t="str">
        <x:v>Mild or ambiguous cue; do not classify without clear evidence span.</x:v>
      </x:c>
      <x:c r="U665" s="13" t="str">
        <x:v>Clear claim-level pattern with some argumentative impact.</x:v>
      </x:c>
      <x:c r="V665" s="13" t="str">
        <x:v>Strong pattern central to the conclusion and likely to materially distort reasoning.</x:v>
      </x:c>
      <x:c r="W665" s="13" t="str">
        <x:v>authority_bias; appeal_to_authority_misuse; source_triangulation</x:v>
      </x:c>
      <x:c r="X665" s="13" t="str">
        <x:v>cialdini_influence</x:v>
      </x:c>
      <x:c r="Y665" s="13" t="str">
        <x:v>https://www.pearson.com/en-us/subject-catalog/p/influence-science-and-practice/P200000003004</x:v>
      </x:c>
      <x:c r="Z665" s="13" t="str">
        <x:v>Review before enabling. This workbook is a living taxonomy scaffold, not a validated scientific benchmark.</x:v>
      </x:c>
      <x:c r="AA665" s="13" t="str">
        <x:v>0.1.0-draft</x:v>
      </x:c>
      <x:c r="AB665" s="12" t="str">
        <x:f>IF(ISNUMBER(SEARCH("healthy",F665)),"healthy_reasoning_patterns",IF(ISNUMBER(SEARCH("statistical",F665)),"statistical_reasoning",IF(ISNUMBER(SEARCH("causal",F665)),"causal_reasoning",IF(ISNUMBER(SEARCH("social",F665)),"social_influence",IF(ISNUMBER(SEARCH("rhetoric",F665)),"rhetoric_discourse",IF(ISNUMBER(SEARCH("behavior",F665)),"behavioural_economics",IF(ISNUMBER(SEARCH("cognitive",F665)),"cognitive_biases",IF(J665="protective_pattern","healthy_reasoning_patterns",IF(L665="P0","core_mvp","extended_fallacies")))))))))</x:f>
        <x:v>social_influence</x:v>
      </x:c>
      <x:c r="AC665" s="12" t="str">
        <x:f>IF(ISNUMBER(SEARCH("operational",J665)),"operational",IF(ISNUMBER(SEARCH("deprecated",J665)),"deprecated",IF(L665="P0","canonical","recognized_subtype")))</x:f>
        <x:v>operational</x:v>
      </x:c>
      <x:c r="AD665" s="12" t="str">
        <x:f>IF(AC665="canonical","high",IF(AC665="recognized_subtype","medium",IF(AC665="operational","operational_only","debated")))</x:f>
        <x:v>operational_only</x:v>
      </x:c>
      <x:c r="AE665" s="12" t="str">
        <x:f>IF(AC665="deprecated","deprecated",IF(M665="yes","active",IF(M665="review","review_required","backlog")))</x:f>
        <x:v>backlog</x:v>
      </x:c>
      <x:c r="AF665" s="12" t="str">
        <x:f>IF(OR(AE665="active",AE665="review_required"),"yes","no")</x:f>
        <x:v>no</x:v>
      </x:c>
      <x:c r="AG665" s="12" t="str">
        <x:f>IF(AND(AE665="active",M665="yes",NOT(ISNUMBER(SEARCH("healthy",AB665)))),"yes","no")</x:f>
        <x:v>no</x:v>
      </x:c>
      <x:c r="AH665" s="12" t="str">
        <x:f>IF(OR(H665="contextual",H665="dialogue",H665="discourse",I665="claim+context",I665="discourse_segment"),"yes","no")</x:f>
        <x:v>yes</x:v>
      </x:c>
      <x:c r="AI665" s="12" t="str">
        <x:f>IF(OR(AH665="yes",AD665="debated",AC665="operational"),"yes","no")</x:f>
        <x:v>yes</x:v>
      </x:c>
      <x:c r="AJ665" s="12" t="str">
        <x:f>IF(OR(AH665="yes",AC665="operational",AD665="debated"),"high",IF(AND(AG665="yes",L665="P0"),"medium","low"))</x:f>
        <x:v>high</x:v>
      </x:c>
      <x:c r="AK665" s="12" t="str">
        <x:f>IF(ISNUMBER(SEARCH("healthy",AB665)),"yes","no")</x:f>
        <x:v>no</x:v>
      </x:c>
      <x:c r="AL665" s="12" t="str">
        <x:f>IF(AG665="yes","yes","candidate_only")</x:f>
        <x:v>candidate_only</x:v>
      </x:c>
      <x:c r="AM665" s="12" t="str">
        <x:f>IF(OR(AC665="canonical",AG665="yes"),"yes","recommended")</x:f>
        <x:v>recommended</x:v>
      </x:c>
      <x:c r="AN665" s="12" t="str">
        <x:f>IF(AC665="deprecated","exclude",IF(AND(AG665="yes",AJ665="high"),"import_but_human_review_required",IF(AG665="yes","import_as_active","import_as_backlog")))</x:f>
        <x:v>import_as_backlog</x:v>
      </x:c>
      <x:c r="AO665" s="12" t="str">
        <x:f>IF(AND(AG665="yes",OR(P665="",Q665="",R665="",S665="")),"missing_required_mvp_fields",IF(AND(AC665="canonical",Y665=""),"missing_source_ref","ok"))</x:f>
        <x:v>ok</x:v>
      </x:c>
      <x:c r="AP665" s="12" t="str">
        <x:f>IF(AO665="ok","ready_for_codex_import","needs_review")</x:f>
        <x:v>ready_for_codex_import</x:v>
      </x:c>
      <x:c r="AQ665" s="12"/>
      <x:c r="AR665" s="12" t="str">
        <x:v>Added v2 operational fields. Review before classification activation.</x:v>
      </x:c>
    </x:row>
    <x:row r="666">
      <x:c r="A666" s="13" t="str">
        <x:v>groupthink_canonical</x:v>
      </x:c>
      <x:c r="B666" s="13" t="str">
        <x:v>groupthink</x:v>
      </x:c>
      <x:c r="C666" s="13" t="str">
        <x:v>Groupthink</x:v>
      </x:c>
      <x:c r="D666" s="13" t="str">
        <x:v>تفکر گروهی</x:v>
      </x:c>
      <x:c r="E666" s="13" t="str">
        <x:v>Canonical form</x:v>
      </x:c>
      <x:c r="F666" s="13" t="str">
        <x:v>social_influence_patterns</x:v>
      </x:c>
      <x:c r="G666" s="13" t="str">
        <x:v>canonical</x:v>
      </x:c>
      <x:c r="H666" s="13" t="str">
        <x:v>discourse</x:v>
      </x:c>
      <x:c r="I666" s="13" t="str">
        <x:v>discourse_segment</x:v>
      </x:c>
      <x:c r="J666" s="13" t="str">
        <x:v>derived_operational_subtype</x:v>
      </x:c>
      <x:c r="K666" s="13" t="str">
        <x:v>derived_from_established_parent_review_required</x:v>
      </x:c>
      <x:c r="L666" s="13" t="str">
        <x:v>P2</x:v>
      </x:c>
      <x:c r="M666" s="13" t="str">
        <x:v>no</x:v>
      </x:c>
      <x:c r="N666" s="13" t="str">
        <x:v>Operational subtype under Groupthink: social cues are treated as evidence or pressure. Parent definition: Group cohesion suppresses dissent and critical evaluation.</x:v>
      </x:c>
      <x:c r="O666" s="13" t="str">
        <x:v>Look for: explicit claim-level evidence; parent-family cues for Groupthink; variant cue: social cues are treated as evidence or pressure; avoid author-level inference.</x:v>
      </x:c>
      <x:c r="P666" s="13" t="str">
        <x:v>Exact evidence span in text plus claim-level reasoning link; for contextual/discourse entries, require surrounding context.</x:v>
      </x:c>
      <x:c r="Q666" s="13" t="str">
        <x:v>Do not label merely because topic is controversial, emotional, or wrong. Do not judge intent or personality. Require textual evidence and consider healthy-reasoning cues.</x:v>
      </x:c>
      <x:c r="R666" s="13" t="str">
        <x:v>Stub: A claim relies on social cues are treated as evidence or pressure to support a conclusion without adequate qualification.</x:v>
      </x:c>
      <x:c r="S666" s="13" t="str">
        <x:v>Stub: A claim discusses groupthink with caveats, balanced evidence, or no argumentative use of the pattern.</x:v>
      </x:c>
      <x:c r="T666" s="13" t="str">
        <x:v>Mild or ambiguous cue; do not classify without clear evidence span.</x:v>
      </x:c>
      <x:c r="U666" s="13" t="str">
        <x:v>Clear claim-level pattern with some argumentative impact.</x:v>
      </x:c>
      <x:c r="V666" s="13" t="str">
        <x:v>Strong pattern central to the conclusion and likely to materially distort reasoning.</x:v>
      </x:c>
      <x:c r="W666" s="13" t="str"/>
      <x:c r="X666" s="13" t="str">
        <x:v>cialdini_influence</x:v>
      </x:c>
      <x:c r="Y666" s="13" t="str">
        <x:v>https://www.pearson.com/en-us/subject-catalog/p/influence-science-and-practice/P200000003004</x:v>
      </x:c>
      <x:c r="Z666" s="13" t="str">
        <x:v>Review before enabling. This workbook is a living taxonomy scaffold, not a validated scientific benchmark.</x:v>
      </x:c>
      <x:c r="AA666" s="13" t="str">
        <x:v>0.1.0-draft</x:v>
      </x:c>
      <x:c r="AB666" s="12" t="str">
        <x:f>IF(ISNUMBER(SEARCH("healthy",F666)),"healthy_reasoning_patterns",IF(ISNUMBER(SEARCH("statistical",F666)),"statistical_reasoning",IF(ISNUMBER(SEARCH("causal",F666)),"causal_reasoning",IF(ISNUMBER(SEARCH("social",F666)),"social_influence",IF(ISNUMBER(SEARCH("rhetoric",F666)),"rhetoric_discourse",IF(ISNUMBER(SEARCH("behavior",F666)),"behavioural_economics",IF(ISNUMBER(SEARCH("cognitive",F666)),"cognitive_biases",IF(J666="protective_pattern","healthy_reasoning_patterns",IF(L666="P0","core_mvp","extended_fallacies")))))))))</x:f>
        <x:v>social_influence</x:v>
      </x:c>
      <x:c r="AC666" s="12" t="str">
        <x:f>IF(ISNUMBER(SEARCH("operational",J666)),"operational",IF(ISNUMBER(SEARCH("deprecated",J666)),"deprecated",IF(L666="P0","canonical","recognized_subtype")))</x:f>
        <x:v>operational</x:v>
      </x:c>
      <x:c r="AD666" s="12" t="str">
        <x:f>IF(AC666="canonical","high",IF(AC666="recognized_subtype","medium",IF(AC666="operational","operational_only","debated")))</x:f>
        <x:v>operational_only</x:v>
      </x:c>
      <x:c r="AE666" s="12" t="str">
        <x:f>IF(AC666="deprecated","deprecated",IF(M666="yes","active",IF(M666="review","review_required","backlog")))</x:f>
        <x:v>backlog</x:v>
      </x:c>
      <x:c r="AF666" s="12" t="str">
        <x:f>IF(OR(AE666="active",AE666="review_required"),"yes","no")</x:f>
        <x:v>no</x:v>
      </x:c>
      <x:c r="AG666" s="12" t="str">
        <x:f>IF(AND(AE666="active",M666="yes",NOT(ISNUMBER(SEARCH("healthy",AB666)))),"yes","no")</x:f>
        <x:v>no</x:v>
      </x:c>
      <x:c r="AH666" s="12" t="str">
        <x:f>IF(OR(H666="contextual",H666="dialogue",H666="discourse",I666="claim+context",I666="discourse_segment"),"yes","no")</x:f>
        <x:v>yes</x:v>
      </x:c>
      <x:c r="AI666" s="12" t="str">
        <x:f>IF(OR(AH666="yes",AD666="debated",AC666="operational"),"yes","no")</x:f>
        <x:v>yes</x:v>
      </x:c>
      <x:c r="AJ666" s="12" t="str">
        <x:f>IF(OR(AH666="yes",AC666="operational",AD666="debated"),"high",IF(AND(AG666="yes",L666="P0"),"medium","low"))</x:f>
        <x:v>high</x:v>
      </x:c>
      <x:c r="AK666" s="12" t="str">
        <x:f>IF(ISNUMBER(SEARCH("healthy",AB666)),"yes","no")</x:f>
        <x:v>no</x:v>
      </x:c>
      <x:c r="AL666" s="12" t="str">
        <x:f>IF(AG666="yes","yes","candidate_only")</x:f>
        <x:v>candidate_only</x:v>
      </x:c>
      <x:c r="AM666" s="12" t="str">
        <x:f>IF(OR(AC666="canonical",AG666="yes"),"yes","recommended")</x:f>
        <x:v>recommended</x:v>
      </x:c>
      <x:c r="AN666" s="12" t="str">
        <x:f>IF(AC666="deprecated","exclude",IF(AND(AG666="yes",AJ666="high"),"import_but_human_review_required",IF(AG666="yes","import_as_active","import_as_backlog")))</x:f>
        <x:v>import_as_backlog</x:v>
      </x:c>
      <x:c r="AO666" s="12" t="str">
        <x:f>IF(AND(AG666="yes",OR(P666="",Q666="",R666="",S666="")),"missing_required_mvp_fields",IF(AND(AC666="canonical",Y666=""),"missing_source_ref","ok"))</x:f>
        <x:v>ok</x:v>
      </x:c>
      <x:c r="AP666" s="12" t="str">
        <x:f>IF(AO666="ok","ready_for_codex_import","needs_review")</x:f>
        <x:v>ready_for_codex_import</x:v>
      </x:c>
      <x:c r="AQ666" s="12"/>
      <x:c r="AR666" s="12" t="str">
        <x:v>Added v2 operational fields. Review before classification activation.</x:v>
      </x:c>
    </x:row>
    <x:row r="667">
      <x:c r="A667" s="13" t="str">
        <x:v>group_polarization_canonical</x:v>
      </x:c>
      <x:c r="B667" s="13" t="str">
        <x:v>group_polarization</x:v>
      </x:c>
      <x:c r="C667" s="13" t="str">
        <x:v>Group polarization</x:v>
      </x:c>
      <x:c r="D667" s="13" t="str">
        <x:v>قطبی‌شدن گروهی</x:v>
      </x:c>
      <x:c r="E667" s="13" t="str">
        <x:v>Canonical form</x:v>
      </x:c>
      <x:c r="F667" s="13" t="str">
        <x:v>social_influence_patterns</x:v>
      </x:c>
      <x:c r="G667" s="13" t="str">
        <x:v>canonical</x:v>
      </x:c>
      <x:c r="H667" s="13" t="str">
        <x:v>discourse</x:v>
      </x:c>
      <x:c r="I667" s="13" t="str">
        <x:v>discourse_segment</x:v>
      </x:c>
      <x:c r="J667" s="13" t="str">
        <x:v>derived_operational_subtype</x:v>
      </x:c>
      <x:c r="K667" s="13" t="str">
        <x:v>derived_from_established_parent_review_required</x:v>
      </x:c>
      <x:c r="L667" s="13" t="str">
        <x:v>P2</x:v>
      </x:c>
      <x:c r="M667" s="13" t="str">
        <x:v>no</x:v>
      </x:c>
      <x:c r="N667" s="13" t="str">
        <x:v>Operational subtype under Group polarization: social cues are treated as evidence or pressure. Parent definition: Discussion among similar views leads to more extreme positions.</x:v>
      </x:c>
      <x:c r="O667" s="13" t="str">
        <x:v>Look for: explicit claim-level evidence; parent-family cues for Group polarization; variant cue: social cues are treated as evidence or pressure; avoid author-level inference.</x:v>
      </x:c>
      <x:c r="P667" s="13" t="str">
        <x:v>Exact evidence span in text plus claim-level reasoning link; for contextual/discourse entries, require surrounding context.</x:v>
      </x:c>
      <x:c r="Q667" s="13" t="str">
        <x:v>Do not label merely because topic is controversial, emotional, or wrong. Do not judge intent or personality. Require textual evidence and consider healthy-reasoning cues.</x:v>
      </x:c>
      <x:c r="R667" s="13" t="str">
        <x:v>Stub: A claim relies on social cues are treated as evidence or pressure to support a conclusion without adequate qualification.</x:v>
      </x:c>
      <x:c r="S667" s="13" t="str">
        <x:v>Stub: A claim discusses group polarization with caveats, balanced evidence, or no argumentative use of the pattern.</x:v>
      </x:c>
      <x:c r="T667" s="13" t="str">
        <x:v>Mild or ambiguous cue; do not classify without clear evidence span.</x:v>
      </x:c>
      <x:c r="U667" s="13" t="str">
        <x:v>Clear claim-level pattern with some argumentative impact.</x:v>
      </x:c>
      <x:c r="V667" s="13" t="str">
        <x:v>Strong pattern central to the conclusion and likely to materially distort reasoning.</x:v>
      </x:c>
      <x:c r="W667" s="13" t="str"/>
      <x:c r="X667" s="13" t="str">
        <x:v>cialdini_influence</x:v>
      </x:c>
      <x:c r="Y667" s="13" t="str">
        <x:v>https://www.pearson.com/en-us/subject-catalog/p/influence-science-and-practice/P200000003004</x:v>
      </x:c>
      <x:c r="Z667" s="13" t="str">
        <x:v>Review before enabling. This workbook is a living taxonomy scaffold, not a validated scientific benchmark.</x:v>
      </x:c>
      <x:c r="AA667" s="13" t="str">
        <x:v>0.1.0-draft</x:v>
      </x:c>
      <x:c r="AB667" s="12" t="str">
        <x:f>IF(ISNUMBER(SEARCH("healthy",F667)),"healthy_reasoning_patterns",IF(ISNUMBER(SEARCH("statistical",F667)),"statistical_reasoning",IF(ISNUMBER(SEARCH("causal",F667)),"causal_reasoning",IF(ISNUMBER(SEARCH("social",F667)),"social_influence",IF(ISNUMBER(SEARCH("rhetoric",F667)),"rhetoric_discourse",IF(ISNUMBER(SEARCH("behavior",F667)),"behavioural_economics",IF(ISNUMBER(SEARCH("cognitive",F667)),"cognitive_biases",IF(J667="protective_pattern","healthy_reasoning_patterns",IF(L667="P0","core_mvp","extended_fallacies")))))))))</x:f>
        <x:v>social_influence</x:v>
      </x:c>
      <x:c r="AC667" s="12" t="str">
        <x:f>IF(ISNUMBER(SEARCH("operational",J667)),"operational",IF(ISNUMBER(SEARCH("deprecated",J667)),"deprecated",IF(L667="P0","canonical","recognized_subtype")))</x:f>
        <x:v>operational</x:v>
      </x:c>
      <x:c r="AD667" s="12" t="str">
        <x:f>IF(AC667="canonical","high",IF(AC667="recognized_subtype","medium",IF(AC667="operational","operational_only","debated")))</x:f>
        <x:v>operational_only</x:v>
      </x:c>
      <x:c r="AE667" s="12" t="str">
        <x:f>IF(AC667="deprecated","deprecated",IF(M667="yes","active",IF(M667="review","review_required","backlog")))</x:f>
        <x:v>backlog</x:v>
      </x:c>
      <x:c r="AF667" s="12" t="str">
        <x:f>IF(OR(AE667="active",AE667="review_required"),"yes","no")</x:f>
        <x:v>no</x:v>
      </x:c>
      <x:c r="AG667" s="12" t="str">
        <x:f>IF(AND(AE667="active",M667="yes",NOT(ISNUMBER(SEARCH("healthy",AB667)))),"yes","no")</x:f>
        <x:v>no</x:v>
      </x:c>
      <x:c r="AH667" s="12" t="str">
        <x:f>IF(OR(H667="contextual",H667="dialogue",H667="discourse",I667="claim+context",I667="discourse_segment"),"yes","no")</x:f>
        <x:v>yes</x:v>
      </x:c>
      <x:c r="AI667" s="12" t="str">
        <x:f>IF(OR(AH667="yes",AD667="debated",AC667="operational"),"yes","no")</x:f>
        <x:v>yes</x:v>
      </x:c>
      <x:c r="AJ667" s="12" t="str">
        <x:f>IF(OR(AH667="yes",AC667="operational",AD667="debated"),"high",IF(AND(AG667="yes",L667="P0"),"medium","low"))</x:f>
        <x:v>high</x:v>
      </x:c>
      <x:c r="AK667" s="12" t="str">
        <x:f>IF(ISNUMBER(SEARCH("healthy",AB667)),"yes","no")</x:f>
        <x:v>no</x:v>
      </x:c>
      <x:c r="AL667" s="12" t="str">
        <x:f>IF(AG667="yes","yes","candidate_only")</x:f>
        <x:v>candidate_only</x:v>
      </x:c>
      <x:c r="AM667" s="12" t="str">
        <x:f>IF(OR(AC667="canonical",AG667="yes"),"yes","recommended")</x:f>
        <x:v>recommended</x:v>
      </x:c>
      <x:c r="AN667" s="12" t="str">
        <x:f>IF(AC667="deprecated","exclude",IF(AND(AG667="yes",AJ667="high"),"import_but_human_review_required",IF(AG667="yes","import_as_active","import_as_backlog")))</x:f>
        <x:v>import_as_backlog</x:v>
      </x:c>
      <x:c r="AO667" s="12" t="str">
        <x:f>IF(AND(AG667="yes",OR(P667="",Q667="",R667="",S667="")),"missing_required_mvp_fields",IF(AND(AC667="canonical",Y667=""),"missing_source_ref","ok"))</x:f>
        <x:v>ok</x:v>
      </x:c>
      <x:c r="AP667" s="12" t="str">
        <x:f>IF(AO667="ok","ready_for_codex_import","needs_review")</x:f>
        <x:v>ready_for_codex_import</x:v>
      </x:c>
      <x:c r="AQ667" s="12"/>
      <x:c r="AR667" s="12" t="str">
        <x:v>Added v2 operational fields. Review before classification activation.</x:v>
      </x:c>
    </x:row>
    <x:row r="668">
      <x:c r="A668" s="13" t="str">
        <x:v>pluralistic_ignorance_canonical</x:v>
      </x:c>
      <x:c r="B668" s="13" t="str">
        <x:v>pluralistic_ignorance</x:v>
      </x:c>
      <x:c r="C668" s="13" t="str">
        <x:v>Pluralistic ignorance</x:v>
      </x:c>
      <x:c r="D668" s="13" t="str">
        <x:v>نادانی جمعی</x:v>
      </x:c>
      <x:c r="E668" s="13" t="str">
        <x:v>Canonical form</x:v>
      </x:c>
      <x:c r="F668" s="13" t="str">
        <x:v>social_influence_patterns</x:v>
      </x:c>
      <x:c r="G668" s="13" t="str">
        <x:v>canonical</x:v>
      </x:c>
      <x:c r="H668" s="13" t="str">
        <x:v>contextual</x:v>
      </x:c>
      <x:c r="I668" s="13" t="str">
        <x:v>claim+context</x:v>
      </x:c>
      <x:c r="J668" s="13" t="str">
        <x:v>derived_operational_subtype</x:v>
      </x:c>
      <x:c r="K668" s="13" t="str">
        <x:v>derived_from_established_parent_review_required</x:v>
      </x:c>
      <x:c r="L668" s="13" t="str">
        <x:v>P2</x:v>
      </x:c>
      <x:c r="M668" s="13" t="str">
        <x:v>no</x:v>
      </x:c>
      <x:c r="N668" s="13" t="str">
        <x:v>Operational subtype under Pluralistic ignorance: social cues are treated as evidence or pressure. Parent definition: People privately reject a norm but assume others accept it.</x:v>
      </x:c>
      <x:c r="O668" s="13" t="str">
        <x:v>Look for: explicit claim-level evidence; parent-family cues for Pluralistic ignorance; variant cue: social cues are treated as evidence or pressure; avoid author-level inference.</x:v>
      </x:c>
      <x:c r="P668" s="13" t="str">
        <x:v>Exact evidence span in text plus claim-level reasoning link; for contextual/discourse entries, require surrounding context.</x:v>
      </x:c>
      <x:c r="Q668" s="13" t="str">
        <x:v>Do not label merely because topic is controversial, emotional, or wrong. Do not judge intent or personality. Require textual evidence and consider healthy-reasoning cues.</x:v>
      </x:c>
      <x:c r="R668" s="13" t="str">
        <x:v>Stub: A claim relies on social cues are treated as evidence or pressure to support a conclusion without adequate qualification.</x:v>
      </x:c>
      <x:c r="S668" s="13" t="str">
        <x:v>Stub: A claim discusses pluralistic ignorance with caveats, balanced evidence, or no argumentative use of the pattern.</x:v>
      </x:c>
      <x:c r="T668" s="13" t="str">
        <x:v>Mild or ambiguous cue; do not classify without clear evidence span.</x:v>
      </x:c>
      <x:c r="U668" s="13" t="str">
        <x:v>Clear claim-level pattern with some argumentative impact.</x:v>
      </x:c>
      <x:c r="V668" s="13" t="str">
        <x:v>Strong pattern central to the conclusion and likely to materially distort reasoning.</x:v>
      </x:c>
      <x:c r="W668" s="13" t="str"/>
      <x:c r="X668" s="13" t="str">
        <x:v>cialdini_influence</x:v>
      </x:c>
      <x:c r="Y668" s="13" t="str">
        <x:v>https://www.pearson.com/en-us/subject-catalog/p/influence-science-and-practice/P200000003004</x:v>
      </x:c>
      <x:c r="Z668" s="13" t="str">
        <x:v>Review before enabling. This workbook is a living taxonomy scaffold, not a validated scientific benchmark.</x:v>
      </x:c>
      <x:c r="AA668" s="13" t="str">
        <x:v>0.1.0-draft</x:v>
      </x:c>
      <x:c r="AB668" s="12" t="str">
        <x:f>IF(ISNUMBER(SEARCH("healthy",F668)),"healthy_reasoning_patterns",IF(ISNUMBER(SEARCH("statistical",F668)),"statistical_reasoning",IF(ISNUMBER(SEARCH("causal",F668)),"causal_reasoning",IF(ISNUMBER(SEARCH("social",F668)),"social_influence",IF(ISNUMBER(SEARCH("rhetoric",F668)),"rhetoric_discourse",IF(ISNUMBER(SEARCH("behavior",F668)),"behavioural_economics",IF(ISNUMBER(SEARCH("cognitive",F668)),"cognitive_biases",IF(J668="protective_pattern","healthy_reasoning_patterns",IF(L668="P0","core_mvp","extended_fallacies")))))))))</x:f>
        <x:v>social_influence</x:v>
      </x:c>
      <x:c r="AC668" s="12" t="str">
        <x:f>IF(ISNUMBER(SEARCH("operational",J668)),"operational",IF(ISNUMBER(SEARCH("deprecated",J668)),"deprecated",IF(L668="P0","canonical","recognized_subtype")))</x:f>
        <x:v>operational</x:v>
      </x:c>
      <x:c r="AD668" s="12" t="str">
        <x:f>IF(AC668="canonical","high",IF(AC668="recognized_subtype","medium",IF(AC668="operational","operational_only","debated")))</x:f>
        <x:v>operational_only</x:v>
      </x:c>
      <x:c r="AE668" s="12" t="str">
        <x:f>IF(AC668="deprecated","deprecated",IF(M668="yes","active",IF(M668="review","review_required","backlog")))</x:f>
        <x:v>backlog</x:v>
      </x:c>
      <x:c r="AF668" s="12" t="str">
        <x:f>IF(OR(AE668="active",AE668="review_required"),"yes","no")</x:f>
        <x:v>no</x:v>
      </x:c>
      <x:c r="AG668" s="12" t="str">
        <x:f>IF(AND(AE668="active",M668="yes",NOT(ISNUMBER(SEARCH("healthy",AB668)))),"yes","no")</x:f>
        <x:v>no</x:v>
      </x:c>
      <x:c r="AH668" s="12" t="str">
        <x:f>IF(OR(H668="contextual",H668="dialogue",H668="discourse",I668="claim+context",I668="discourse_segment"),"yes","no")</x:f>
        <x:v>yes</x:v>
      </x:c>
      <x:c r="AI668" s="12" t="str">
        <x:f>IF(OR(AH668="yes",AD668="debated",AC668="operational"),"yes","no")</x:f>
        <x:v>yes</x:v>
      </x:c>
      <x:c r="AJ668" s="12" t="str">
        <x:f>IF(OR(AH668="yes",AC668="operational",AD668="debated"),"high",IF(AND(AG668="yes",L668="P0"),"medium","low"))</x:f>
        <x:v>high</x:v>
      </x:c>
      <x:c r="AK668" s="12" t="str">
        <x:f>IF(ISNUMBER(SEARCH("healthy",AB668)),"yes","no")</x:f>
        <x:v>no</x:v>
      </x:c>
      <x:c r="AL668" s="12" t="str">
        <x:f>IF(AG668="yes","yes","candidate_only")</x:f>
        <x:v>candidate_only</x:v>
      </x:c>
      <x:c r="AM668" s="12" t="str">
        <x:f>IF(OR(AC668="canonical",AG668="yes"),"yes","recommended")</x:f>
        <x:v>recommended</x:v>
      </x:c>
      <x:c r="AN668" s="12" t="str">
        <x:f>IF(AC668="deprecated","exclude",IF(AND(AG668="yes",AJ668="high"),"import_but_human_review_required",IF(AG668="yes","import_as_active","import_as_backlog")))</x:f>
        <x:v>import_as_backlog</x:v>
      </x:c>
      <x:c r="AO668" s="12" t="str">
        <x:f>IF(AND(AG668="yes",OR(P668="",Q668="",R668="",S668="")),"missing_required_mvp_fields",IF(AND(AC668="canonical",Y668=""),"missing_source_ref","ok"))</x:f>
        <x:v>ok</x:v>
      </x:c>
      <x:c r="AP668" s="12" t="str">
        <x:f>IF(AO668="ok","ready_for_codex_import","needs_review")</x:f>
        <x:v>ready_for_codex_import</x:v>
      </x:c>
      <x:c r="AQ668" s="12"/>
      <x:c r="AR668" s="12" t="str">
        <x:v>Added v2 operational fields. Review before classification activation.</x:v>
      </x:c>
    </x:row>
    <x:row r="669">
      <x:c r="A669" s="13" t="str">
        <x:v>false_consensus_effect_canonical</x:v>
      </x:c>
      <x:c r="B669" s="13" t="str">
        <x:v>false_consensus_effect</x:v>
      </x:c>
      <x:c r="C669" s="13" t="str">
        <x:v>False consensus effect</x:v>
      </x:c>
      <x:c r="D669" s="13" t="str">
        <x:v>اثر اجماع کاذب</x:v>
      </x:c>
      <x:c r="E669" s="13" t="str">
        <x:v>Canonical form</x:v>
      </x:c>
      <x:c r="F669" s="13" t="str">
        <x:v>social_influence_patterns</x:v>
      </x:c>
      <x:c r="G669" s="13" t="str">
        <x:v>canonical</x:v>
      </x:c>
      <x:c r="H669" s="13" t="str">
        <x:v>contextual</x:v>
      </x:c>
      <x:c r="I669" s="13" t="str">
        <x:v>claim+context</x:v>
      </x:c>
      <x:c r="J669" s="13" t="str">
        <x:v>derived_operational_subtype</x:v>
      </x:c>
      <x:c r="K669" s="13" t="str">
        <x:v>derived_from_established_parent_review_required</x:v>
      </x:c>
      <x:c r="L669" s="13" t="str">
        <x:v>P2</x:v>
      </x:c>
      <x:c r="M669" s="13" t="str">
        <x:v>no</x:v>
      </x:c>
      <x:c r="N669" s="13" t="str">
        <x:v>Operational subtype under False consensus effect: social cues are treated as evidence or pressure. Parent definition: Overestimating how many others share one's views.</x:v>
      </x:c>
      <x:c r="O669" s="13" t="str">
        <x:v>Look for: explicit claim-level evidence; parent-family cues for False consensus effect; variant cue: social cues are treated as evidence or pressure; avoid author-level inference.</x:v>
      </x:c>
      <x:c r="P669" s="13" t="str">
        <x:v>Exact evidence span in text plus claim-level reasoning link; for contextual/discourse entries, require surrounding context.</x:v>
      </x:c>
      <x:c r="Q669" s="13" t="str">
        <x:v>Do not label merely because topic is controversial, emotional, or wrong. Do not judge intent or personality. Require textual evidence and consider healthy-reasoning cues.</x:v>
      </x:c>
      <x:c r="R669" s="13" t="str">
        <x:v>Stub: A claim relies on social cues are treated as evidence or pressure to support a conclusion without adequate qualification.</x:v>
      </x:c>
      <x:c r="S669" s="13" t="str">
        <x:v>Stub: A claim discusses false consensus effect with caveats, balanced evidence, or no argumentative use of the pattern.</x:v>
      </x:c>
      <x:c r="T669" s="13" t="str">
        <x:v>Mild or ambiguous cue; do not classify without clear evidence span.</x:v>
      </x:c>
      <x:c r="U669" s="13" t="str">
        <x:v>Clear claim-level pattern with some argumentative impact.</x:v>
      </x:c>
      <x:c r="V669" s="13" t="str">
        <x:v>Strong pattern central to the conclusion and likely to materially distort reasoning.</x:v>
      </x:c>
      <x:c r="W669" s="13" t="str"/>
      <x:c r="X669" s="13" t="str">
        <x:v>gilovich_heuristics_biases</x:v>
      </x:c>
      <x:c r="Y669" s="13" t="str">
        <x:v>https://www.cambridge.org/core/books/heuristics-and-biases/3C30D3B05D2F190C3B8BE5E2531EFD24</x:v>
      </x:c>
      <x:c r="Z669" s="13" t="str">
        <x:v>Review before enabling. This workbook is a living taxonomy scaffold, not a validated scientific benchmark.</x:v>
      </x:c>
      <x:c r="AA669" s="13" t="str">
        <x:v>0.1.0-draft</x:v>
      </x:c>
      <x:c r="AB669" s="12" t="str">
        <x:f>IF(ISNUMBER(SEARCH("healthy",F669)),"healthy_reasoning_patterns",IF(ISNUMBER(SEARCH("statistical",F669)),"statistical_reasoning",IF(ISNUMBER(SEARCH("causal",F669)),"causal_reasoning",IF(ISNUMBER(SEARCH("social",F669)),"social_influence",IF(ISNUMBER(SEARCH("rhetoric",F669)),"rhetoric_discourse",IF(ISNUMBER(SEARCH("behavior",F669)),"behavioural_economics",IF(ISNUMBER(SEARCH("cognitive",F669)),"cognitive_biases",IF(J669="protective_pattern","healthy_reasoning_patterns",IF(L669="P0","core_mvp","extended_fallacies")))))))))</x:f>
        <x:v>social_influence</x:v>
      </x:c>
      <x:c r="AC669" s="12" t="str">
        <x:f>IF(ISNUMBER(SEARCH("operational",J669)),"operational",IF(ISNUMBER(SEARCH("deprecated",J669)),"deprecated",IF(L669="P0","canonical","recognized_subtype")))</x:f>
        <x:v>operational</x:v>
      </x:c>
      <x:c r="AD669" s="12" t="str">
        <x:f>IF(AC669="canonical","high",IF(AC669="recognized_subtype","medium",IF(AC669="operational","operational_only","debated")))</x:f>
        <x:v>operational_only</x:v>
      </x:c>
      <x:c r="AE669" s="12" t="str">
        <x:f>IF(AC669="deprecated","deprecated",IF(M669="yes","active",IF(M669="review","review_required","backlog")))</x:f>
        <x:v>backlog</x:v>
      </x:c>
      <x:c r="AF669" s="12" t="str">
        <x:f>IF(OR(AE669="active",AE669="review_required"),"yes","no")</x:f>
        <x:v>no</x:v>
      </x:c>
      <x:c r="AG669" s="12" t="str">
        <x:f>IF(AND(AE669="active",M669="yes",NOT(ISNUMBER(SEARCH("healthy",AB669)))),"yes","no")</x:f>
        <x:v>no</x:v>
      </x:c>
      <x:c r="AH669" s="12" t="str">
        <x:f>IF(OR(H669="contextual",H669="dialogue",H669="discourse",I669="claim+context",I669="discourse_segment"),"yes","no")</x:f>
        <x:v>yes</x:v>
      </x:c>
      <x:c r="AI669" s="12" t="str">
        <x:f>IF(OR(AH669="yes",AD669="debated",AC669="operational"),"yes","no")</x:f>
        <x:v>yes</x:v>
      </x:c>
      <x:c r="AJ669" s="12" t="str">
        <x:f>IF(OR(AH669="yes",AC669="operational",AD669="debated"),"high",IF(AND(AG669="yes",L669="P0"),"medium","low"))</x:f>
        <x:v>high</x:v>
      </x:c>
      <x:c r="AK669" s="12" t="str">
        <x:f>IF(ISNUMBER(SEARCH("healthy",AB669)),"yes","no")</x:f>
        <x:v>no</x:v>
      </x:c>
      <x:c r="AL669" s="12" t="str">
        <x:f>IF(AG669="yes","yes","candidate_only")</x:f>
        <x:v>candidate_only</x:v>
      </x:c>
      <x:c r="AM669" s="12" t="str">
        <x:f>IF(OR(AC669="canonical",AG669="yes"),"yes","recommended")</x:f>
        <x:v>recommended</x:v>
      </x:c>
      <x:c r="AN669" s="12" t="str">
        <x:f>IF(AC669="deprecated","exclude",IF(AND(AG669="yes",AJ669="high"),"import_but_human_review_required",IF(AG669="yes","import_as_active","import_as_backlog")))</x:f>
        <x:v>import_as_backlog</x:v>
      </x:c>
      <x:c r="AO669" s="12" t="str">
        <x:f>IF(AND(AG669="yes",OR(P669="",Q669="",R669="",S669="")),"missing_required_mvp_fields",IF(AND(AC669="canonical",Y669=""),"missing_source_ref","ok"))</x:f>
        <x:v>ok</x:v>
      </x:c>
      <x:c r="AP669" s="12" t="str">
        <x:f>IF(AO669="ok","ready_for_codex_import","needs_review")</x:f>
        <x:v>ready_for_codex_import</x:v>
      </x:c>
      <x:c r="AQ669" s="12"/>
      <x:c r="AR669" s="12" t="str">
        <x:v>Added v2 operational fields. Review before classification activation.</x:v>
      </x:c>
    </x:row>
    <x:row r="670">
      <x:c r="A670" s="13" t="str">
        <x:v>false_uniqueness_effect_canonical</x:v>
      </x:c>
      <x:c r="B670" s="13" t="str">
        <x:v>false_uniqueness_effect</x:v>
      </x:c>
      <x:c r="C670" s="13" t="str">
        <x:v>False uniqueness effect</x:v>
      </x:c>
      <x:c r="D670" s="13" t="str">
        <x:v>اثر یکتایی کاذب</x:v>
      </x:c>
      <x:c r="E670" s="13" t="str">
        <x:v>Canonical form</x:v>
      </x:c>
      <x:c r="F670" s="13" t="str">
        <x:v>social_influence_patterns</x:v>
      </x:c>
      <x:c r="G670" s="13" t="str">
        <x:v>canonical</x:v>
      </x:c>
      <x:c r="H670" s="13" t="str">
        <x:v>contextual</x:v>
      </x:c>
      <x:c r="I670" s="13" t="str">
        <x:v>claim+context</x:v>
      </x:c>
      <x:c r="J670" s="13" t="str">
        <x:v>derived_operational_subtype</x:v>
      </x:c>
      <x:c r="K670" s="13" t="str">
        <x:v>derived_from_established_parent_review_required</x:v>
      </x:c>
      <x:c r="L670" s="13" t="str">
        <x:v>P2</x:v>
      </x:c>
      <x:c r="M670" s="13" t="str">
        <x:v>no</x:v>
      </x:c>
      <x:c r="N670" s="13" t="str">
        <x:v>Operational subtype under False uniqueness effect: social cues are treated as evidence or pressure. Parent definition: Underestimating how many others share one's desirable traits or views.</x:v>
      </x:c>
      <x:c r="O670" s="13" t="str">
        <x:v>Look for: explicit claim-level evidence; parent-family cues for False uniqueness effect; variant cue: social cues are treated as evidence or pressure; avoid author-level inference.</x:v>
      </x:c>
      <x:c r="P670" s="13" t="str">
        <x:v>Exact evidence span in text plus claim-level reasoning link; for contextual/discourse entries, require surrounding context.</x:v>
      </x:c>
      <x:c r="Q670" s="13" t="str">
        <x:v>Do not label merely because topic is controversial, emotional, or wrong. Do not judge intent or personality. Require textual evidence and consider healthy-reasoning cues.</x:v>
      </x:c>
      <x:c r="R670" s="13" t="str">
        <x:v>Stub: A claim relies on social cues are treated as evidence or pressure to support a conclusion without adequate qualification.</x:v>
      </x:c>
      <x:c r="S670" s="13" t="str">
        <x:v>Stub: A claim discusses false uniqueness effect with caveats, balanced evidence, or no argumentative use of the pattern.</x:v>
      </x:c>
      <x:c r="T670" s="13" t="str">
        <x:v>Mild or ambiguous cue; do not classify without clear evidence span.</x:v>
      </x:c>
      <x:c r="U670" s="13" t="str">
        <x:v>Clear claim-level pattern with some argumentative impact.</x:v>
      </x:c>
      <x:c r="V670" s="13" t="str">
        <x:v>Strong pattern central to the conclusion and likely to materially distort reasoning.</x:v>
      </x:c>
      <x:c r="W670" s="13" t="str"/>
      <x:c r="X670" s="13" t="str">
        <x:v>gilovich_heuristics_biases</x:v>
      </x:c>
      <x:c r="Y670" s="13" t="str">
        <x:v>https://www.cambridge.org/core/books/heuristics-and-biases/3C30D3B05D2F190C3B8BE5E2531EFD24</x:v>
      </x:c>
      <x:c r="Z670" s="13" t="str">
        <x:v>Review before enabling. This workbook is a living taxonomy scaffold, not a validated scientific benchmark.</x:v>
      </x:c>
      <x:c r="AA670" s="13" t="str">
        <x:v>0.1.0-draft</x:v>
      </x:c>
      <x:c r="AB670" s="12" t="str">
        <x:f>IF(ISNUMBER(SEARCH("healthy",F670)),"healthy_reasoning_patterns",IF(ISNUMBER(SEARCH("statistical",F670)),"statistical_reasoning",IF(ISNUMBER(SEARCH("causal",F670)),"causal_reasoning",IF(ISNUMBER(SEARCH("social",F670)),"social_influence",IF(ISNUMBER(SEARCH("rhetoric",F670)),"rhetoric_discourse",IF(ISNUMBER(SEARCH("behavior",F670)),"behavioural_economics",IF(ISNUMBER(SEARCH("cognitive",F670)),"cognitive_biases",IF(J670="protective_pattern","healthy_reasoning_patterns",IF(L670="P0","core_mvp","extended_fallacies")))))))))</x:f>
        <x:v>social_influence</x:v>
      </x:c>
      <x:c r="AC670" s="12" t="str">
        <x:f>IF(ISNUMBER(SEARCH("operational",J670)),"operational",IF(ISNUMBER(SEARCH("deprecated",J670)),"deprecated",IF(L670="P0","canonical","recognized_subtype")))</x:f>
        <x:v>operational</x:v>
      </x:c>
      <x:c r="AD670" s="12" t="str">
        <x:f>IF(AC670="canonical","high",IF(AC670="recognized_subtype","medium",IF(AC670="operational","operational_only","debated")))</x:f>
        <x:v>operational_only</x:v>
      </x:c>
      <x:c r="AE670" s="12" t="str">
        <x:f>IF(AC670="deprecated","deprecated",IF(M670="yes","active",IF(M670="review","review_required","backlog")))</x:f>
        <x:v>backlog</x:v>
      </x:c>
      <x:c r="AF670" s="12" t="str">
        <x:f>IF(OR(AE670="active",AE670="review_required"),"yes","no")</x:f>
        <x:v>no</x:v>
      </x:c>
      <x:c r="AG670" s="12" t="str">
        <x:f>IF(AND(AE670="active",M670="yes",NOT(ISNUMBER(SEARCH("healthy",AB670)))),"yes","no")</x:f>
        <x:v>no</x:v>
      </x:c>
      <x:c r="AH670" s="12" t="str">
        <x:f>IF(OR(H670="contextual",H670="dialogue",H670="discourse",I670="claim+context",I670="discourse_segment"),"yes","no")</x:f>
        <x:v>yes</x:v>
      </x:c>
      <x:c r="AI670" s="12" t="str">
        <x:f>IF(OR(AH670="yes",AD670="debated",AC670="operational"),"yes","no")</x:f>
        <x:v>yes</x:v>
      </x:c>
      <x:c r="AJ670" s="12" t="str">
        <x:f>IF(OR(AH670="yes",AC670="operational",AD670="debated"),"high",IF(AND(AG670="yes",L670="P0"),"medium","low"))</x:f>
        <x:v>high</x:v>
      </x:c>
      <x:c r="AK670" s="12" t="str">
        <x:f>IF(ISNUMBER(SEARCH("healthy",AB670)),"yes","no")</x:f>
        <x:v>no</x:v>
      </x:c>
      <x:c r="AL670" s="12" t="str">
        <x:f>IF(AG670="yes","yes","candidate_only")</x:f>
        <x:v>candidate_only</x:v>
      </x:c>
      <x:c r="AM670" s="12" t="str">
        <x:f>IF(OR(AC670="canonical",AG670="yes"),"yes","recommended")</x:f>
        <x:v>recommended</x:v>
      </x:c>
      <x:c r="AN670" s="12" t="str">
        <x:f>IF(AC670="deprecated","exclude",IF(AND(AG670="yes",AJ670="high"),"import_but_human_review_required",IF(AG670="yes","import_as_active","import_as_backlog")))</x:f>
        <x:v>import_as_backlog</x:v>
      </x:c>
      <x:c r="AO670" s="12" t="str">
        <x:f>IF(AND(AG670="yes",OR(P670="",Q670="",R670="",S670="")),"missing_required_mvp_fields",IF(AND(AC670="canonical",Y670=""),"missing_source_ref","ok"))</x:f>
        <x:v>ok</x:v>
      </x:c>
      <x:c r="AP670" s="12" t="str">
        <x:f>IF(AO670="ok","ready_for_codex_import","needs_review")</x:f>
        <x:v>ready_for_codex_import</x:v>
      </x:c>
      <x:c r="AQ670" s="12"/>
      <x:c r="AR670" s="12" t="str">
        <x:v>Added v2 operational fields. Review before classification activation.</x:v>
      </x:c>
    </x:row>
    <x:row r="671">
      <x:c r="A671" s="13" t="str">
        <x:v>information_cascade_canonical</x:v>
      </x:c>
      <x:c r="B671" s="13" t="str">
        <x:v>information_cascade</x:v>
      </x:c>
      <x:c r="C671" s="13" t="str">
        <x:v>Information cascade</x:v>
      </x:c>
      <x:c r="D671" s="13" t="str">
        <x:v>آبشار اطلاعاتی</x:v>
      </x:c>
      <x:c r="E671" s="13" t="str">
        <x:v>Canonical form</x:v>
      </x:c>
      <x:c r="F671" s="13" t="str">
        <x:v>social_influence_patterns</x:v>
      </x:c>
      <x:c r="G671" s="13" t="str">
        <x:v>canonical</x:v>
      </x:c>
      <x:c r="H671" s="13" t="str">
        <x:v>discourse</x:v>
      </x:c>
      <x:c r="I671" s="13" t="str">
        <x:v>discourse_segment</x:v>
      </x:c>
      <x:c r="J671" s="13" t="str">
        <x:v>derived_operational_subtype</x:v>
      </x:c>
      <x:c r="K671" s="13" t="str">
        <x:v>derived_from_established_parent_review_required</x:v>
      </x:c>
      <x:c r="L671" s="13" t="str">
        <x:v>P2</x:v>
      </x:c>
      <x:c r="M671" s="13" t="str">
        <x:v>no</x:v>
      </x:c>
      <x:c r="N671" s="13" t="str">
        <x:v>Operational subtype under Information cascade: social cues are treated as evidence or pressure. Parent definition: Following earlier choices because they appear informative.</x:v>
      </x:c>
      <x:c r="O671" s="13" t="str">
        <x:v>Look for: explicit claim-level evidence; parent-family cues for Information cascade; variant cue: social cues are treated as evidence or pressure; avoid author-level inference.</x:v>
      </x:c>
      <x:c r="P671" s="13" t="str">
        <x:v>Exact evidence span in text plus claim-level reasoning link; for contextual/discourse entries, require surrounding context.</x:v>
      </x:c>
      <x:c r="Q671" s="13" t="str">
        <x:v>Do not label merely because topic is controversial, emotional, or wrong. Do not judge intent or personality. Require textual evidence and consider healthy-reasoning cues.</x:v>
      </x:c>
      <x:c r="R671" s="13" t="str">
        <x:v>Stub: A claim relies on social cues are treated as evidence or pressure to support a conclusion without adequate qualification.</x:v>
      </x:c>
      <x:c r="S671" s="13" t="str">
        <x:v>Stub: A claim discusses information cascade with caveats, balanced evidence, or no argumentative use of the pattern.</x:v>
      </x:c>
      <x:c r="T671" s="13" t="str">
        <x:v>Mild or ambiguous cue; do not classify without clear evidence span.</x:v>
      </x:c>
      <x:c r="U671" s="13" t="str">
        <x:v>Clear claim-level pattern with some argumentative impact.</x:v>
      </x:c>
      <x:c r="V671" s="13" t="str">
        <x:v>Strong pattern central to the conclusion and likely to materially distort reasoning.</x:v>
      </x:c>
      <x:c r="W671" s="13" t="str"/>
      <x:c r="X671" s="13" t="str">
        <x:v>cialdini_influence</x:v>
      </x:c>
      <x:c r="Y671" s="13" t="str">
        <x:v>https://www.pearson.com/en-us/subject-catalog/p/influence-science-and-practice/P200000003004</x:v>
      </x:c>
      <x:c r="Z671" s="13" t="str">
        <x:v>Review before enabling. This workbook is a living taxonomy scaffold, not a validated scientific benchmark.</x:v>
      </x:c>
      <x:c r="AA671" s="13" t="str">
        <x:v>0.1.0-draft</x:v>
      </x:c>
      <x:c r="AB671" s="12" t="str">
        <x:f>IF(ISNUMBER(SEARCH("healthy",F671)),"healthy_reasoning_patterns",IF(ISNUMBER(SEARCH("statistical",F671)),"statistical_reasoning",IF(ISNUMBER(SEARCH("causal",F671)),"causal_reasoning",IF(ISNUMBER(SEARCH("social",F671)),"social_influence",IF(ISNUMBER(SEARCH("rhetoric",F671)),"rhetoric_discourse",IF(ISNUMBER(SEARCH("behavior",F671)),"behavioural_economics",IF(ISNUMBER(SEARCH("cognitive",F671)),"cognitive_biases",IF(J671="protective_pattern","healthy_reasoning_patterns",IF(L671="P0","core_mvp","extended_fallacies")))))))))</x:f>
        <x:v>social_influence</x:v>
      </x:c>
      <x:c r="AC671" s="12" t="str">
        <x:f>IF(ISNUMBER(SEARCH("operational",J671)),"operational",IF(ISNUMBER(SEARCH("deprecated",J671)),"deprecated",IF(L671="P0","canonical","recognized_subtype")))</x:f>
        <x:v>operational</x:v>
      </x:c>
      <x:c r="AD671" s="12" t="str">
        <x:f>IF(AC671="canonical","high",IF(AC671="recognized_subtype","medium",IF(AC671="operational","operational_only","debated")))</x:f>
        <x:v>operational_only</x:v>
      </x:c>
      <x:c r="AE671" s="12" t="str">
        <x:f>IF(AC671="deprecated","deprecated",IF(M671="yes","active",IF(M671="review","review_required","backlog")))</x:f>
        <x:v>backlog</x:v>
      </x:c>
      <x:c r="AF671" s="12" t="str">
        <x:f>IF(OR(AE671="active",AE671="review_required"),"yes","no")</x:f>
        <x:v>no</x:v>
      </x:c>
      <x:c r="AG671" s="12" t="str">
        <x:f>IF(AND(AE671="active",M671="yes",NOT(ISNUMBER(SEARCH("healthy",AB671)))),"yes","no")</x:f>
        <x:v>no</x:v>
      </x:c>
      <x:c r="AH671" s="12" t="str">
        <x:f>IF(OR(H671="contextual",H671="dialogue",H671="discourse",I671="claim+context",I671="discourse_segment"),"yes","no")</x:f>
        <x:v>yes</x:v>
      </x:c>
      <x:c r="AI671" s="12" t="str">
        <x:f>IF(OR(AH671="yes",AD671="debated",AC671="operational"),"yes","no")</x:f>
        <x:v>yes</x:v>
      </x:c>
      <x:c r="AJ671" s="12" t="str">
        <x:f>IF(OR(AH671="yes",AC671="operational",AD671="debated"),"high",IF(AND(AG671="yes",L671="P0"),"medium","low"))</x:f>
        <x:v>high</x:v>
      </x:c>
      <x:c r="AK671" s="12" t="str">
        <x:f>IF(ISNUMBER(SEARCH("healthy",AB671)),"yes","no")</x:f>
        <x:v>no</x:v>
      </x:c>
      <x:c r="AL671" s="12" t="str">
        <x:f>IF(AG671="yes","yes","candidate_only")</x:f>
        <x:v>candidate_only</x:v>
      </x:c>
      <x:c r="AM671" s="12" t="str">
        <x:f>IF(OR(AC671="canonical",AG671="yes"),"yes","recommended")</x:f>
        <x:v>recommended</x:v>
      </x:c>
      <x:c r="AN671" s="12" t="str">
        <x:f>IF(AC671="deprecated","exclude",IF(AND(AG671="yes",AJ671="high"),"import_but_human_review_required",IF(AG671="yes","import_as_active","import_as_backlog")))</x:f>
        <x:v>import_as_backlog</x:v>
      </x:c>
      <x:c r="AO671" s="12" t="str">
        <x:f>IF(AND(AG671="yes",OR(P671="",Q671="",R671="",S671="")),"missing_required_mvp_fields",IF(AND(AC671="canonical",Y671=""),"missing_source_ref","ok"))</x:f>
        <x:v>ok</x:v>
      </x:c>
      <x:c r="AP671" s="12" t="str">
        <x:f>IF(AO671="ok","ready_for_codex_import","needs_review")</x:f>
        <x:v>ready_for_codex_import</x:v>
      </x:c>
      <x:c r="AQ671" s="12"/>
      <x:c r="AR671" s="12" t="str">
        <x:v>Added v2 operational fields. Review before classification activation.</x:v>
      </x:c>
    </x:row>
    <x:row r="672">
      <x:c r="A672" s="13" t="str">
        <x:v>reputational_cascade_canonical</x:v>
      </x:c>
      <x:c r="B672" s="13" t="str">
        <x:v>reputational_cascade</x:v>
      </x:c>
      <x:c r="C672" s="13" t="str">
        <x:v>Reputational cascade</x:v>
      </x:c>
      <x:c r="D672" s="13" t="str">
        <x:v>آبشار حیثیتی</x:v>
      </x:c>
      <x:c r="E672" s="13" t="str">
        <x:v>Canonical form</x:v>
      </x:c>
      <x:c r="F672" s="13" t="str">
        <x:v>social_influence_patterns</x:v>
      </x:c>
      <x:c r="G672" s="13" t="str">
        <x:v>canonical</x:v>
      </x:c>
      <x:c r="H672" s="13" t="str">
        <x:v>discourse</x:v>
      </x:c>
      <x:c r="I672" s="13" t="str">
        <x:v>discourse_segment</x:v>
      </x:c>
      <x:c r="J672" s="13" t="str">
        <x:v>derived_operational_subtype</x:v>
      </x:c>
      <x:c r="K672" s="13" t="str">
        <x:v>derived_from_established_parent_review_required</x:v>
      </x:c>
      <x:c r="L672" s="13" t="str">
        <x:v>P2</x:v>
      </x:c>
      <x:c r="M672" s="13" t="str">
        <x:v>no</x:v>
      </x:c>
      <x:c r="N672" s="13" t="str">
        <x:v>Operational subtype under Reputational cascade: social cues are treated as evidence or pressure. Parent definition: Publicly endorsing a view to protect reputation despite private doubts.</x:v>
      </x:c>
      <x:c r="O672" s="13" t="str">
        <x:v>Look for: explicit claim-level evidence; parent-family cues for Reputational cascade; variant cue: social cues are treated as evidence or pressure; avoid author-level inference.</x:v>
      </x:c>
      <x:c r="P672" s="13" t="str">
        <x:v>Exact evidence span in text plus claim-level reasoning link; for contextual/discourse entries, require surrounding context.</x:v>
      </x:c>
      <x:c r="Q672" s="13" t="str">
        <x:v>Do not label merely because topic is controversial, emotional, or wrong. Do not judge intent or personality. Require textual evidence and consider healthy-reasoning cues.</x:v>
      </x:c>
      <x:c r="R672" s="13" t="str">
        <x:v>Stub: A claim relies on social cues are treated as evidence or pressure to support a conclusion without adequate qualification.</x:v>
      </x:c>
      <x:c r="S672" s="13" t="str">
        <x:v>Stub: A claim discusses reputational cascade with caveats, balanced evidence, or no argumentative use of the pattern.</x:v>
      </x:c>
      <x:c r="T672" s="13" t="str">
        <x:v>Mild or ambiguous cue; do not classify without clear evidence span.</x:v>
      </x:c>
      <x:c r="U672" s="13" t="str">
        <x:v>Clear claim-level pattern with some argumentative impact.</x:v>
      </x:c>
      <x:c r="V672" s="13" t="str">
        <x:v>Strong pattern central to the conclusion and likely to materially distort reasoning.</x:v>
      </x:c>
      <x:c r="W672" s="13" t="str"/>
      <x:c r="X672" s="13" t="str">
        <x:v>cialdini_influence</x:v>
      </x:c>
      <x:c r="Y672" s="13" t="str">
        <x:v>https://www.pearson.com/en-us/subject-catalog/p/influence-science-and-practice/P200000003004</x:v>
      </x:c>
      <x:c r="Z672" s="13" t="str">
        <x:v>Review before enabling. This workbook is a living taxonomy scaffold, not a validated scientific benchmark.</x:v>
      </x:c>
      <x:c r="AA672" s="13" t="str">
        <x:v>0.1.0-draft</x:v>
      </x:c>
      <x:c r="AB672" s="12" t="str">
        <x:f>IF(ISNUMBER(SEARCH("healthy",F672)),"healthy_reasoning_patterns",IF(ISNUMBER(SEARCH("statistical",F672)),"statistical_reasoning",IF(ISNUMBER(SEARCH("causal",F672)),"causal_reasoning",IF(ISNUMBER(SEARCH("social",F672)),"social_influence",IF(ISNUMBER(SEARCH("rhetoric",F672)),"rhetoric_discourse",IF(ISNUMBER(SEARCH("behavior",F672)),"behavioural_economics",IF(ISNUMBER(SEARCH("cognitive",F672)),"cognitive_biases",IF(J672="protective_pattern","healthy_reasoning_patterns",IF(L672="P0","core_mvp","extended_fallacies")))))))))</x:f>
        <x:v>social_influence</x:v>
      </x:c>
      <x:c r="AC672" s="12" t="str">
        <x:f>IF(ISNUMBER(SEARCH("operational",J672)),"operational",IF(ISNUMBER(SEARCH("deprecated",J672)),"deprecated",IF(L672="P0","canonical","recognized_subtype")))</x:f>
        <x:v>operational</x:v>
      </x:c>
      <x:c r="AD672" s="12" t="str">
        <x:f>IF(AC672="canonical","high",IF(AC672="recognized_subtype","medium",IF(AC672="operational","operational_only","debated")))</x:f>
        <x:v>operational_only</x:v>
      </x:c>
      <x:c r="AE672" s="12" t="str">
        <x:f>IF(AC672="deprecated","deprecated",IF(M672="yes","active",IF(M672="review","review_required","backlog")))</x:f>
        <x:v>backlog</x:v>
      </x:c>
      <x:c r="AF672" s="12" t="str">
        <x:f>IF(OR(AE672="active",AE672="review_required"),"yes","no")</x:f>
        <x:v>no</x:v>
      </x:c>
      <x:c r="AG672" s="12" t="str">
        <x:f>IF(AND(AE672="active",M672="yes",NOT(ISNUMBER(SEARCH("healthy",AB672)))),"yes","no")</x:f>
        <x:v>no</x:v>
      </x:c>
      <x:c r="AH672" s="12" t="str">
        <x:f>IF(OR(H672="contextual",H672="dialogue",H672="discourse",I672="claim+context",I672="discourse_segment"),"yes","no")</x:f>
        <x:v>yes</x:v>
      </x:c>
      <x:c r="AI672" s="12" t="str">
        <x:f>IF(OR(AH672="yes",AD672="debated",AC672="operational"),"yes","no")</x:f>
        <x:v>yes</x:v>
      </x:c>
      <x:c r="AJ672" s="12" t="str">
        <x:f>IF(OR(AH672="yes",AC672="operational",AD672="debated"),"high",IF(AND(AG672="yes",L672="P0"),"medium","low"))</x:f>
        <x:v>high</x:v>
      </x:c>
      <x:c r="AK672" s="12" t="str">
        <x:f>IF(ISNUMBER(SEARCH("healthy",AB672)),"yes","no")</x:f>
        <x:v>no</x:v>
      </x:c>
      <x:c r="AL672" s="12" t="str">
        <x:f>IF(AG672="yes","yes","candidate_only")</x:f>
        <x:v>candidate_only</x:v>
      </x:c>
      <x:c r="AM672" s="12" t="str">
        <x:f>IF(OR(AC672="canonical",AG672="yes"),"yes","recommended")</x:f>
        <x:v>recommended</x:v>
      </x:c>
      <x:c r="AN672" s="12" t="str">
        <x:f>IF(AC672="deprecated","exclude",IF(AND(AG672="yes",AJ672="high"),"import_but_human_review_required",IF(AG672="yes","import_as_active","import_as_backlog")))</x:f>
        <x:v>import_as_backlog</x:v>
      </x:c>
      <x:c r="AO672" s="12" t="str">
        <x:f>IF(AND(AG672="yes",OR(P672="",Q672="",R672="",S672="")),"missing_required_mvp_fields",IF(AND(AC672="canonical",Y672=""),"missing_source_ref","ok"))</x:f>
        <x:v>ok</x:v>
      </x:c>
      <x:c r="AP672" s="12" t="str">
        <x:f>IF(AO672="ok","ready_for_codex_import","needs_review")</x:f>
        <x:v>ready_for_codex_import</x:v>
      </x:c>
      <x:c r="AQ672" s="12"/>
      <x:c r="AR672" s="12" t="str">
        <x:v>Added v2 operational fields. Review before classification activation.</x:v>
      </x:c>
    </x:row>
    <x:row r="673">
      <x:c r="A673" s="13" t="str">
        <x:v>ingroup_bias_canonical</x:v>
      </x:c>
      <x:c r="B673" s="13" t="str">
        <x:v>ingroup_bias</x:v>
      </x:c>
      <x:c r="C673" s="13" t="str">
        <x:v>In-group bias</x:v>
      </x:c>
      <x:c r="D673" s="13" t="str">
        <x:v>سوگیری درون‌گروهی</x:v>
      </x:c>
      <x:c r="E673" s="13" t="str">
        <x:v>Canonical form</x:v>
      </x:c>
      <x:c r="F673" s="13" t="str">
        <x:v>social_influence_patterns</x:v>
      </x:c>
      <x:c r="G673" s="13" t="str">
        <x:v>canonical</x:v>
      </x:c>
      <x:c r="H673" s="13" t="str">
        <x:v>contextual</x:v>
      </x:c>
      <x:c r="I673" s="13" t="str">
        <x:v>claim+context</x:v>
      </x:c>
      <x:c r="J673" s="13" t="str">
        <x:v>derived_operational_subtype</x:v>
      </x:c>
      <x:c r="K673" s="13" t="str">
        <x:v>derived_from_established_parent_review_required</x:v>
      </x:c>
      <x:c r="L673" s="13" t="str">
        <x:v>P2</x:v>
      </x:c>
      <x:c r="M673" s="13" t="str">
        <x:v>no</x:v>
      </x:c>
      <x:c r="N673" s="13" t="str">
        <x:v>Operational subtype under In-group bias: social cues are treated as evidence or pressure. Parent definition: Favoring claims or people associated with one's own group.</x:v>
      </x:c>
      <x:c r="O673" s="13" t="str">
        <x:v>Look for: explicit claim-level evidence; parent-family cues for In-group bias; variant cue: social cues are treated as evidence or pressure; avoid author-level inference.</x:v>
      </x:c>
      <x:c r="P673" s="13" t="str">
        <x:v>Exact evidence span in text plus claim-level reasoning link; for contextual/discourse entries, require surrounding context.</x:v>
      </x:c>
      <x:c r="Q673" s="13" t="str">
        <x:v>Do not label merely because topic is controversial, emotional, or wrong. Do not judge intent or personality. Require textual evidence and consider healthy-reasoning cues.</x:v>
      </x:c>
      <x:c r="R673" s="13" t="str">
        <x:v>Stub: A claim relies on social cues are treated as evidence or pressure to support a conclusion without adequate qualification.</x:v>
      </x:c>
      <x:c r="S673" s="13" t="str">
        <x:v>Stub: A claim discusses in-group bias with caveats, balanced evidence, or no argumentative use of the pattern.</x:v>
      </x:c>
      <x:c r="T673" s="13" t="str">
        <x:v>Mild or ambiguous cue; do not classify without clear evidence span.</x:v>
      </x:c>
      <x:c r="U673" s="13" t="str">
        <x:v>Clear claim-level pattern with some argumentative impact.</x:v>
      </x:c>
      <x:c r="V673" s="13" t="str">
        <x:v>Strong pattern central to the conclusion and likely to materially distort reasoning.</x:v>
      </x:c>
      <x:c r="W673" s="13" t="str"/>
      <x:c r="X673" s="13" t="str">
        <x:v>gilovich_heuristics_biases</x:v>
      </x:c>
      <x:c r="Y673" s="13" t="str">
        <x:v>https://www.cambridge.org/core/books/heuristics-and-biases/3C30D3B05D2F190C3B8BE5E2531EFD24</x:v>
      </x:c>
      <x:c r="Z673" s="13" t="str">
        <x:v>Review before enabling. This workbook is a living taxonomy scaffold, not a validated scientific benchmark.</x:v>
      </x:c>
      <x:c r="AA673" s="13" t="str">
        <x:v>0.1.0-draft</x:v>
      </x:c>
      <x:c r="AB673" s="12" t="str">
        <x:f>IF(ISNUMBER(SEARCH("healthy",F673)),"healthy_reasoning_patterns",IF(ISNUMBER(SEARCH("statistical",F673)),"statistical_reasoning",IF(ISNUMBER(SEARCH("causal",F673)),"causal_reasoning",IF(ISNUMBER(SEARCH("social",F673)),"social_influence",IF(ISNUMBER(SEARCH("rhetoric",F673)),"rhetoric_discourse",IF(ISNUMBER(SEARCH("behavior",F673)),"behavioural_economics",IF(ISNUMBER(SEARCH("cognitive",F673)),"cognitive_biases",IF(J673="protective_pattern","healthy_reasoning_patterns",IF(L673="P0","core_mvp","extended_fallacies")))))))))</x:f>
        <x:v>social_influence</x:v>
      </x:c>
      <x:c r="AC673" s="12" t="str">
        <x:f>IF(ISNUMBER(SEARCH("operational",J673)),"operational",IF(ISNUMBER(SEARCH("deprecated",J673)),"deprecated",IF(L673="P0","canonical","recognized_subtype")))</x:f>
        <x:v>operational</x:v>
      </x:c>
      <x:c r="AD673" s="12" t="str">
        <x:f>IF(AC673="canonical","high",IF(AC673="recognized_subtype","medium",IF(AC673="operational","operational_only","debated")))</x:f>
        <x:v>operational_only</x:v>
      </x:c>
      <x:c r="AE673" s="12" t="str">
        <x:f>IF(AC673="deprecated","deprecated",IF(M673="yes","active",IF(M673="review","review_required","backlog")))</x:f>
        <x:v>backlog</x:v>
      </x:c>
      <x:c r="AF673" s="12" t="str">
        <x:f>IF(OR(AE673="active",AE673="review_required"),"yes","no")</x:f>
        <x:v>no</x:v>
      </x:c>
      <x:c r="AG673" s="12" t="str">
        <x:f>IF(AND(AE673="active",M673="yes",NOT(ISNUMBER(SEARCH("healthy",AB673)))),"yes","no")</x:f>
        <x:v>no</x:v>
      </x:c>
      <x:c r="AH673" s="12" t="str">
        <x:f>IF(OR(H673="contextual",H673="dialogue",H673="discourse",I673="claim+context",I673="discourse_segment"),"yes","no")</x:f>
        <x:v>yes</x:v>
      </x:c>
      <x:c r="AI673" s="12" t="str">
        <x:f>IF(OR(AH673="yes",AD673="debated",AC673="operational"),"yes","no")</x:f>
        <x:v>yes</x:v>
      </x:c>
      <x:c r="AJ673" s="12" t="str">
        <x:f>IF(OR(AH673="yes",AC673="operational",AD673="debated"),"high",IF(AND(AG673="yes",L673="P0"),"medium","low"))</x:f>
        <x:v>high</x:v>
      </x:c>
      <x:c r="AK673" s="12" t="str">
        <x:f>IF(ISNUMBER(SEARCH("healthy",AB673)),"yes","no")</x:f>
        <x:v>no</x:v>
      </x:c>
      <x:c r="AL673" s="12" t="str">
        <x:f>IF(AG673="yes","yes","candidate_only")</x:f>
        <x:v>candidate_only</x:v>
      </x:c>
      <x:c r="AM673" s="12" t="str">
        <x:f>IF(OR(AC673="canonical",AG673="yes"),"yes","recommended")</x:f>
        <x:v>recommended</x:v>
      </x:c>
      <x:c r="AN673" s="12" t="str">
        <x:f>IF(AC673="deprecated","exclude",IF(AND(AG673="yes",AJ673="high"),"import_but_human_review_required",IF(AG673="yes","import_as_active","import_as_backlog")))</x:f>
        <x:v>import_as_backlog</x:v>
      </x:c>
      <x:c r="AO673" s="12" t="str">
        <x:f>IF(AND(AG673="yes",OR(P673="",Q673="",R673="",S673="")),"missing_required_mvp_fields",IF(AND(AC673="canonical",Y673=""),"missing_source_ref","ok"))</x:f>
        <x:v>ok</x:v>
      </x:c>
      <x:c r="AP673" s="12" t="str">
        <x:f>IF(AO673="ok","ready_for_codex_import","needs_review")</x:f>
        <x:v>ready_for_codex_import</x:v>
      </x:c>
      <x:c r="AQ673" s="12"/>
      <x:c r="AR673" s="12" t="str">
        <x:v>Added v2 operational fields. Review before classification activation.</x:v>
      </x:c>
    </x:row>
    <x:row r="674">
      <x:c r="A674" s="13" t="str">
        <x:v>outgroup_homogeneity_canonical</x:v>
      </x:c>
      <x:c r="B674" s="13" t="str">
        <x:v>outgroup_homogeneity</x:v>
      </x:c>
      <x:c r="C674" s="13" t="str">
        <x:v>Out-group homogeneity bias</x:v>
      </x:c>
      <x:c r="D674" s="13" t="str">
        <x:v>یکسان‌انگاری برون‌گروه</x:v>
      </x:c>
      <x:c r="E674" s="13" t="str">
        <x:v>Canonical form</x:v>
      </x:c>
      <x:c r="F674" s="13" t="str">
        <x:v>social_influence_patterns</x:v>
      </x:c>
      <x:c r="G674" s="13" t="str">
        <x:v>canonical</x:v>
      </x:c>
      <x:c r="H674" s="13" t="str">
        <x:v>contextual</x:v>
      </x:c>
      <x:c r="I674" s="13" t="str">
        <x:v>claim+context</x:v>
      </x:c>
      <x:c r="J674" s="13" t="str">
        <x:v>derived_operational_subtype</x:v>
      </x:c>
      <x:c r="K674" s="13" t="str">
        <x:v>derived_from_established_parent_review_required</x:v>
      </x:c>
      <x:c r="L674" s="13" t="str">
        <x:v>P2</x:v>
      </x:c>
      <x:c r="M674" s="13" t="str">
        <x:v>no</x:v>
      </x:c>
      <x:c r="N674" s="13" t="str">
        <x:v>Operational subtype under Out-group homogeneity bias: social cues are treated as evidence or pressure. Parent definition: Perceiving out-group members as more similar than they are.</x:v>
      </x:c>
      <x:c r="O674" s="13" t="str">
        <x:v>Look for: explicit claim-level evidence; parent-family cues for Out-group homogeneity bias; variant cue: social cues are treated as evidence or pressure; avoid author-level inference.</x:v>
      </x:c>
      <x:c r="P674" s="13" t="str">
        <x:v>Exact evidence span in text plus claim-level reasoning link; for contextual/discourse entries, require surrounding context.</x:v>
      </x:c>
      <x:c r="Q674" s="13" t="str">
        <x:v>Do not label merely because topic is controversial, emotional, or wrong. Do not judge intent or personality. Require textual evidence and consider healthy-reasoning cues.</x:v>
      </x:c>
      <x:c r="R674" s="13" t="str">
        <x:v>Stub: A claim relies on social cues are treated as evidence or pressure to support a conclusion without adequate qualification.</x:v>
      </x:c>
      <x:c r="S674" s="13" t="str">
        <x:v>Stub: A claim discusses out-group homogeneity bias with caveats, balanced evidence, or no argumentative use of the pattern.</x:v>
      </x:c>
      <x:c r="T674" s="13" t="str">
        <x:v>Mild or ambiguous cue; do not classify without clear evidence span.</x:v>
      </x:c>
      <x:c r="U674" s="13" t="str">
        <x:v>Clear claim-level pattern with some argumentative impact.</x:v>
      </x:c>
      <x:c r="V674" s="13" t="str">
        <x:v>Strong pattern central to the conclusion and likely to materially distort reasoning.</x:v>
      </x:c>
      <x:c r="W674" s="13" t="str"/>
      <x:c r="X674" s="13" t="str">
        <x:v>gilovich_heuristics_biases</x:v>
      </x:c>
      <x:c r="Y674" s="13" t="str">
        <x:v>https://www.cambridge.org/core/books/heuristics-and-biases/3C30D3B05D2F190C3B8BE5E2531EFD24</x:v>
      </x:c>
      <x:c r="Z674" s="13" t="str">
        <x:v>Review before enabling. This workbook is a living taxonomy scaffold, not a validated scientific benchmark.</x:v>
      </x:c>
      <x:c r="AA674" s="13" t="str">
        <x:v>0.1.0-draft</x:v>
      </x:c>
      <x:c r="AB674" s="12" t="str">
        <x:f>IF(ISNUMBER(SEARCH("healthy",F674)),"healthy_reasoning_patterns",IF(ISNUMBER(SEARCH("statistical",F674)),"statistical_reasoning",IF(ISNUMBER(SEARCH("causal",F674)),"causal_reasoning",IF(ISNUMBER(SEARCH("social",F674)),"social_influence",IF(ISNUMBER(SEARCH("rhetoric",F674)),"rhetoric_discourse",IF(ISNUMBER(SEARCH("behavior",F674)),"behavioural_economics",IF(ISNUMBER(SEARCH("cognitive",F674)),"cognitive_biases",IF(J674="protective_pattern","healthy_reasoning_patterns",IF(L674="P0","core_mvp","extended_fallacies")))))))))</x:f>
        <x:v>social_influence</x:v>
      </x:c>
      <x:c r="AC674" s="12" t="str">
        <x:f>IF(ISNUMBER(SEARCH("operational",J674)),"operational",IF(ISNUMBER(SEARCH("deprecated",J674)),"deprecated",IF(L674="P0","canonical","recognized_subtype")))</x:f>
        <x:v>operational</x:v>
      </x:c>
      <x:c r="AD674" s="12" t="str">
        <x:f>IF(AC674="canonical","high",IF(AC674="recognized_subtype","medium",IF(AC674="operational","operational_only","debated")))</x:f>
        <x:v>operational_only</x:v>
      </x:c>
      <x:c r="AE674" s="12" t="str">
        <x:f>IF(AC674="deprecated","deprecated",IF(M674="yes","active",IF(M674="review","review_required","backlog")))</x:f>
        <x:v>backlog</x:v>
      </x:c>
      <x:c r="AF674" s="12" t="str">
        <x:f>IF(OR(AE674="active",AE674="review_required"),"yes","no")</x:f>
        <x:v>no</x:v>
      </x:c>
      <x:c r="AG674" s="12" t="str">
        <x:f>IF(AND(AE674="active",M674="yes",NOT(ISNUMBER(SEARCH("healthy",AB674)))),"yes","no")</x:f>
        <x:v>no</x:v>
      </x:c>
      <x:c r="AH674" s="12" t="str">
        <x:f>IF(OR(H674="contextual",H674="dialogue",H674="discourse",I674="claim+context",I674="discourse_segment"),"yes","no")</x:f>
        <x:v>yes</x:v>
      </x:c>
      <x:c r="AI674" s="12" t="str">
        <x:f>IF(OR(AH674="yes",AD674="debated",AC674="operational"),"yes","no")</x:f>
        <x:v>yes</x:v>
      </x:c>
      <x:c r="AJ674" s="12" t="str">
        <x:f>IF(OR(AH674="yes",AC674="operational",AD674="debated"),"high",IF(AND(AG674="yes",L674="P0"),"medium","low"))</x:f>
        <x:v>high</x:v>
      </x:c>
      <x:c r="AK674" s="12" t="str">
        <x:f>IF(ISNUMBER(SEARCH("healthy",AB674)),"yes","no")</x:f>
        <x:v>no</x:v>
      </x:c>
      <x:c r="AL674" s="12" t="str">
        <x:f>IF(AG674="yes","yes","candidate_only")</x:f>
        <x:v>candidate_only</x:v>
      </x:c>
      <x:c r="AM674" s="12" t="str">
        <x:f>IF(OR(AC674="canonical",AG674="yes"),"yes","recommended")</x:f>
        <x:v>recommended</x:v>
      </x:c>
      <x:c r="AN674" s="12" t="str">
        <x:f>IF(AC674="deprecated","exclude",IF(AND(AG674="yes",AJ674="high"),"import_but_human_review_required",IF(AG674="yes","import_as_active","import_as_backlog")))</x:f>
        <x:v>import_as_backlog</x:v>
      </x:c>
      <x:c r="AO674" s="12" t="str">
        <x:f>IF(AND(AG674="yes",OR(P674="",Q674="",R674="",S674="")),"missing_required_mvp_fields",IF(AND(AC674="canonical",Y674=""),"missing_source_ref","ok"))</x:f>
        <x:v>ok</x:v>
      </x:c>
      <x:c r="AP674" s="12" t="str">
        <x:f>IF(AO674="ok","ready_for_codex_import","needs_review")</x:f>
        <x:v>ready_for_codex_import</x:v>
      </x:c>
      <x:c r="AQ674" s="12"/>
      <x:c r="AR674" s="12" t="str">
        <x:v>Added v2 operational fields. Review before classification activation.</x:v>
      </x:c>
    </x:row>
    <x:row r="675">
      <x:c r="A675" s="13" t="str">
        <x:v>identity_protective_cognition_canonical</x:v>
      </x:c>
      <x:c r="B675" s="13" t="str">
        <x:v>identity_protective_cognition</x:v>
      </x:c>
      <x:c r="C675" s="13" t="str">
        <x:v>Identity-protective cognition</x:v>
      </x:c>
      <x:c r="D675" s="13" t="str">
        <x:v>شناخت محافظ هویت</x:v>
      </x:c>
      <x:c r="E675" s="13" t="str">
        <x:v>Canonical form</x:v>
      </x:c>
      <x:c r="F675" s="13" t="str">
        <x:v>social_influence_patterns</x:v>
      </x:c>
      <x:c r="G675" s="13" t="str">
        <x:v>canonical</x:v>
      </x:c>
      <x:c r="H675" s="13" t="str">
        <x:v>contextual</x:v>
      </x:c>
      <x:c r="I675" s="13" t="str">
        <x:v>claim+context</x:v>
      </x:c>
      <x:c r="J675" s="13" t="str">
        <x:v>derived_operational_subtype</x:v>
      </x:c>
      <x:c r="K675" s="13" t="str">
        <x:v>derived_from_established_parent_review_required</x:v>
      </x:c>
      <x:c r="L675" s="13" t="str">
        <x:v>P2</x:v>
      </x:c>
      <x:c r="M675" s="13" t="str">
        <x:v>no</x:v>
      </x:c>
      <x:c r="N675" s="13" t="str">
        <x:v>Operational subtype under Identity-protective cognition: social cues are treated as evidence or pressure. Parent definition: Processing information to protect group identity or status.</x:v>
      </x:c>
      <x:c r="O675" s="13" t="str">
        <x:v>Look for: explicit claim-level evidence; parent-family cues for Identity-protective cognition; variant cue: social cues are treated as evidence or pressure; avoid author-level inference.</x:v>
      </x:c>
      <x:c r="P675" s="13" t="str">
        <x:v>Exact evidence span in text plus claim-level reasoning link; for contextual/discourse entries, require surrounding context.</x:v>
      </x:c>
      <x:c r="Q675" s="13" t="str">
        <x:v>Do not label merely because topic is controversial, emotional, or wrong. Do not judge intent or personality. Require textual evidence and consider healthy-reasoning cues.</x:v>
      </x:c>
      <x:c r="R675" s="13" t="str">
        <x:v>Stub: A claim relies on social cues are treated as evidence or pressure to support a conclusion without adequate qualification.</x:v>
      </x:c>
      <x:c r="S675" s="13" t="str">
        <x:v>Stub: A claim discusses identity-protective cognition with caveats, balanced evidence, or no argumentative use of the pattern.</x:v>
      </x:c>
      <x:c r="T675" s="13" t="str">
        <x:v>Mild or ambiguous cue; do not classify without clear evidence span.</x:v>
      </x:c>
      <x:c r="U675" s="13" t="str">
        <x:v>Clear claim-level pattern with some argumentative impact.</x:v>
      </x:c>
      <x:c r="V675" s="13" t="str">
        <x:v>Strong pattern central to the conclusion and likely to materially distort reasoning.</x:v>
      </x:c>
      <x:c r="W675" s="13" t="str"/>
      <x:c r="X675" s="13" t="str">
        <x:v>stanovich_dual_process</x:v>
      </x:c>
      <x:c r="Y675" s="13" t="str">
        <x:v>https://global.oup.com/academic/product/rationality-and-the-reflective-mind-9780195341140</x:v>
      </x:c>
      <x:c r="Z675" s="13" t="str">
        <x:v>Review before enabling. This workbook is a living taxonomy scaffold, not a validated scientific benchmark.</x:v>
      </x:c>
      <x:c r="AA675" s="13" t="str">
        <x:v>0.1.0-draft</x:v>
      </x:c>
      <x:c r="AB675" s="12" t="str">
        <x:f>IF(ISNUMBER(SEARCH("healthy",F675)),"healthy_reasoning_patterns",IF(ISNUMBER(SEARCH("statistical",F675)),"statistical_reasoning",IF(ISNUMBER(SEARCH("causal",F675)),"causal_reasoning",IF(ISNUMBER(SEARCH("social",F675)),"social_influence",IF(ISNUMBER(SEARCH("rhetoric",F675)),"rhetoric_discourse",IF(ISNUMBER(SEARCH("behavior",F675)),"behavioural_economics",IF(ISNUMBER(SEARCH("cognitive",F675)),"cognitive_biases",IF(J675="protective_pattern","healthy_reasoning_patterns",IF(L675="P0","core_mvp","extended_fallacies")))))))))</x:f>
        <x:v>social_influence</x:v>
      </x:c>
      <x:c r="AC675" s="12" t="str">
        <x:f>IF(ISNUMBER(SEARCH("operational",J675)),"operational",IF(ISNUMBER(SEARCH("deprecated",J675)),"deprecated",IF(L675="P0","canonical","recognized_subtype")))</x:f>
        <x:v>operational</x:v>
      </x:c>
      <x:c r="AD675" s="12" t="str">
        <x:f>IF(AC675="canonical","high",IF(AC675="recognized_subtype","medium",IF(AC675="operational","operational_only","debated")))</x:f>
        <x:v>operational_only</x:v>
      </x:c>
      <x:c r="AE675" s="12" t="str">
        <x:f>IF(AC675="deprecated","deprecated",IF(M675="yes","active",IF(M675="review","review_required","backlog")))</x:f>
        <x:v>backlog</x:v>
      </x:c>
      <x:c r="AF675" s="12" t="str">
        <x:f>IF(OR(AE675="active",AE675="review_required"),"yes","no")</x:f>
        <x:v>no</x:v>
      </x:c>
      <x:c r="AG675" s="12" t="str">
        <x:f>IF(AND(AE675="active",M675="yes",NOT(ISNUMBER(SEARCH("healthy",AB675)))),"yes","no")</x:f>
        <x:v>no</x:v>
      </x:c>
      <x:c r="AH675" s="12" t="str">
        <x:f>IF(OR(H675="contextual",H675="dialogue",H675="discourse",I675="claim+context",I675="discourse_segment"),"yes","no")</x:f>
        <x:v>yes</x:v>
      </x:c>
      <x:c r="AI675" s="12" t="str">
        <x:f>IF(OR(AH675="yes",AD675="debated",AC675="operational"),"yes","no")</x:f>
        <x:v>yes</x:v>
      </x:c>
      <x:c r="AJ675" s="12" t="str">
        <x:f>IF(OR(AH675="yes",AC675="operational",AD675="debated"),"high",IF(AND(AG675="yes",L675="P0"),"medium","low"))</x:f>
        <x:v>high</x:v>
      </x:c>
      <x:c r="AK675" s="12" t="str">
        <x:f>IF(ISNUMBER(SEARCH("healthy",AB675)),"yes","no")</x:f>
        <x:v>no</x:v>
      </x:c>
      <x:c r="AL675" s="12" t="str">
        <x:f>IF(AG675="yes","yes","candidate_only")</x:f>
        <x:v>candidate_only</x:v>
      </x:c>
      <x:c r="AM675" s="12" t="str">
        <x:f>IF(OR(AC675="canonical",AG675="yes"),"yes","recommended")</x:f>
        <x:v>recommended</x:v>
      </x:c>
      <x:c r="AN675" s="12" t="str">
        <x:f>IF(AC675="deprecated","exclude",IF(AND(AG675="yes",AJ675="high"),"import_but_human_review_required",IF(AG675="yes","import_as_active","import_as_backlog")))</x:f>
        <x:v>import_as_backlog</x:v>
      </x:c>
      <x:c r="AO675" s="12" t="str">
        <x:f>IF(AND(AG675="yes",OR(P675="",Q675="",R675="",S675="")),"missing_required_mvp_fields",IF(AND(AC675="canonical",Y675=""),"missing_source_ref","ok"))</x:f>
        <x:v>ok</x:v>
      </x:c>
      <x:c r="AP675" s="12" t="str">
        <x:f>IF(AO675="ok","ready_for_codex_import","needs_review")</x:f>
        <x:v>ready_for_codex_import</x:v>
      </x:c>
      <x:c r="AQ675" s="12"/>
      <x:c r="AR675" s="12" t="str">
        <x:v>Added v2 operational fields. Review before classification activation.</x:v>
      </x:c>
    </x:row>
    <x:row r="676">
      <x:c r="A676" s="13" t="str">
        <x:v>normative_social_influence_canonical</x:v>
      </x:c>
      <x:c r="B676" s="13" t="str">
        <x:v>normative_social_influence</x:v>
      </x:c>
      <x:c r="C676" s="13" t="str">
        <x:v>Normative social influence</x:v>
      </x:c>
      <x:c r="D676" s="13" t="str">
        <x:v>تأثیر هنجاری اجتماعی</x:v>
      </x:c>
      <x:c r="E676" s="13" t="str">
        <x:v>Canonical form</x:v>
      </x:c>
      <x:c r="F676" s="13" t="str">
        <x:v>social_influence_patterns</x:v>
      </x:c>
      <x:c r="G676" s="13" t="str">
        <x:v>canonical</x:v>
      </x:c>
      <x:c r="H676" s="13" t="str">
        <x:v>discourse</x:v>
      </x:c>
      <x:c r="I676" s="13" t="str">
        <x:v>discourse_segment</x:v>
      </x:c>
      <x:c r="J676" s="13" t="str">
        <x:v>derived_operational_subtype</x:v>
      </x:c>
      <x:c r="K676" s="13" t="str">
        <x:v>derived_from_established_parent_review_required</x:v>
      </x:c>
      <x:c r="L676" s="13" t="str">
        <x:v>P2</x:v>
      </x:c>
      <x:c r="M676" s="13" t="str">
        <x:v>no</x:v>
      </x:c>
      <x:c r="N676" s="13" t="str">
        <x:v>Operational subtype under Normative social influence: social cues are treated as evidence or pressure. Parent definition: Conforming to gain approval or avoid disapproval.</x:v>
      </x:c>
      <x:c r="O676" s="13" t="str">
        <x:v>Look for: explicit claim-level evidence; parent-family cues for Normative social influence; variant cue: social cues are treated as evidence or pressure; avoid author-level inference.</x:v>
      </x:c>
      <x:c r="P676" s="13" t="str">
        <x:v>Exact evidence span in text plus claim-level reasoning link; for contextual/discourse entries, require surrounding context.</x:v>
      </x:c>
      <x:c r="Q676" s="13" t="str">
        <x:v>Do not label merely because topic is controversial, emotional, or wrong. Do not judge intent or personality. Require textual evidence and consider healthy-reasoning cues.</x:v>
      </x:c>
      <x:c r="R676" s="13" t="str">
        <x:v>Stub: A claim relies on social cues are treated as evidence or pressure to support a conclusion without adequate qualification.</x:v>
      </x:c>
      <x:c r="S676" s="13" t="str">
        <x:v>Stub: A claim discusses normative social influence with caveats, balanced evidence, or no argumentative use of the pattern.</x:v>
      </x:c>
      <x:c r="T676" s="13" t="str">
        <x:v>Mild or ambiguous cue; do not classify without clear evidence span.</x:v>
      </x:c>
      <x:c r="U676" s="13" t="str">
        <x:v>Clear claim-level pattern with some argumentative impact.</x:v>
      </x:c>
      <x:c r="V676" s="13" t="str">
        <x:v>Strong pattern central to the conclusion and likely to materially distort reasoning.</x:v>
      </x:c>
      <x:c r="W676" s="13" t="str"/>
      <x:c r="X676" s="13" t="str">
        <x:v>cialdini_influence</x:v>
      </x:c>
      <x:c r="Y676" s="13" t="str">
        <x:v>https://www.pearson.com/en-us/subject-catalog/p/influence-science-and-practice/P200000003004</x:v>
      </x:c>
      <x:c r="Z676" s="13" t="str">
        <x:v>Review before enabling. This workbook is a living taxonomy scaffold, not a validated scientific benchmark.</x:v>
      </x:c>
      <x:c r="AA676" s="13" t="str">
        <x:v>0.1.0-draft</x:v>
      </x:c>
      <x:c r="AB676" s="12" t="str">
        <x:f>IF(ISNUMBER(SEARCH("healthy",F676)),"healthy_reasoning_patterns",IF(ISNUMBER(SEARCH("statistical",F676)),"statistical_reasoning",IF(ISNUMBER(SEARCH("causal",F676)),"causal_reasoning",IF(ISNUMBER(SEARCH("social",F676)),"social_influence",IF(ISNUMBER(SEARCH("rhetoric",F676)),"rhetoric_discourse",IF(ISNUMBER(SEARCH("behavior",F676)),"behavioural_economics",IF(ISNUMBER(SEARCH("cognitive",F676)),"cognitive_biases",IF(J676="protective_pattern","healthy_reasoning_patterns",IF(L676="P0","core_mvp","extended_fallacies")))))))))</x:f>
        <x:v>social_influence</x:v>
      </x:c>
      <x:c r="AC676" s="12" t="str">
        <x:f>IF(ISNUMBER(SEARCH("operational",J676)),"operational",IF(ISNUMBER(SEARCH("deprecated",J676)),"deprecated",IF(L676="P0","canonical","recognized_subtype")))</x:f>
        <x:v>operational</x:v>
      </x:c>
      <x:c r="AD676" s="12" t="str">
        <x:f>IF(AC676="canonical","high",IF(AC676="recognized_subtype","medium",IF(AC676="operational","operational_only","debated")))</x:f>
        <x:v>operational_only</x:v>
      </x:c>
      <x:c r="AE676" s="12" t="str">
        <x:f>IF(AC676="deprecated","deprecated",IF(M676="yes","active",IF(M676="review","review_required","backlog")))</x:f>
        <x:v>backlog</x:v>
      </x:c>
      <x:c r="AF676" s="12" t="str">
        <x:f>IF(OR(AE676="active",AE676="review_required"),"yes","no")</x:f>
        <x:v>no</x:v>
      </x:c>
      <x:c r="AG676" s="12" t="str">
        <x:f>IF(AND(AE676="active",M676="yes",NOT(ISNUMBER(SEARCH("healthy",AB676)))),"yes","no")</x:f>
        <x:v>no</x:v>
      </x:c>
      <x:c r="AH676" s="12" t="str">
        <x:f>IF(OR(H676="contextual",H676="dialogue",H676="discourse",I676="claim+context",I676="discourse_segment"),"yes","no")</x:f>
        <x:v>yes</x:v>
      </x:c>
      <x:c r="AI676" s="12" t="str">
        <x:f>IF(OR(AH676="yes",AD676="debated",AC676="operational"),"yes","no")</x:f>
        <x:v>yes</x:v>
      </x:c>
      <x:c r="AJ676" s="12" t="str">
        <x:f>IF(OR(AH676="yes",AC676="operational",AD676="debated"),"high",IF(AND(AG676="yes",L676="P0"),"medium","low"))</x:f>
        <x:v>high</x:v>
      </x:c>
      <x:c r="AK676" s="12" t="str">
        <x:f>IF(ISNUMBER(SEARCH("healthy",AB676)),"yes","no")</x:f>
        <x:v>no</x:v>
      </x:c>
      <x:c r="AL676" s="12" t="str">
        <x:f>IF(AG676="yes","yes","candidate_only")</x:f>
        <x:v>candidate_only</x:v>
      </x:c>
      <x:c r="AM676" s="12" t="str">
        <x:f>IF(OR(AC676="canonical",AG676="yes"),"yes","recommended")</x:f>
        <x:v>recommended</x:v>
      </x:c>
      <x:c r="AN676" s="12" t="str">
        <x:f>IF(AC676="deprecated","exclude",IF(AND(AG676="yes",AJ676="high"),"import_but_human_review_required",IF(AG676="yes","import_as_active","import_as_backlog")))</x:f>
        <x:v>import_as_backlog</x:v>
      </x:c>
      <x:c r="AO676" s="12" t="str">
        <x:f>IF(AND(AG676="yes",OR(P676="",Q676="",R676="",S676="")),"missing_required_mvp_fields",IF(AND(AC676="canonical",Y676=""),"missing_source_ref","ok"))</x:f>
        <x:v>ok</x:v>
      </x:c>
      <x:c r="AP676" s="12" t="str">
        <x:f>IF(AO676="ok","ready_for_codex_import","needs_review")</x:f>
        <x:v>ready_for_codex_import</x:v>
      </x:c>
      <x:c r="AQ676" s="12"/>
      <x:c r="AR676" s="12" t="str">
        <x:v>Added v2 operational fields. Review before classification activation.</x:v>
      </x:c>
    </x:row>
    <x:row r="677">
      <x:c r="A677" s="13" t="str">
        <x:v>informational_social_influence_canonical</x:v>
      </x:c>
      <x:c r="B677" s="13" t="str">
        <x:v>informational_social_influence</x:v>
      </x:c>
      <x:c r="C677" s="13" t="str">
        <x:v>Informational social influence</x:v>
      </x:c>
      <x:c r="D677" s="13" t="str">
        <x:v>تأثیر اطلاعاتی اجتماعی</x:v>
      </x:c>
      <x:c r="E677" s="13" t="str">
        <x:v>Canonical form</x:v>
      </x:c>
      <x:c r="F677" s="13" t="str">
        <x:v>social_influence_patterns</x:v>
      </x:c>
      <x:c r="G677" s="13" t="str">
        <x:v>canonical</x:v>
      </x:c>
      <x:c r="H677" s="13" t="str">
        <x:v>discourse</x:v>
      </x:c>
      <x:c r="I677" s="13" t="str">
        <x:v>discourse_segment</x:v>
      </x:c>
      <x:c r="J677" s="13" t="str">
        <x:v>derived_operational_subtype</x:v>
      </x:c>
      <x:c r="K677" s="13" t="str">
        <x:v>derived_from_established_parent_review_required</x:v>
      </x:c>
      <x:c r="L677" s="13" t="str">
        <x:v>P2</x:v>
      </x:c>
      <x:c r="M677" s="13" t="str">
        <x:v>no</x:v>
      </x:c>
      <x:c r="N677" s="13" t="str">
        <x:v>Operational subtype under Informational social influence: social cues are treated as evidence or pressure. Parent definition: Treating others' behavior as information under uncertainty.</x:v>
      </x:c>
      <x:c r="O677" s="13" t="str">
        <x:v>Look for: explicit claim-level evidence; parent-family cues for Informational social influence; variant cue: social cues are treated as evidence or pressure; avoid author-level inference.</x:v>
      </x:c>
      <x:c r="P677" s="13" t="str">
        <x:v>Exact evidence span in text plus claim-level reasoning link; for contextual/discourse entries, require surrounding context.</x:v>
      </x:c>
      <x:c r="Q677" s="13" t="str">
        <x:v>Do not label merely because topic is controversial, emotional, or wrong. Do not judge intent or personality. Require textual evidence and consider healthy-reasoning cues.</x:v>
      </x:c>
      <x:c r="R677" s="13" t="str">
        <x:v>Stub: A claim relies on social cues are treated as evidence or pressure to support a conclusion without adequate qualification.</x:v>
      </x:c>
      <x:c r="S677" s="13" t="str">
        <x:v>Stub: A claim discusses informational social influence with caveats, balanced evidence, or no argumentative use of the pattern.</x:v>
      </x:c>
      <x:c r="T677" s="13" t="str">
        <x:v>Mild or ambiguous cue; do not classify without clear evidence span.</x:v>
      </x:c>
      <x:c r="U677" s="13" t="str">
        <x:v>Clear claim-level pattern with some argumentative impact.</x:v>
      </x:c>
      <x:c r="V677" s="13" t="str">
        <x:v>Strong pattern central to the conclusion and likely to materially distort reasoning.</x:v>
      </x:c>
      <x:c r="W677" s="13" t="str"/>
      <x:c r="X677" s="13" t="str">
        <x:v>cialdini_influence</x:v>
      </x:c>
      <x:c r="Y677" s="13" t="str">
        <x:v>https://www.pearson.com/en-us/subject-catalog/p/influence-science-and-practice/P200000003004</x:v>
      </x:c>
      <x:c r="Z677" s="13" t="str">
        <x:v>Review before enabling. This workbook is a living taxonomy scaffold, not a validated scientific benchmark.</x:v>
      </x:c>
      <x:c r="AA677" s="13" t="str">
        <x:v>0.1.0-draft</x:v>
      </x:c>
      <x:c r="AB677" s="12" t="str">
        <x:f>IF(ISNUMBER(SEARCH("healthy",F677)),"healthy_reasoning_patterns",IF(ISNUMBER(SEARCH("statistical",F677)),"statistical_reasoning",IF(ISNUMBER(SEARCH("causal",F677)),"causal_reasoning",IF(ISNUMBER(SEARCH("social",F677)),"social_influence",IF(ISNUMBER(SEARCH("rhetoric",F677)),"rhetoric_discourse",IF(ISNUMBER(SEARCH("behavior",F677)),"behavioural_economics",IF(ISNUMBER(SEARCH("cognitive",F677)),"cognitive_biases",IF(J677="protective_pattern","healthy_reasoning_patterns",IF(L677="P0","core_mvp","extended_fallacies")))))))))</x:f>
        <x:v>social_influence</x:v>
      </x:c>
      <x:c r="AC677" s="12" t="str">
        <x:f>IF(ISNUMBER(SEARCH("operational",J677)),"operational",IF(ISNUMBER(SEARCH("deprecated",J677)),"deprecated",IF(L677="P0","canonical","recognized_subtype")))</x:f>
        <x:v>operational</x:v>
      </x:c>
      <x:c r="AD677" s="12" t="str">
        <x:f>IF(AC677="canonical","high",IF(AC677="recognized_subtype","medium",IF(AC677="operational","operational_only","debated")))</x:f>
        <x:v>operational_only</x:v>
      </x:c>
      <x:c r="AE677" s="12" t="str">
        <x:f>IF(AC677="deprecated","deprecated",IF(M677="yes","active",IF(M677="review","review_required","backlog")))</x:f>
        <x:v>backlog</x:v>
      </x:c>
      <x:c r="AF677" s="12" t="str">
        <x:f>IF(OR(AE677="active",AE677="review_required"),"yes","no")</x:f>
        <x:v>no</x:v>
      </x:c>
      <x:c r="AG677" s="12" t="str">
        <x:f>IF(AND(AE677="active",M677="yes",NOT(ISNUMBER(SEARCH("healthy",AB677)))),"yes","no")</x:f>
        <x:v>no</x:v>
      </x:c>
      <x:c r="AH677" s="12" t="str">
        <x:f>IF(OR(H677="contextual",H677="dialogue",H677="discourse",I677="claim+context",I677="discourse_segment"),"yes","no")</x:f>
        <x:v>yes</x:v>
      </x:c>
      <x:c r="AI677" s="12" t="str">
        <x:f>IF(OR(AH677="yes",AD677="debated",AC677="operational"),"yes","no")</x:f>
        <x:v>yes</x:v>
      </x:c>
      <x:c r="AJ677" s="12" t="str">
        <x:f>IF(OR(AH677="yes",AC677="operational",AD677="debated"),"high",IF(AND(AG677="yes",L677="P0"),"medium","low"))</x:f>
        <x:v>high</x:v>
      </x:c>
      <x:c r="AK677" s="12" t="str">
        <x:f>IF(ISNUMBER(SEARCH("healthy",AB677)),"yes","no")</x:f>
        <x:v>no</x:v>
      </x:c>
      <x:c r="AL677" s="12" t="str">
        <x:f>IF(AG677="yes","yes","candidate_only")</x:f>
        <x:v>candidate_only</x:v>
      </x:c>
      <x:c r="AM677" s="12" t="str">
        <x:f>IF(OR(AC677="canonical",AG677="yes"),"yes","recommended")</x:f>
        <x:v>recommended</x:v>
      </x:c>
      <x:c r="AN677" s="12" t="str">
        <x:f>IF(AC677="deprecated","exclude",IF(AND(AG677="yes",AJ677="high"),"import_but_human_review_required",IF(AG677="yes","import_as_active","import_as_backlog")))</x:f>
        <x:v>import_as_backlog</x:v>
      </x:c>
      <x:c r="AO677" s="12" t="str">
        <x:f>IF(AND(AG677="yes",OR(P677="",Q677="",R677="",S677="")),"missing_required_mvp_fields",IF(AND(AC677="canonical",Y677=""),"missing_source_ref","ok"))</x:f>
        <x:v>ok</x:v>
      </x:c>
      <x:c r="AP677" s="12" t="str">
        <x:f>IF(AO677="ok","ready_for_codex_import","needs_review")</x:f>
        <x:v>ready_for_codex_import</x:v>
      </x:c>
      <x:c r="AQ677" s="12"/>
      <x:c r="AR677" s="12" t="str">
        <x:v>Added v2 operational fields. Review before classification activation.</x:v>
      </x:c>
    </x:row>
    <x:row r="678">
      <x:c r="A678" s="13" t="str">
        <x:v>reciprocity_pressure_canonical</x:v>
      </x:c>
      <x:c r="B678" s="13" t="str">
        <x:v>reciprocity_pressure</x:v>
      </x:c>
      <x:c r="C678" s="13" t="str">
        <x:v>Reciprocity pressure</x:v>
      </x:c>
      <x:c r="D678" s="13" t="str">
        <x:v>فشار جبران متقابل</x:v>
      </x:c>
      <x:c r="E678" s="13" t="str">
        <x:v>Canonical form</x:v>
      </x:c>
      <x:c r="F678" s="13" t="str">
        <x:v>social_influence_patterns</x:v>
      </x:c>
      <x:c r="G678" s="13" t="str">
        <x:v>canonical</x:v>
      </x:c>
      <x:c r="H678" s="13" t="str">
        <x:v>discourse</x:v>
      </x:c>
      <x:c r="I678" s="13" t="str">
        <x:v>discourse_segment</x:v>
      </x:c>
      <x:c r="J678" s="13" t="str">
        <x:v>derived_operational_subtype</x:v>
      </x:c>
      <x:c r="K678" s="13" t="str">
        <x:v>derived_from_established_parent_review_required</x:v>
      </x:c>
      <x:c r="L678" s="13" t="str">
        <x:v>P2</x:v>
      </x:c>
      <x:c r="M678" s="13" t="str">
        <x:v>no</x:v>
      </x:c>
      <x:c r="N678" s="13" t="str">
        <x:v>Operational subtype under Reciprocity pressure: social cues are treated as evidence or pressure. Parent definition: Feeling obliged to comply because of a prior favor.</x:v>
      </x:c>
      <x:c r="O678" s="13" t="str">
        <x:v>Look for: explicit claim-level evidence; parent-family cues for Reciprocity pressure; variant cue: social cues are treated as evidence or pressure; avoid author-level inference.</x:v>
      </x:c>
      <x:c r="P678" s="13" t="str">
        <x:v>Exact evidence span in text plus claim-level reasoning link; for contextual/discourse entries, require surrounding context.</x:v>
      </x:c>
      <x:c r="Q678" s="13" t="str">
        <x:v>Do not label merely because topic is controversial, emotional, or wrong. Do not judge intent or personality. Require textual evidence and consider healthy-reasoning cues.</x:v>
      </x:c>
      <x:c r="R678" s="13" t="str">
        <x:v>Stub: A claim relies on social cues are treated as evidence or pressure to support a conclusion without adequate qualification.</x:v>
      </x:c>
      <x:c r="S678" s="13" t="str">
        <x:v>Stub: A claim discusses reciprocity pressure with caveats, balanced evidence, or no argumentative use of the pattern.</x:v>
      </x:c>
      <x:c r="T678" s="13" t="str">
        <x:v>Mild or ambiguous cue; do not classify without clear evidence span.</x:v>
      </x:c>
      <x:c r="U678" s="13" t="str">
        <x:v>Clear claim-level pattern with some argumentative impact.</x:v>
      </x:c>
      <x:c r="V678" s="13" t="str">
        <x:v>Strong pattern central to the conclusion and likely to materially distort reasoning.</x:v>
      </x:c>
      <x:c r="W678" s="13" t="str"/>
      <x:c r="X678" s="13" t="str">
        <x:v>cialdini_influence</x:v>
      </x:c>
      <x:c r="Y678" s="13" t="str">
        <x:v>https://www.pearson.com/en-us/subject-catalog/p/influence-science-and-practice/P200000003004</x:v>
      </x:c>
      <x:c r="Z678" s="13" t="str">
        <x:v>Review before enabling. This workbook is a living taxonomy scaffold, not a validated scientific benchmark.</x:v>
      </x:c>
      <x:c r="AA678" s="13" t="str">
        <x:v>0.1.0-draft</x:v>
      </x:c>
      <x:c r="AB678" s="12" t="str">
        <x:f>IF(ISNUMBER(SEARCH("healthy",F678)),"healthy_reasoning_patterns",IF(ISNUMBER(SEARCH("statistical",F678)),"statistical_reasoning",IF(ISNUMBER(SEARCH("causal",F678)),"causal_reasoning",IF(ISNUMBER(SEARCH("social",F678)),"social_influence",IF(ISNUMBER(SEARCH("rhetoric",F678)),"rhetoric_discourse",IF(ISNUMBER(SEARCH("behavior",F678)),"behavioural_economics",IF(ISNUMBER(SEARCH("cognitive",F678)),"cognitive_biases",IF(J678="protective_pattern","healthy_reasoning_patterns",IF(L678="P0","core_mvp","extended_fallacies")))))))))</x:f>
        <x:v>social_influence</x:v>
      </x:c>
      <x:c r="AC678" s="12" t="str">
        <x:f>IF(ISNUMBER(SEARCH("operational",J678)),"operational",IF(ISNUMBER(SEARCH("deprecated",J678)),"deprecated",IF(L678="P0","canonical","recognized_subtype")))</x:f>
        <x:v>operational</x:v>
      </x:c>
      <x:c r="AD678" s="12" t="str">
        <x:f>IF(AC678="canonical","high",IF(AC678="recognized_subtype","medium",IF(AC678="operational","operational_only","debated")))</x:f>
        <x:v>operational_only</x:v>
      </x:c>
      <x:c r="AE678" s="12" t="str">
        <x:f>IF(AC678="deprecated","deprecated",IF(M678="yes","active",IF(M678="review","review_required","backlog")))</x:f>
        <x:v>backlog</x:v>
      </x:c>
      <x:c r="AF678" s="12" t="str">
        <x:f>IF(OR(AE678="active",AE678="review_required"),"yes","no")</x:f>
        <x:v>no</x:v>
      </x:c>
      <x:c r="AG678" s="12" t="str">
        <x:f>IF(AND(AE678="active",M678="yes",NOT(ISNUMBER(SEARCH("healthy",AB678)))),"yes","no")</x:f>
        <x:v>no</x:v>
      </x:c>
      <x:c r="AH678" s="12" t="str">
        <x:f>IF(OR(H678="contextual",H678="dialogue",H678="discourse",I678="claim+context",I678="discourse_segment"),"yes","no")</x:f>
        <x:v>yes</x:v>
      </x:c>
      <x:c r="AI678" s="12" t="str">
        <x:f>IF(OR(AH678="yes",AD678="debated",AC678="operational"),"yes","no")</x:f>
        <x:v>yes</x:v>
      </x:c>
      <x:c r="AJ678" s="12" t="str">
        <x:f>IF(OR(AH678="yes",AC678="operational",AD678="debated"),"high",IF(AND(AG678="yes",L678="P0"),"medium","low"))</x:f>
        <x:v>high</x:v>
      </x:c>
      <x:c r="AK678" s="12" t="str">
        <x:f>IF(ISNUMBER(SEARCH("healthy",AB678)),"yes","no")</x:f>
        <x:v>no</x:v>
      </x:c>
      <x:c r="AL678" s="12" t="str">
        <x:f>IF(AG678="yes","yes","candidate_only")</x:f>
        <x:v>candidate_only</x:v>
      </x:c>
      <x:c r="AM678" s="12" t="str">
        <x:f>IF(OR(AC678="canonical",AG678="yes"),"yes","recommended")</x:f>
        <x:v>recommended</x:v>
      </x:c>
      <x:c r="AN678" s="12" t="str">
        <x:f>IF(AC678="deprecated","exclude",IF(AND(AG678="yes",AJ678="high"),"import_but_human_review_required",IF(AG678="yes","import_as_active","import_as_backlog")))</x:f>
        <x:v>import_as_backlog</x:v>
      </x:c>
      <x:c r="AO678" s="12" t="str">
        <x:f>IF(AND(AG678="yes",OR(P678="",Q678="",R678="",S678="")),"missing_required_mvp_fields",IF(AND(AC678="canonical",Y678=""),"missing_source_ref","ok"))</x:f>
        <x:v>ok</x:v>
      </x:c>
      <x:c r="AP678" s="12" t="str">
        <x:f>IF(AO678="ok","ready_for_codex_import","needs_review")</x:f>
        <x:v>ready_for_codex_import</x:v>
      </x:c>
      <x:c r="AQ678" s="12"/>
      <x:c r="AR678" s="12" t="str">
        <x:v>Added v2 operational fields. Review before classification activation.</x:v>
      </x:c>
    </x:row>
    <x:row r="679">
      <x:c r="A679" s="13" t="str">
        <x:v>commitment_consistency_pressure_canonical</x:v>
      </x:c>
      <x:c r="B679" s="13" t="str">
        <x:v>commitment_consistency_pressure</x:v>
      </x:c>
      <x:c r="C679" s="13" t="str">
        <x:v>Commitment-consistency pressure</x:v>
      </x:c>
      <x:c r="D679" s="13" t="str">
        <x:v>فشار ثبات تعهد</x:v>
      </x:c>
      <x:c r="E679" s="13" t="str">
        <x:v>Canonical form</x:v>
      </x:c>
      <x:c r="F679" s="13" t="str">
        <x:v>social_influence_patterns</x:v>
      </x:c>
      <x:c r="G679" s="13" t="str">
        <x:v>canonical</x:v>
      </x:c>
      <x:c r="H679" s="13" t="str">
        <x:v>discourse</x:v>
      </x:c>
      <x:c r="I679" s="13" t="str">
        <x:v>discourse_segment</x:v>
      </x:c>
      <x:c r="J679" s="13" t="str">
        <x:v>derived_operational_subtype</x:v>
      </x:c>
      <x:c r="K679" s="13" t="str">
        <x:v>derived_from_established_parent_review_required</x:v>
      </x:c>
      <x:c r="L679" s="13" t="str">
        <x:v>P2</x:v>
      </x:c>
      <x:c r="M679" s="13" t="str">
        <x:v>no</x:v>
      </x:c>
      <x:c r="N679" s="13" t="str">
        <x:v>Operational subtype under Commitment-consistency pressure: social cues are treated as evidence or pressure. Parent definition: Pressure to act consistently with a prior public commitment.</x:v>
      </x:c>
      <x:c r="O679" s="13" t="str">
        <x:v>Look for: explicit claim-level evidence; parent-family cues for Commitment-consistency pressure; variant cue: social cues are treated as evidence or pressure; avoid author-level inference.</x:v>
      </x:c>
      <x:c r="P679" s="13" t="str">
        <x:v>Exact evidence span in text plus claim-level reasoning link; for contextual/discourse entries, require surrounding context.</x:v>
      </x:c>
      <x:c r="Q679" s="13" t="str">
        <x:v>Do not label merely because topic is controversial, emotional, or wrong. Do not judge intent or personality. Require textual evidence and consider healthy-reasoning cues.</x:v>
      </x:c>
      <x:c r="R679" s="13" t="str">
        <x:v>Stub: A claim relies on social cues are treated as evidence or pressure to support a conclusion without adequate qualification.</x:v>
      </x:c>
      <x:c r="S679" s="13" t="str">
        <x:v>Stub: A claim discusses commitment-consistency pressure with caveats, balanced evidence, or no argumentative use of the pattern.</x:v>
      </x:c>
      <x:c r="T679" s="13" t="str">
        <x:v>Mild or ambiguous cue; do not classify without clear evidence span.</x:v>
      </x:c>
      <x:c r="U679" s="13" t="str">
        <x:v>Clear claim-level pattern with some argumentative impact.</x:v>
      </x:c>
      <x:c r="V679" s="13" t="str">
        <x:v>Strong pattern central to the conclusion and likely to materially distort reasoning.</x:v>
      </x:c>
      <x:c r="W679" s="13" t="str"/>
      <x:c r="X679" s="13" t="str">
        <x:v>cialdini_influence</x:v>
      </x:c>
      <x:c r="Y679" s="13" t="str">
        <x:v>https://www.pearson.com/en-us/subject-catalog/p/influence-science-and-practice/P200000003004</x:v>
      </x:c>
      <x:c r="Z679" s="13" t="str">
        <x:v>Review before enabling. This workbook is a living taxonomy scaffold, not a validated scientific benchmark.</x:v>
      </x:c>
      <x:c r="AA679" s="13" t="str">
        <x:v>0.1.0-draft</x:v>
      </x:c>
      <x:c r="AB679" s="12" t="str">
        <x:f>IF(ISNUMBER(SEARCH("healthy",F679)),"healthy_reasoning_patterns",IF(ISNUMBER(SEARCH("statistical",F679)),"statistical_reasoning",IF(ISNUMBER(SEARCH("causal",F679)),"causal_reasoning",IF(ISNUMBER(SEARCH("social",F679)),"social_influence",IF(ISNUMBER(SEARCH("rhetoric",F679)),"rhetoric_discourse",IF(ISNUMBER(SEARCH("behavior",F679)),"behavioural_economics",IF(ISNUMBER(SEARCH("cognitive",F679)),"cognitive_biases",IF(J679="protective_pattern","healthy_reasoning_patterns",IF(L679="P0","core_mvp","extended_fallacies")))))))))</x:f>
        <x:v>social_influence</x:v>
      </x:c>
      <x:c r="AC679" s="12" t="str">
        <x:f>IF(ISNUMBER(SEARCH("operational",J679)),"operational",IF(ISNUMBER(SEARCH("deprecated",J679)),"deprecated",IF(L679="P0","canonical","recognized_subtype")))</x:f>
        <x:v>operational</x:v>
      </x:c>
      <x:c r="AD679" s="12" t="str">
        <x:f>IF(AC679="canonical","high",IF(AC679="recognized_subtype","medium",IF(AC679="operational","operational_only","debated")))</x:f>
        <x:v>operational_only</x:v>
      </x:c>
      <x:c r="AE679" s="12" t="str">
        <x:f>IF(AC679="deprecated","deprecated",IF(M679="yes","active",IF(M679="review","review_required","backlog")))</x:f>
        <x:v>backlog</x:v>
      </x:c>
      <x:c r="AF679" s="12" t="str">
        <x:f>IF(OR(AE679="active",AE679="review_required"),"yes","no")</x:f>
        <x:v>no</x:v>
      </x:c>
      <x:c r="AG679" s="12" t="str">
        <x:f>IF(AND(AE679="active",M679="yes",NOT(ISNUMBER(SEARCH("healthy",AB679)))),"yes","no")</x:f>
        <x:v>no</x:v>
      </x:c>
      <x:c r="AH679" s="12" t="str">
        <x:f>IF(OR(H679="contextual",H679="dialogue",H679="discourse",I679="claim+context",I679="discourse_segment"),"yes","no")</x:f>
        <x:v>yes</x:v>
      </x:c>
      <x:c r="AI679" s="12" t="str">
        <x:f>IF(OR(AH679="yes",AD679="debated",AC679="operational"),"yes","no")</x:f>
        <x:v>yes</x:v>
      </x:c>
      <x:c r="AJ679" s="12" t="str">
        <x:f>IF(OR(AH679="yes",AC679="operational",AD679="debated"),"high",IF(AND(AG679="yes",L679="P0"),"medium","low"))</x:f>
        <x:v>high</x:v>
      </x:c>
      <x:c r="AK679" s="12" t="str">
        <x:f>IF(ISNUMBER(SEARCH("healthy",AB679)),"yes","no")</x:f>
        <x:v>no</x:v>
      </x:c>
      <x:c r="AL679" s="12" t="str">
        <x:f>IF(AG679="yes","yes","candidate_only")</x:f>
        <x:v>candidate_only</x:v>
      </x:c>
      <x:c r="AM679" s="12" t="str">
        <x:f>IF(OR(AC679="canonical",AG679="yes"),"yes","recommended")</x:f>
        <x:v>recommended</x:v>
      </x:c>
      <x:c r="AN679" s="12" t="str">
        <x:f>IF(AC679="deprecated","exclude",IF(AND(AG679="yes",AJ679="high"),"import_but_human_review_required",IF(AG679="yes","import_as_active","import_as_backlog")))</x:f>
        <x:v>import_as_backlog</x:v>
      </x:c>
      <x:c r="AO679" s="12" t="str">
        <x:f>IF(AND(AG679="yes",OR(P679="",Q679="",R679="",S679="")),"missing_required_mvp_fields",IF(AND(AC679="canonical",Y679=""),"missing_source_ref","ok"))</x:f>
        <x:v>ok</x:v>
      </x:c>
      <x:c r="AP679" s="12" t="str">
        <x:f>IF(AO679="ok","ready_for_codex_import","needs_review")</x:f>
        <x:v>ready_for_codex_import</x:v>
      </x:c>
      <x:c r="AQ679" s="12"/>
      <x:c r="AR679" s="12" t="str">
        <x:v>Added v2 operational fields. Review before classification activation.</x:v>
      </x:c>
    </x:row>
    <x:row r="680">
      <x:c r="A680" s="13" t="str">
        <x:v>liking_bias_canonical</x:v>
      </x:c>
      <x:c r="B680" s="13" t="str">
        <x:v>liking_bias</x:v>
      </x:c>
      <x:c r="C680" s="13" t="str">
        <x:v>Liking bias</x:v>
      </x:c>
      <x:c r="D680" s="13" t="str">
        <x:v>سوگیری علاقه‌مندی</x:v>
      </x:c>
      <x:c r="E680" s="13" t="str">
        <x:v>Canonical form</x:v>
      </x:c>
      <x:c r="F680" s="13" t="str">
        <x:v>social_influence_patterns</x:v>
      </x:c>
      <x:c r="G680" s="13" t="str">
        <x:v>canonical</x:v>
      </x:c>
      <x:c r="H680" s="13" t="str">
        <x:v>contextual</x:v>
      </x:c>
      <x:c r="I680" s="13" t="str">
        <x:v>claim+context</x:v>
      </x:c>
      <x:c r="J680" s="13" t="str">
        <x:v>derived_operational_subtype</x:v>
      </x:c>
      <x:c r="K680" s="13" t="str">
        <x:v>derived_from_established_parent_review_required</x:v>
      </x:c>
      <x:c r="L680" s="13" t="str">
        <x:v>P2</x:v>
      </x:c>
      <x:c r="M680" s="13" t="str">
        <x:v>no</x:v>
      </x:c>
      <x:c r="N680" s="13" t="str">
        <x:v>Operational subtype under Liking bias: social cues are treated as evidence or pressure. Parent definition: Accepting a claim more readily because the communicator is liked.</x:v>
      </x:c>
      <x:c r="O680" s="13" t="str">
        <x:v>Look for: explicit claim-level evidence; parent-family cues for Liking bias; variant cue: social cues are treated as evidence or pressure; avoid author-level inference.</x:v>
      </x:c>
      <x:c r="P680" s="13" t="str">
        <x:v>Exact evidence span in text plus claim-level reasoning link; for contextual/discourse entries, require surrounding context.</x:v>
      </x:c>
      <x:c r="Q680" s="13" t="str">
        <x:v>Do not label merely because topic is controversial, emotional, or wrong. Do not judge intent or personality. Require textual evidence and consider healthy-reasoning cues.</x:v>
      </x:c>
      <x:c r="R680" s="13" t="str">
        <x:v>Stub: A claim relies on social cues are treated as evidence or pressure to support a conclusion without adequate qualification.</x:v>
      </x:c>
      <x:c r="S680" s="13" t="str">
        <x:v>Stub: A claim discusses liking bias with caveats, balanced evidence, or no argumentative use of the pattern.</x:v>
      </x:c>
      <x:c r="T680" s="13" t="str">
        <x:v>Mild or ambiguous cue; do not classify without clear evidence span.</x:v>
      </x:c>
      <x:c r="U680" s="13" t="str">
        <x:v>Clear claim-level pattern with some argumentative impact.</x:v>
      </x:c>
      <x:c r="V680" s="13" t="str">
        <x:v>Strong pattern central to the conclusion and likely to materially distort reasoning.</x:v>
      </x:c>
      <x:c r="W680" s="13" t="str"/>
      <x:c r="X680" s="13" t="str">
        <x:v>cialdini_influence</x:v>
      </x:c>
      <x:c r="Y680" s="13" t="str">
        <x:v>https://www.pearson.com/en-us/subject-catalog/p/influence-science-and-practice/P200000003004</x:v>
      </x:c>
      <x:c r="Z680" s="13" t="str">
        <x:v>Review before enabling. This workbook is a living taxonomy scaffold, not a validated scientific benchmark.</x:v>
      </x:c>
      <x:c r="AA680" s="13" t="str">
        <x:v>0.1.0-draft</x:v>
      </x:c>
      <x:c r="AB680" s="12" t="str">
        <x:f>IF(ISNUMBER(SEARCH("healthy",F680)),"healthy_reasoning_patterns",IF(ISNUMBER(SEARCH("statistical",F680)),"statistical_reasoning",IF(ISNUMBER(SEARCH("causal",F680)),"causal_reasoning",IF(ISNUMBER(SEARCH("social",F680)),"social_influence",IF(ISNUMBER(SEARCH("rhetoric",F680)),"rhetoric_discourse",IF(ISNUMBER(SEARCH("behavior",F680)),"behavioural_economics",IF(ISNUMBER(SEARCH("cognitive",F680)),"cognitive_biases",IF(J680="protective_pattern","healthy_reasoning_patterns",IF(L680="P0","core_mvp","extended_fallacies")))))))))</x:f>
        <x:v>social_influence</x:v>
      </x:c>
      <x:c r="AC680" s="12" t="str">
        <x:f>IF(ISNUMBER(SEARCH("operational",J680)),"operational",IF(ISNUMBER(SEARCH("deprecated",J680)),"deprecated",IF(L680="P0","canonical","recognized_subtype")))</x:f>
        <x:v>operational</x:v>
      </x:c>
      <x:c r="AD680" s="12" t="str">
        <x:f>IF(AC680="canonical","high",IF(AC680="recognized_subtype","medium",IF(AC680="operational","operational_only","debated")))</x:f>
        <x:v>operational_only</x:v>
      </x:c>
      <x:c r="AE680" s="12" t="str">
        <x:f>IF(AC680="deprecated","deprecated",IF(M680="yes","active",IF(M680="review","review_required","backlog")))</x:f>
        <x:v>backlog</x:v>
      </x:c>
      <x:c r="AF680" s="12" t="str">
        <x:f>IF(OR(AE680="active",AE680="review_required"),"yes","no")</x:f>
        <x:v>no</x:v>
      </x:c>
      <x:c r="AG680" s="12" t="str">
        <x:f>IF(AND(AE680="active",M680="yes",NOT(ISNUMBER(SEARCH("healthy",AB680)))),"yes","no")</x:f>
        <x:v>no</x:v>
      </x:c>
      <x:c r="AH680" s="12" t="str">
        <x:f>IF(OR(H680="contextual",H680="dialogue",H680="discourse",I680="claim+context",I680="discourse_segment"),"yes","no")</x:f>
        <x:v>yes</x:v>
      </x:c>
      <x:c r="AI680" s="12" t="str">
        <x:f>IF(OR(AH680="yes",AD680="debated",AC680="operational"),"yes","no")</x:f>
        <x:v>yes</x:v>
      </x:c>
      <x:c r="AJ680" s="12" t="str">
        <x:f>IF(OR(AH680="yes",AC680="operational",AD680="debated"),"high",IF(AND(AG680="yes",L680="P0"),"medium","low"))</x:f>
        <x:v>high</x:v>
      </x:c>
      <x:c r="AK680" s="12" t="str">
        <x:f>IF(ISNUMBER(SEARCH("healthy",AB680)),"yes","no")</x:f>
        <x:v>no</x:v>
      </x:c>
      <x:c r="AL680" s="12" t="str">
        <x:f>IF(AG680="yes","yes","candidate_only")</x:f>
        <x:v>candidate_only</x:v>
      </x:c>
      <x:c r="AM680" s="12" t="str">
        <x:f>IF(OR(AC680="canonical",AG680="yes"),"yes","recommended")</x:f>
        <x:v>recommended</x:v>
      </x:c>
      <x:c r="AN680" s="12" t="str">
        <x:f>IF(AC680="deprecated","exclude",IF(AND(AG680="yes",AJ680="high"),"import_but_human_review_required",IF(AG680="yes","import_as_active","import_as_backlog")))</x:f>
        <x:v>import_as_backlog</x:v>
      </x:c>
      <x:c r="AO680" s="12" t="str">
        <x:f>IF(AND(AG680="yes",OR(P680="",Q680="",R680="",S680="")),"missing_required_mvp_fields",IF(AND(AC680="canonical",Y680=""),"missing_source_ref","ok"))</x:f>
        <x:v>ok</x:v>
      </x:c>
      <x:c r="AP680" s="12" t="str">
        <x:f>IF(AO680="ok","ready_for_codex_import","needs_review")</x:f>
        <x:v>ready_for_codex_import</x:v>
      </x:c>
      <x:c r="AQ680" s="12"/>
      <x:c r="AR680" s="12" t="str">
        <x:v>Added v2 operational fields. Review before classification activation.</x:v>
      </x:c>
    </x:row>
    <x:row r="681">
      <x:c r="A681" s="13" t="str">
        <x:v>halo_authority_blend_canonical</x:v>
      </x:c>
      <x:c r="B681" s="13" t="str">
        <x:v>halo_authority_blend</x:v>
      </x:c>
      <x:c r="C681" s="13" t="str">
        <x:v>Halo-authority blend</x:v>
      </x:c>
      <x:c r="D681" s="13" t="str">
        <x:v>ترکیب هاله و اقتدار</x:v>
      </x:c>
      <x:c r="E681" s="13" t="str">
        <x:v>Canonical form</x:v>
      </x:c>
      <x:c r="F681" s="13" t="str">
        <x:v>social_influence_patterns</x:v>
      </x:c>
      <x:c r="G681" s="13" t="str">
        <x:v>canonical</x:v>
      </x:c>
      <x:c r="H681" s="13" t="str">
        <x:v>contextual</x:v>
      </x:c>
      <x:c r="I681" s="13" t="str">
        <x:v>claim+context</x:v>
      </x:c>
      <x:c r="J681" s="13" t="str">
        <x:v>derived_operational_subtype</x:v>
      </x:c>
      <x:c r="K681" s="13" t="str">
        <x:v>derived_from_established_parent_review_required</x:v>
      </x:c>
      <x:c r="L681" s="13" t="str">
        <x:v>P2</x:v>
      </x:c>
      <x:c r="M681" s="13" t="str">
        <x:v>no</x:v>
      </x:c>
      <x:c r="N681" s="13" t="str">
        <x:v>Operational subtype under Halo-authority blend: social cues are treated as evidence or pressure. Parent definition: Positive global impressions amplify perceived authority.</x:v>
      </x:c>
      <x:c r="O681" s="13" t="str">
        <x:v>Look for: explicit claim-level evidence; parent-family cues for Halo-authority blend; variant cue: social cues are treated as evidence or pressure; avoid author-level inference.</x:v>
      </x:c>
      <x:c r="P681" s="13" t="str">
        <x:v>Exact evidence span in text plus claim-level reasoning link; for contextual/discourse entries, require surrounding context.</x:v>
      </x:c>
      <x:c r="Q681" s="13" t="str">
        <x:v>Do not label merely because topic is controversial, emotional, or wrong. Do not judge intent or personality. Require textual evidence and consider healthy-reasoning cues.</x:v>
      </x:c>
      <x:c r="R681" s="13" t="str">
        <x:v>Stub: A claim relies on social cues are treated as evidence or pressure to support a conclusion without adequate qualification.</x:v>
      </x:c>
      <x:c r="S681" s="13" t="str">
        <x:v>Stub: A claim discusses halo-authority blend with caveats, balanced evidence, or no argumentative use of the pattern.</x:v>
      </x:c>
      <x:c r="T681" s="13" t="str">
        <x:v>Mild or ambiguous cue; do not classify without clear evidence span.</x:v>
      </x:c>
      <x:c r="U681" s="13" t="str">
        <x:v>Clear claim-level pattern with some argumentative impact.</x:v>
      </x:c>
      <x:c r="V681" s="13" t="str">
        <x:v>Strong pattern central to the conclusion and likely to materially distort reasoning.</x:v>
      </x:c>
      <x:c r="W681" s="13" t="str">
        <x:v>authority_bias; appeal_to_authority_misuse; source_triangulation</x:v>
      </x:c>
      <x:c r="X681" s="13" t="str">
        <x:v>cialdini_influence</x:v>
      </x:c>
      <x:c r="Y681" s="13" t="str">
        <x:v>https://www.pearson.com/en-us/subject-catalog/p/influence-science-and-practice/P200000003004</x:v>
      </x:c>
      <x:c r="Z681" s="13" t="str">
        <x:v>Review before enabling. This workbook is a living taxonomy scaffold, not a validated scientific benchmark.</x:v>
      </x:c>
      <x:c r="AA681" s="13" t="str">
        <x:v>0.1.0-draft</x:v>
      </x:c>
      <x:c r="AB681" s="12" t="str">
        <x:f>IF(ISNUMBER(SEARCH("healthy",F681)),"healthy_reasoning_patterns",IF(ISNUMBER(SEARCH("statistical",F681)),"statistical_reasoning",IF(ISNUMBER(SEARCH("causal",F681)),"causal_reasoning",IF(ISNUMBER(SEARCH("social",F681)),"social_influence",IF(ISNUMBER(SEARCH("rhetoric",F681)),"rhetoric_discourse",IF(ISNUMBER(SEARCH("behavior",F681)),"behavioural_economics",IF(ISNUMBER(SEARCH("cognitive",F681)),"cognitive_biases",IF(J681="protective_pattern","healthy_reasoning_patterns",IF(L681="P0","core_mvp","extended_fallacies")))))))))</x:f>
        <x:v>social_influence</x:v>
      </x:c>
      <x:c r="AC681" s="12" t="str">
        <x:f>IF(ISNUMBER(SEARCH("operational",J681)),"operational",IF(ISNUMBER(SEARCH("deprecated",J681)),"deprecated",IF(L681="P0","canonical","recognized_subtype")))</x:f>
        <x:v>operational</x:v>
      </x:c>
      <x:c r="AD681" s="12" t="str">
        <x:f>IF(AC681="canonical","high",IF(AC681="recognized_subtype","medium",IF(AC681="operational","operational_only","debated")))</x:f>
        <x:v>operational_only</x:v>
      </x:c>
      <x:c r="AE681" s="12" t="str">
        <x:f>IF(AC681="deprecated","deprecated",IF(M681="yes","active",IF(M681="review","review_required","backlog")))</x:f>
        <x:v>backlog</x:v>
      </x:c>
      <x:c r="AF681" s="12" t="str">
        <x:f>IF(OR(AE681="active",AE681="review_required"),"yes","no")</x:f>
        <x:v>no</x:v>
      </x:c>
      <x:c r="AG681" s="12" t="str">
        <x:f>IF(AND(AE681="active",M681="yes",NOT(ISNUMBER(SEARCH("healthy",AB681)))),"yes","no")</x:f>
        <x:v>no</x:v>
      </x:c>
      <x:c r="AH681" s="12" t="str">
        <x:f>IF(OR(H681="contextual",H681="dialogue",H681="discourse",I681="claim+context",I681="discourse_segment"),"yes","no")</x:f>
        <x:v>yes</x:v>
      </x:c>
      <x:c r="AI681" s="12" t="str">
        <x:f>IF(OR(AH681="yes",AD681="debated",AC681="operational"),"yes","no")</x:f>
        <x:v>yes</x:v>
      </x:c>
      <x:c r="AJ681" s="12" t="str">
        <x:f>IF(OR(AH681="yes",AC681="operational",AD681="debated"),"high",IF(AND(AG681="yes",L681="P0"),"medium","low"))</x:f>
        <x:v>high</x:v>
      </x:c>
      <x:c r="AK681" s="12" t="str">
        <x:f>IF(ISNUMBER(SEARCH("healthy",AB681)),"yes","no")</x:f>
        <x:v>no</x:v>
      </x:c>
      <x:c r="AL681" s="12" t="str">
        <x:f>IF(AG681="yes","yes","candidate_only")</x:f>
        <x:v>candidate_only</x:v>
      </x:c>
      <x:c r="AM681" s="12" t="str">
        <x:f>IF(OR(AC681="canonical",AG681="yes"),"yes","recommended")</x:f>
        <x:v>recommended</x:v>
      </x:c>
      <x:c r="AN681" s="12" t="str">
        <x:f>IF(AC681="deprecated","exclude",IF(AND(AG681="yes",AJ681="high"),"import_but_human_review_required",IF(AG681="yes","import_as_active","import_as_backlog")))</x:f>
        <x:v>import_as_backlog</x:v>
      </x:c>
      <x:c r="AO681" s="12" t="str">
        <x:f>IF(AND(AG681="yes",OR(P681="",Q681="",R681="",S681="")),"missing_required_mvp_fields",IF(AND(AC681="canonical",Y681=""),"missing_source_ref","ok"))</x:f>
        <x:v>ok</x:v>
      </x:c>
      <x:c r="AP681" s="12" t="str">
        <x:f>IF(AO681="ok","ready_for_codex_import","needs_review")</x:f>
        <x:v>ready_for_codex_import</x:v>
      </x:c>
      <x:c r="AQ681" s="12"/>
      <x:c r="AR681" s="12" t="str">
        <x:v>Added v2 operational fields. Review before classification activation.</x:v>
      </x:c>
    </x:row>
    <x:row r="682">
      <x:c r="A682" s="13" t="str">
        <x:v>social_proof_authority_cue_variant</x:v>
      </x:c>
      <x:c r="B682" s="13" t="str">
        <x:v>social_proof</x:v>
      </x:c>
      <x:c r="C682" s="13" t="str">
        <x:v>Social proof</x:v>
      </x:c>
      <x:c r="D682" s="13" t="str">
        <x:v>اثبات اجتماعی</x:v>
      </x:c>
      <x:c r="E682" s="13" t="str">
        <x:v>Authority-cue variant</x:v>
      </x:c>
      <x:c r="F682" s="13" t="str">
        <x:v>social_influence_patterns</x:v>
      </x:c>
      <x:c r="G682" s="13" t="str">
        <x:v>operational_variant</x:v>
      </x:c>
      <x:c r="H682" s="13" t="str">
        <x:v>discourse</x:v>
      </x:c>
      <x:c r="I682" s="13" t="str">
        <x:v>discourse_segment</x:v>
      </x:c>
      <x:c r="J682" s="13" t="str">
        <x:v>derived_operational_subtype</x:v>
      </x:c>
      <x:c r="K682" s="13" t="str">
        <x:v>derived_from_established_parent_review_required</x:v>
      </x:c>
      <x:c r="L682" s="13" t="str">
        <x:v>P2</x:v>
      </x:c>
      <x:c r="M682" s="13" t="str">
        <x:v>no</x:v>
      </x:c>
      <x:c r="N682" s="13" t="str">
        <x:v>Operational subtype under Social proof: authority or credential cues drive the conclusion. Parent definition: Treating others' behavior as evidence of correctness.</x:v>
      </x:c>
      <x:c r="O682" s="13" t="str">
        <x:v>Look for: explicit claim-level evidence; parent-family cues for Social proof; variant cue: authority or credential cues drive the conclusion; avoid author-level inference.</x:v>
      </x:c>
      <x:c r="P682" s="13" t="str">
        <x:v>Exact evidence span in text plus claim-level reasoning link; for contextual/discourse entries, require surrounding context.</x:v>
      </x:c>
      <x:c r="Q682" s="13" t="str">
        <x:v>Do not label merely because topic is controversial, emotional, or wrong. Do not judge intent or personality. Require textual evidence and consider healthy-reasoning cues.</x:v>
      </x:c>
      <x:c r="R682" s="13" t="str">
        <x:v>Stub: A claim relies on authority or credential cues drive the conclusion to support a conclusion without adequate qualification.</x:v>
      </x:c>
      <x:c r="S682" s="13" t="str">
        <x:v>Stub: A claim discusses social proof with caveats, balanced evidence, or no argumentative use of the pattern.</x:v>
      </x:c>
      <x:c r="T682" s="13" t="str">
        <x:v>Mild or ambiguous cue; do not classify without clear evidence span.</x:v>
      </x:c>
      <x:c r="U682" s="13" t="str">
        <x:v>Clear claim-level pattern with some argumentative impact.</x:v>
      </x:c>
      <x:c r="V682" s="13" t="str">
        <x:v>Strong pattern central to the conclusion and likely to materially distort reasoning.</x:v>
      </x:c>
      <x:c r="W682" s="13" t="str">
        <x:v>cherry_picking; missing_counterevidence; evidence_grading</x:v>
      </x:c>
      <x:c r="X682" s="13" t="str">
        <x:v>cialdini_influence</x:v>
      </x:c>
      <x:c r="Y682" s="13" t="str">
        <x:v>https://www.pearson.com/en-us/subject-catalog/p/influence-science-and-practice/P200000003004</x:v>
      </x:c>
      <x:c r="Z682" s="13" t="str">
        <x:v>Review before enabling. This workbook is a living taxonomy scaffold, not a validated scientific benchmark.</x:v>
      </x:c>
      <x:c r="AA682" s="13" t="str">
        <x:v>0.1.0-draft</x:v>
      </x:c>
      <x:c r="AB682" s="12" t="str">
        <x:f>IF(ISNUMBER(SEARCH("healthy",F682)),"healthy_reasoning_patterns",IF(ISNUMBER(SEARCH("statistical",F682)),"statistical_reasoning",IF(ISNUMBER(SEARCH("causal",F682)),"causal_reasoning",IF(ISNUMBER(SEARCH("social",F682)),"social_influence",IF(ISNUMBER(SEARCH("rhetoric",F682)),"rhetoric_discourse",IF(ISNUMBER(SEARCH("behavior",F682)),"behavioural_economics",IF(ISNUMBER(SEARCH("cognitive",F682)),"cognitive_biases",IF(J682="protective_pattern","healthy_reasoning_patterns",IF(L682="P0","core_mvp","extended_fallacies")))))))))</x:f>
        <x:v>social_influence</x:v>
      </x:c>
      <x:c r="AC682" s="12" t="str">
        <x:f>IF(ISNUMBER(SEARCH("operational",J682)),"operational",IF(ISNUMBER(SEARCH("deprecated",J682)),"deprecated",IF(L682="P0","canonical","recognized_subtype")))</x:f>
        <x:v>operational</x:v>
      </x:c>
      <x:c r="AD682" s="12" t="str">
        <x:f>IF(AC682="canonical","high",IF(AC682="recognized_subtype","medium",IF(AC682="operational","operational_only","debated")))</x:f>
        <x:v>operational_only</x:v>
      </x:c>
      <x:c r="AE682" s="12" t="str">
        <x:f>IF(AC682="deprecated","deprecated",IF(M682="yes","active",IF(M682="review","review_required","backlog")))</x:f>
        <x:v>backlog</x:v>
      </x:c>
      <x:c r="AF682" s="12" t="str">
        <x:f>IF(OR(AE682="active",AE682="review_required"),"yes","no")</x:f>
        <x:v>no</x:v>
      </x:c>
      <x:c r="AG682" s="12" t="str">
        <x:f>IF(AND(AE682="active",M682="yes",NOT(ISNUMBER(SEARCH("healthy",AB682)))),"yes","no")</x:f>
        <x:v>no</x:v>
      </x:c>
      <x:c r="AH682" s="12" t="str">
        <x:f>IF(OR(H682="contextual",H682="dialogue",H682="discourse",I682="claim+context",I682="discourse_segment"),"yes","no")</x:f>
        <x:v>yes</x:v>
      </x:c>
      <x:c r="AI682" s="12" t="str">
        <x:f>IF(OR(AH682="yes",AD682="debated",AC682="operational"),"yes","no")</x:f>
        <x:v>yes</x:v>
      </x:c>
      <x:c r="AJ682" s="12" t="str">
        <x:f>IF(OR(AH682="yes",AC682="operational",AD682="debated"),"high",IF(AND(AG682="yes",L682="P0"),"medium","low"))</x:f>
        <x:v>high</x:v>
      </x:c>
      <x:c r="AK682" s="12" t="str">
        <x:f>IF(ISNUMBER(SEARCH("healthy",AB682)),"yes","no")</x:f>
        <x:v>no</x:v>
      </x:c>
      <x:c r="AL682" s="12" t="str">
        <x:f>IF(AG682="yes","yes","candidate_only")</x:f>
        <x:v>candidate_only</x:v>
      </x:c>
      <x:c r="AM682" s="12" t="str">
        <x:f>IF(OR(AC682="canonical",AG682="yes"),"yes","recommended")</x:f>
        <x:v>recommended</x:v>
      </x:c>
      <x:c r="AN682" s="12" t="str">
        <x:f>IF(AC682="deprecated","exclude",IF(AND(AG682="yes",AJ682="high"),"import_but_human_review_required",IF(AG682="yes","import_as_active","import_as_backlog")))</x:f>
        <x:v>import_as_backlog</x:v>
      </x:c>
      <x:c r="AO682" s="12" t="str">
        <x:f>IF(AND(AG682="yes",OR(P682="",Q682="",R682="",S682="")),"missing_required_mvp_fields",IF(AND(AC682="canonical",Y682=""),"missing_source_ref","ok"))</x:f>
        <x:v>ok</x:v>
      </x:c>
      <x:c r="AP682" s="12" t="str">
        <x:f>IF(AO682="ok","ready_for_codex_import","needs_review")</x:f>
        <x:v>ready_for_codex_import</x:v>
      </x:c>
      <x:c r="AQ682" s="12"/>
      <x:c r="AR682" s="12" t="str">
        <x:v>Added v2 operational fields. Review before classification activation.</x:v>
      </x:c>
    </x:row>
    <x:row r="683">
      <x:c r="A683" s="13" t="str">
        <x:v>bandwagon_effect_authority_cue_variant</x:v>
      </x:c>
      <x:c r="B683" s="13" t="str">
        <x:v>bandwagon_effect</x:v>
      </x:c>
      <x:c r="C683" s="13" t="str">
        <x:v>Bandwagon effect</x:v>
      </x:c>
      <x:c r="D683" s="13" t="str">
        <x:v>اثر همراهی با جمع</x:v>
      </x:c>
      <x:c r="E683" s="13" t="str">
        <x:v>Authority-cue variant</x:v>
      </x:c>
      <x:c r="F683" s="13" t="str">
        <x:v>social_influence_patterns</x:v>
      </x:c>
      <x:c r="G683" s="13" t="str">
        <x:v>operational_variant</x:v>
      </x:c>
      <x:c r="H683" s="13" t="str">
        <x:v>discourse</x:v>
      </x:c>
      <x:c r="I683" s="13" t="str">
        <x:v>discourse_segment</x:v>
      </x:c>
      <x:c r="J683" s="13" t="str">
        <x:v>derived_operational_subtype</x:v>
      </x:c>
      <x:c r="K683" s="13" t="str">
        <x:v>derived_from_established_parent_review_required</x:v>
      </x:c>
      <x:c r="L683" s="13" t="str">
        <x:v>P2</x:v>
      </x:c>
      <x:c r="M683" s="13" t="str">
        <x:v>no</x:v>
      </x:c>
      <x:c r="N683" s="13" t="str">
        <x:v>Operational subtype under Bandwagon effect: authority or credential cues drive the conclusion. Parent definition: Adopting beliefs or choices primarily because many others do.</x:v>
      </x:c>
      <x:c r="O683" s="13" t="str">
        <x:v>Look for: explicit claim-level evidence; parent-family cues for Bandwagon effect; variant cue: authority or credential cues drive the conclusion; avoid author-level inference.</x:v>
      </x:c>
      <x:c r="P683" s="13" t="str">
        <x:v>Exact evidence span in text plus claim-level reasoning link; for contextual/discourse entries, require surrounding context.</x:v>
      </x:c>
      <x:c r="Q683" s="13" t="str">
        <x:v>Do not label merely because topic is controversial, emotional, or wrong. Do not judge intent or personality. Require textual evidence and consider healthy-reasoning cues.</x:v>
      </x:c>
      <x:c r="R683" s="13" t="str">
        <x:v>Stub: A claim relies on authority or credential cues drive the conclusion to support a conclusion without adequate qualification.</x:v>
      </x:c>
      <x:c r="S683" s="13" t="str">
        <x:v>Stub: A claim discusses bandwagon effect with caveats, balanced evidence, or no argumentative use of the pattern.</x:v>
      </x:c>
      <x:c r="T683" s="13" t="str">
        <x:v>Mild or ambiguous cue; do not classify without clear evidence span.</x:v>
      </x:c>
      <x:c r="U683" s="13" t="str">
        <x:v>Clear claim-level pattern with some argumentative impact.</x:v>
      </x:c>
      <x:c r="V683" s="13" t="str">
        <x:v>Strong pattern central to the conclusion and likely to materially distort reasoning.</x:v>
      </x:c>
      <x:c r="W683" s="13" t="str"/>
      <x:c r="X683" s="13" t="str">
        <x:v>cialdini_influence</x:v>
      </x:c>
      <x:c r="Y683" s="13" t="str">
        <x:v>https://www.pearson.com/en-us/subject-catalog/p/influence-science-and-practice/P200000003004</x:v>
      </x:c>
      <x:c r="Z683" s="13" t="str">
        <x:v>Review before enabling. This workbook is a living taxonomy scaffold, not a validated scientific benchmark.</x:v>
      </x:c>
      <x:c r="AA683" s="13" t="str">
        <x:v>0.1.0-draft</x:v>
      </x:c>
      <x:c r="AB683" s="12" t="str">
        <x:f>IF(ISNUMBER(SEARCH("healthy",F683)),"healthy_reasoning_patterns",IF(ISNUMBER(SEARCH("statistical",F683)),"statistical_reasoning",IF(ISNUMBER(SEARCH("causal",F683)),"causal_reasoning",IF(ISNUMBER(SEARCH("social",F683)),"social_influence",IF(ISNUMBER(SEARCH("rhetoric",F683)),"rhetoric_discourse",IF(ISNUMBER(SEARCH("behavior",F683)),"behavioural_economics",IF(ISNUMBER(SEARCH("cognitive",F683)),"cognitive_biases",IF(J683="protective_pattern","healthy_reasoning_patterns",IF(L683="P0","core_mvp","extended_fallacies")))))))))</x:f>
        <x:v>social_influence</x:v>
      </x:c>
      <x:c r="AC683" s="12" t="str">
        <x:f>IF(ISNUMBER(SEARCH("operational",J683)),"operational",IF(ISNUMBER(SEARCH("deprecated",J683)),"deprecated",IF(L683="P0","canonical","recognized_subtype")))</x:f>
        <x:v>operational</x:v>
      </x:c>
      <x:c r="AD683" s="12" t="str">
        <x:f>IF(AC683="canonical","high",IF(AC683="recognized_subtype","medium",IF(AC683="operational","operational_only","debated")))</x:f>
        <x:v>operational_only</x:v>
      </x:c>
      <x:c r="AE683" s="12" t="str">
        <x:f>IF(AC683="deprecated","deprecated",IF(M683="yes","active",IF(M683="review","review_required","backlog")))</x:f>
        <x:v>backlog</x:v>
      </x:c>
      <x:c r="AF683" s="12" t="str">
        <x:f>IF(OR(AE683="active",AE683="review_required"),"yes","no")</x:f>
        <x:v>no</x:v>
      </x:c>
      <x:c r="AG683" s="12" t="str">
        <x:f>IF(AND(AE683="active",M683="yes",NOT(ISNUMBER(SEARCH("healthy",AB683)))),"yes","no")</x:f>
        <x:v>no</x:v>
      </x:c>
      <x:c r="AH683" s="12" t="str">
        <x:f>IF(OR(H683="contextual",H683="dialogue",H683="discourse",I683="claim+context",I683="discourse_segment"),"yes","no")</x:f>
        <x:v>yes</x:v>
      </x:c>
      <x:c r="AI683" s="12" t="str">
        <x:f>IF(OR(AH683="yes",AD683="debated",AC683="operational"),"yes","no")</x:f>
        <x:v>yes</x:v>
      </x:c>
      <x:c r="AJ683" s="12" t="str">
        <x:f>IF(OR(AH683="yes",AC683="operational",AD683="debated"),"high",IF(AND(AG683="yes",L683="P0"),"medium","low"))</x:f>
        <x:v>high</x:v>
      </x:c>
      <x:c r="AK683" s="12" t="str">
        <x:f>IF(ISNUMBER(SEARCH("healthy",AB683)),"yes","no")</x:f>
        <x:v>no</x:v>
      </x:c>
      <x:c r="AL683" s="12" t="str">
        <x:f>IF(AG683="yes","yes","candidate_only")</x:f>
        <x:v>candidate_only</x:v>
      </x:c>
      <x:c r="AM683" s="12" t="str">
        <x:f>IF(OR(AC683="canonical",AG683="yes"),"yes","recommended")</x:f>
        <x:v>recommended</x:v>
      </x:c>
      <x:c r="AN683" s="12" t="str">
        <x:f>IF(AC683="deprecated","exclude",IF(AND(AG683="yes",AJ683="high"),"import_but_human_review_required",IF(AG683="yes","import_as_active","import_as_backlog")))</x:f>
        <x:v>import_as_backlog</x:v>
      </x:c>
      <x:c r="AO683" s="12" t="str">
        <x:f>IF(AND(AG683="yes",OR(P683="",Q683="",R683="",S683="")),"missing_required_mvp_fields",IF(AND(AC683="canonical",Y683=""),"missing_source_ref","ok"))</x:f>
        <x:v>ok</x:v>
      </x:c>
      <x:c r="AP683" s="12" t="str">
        <x:f>IF(AO683="ok","ready_for_codex_import","needs_review")</x:f>
        <x:v>ready_for_codex_import</x:v>
      </x:c>
      <x:c r="AQ683" s="12"/>
      <x:c r="AR683" s="12" t="str">
        <x:v>Added v2 operational fields. Review before classification activation.</x:v>
      </x:c>
    </x:row>
    <x:row r="684">
      <x:c r="A684" s="13" t="str">
        <x:v>conformity_bias_authority_cue_variant</x:v>
      </x:c>
      <x:c r="B684" s="13" t="str">
        <x:v>conformity_bias</x:v>
      </x:c>
      <x:c r="C684" s="13" t="str">
        <x:v>Conformity bias</x:v>
      </x:c>
      <x:c r="D684" s="13" t="str">
        <x:v>سوگیری همرنگی</x:v>
      </x:c>
      <x:c r="E684" s="13" t="str">
        <x:v>Authority-cue variant</x:v>
      </x:c>
      <x:c r="F684" s="13" t="str">
        <x:v>social_influence_patterns</x:v>
      </x:c>
      <x:c r="G684" s="13" t="str">
        <x:v>operational_variant</x:v>
      </x:c>
      <x:c r="H684" s="13" t="str">
        <x:v>contextual</x:v>
      </x:c>
      <x:c r="I684" s="13" t="str">
        <x:v>claim+context</x:v>
      </x:c>
      <x:c r="J684" s="13" t="str">
        <x:v>derived_operational_subtype</x:v>
      </x:c>
      <x:c r="K684" s="13" t="str">
        <x:v>derived_from_established_parent_review_required</x:v>
      </x:c>
      <x:c r="L684" s="13" t="str">
        <x:v>P2</x:v>
      </x:c>
      <x:c r="M684" s="13" t="str">
        <x:v>no</x:v>
      </x:c>
      <x:c r="N684" s="13" t="str">
        <x:v>Operational subtype under Conformity bias: authority or credential cues drive the conclusion. Parent definition: Aligning judgments with group norms despite weak evidence.</x:v>
      </x:c>
      <x:c r="O684" s="13" t="str">
        <x:v>Look for: explicit claim-level evidence; parent-family cues for Conformity bias; variant cue: authority or credential cues drive the conclusion; avoid author-level inference.</x:v>
      </x:c>
      <x:c r="P684" s="13" t="str">
        <x:v>Exact evidence span in text plus claim-level reasoning link; for contextual/discourse entries, require surrounding context.</x:v>
      </x:c>
      <x:c r="Q684" s="13" t="str">
        <x:v>Do not label merely because topic is controversial, emotional, or wrong. Do not judge intent or personality. Require textual evidence and consider healthy-reasoning cues.</x:v>
      </x:c>
      <x:c r="R684" s="13" t="str">
        <x:v>Stub: A claim relies on authority or credential cues drive the conclusion to support a conclusion without adequate qualification.</x:v>
      </x:c>
      <x:c r="S684" s="13" t="str">
        <x:v>Stub: A claim discusses conformity bias with caveats, balanced evidence, or no argumentative use of the pattern.</x:v>
      </x:c>
      <x:c r="T684" s="13" t="str">
        <x:v>Mild or ambiguous cue; do not classify without clear evidence span.</x:v>
      </x:c>
      <x:c r="U684" s="13" t="str">
        <x:v>Clear claim-level pattern with some argumentative impact.</x:v>
      </x:c>
      <x:c r="V684" s="13" t="str">
        <x:v>Strong pattern central to the conclusion and likely to materially distort reasoning.</x:v>
      </x:c>
      <x:c r="W684" s="13" t="str">
        <x:v>cherry_picking; missing_counterevidence; evidence_grading</x:v>
      </x:c>
      <x:c r="X684" s="13" t="str">
        <x:v>cialdini_influence</x:v>
      </x:c>
      <x:c r="Y684" s="13" t="str">
        <x:v>https://www.pearson.com/en-us/subject-catalog/p/influence-science-and-practice/P200000003004</x:v>
      </x:c>
      <x:c r="Z684" s="13" t="str">
        <x:v>Review before enabling. This workbook is a living taxonomy scaffold, not a validated scientific benchmark.</x:v>
      </x:c>
      <x:c r="AA684" s="13" t="str">
        <x:v>0.1.0-draft</x:v>
      </x:c>
      <x:c r="AB684" s="12" t="str">
        <x:f>IF(ISNUMBER(SEARCH("healthy",F684)),"healthy_reasoning_patterns",IF(ISNUMBER(SEARCH("statistical",F684)),"statistical_reasoning",IF(ISNUMBER(SEARCH("causal",F684)),"causal_reasoning",IF(ISNUMBER(SEARCH("social",F684)),"social_influence",IF(ISNUMBER(SEARCH("rhetoric",F684)),"rhetoric_discourse",IF(ISNUMBER(SEARCH("behavior",F684)),"behavioural_economics",IF(ISNUMBER(SEARCH("cognitive",F684)),"cognitive_biases",IF(J684="protective_pattern","healthy_reasoning_patterns",IF(L684="P0","core_mvp","extended_fallacies")))))))))</x:f>
        <x:v>social_influence</x:v>
      </x:c>
      <x:c r="AC684" s="12" t="str">
        <x:f>IF(ISNUMBER(SEARCH("operational",J684)),"operational",IF(ISNUMBER(SEARCH("deprecated",J684)),"deprecated",IF(L684="P0","canonical","recognized_subtype")))</x:f>
        <x:v>operational</x:v>
      </x:c>
      <x:c r="AD684" s="12" t="str">
        <x:f>IF(AC684="canonical","high",IF(AC684="recognized_subtype","medium",IF(AC684="operational","operational_only","debated")))</x:f>
        <x:v>operational_only</x:v>
      </x:c>
      <x:c r="AE684" s="12" t="str">
        <x:f>IF(AC684="deprecated","deprecated",IF(M684="yes","active",IF(M684="review","review_required","backlog")))</x:f>
        <x:v>backlog</x:v>
      </x:c>
      <x:c r="AF684" s="12" t="str">
        <x:f>IF(OR(AE684="active",AE684="review_required"),"yes","no")</x:f>
        <x:v>no</x:v>
      </x:c>
      <x:c r="AG684" s="12" t="str">
        <x:f>IF(AND(AE684="active",M684="yes",NOT(ISNUMBER(SEARCH("healthy",AB684)))),"yes","no")</x:f>
        <x:v>no</x:v>
      </x:c>
      <x:c r="AH684" s="12" t="str">
        <x:f>IF(OR(H684="contextual",H684="dialogue",H684="discourse",I684="claim+context",I684="discourse_segment"),"yes","no")</x:f>
        <x:v>yes</x:v>
      </x:c>
      <x:c r="AI684" s="12" t="str">
        <x:f>IF(OR(AH684="yes",AD684="debated",AC684="operational"),"yes","no")</x:f>
        <x:v>yes</x:v>
      </x:c>
      <x:c r="AJ684" s="12" t="str">
        <x:f>IF(OR(AH684="yes",AC684="operational",AD684="debated"),"high",IF(AND(AG684="yes",L684="P0"),"medium","low"))</x:f>
        <x:v>high</x:v>
      </x:c>
      <x:c r="AK684" s="12" t="str">
        <x:f>IF(ISNUMBER(SEARCH("healthy",AB684)),"yes","no")</x:f>
        <x:v>no</x:v>
      </x:c>
      <x:c r="AL684" s="12" t="str">
        <x:f>IF(AG684="yes","yes","candidate_only")</x:f>
        <x:v>candidate_only</x:v>
      </x:c>
      <x:c r="AM684" s="12" t="str">
        <x:f>IF(OR(AC684="canonical",AG684="yes"),"yes","recommended")</x:f>
        <x:v>recommended</x:v>
      </x:c>
      <x:c r="AN684" s="12" t="str">
        <x:f>IF(AC684="deprecated","exclude",IF(AND(AG684="yes",AJ684="high"),"import_but_human_review_required",IF(AG684="yes","import_as_active","import_as_backlog")))</x:f>
        <x:v>import_as_backlog</x:v>
      </x:c>
      <x:c r="AO684" s="12" t="str">
        <x:f>IF(AND(AG684="yes",OR(P684="",Q684="",R684="",S684="")),"missing_required_mvp_fields",IF(AND(AC684="canonical",Y684=""),"missing_source_ref","ok"))</x:f>
        <x:v>ok</x:v>
      </x:c>
      <x:c r="AP684" s="12" t="str">
        <x:f>IF(AO684="ok","ready_for_codex_import","needs_review")</x:f>
        <x:v>ready_for_codex_import</x:v>
      </x:c>
      <x:c r="AQ684" s="12"/>
      <x:c r="AR684" s="12" t="str">
        <x:v>Added v2 operational fields. Review before classification activation.</x:v>
      </x:c>
    </x:row>
    <x:row r="685">
      <x:c r="A685" s="13" t="str">
        <x:v>authority_bias_authority_cue_variant</x:v>
      </x:c>
      <x:c r="B685" s="13" t="str">
        <x:v>authority_bias</x:v>
      </x:c>
      <x:c r="C685" s="13" t="str">
        <x:v>Authority bias</x:v>
      </x:c>
      <x:c r="D685" s="13" t="str">
        <x:v>سوگیری اقتدار</x:v>
      </x:c>
      <x:c r="E685" s="13" t="str">
        <x:v>Authority-cue variant</x:v>
      </x:c>
      <x:c r="F685" s="13" t="str">
        <x:v>social_influence_patterns</x:v>
      </x:c>
      <x:c r="G685" s="13" t="str">
        <x:v>operational_variant</x:v>
      </x:c>
      <x:c r="H685" s="13" t="str">
        <x:v>contextual</x:v>
      </x:c>
      <x:c r="I685" s="13" t="str">
        <x:v>claim+context</x:v>
      </x:c>
      <x:c r="J685" s="13" t="str">
        <x:v>derived_operational_subtype</x:v>
      </x:c>
      <x:c r="K685" s="13" t="str">
        <x:v>derived_from_established_parent_review_required</x:v>
      </x:c>
      <x:c r="L685" s="13" t="str">
        <x:v>P2</x:v>
      </x:c>
      <x:c r="M685" s="13" t="str">
        <x:v>no</x:v>
      </x:c>
      <x:c r="N685" s="13" t="str">
        <x:v>Operational subtype under Authority bias: authority or credential cues drive the conclusion. Parent definition: Giving excessive weight to authority cues.</x:v>
      </x:c>
      <x:c r="O685" s="13" t="str">
        <x:v>Look for: explicit claim-level evidence; parent-family cues for Authority bias; variant cue: authority or credential cues drive the conclusion; avoid author-level inference.</x:v>
      </x:c>
      <x:c r="P685" s="13" t="str">
        <x:v>Exact evidence span in text plus claim-level reasoning link; for contextual/discourse entries, require surrounding context.</x:v>
      </x:c>
      <x:c r="Q685" s="13" t="str">
        <x:v>Do not label merely because topic is controversial, emotional, or wrong. Do not judge intent or personality. Require textual evidence and consider healthy-reasoning cues.</x:v>
      </x:c>
      <x:c r="R685" s="13" t="str">
        <x:v>Stub: A claim relies on authority or credential cues drive the conclusion to support a conclusion without adequate qualification.</x:v>
      </x:c>
      <x:c r="S685" s="13" t="str">
        <x:v>Stub: A claim discusses authority bias with caveats, balanced evidence, or no argumentative use of the pattern.</x:v>
      </x:c>
      <x:c r="T685" s="13" t="str">
        <x:v>Mild or ambiguous cue; do not classify without clear evidence span.</x:v>
      </x:c>
      <x:c r="U685" s="13" t="str">
        <x:v>Clear claim-level pattern with some argumentative impact.</x:v>
      </x:c>
      <x:c r="V685" s="13" t="str">
        <x:v>Strong pattern central to the conclusion and likely to materially distort reasoning.</x:v>
      </x:c>
      <x:c r="W685" s="13" t="str">
        <x:v>authority_bias; appeal_to_authority_misuse; source_triangulation</x:v>
      </x:c>
      <x:c r="X685" s="13" t="str">
        <x:v>cialdini_influence</x:v>
      </x:c>
      <x:c r="Y685" s="13" t="str">
        <x:v>https://www.pearson.com/en-us/subject-catalog/p/influence-science-and-practice/P200000003004</x:v>
      </x:c>
      <x:c r="Z685" s="13" t="str">
        <x:v>Review before enabling. This workbook is a living taxonomy scaffold, not a validated scientific benchmark.</x:v>
      </x:c>
      <x:c r="AA685" s="13" t="str">
        <x:v>0.1.0-draft</x:v>
      </x:c>
      <x:c r="AB685" s="12" t="str">
        <x:f>IF(ISNUMBER(SEARCH("healthy",F685)),"healthy_reasoning_patterns",IF(ISNUMBER(SEARCH("statistical",F685)),"statistical_reasoning",IF(ISNUMBER(SEARCH("causal",F685)),"causal_reasoning",IF(ISNUMBER(SEARCH("social",F685)),"social_influence",IF(ISNUMBER(SEARCH("rhetoric",F685)),"rhetoric_discourse",IF(ISNUMBER(SEARCH("behavior",F685)),"behavioural_economics",IF(ISNUMBER(SEARCH("cognitive",F685)),"cognitive_biases",IF(J685="protective_pattern","healthy_reasoning_patterns",IF(L685="P0","core_mvp","extended_fallacies")))))))))</x:f>
        <x:v>social_influence</x:v>
      </x:c>
      <x:c r="AC685" s="12" t="str">
        <x:f>IF(ISNUMBER(SEARCH("operational",J685)),"operational",IF(ISNUMBER(SEARCH("deprecated",J685)),"deprecated",IF(L685="P0","canonical","recognized_subtype")))</x:f>
        <x:v>operational</x:v>
      </x:c>
      <x:c r="AD685" s="12" t="str">
        <x:f>IF(AC685="canonical","high",IF(AC685="recognized_subtype","medium",IF(AC685="operational","operational_only","debated")))</x:f>
        <x:v>operational_only</x:v>
      </x:c>
      <x:c r="AE685" s="12" t="str">
        <x:f>IF(AC685="deprecated","deprecated",IF(M685="yes","active",IF(M685="review","review_required","backlog")))</x:f>
        <x:v>backlog</x:v>
      </x:c>
      <x:c r="AF685" s="12" t="str">
        <x:f>IF(OR(AE685="active",AE685="review_required"),"yes","no")</x:f>
        <x:v>no</x:v>
      </x:c>
      <x:c r="AG685" s="12" t="str">
        <x:f>IF(AND(AE685="active",M685="yes",NOT(ISNUMBER(SEARCH("healthy",AB685)))),"yes","no")</x:f>
        <x:v>no</x:v>
      </x:c>
      <x:c r="AH685" s="12" t="str">
        <x:f>IF(OR(H685="contextual",H685="dialogue",H685="discourse",I685="claim+context",I685="discourse_segment"),"yes","no")</x:f>
        <x:v>yes</x:v>
      </x:c>
      <x:c r="AI685" s="12" t="str">
        <x:f>IF(OR(AH685="yes",AD685="debated",AC685="operational"),"yes","no")</x:f>
        <x:v>yes</x:v>
      </x:c>
      <x:c r="AJ685" s="12" t="str">
        <x:f>IF(OR(AH685="yes",AC685="operational",AD685="debated"),"high",IF(AND(AG685="yes",L685="P0"),"medium","low"))</x:f>
        <x:v>high</x:v>
      </x:c>
      <x:c r="AK685" s="12" t="str">
        <x:f>IF(ISNUMBER(SEARCH("healthy",AB685)),"yes","no")</x:f>
        <x:v>no</x:v>
      </x:c>
      <x:c r="AL685" s="12" t="str">
        <x:f>IF(AG685="yes","yes","candidate_only")</x:f>
        <x:v>candidate_only</x:v>
      </x:c>
      <x:c r="AM685" s="12" t="str">
        <x:f>IF(OR(AC685="canonical",AG685="yes"),"yes","recommended")</x:f>
        <x:v>recommended</x:v>
      </x:c>
      <x:c r="AN685" s="12" t="str">
        <x:f>IF(AC685="deprecated","exclude",IF(AND(AG685="yes",AJ685="high"),"import_but_human_review_required",IF(AG685="yes","import_as_active","import_as_backlog")))</x:f>
        <x:v>import_as_backlog</x:v>
      </x:c>
      <x:c r="AO685" s="12" t="str">
        <x:f>IF(AND(AG685="yes",OR(P685="",Q685="",R685="",S685="")),"missing_required_mvp_fields",IF(AND(AC685="canonical",Y685=""),"missing_source_ref","ok"))</x:f>
        <x:v>ok</x:v>
      </x:c>
      <x:c r="AP685" s="12" t="str">
        <x:f>IF(AO685="ok","ready_for_codex_import","needs_review")</x:f>
        <x:v>ready_for_codex_import</x:v>
      </x:c>
      <x:c r="AQ685" s="12"/>
      <x:c r="AR685" s="12" t="str">
        <x:v>Added v2 operational fields. Review before classification activation.</x:v>
      </x:c>
    </x:row>
    <x:row r="686">
      <x:c r="A686" s="13" t="str">
        <x:v>groupthink_authority_cue_variant</x:v>
      </x:c>
      <x:c r="B686" s="13" t="str">
        <x:v>groupthink</x:v>
      </x:c>
      <x:c r="C686" s="13" t="str">
        <x:v>Groupthink</x:v>
      </x:c>
      <x:c r="D686" s="13" t="str">
        <x:v>تفکر گروهی</x:v>
      </x:c>
      <x:c r="E686" s="13" t="str">
        <x:v>Authority-cue variant</x:v>
      </x:c>
      <x:c r="F686" s="13" t="str">
        <x:v>social_influence_patterns</x:v>
      </x:c>
      <x:c r="G686" s="13" t="str">
        <x:v>operational_variant</x:v>
      </x:c>
      <x:c r="H686" s="13" t="str">
        <x:v>discourse</x:v>
      </x:c>
      <x:c r="I686" s="13" t="str">
        <x:v>discourse_segment</x:v>
      </x:c>
      <x:c r="J686" s="13" t="str">
        <x:v>derived_operational_subtype</x:v>
      </x:c>
      <x:c r="K686" s="13" t="str">
        <x:v>derived_from_established_parent_review_required</x:v>
      </x:c>
      <x:c r="L686" s="13" t="str">
        <x:v>P2</x:v>
      </x:c>
      <x:c r="M686" s="13" t="str">
        <x:v>no</x:v>
      </x:c>
      <x:c r="N686" s="13" t="str">
        <x:v>Operational subtype under Groupthink: authority or credential cues drive the conclusion. Parent definition: Group cohesion suppresses dissent and critical evaluation.</x:v>
      </x:c>
      <x:c r="O686" s="13" t="str">
        <x:v>Look for: explicit claim-level evidence; parent-family cues for Groupthink; variant cue: authority or credential cues drive the conclusion; avoid author-level inference.</x:v>
      </x:c>
      <x:c r="P686" s="13" t="str">
        <x:v>Exact evidence span in text plus claim-level reasoning link; for contextual/discourse entries, require surrounding context.</x:v>
      </x:c>
      <x:c r="Q686" s="13" t="str">
        <x:v>Do not label merely because topic is controversial, emotional, or wrong. Do not judge intent or personality. Require textual evidence and consider healthy-reasoning cues.</x:v>
      </x:c>
      <x:c r="R686" s="13" t="str">
        <x:v>Stub: A claim relies on authority or credential cues drive the conclusion to support a conclusion without adequate qualification.</x:v>
      </x:c>
      <x:c r="S686" s="13" t="str">
        <x:v>Stub: A claim discusses groupthink with caveats, balanced evidence, or no argumentative use of the pattern.</x:v>
      </x:c>
      <x:c r="T686" s="13" t="str">
        <x:v>Mild or ambiguous cue; do not classify without clear evidence span.</x:v>
      </x:c>
      <x:c r="U686" s="13" t="str">
        <x:v>Clear claim-level pattern with some argumentative impact.</x:v>
      </x:c>
      <x:c r="V686" s="13" t="str">
        <x:v>Strong pattern central to the conclusion and likely to materially distort reasoning.</x:v>
      </x:c>
      <x:c r="W686" s="13" t="str"/>
      <x:c r="X686" s="13" t="str">
        <x:v>cialdini_influence</x:v>
      </x:c>
      <x:c r="Y686" s="13" t="str">
        <x:v>https://www.pearson.com/en-us/subject-catalog/p/influence-science-and-practice/P200000003004</x:v>
      </x:c>
      <x:c r="Z686" s="13" t="str">
        <x:v>Review before enabling. This workbook is a living taxonomy scaffold, not a validated scientific benchmark.</x:v>
      </x:c>
      <x:c r="AA686" s="13" t="str">
        <x:v>0.1.0-draft</x:v>
      </x:c>
      <x:c r="AB686" s="12" t="str">
        <x:f>IF(ISNUMBER(SEARCH("healthy",F686)),"healthy_reasoning_patterns",IF(ISNUMBER(SEARCH("statistical",F686)),"statistical_reasoning",IF(ISNUMBER(SEARCH("causal",F686)),"causal_reasoning",IF(ISNUMBER(SEARCH("social",F686)),"social_influence",IF(ISNUMBER(SEARCH("rhetoric",F686)),"rhetoric_discourse",IF(ISNUMBER(SEARCH("behavior",F686)),"behavioural_economics",IF(ISNUMBER(SEARCH("cognitive",F686)),"cognitive_biases",IF(J686="protective_pattern","healthy_reasoning_patterns",IF(L686="P0","core_mvp","extended_fallacies")))))))))</x:f>
        <x:v>social_influence</x:v>
      </x:c>
      <x:c r="AC686" s="12" t="str">
        <x:f>IF(ISNUMBER(SEARCH("operational",J686)),"operational",IF(ISNUMBER(SEARCH("deprecated",J686)),"deprecated",IF(L686="P0","canonical","recognized_subtype")))</x:f>
        <x:v>operational</x:v>
      </x:c>
      <x:c r="AD686" s="12" t="str">
        <x:f>IF(AC686="canonical","high",IF(AC686="recognized_subtype","medium",IF(AC686="operational","operational_only","debated")))</x:f>
        <x:v>operational_only</x:v>
      </x:c>
      <x:c r="AE686" s="12" t="str">
        <x:f>IF(AC686="deprecated","deprecated",IF(M686="yes","active",IF(M686="review","review_required","backlog")))</x:f>
        <x:v>backlog</x:v>
      </x:c>
      <x:c r="AF686" s="12" t="str">
        <x:f>IF(OR(AE686="active",AE686="review_required"),"yes","no")</x:f>
        <x:v>no</x:v>
      </x:c>
      <x:c r="AG686" s="12" t="str">
        <x:f>IF(AND(AE686="active",M686="yes",NOT(ISNUMBER(SEARCH("healthy",AB686)))),"yes","no")</x:f>
        <x:v>no</x:v>
      </x:c>
      <x:c r="AH686" s="12" t="str">
        <x:f>IF(OR(H686="contextual",H686="dialogue",H686="discourse",I686="claim+context",I686="discourse_segment"),"yes","no")</x:f>
        <x:v>yes</x:v>
      </x:c>
      <x:c r="AI686" s="12" t="str">
        <x:f>IF(OR(AH686="yes",AD686="debated",AC686="operational"),"yes","no")</x:f>
        <x:v>yes</x:v>
      </x:c>
      <x:c r="AJ686" s="12" t="str">
        <x:f>IF(OR(AH686="yes",AC686="operational",AD686="debated"),"high",IF(AND(AG686="yes",L686="P0"),"medium","low"))</x:f>
        <x:v>high</x:v>
      </x:c>
      <x:c r="AK686" s="12" t="str">
        <x:f>IF(ISNUMBER(SEARCH("healthy",AB686)),"yes","no")</x:f>
        <x:v>no</x:v>
      </x:c>
      <x:c r="AL686" s="12" t="str">
        <x:f>IF(AG686="yes","yes","candidate_only")</x:f>
        <x:v>candidate_only</x:v>
      </x:c>
      <x:c r="AM686" s="12" t="str">
        <x:f>IF(OR(AC686="canonical",AG686="yes"),"yes","recommended")</x:f>
        <x:v>recommended</x:v>
      </x:c>
      <x:c r="AN686" s="12" t="str">
        <x:f>IF(AC686="deprecated","exclude",IF(AND(AG686="yes",AJ686="high"),"import_but_human_review_required",IF(AG686="yes","import_as_active","import_as_backlog")))</x:f>
        <x:v>import_as_backlog</x:v>
      </x:c>
      <x:c r="AO686" s="12" t="str">
        <x:f>IF(AND(AG686="yes",OR(P686="",Q686="",R686="",S686="")),"missing_required_mvp_fields",IF(AND(AC686="canonical",Y686=""),"missing_source_ref","ok"))</x:f>
        <x:v>ok</x:v>
      </x:c>
      <x:c r="AP686" s="12" t="str">
        <x:f>IF(AO686="ok","ready_for_codex_import","needs_review")</x:f>
        <x:v>ready_for_codex_import</x:v>
      </x:c>
      <x:c r="AQ686" s="12"/>
      <x:c r="AR686" s="12" t="str">
        <x:v>Added v2 operational fields. Review before classification activation.</x:v>
      </x:c>
    </x:row>
    <x:row r="687">
      <x:c r="A687" s="13" t="str">
        <x:v>group_polarization_authority_cue_variant</x:v>
      </x:c>
      <x:c r="B687" s="13" t="str">
        <x:v>group_polarization</x:v>
      </x:c>
      <x:c r="C687" s="13" t="str">
        <x:v>Group polarization</x:v>
      </x:c>
      <x:c r="D687" s="13" t="str">
        <x:v>قطبی‌شدن گروهی</x:v>
      </x:c>
      <x:c r="E687" s="13" t="str">
        <x:v>Authority-cue variant</x:v>
      </x:c>
      <x:c r="F687" s="13" t="str">
        <x:v>social_influence_patterns</x:v>
      </x:c>
      <x:c r="G687" s="13" t="str">
        <x:v>operational_variant</x:v>
      </x:c>
      <x:c r="H687" s="13" t="str">
        <x:v>discourse</x:v>
      </x:c>
      <x:c r="I687" s="13" t="str">
        <x:v>discourse_segment</x:v>
      </x:c>
      <x:c r="J687" s="13" t="str">
        <x:v>derived_operational_subtype</x:v>
      </x:c>
      <x:c r="K687" s="13" t="str">
        <x:v>derived_from_established_parent_review_required</x:v>
      </x:c>
      <x:c r="L687" s="13" t="str">
        <x:v>P2</x:v>
      </x:c>
      <x:c r="M687" s="13" t="str">
        <x:v>no</x:v>
      </x:c>
      <x:c r="N687" s="13" t="str">
        <x:v>Operational subtype under Group polarization: authority or credential cues drive the conclusion. Parent definition: Discussion among similar views leads to more extreme positions.</x:v>
      </x:c>
      <x:c r="O687" s="13" t="str">
        <x:v>Look for: explicit claim-level evidence; parent-family cues for Group polarization; variant cue: authority or credential cues drive the conclusion; avoid author-level inference.</x:v>
      </x:c>
      <x:c r="P687" s="13" t="str">
        <x:v>Exact evidence span in text plus claim-level reasoning link; for contextual/discourse entries, require surrounding context.</x:v>
      </x:c>
      <x:c r="Q687" s="13" t="str">
        <x:v>Do not label merely because topic is controversial, emotional, or wrong. Do not judge intent or personality. Require textual evidence and consider healthy-reasoning cues.</x:v>
      </x:c>
      <x:c r="R687" s="13" t="str">
        <x:v>Stub: A claim relies on authority or credential cues drive the conclusion to support a conclusion without adequate qualification.</x:v>
      </x:c>
      <x:c r="S687" s="13" t="str">
        <x:v>Stub: A claim discusses group polarization with caveats, balanced evidence, or no argumentative use of the pattern.</x:v>
      </x:c>
      <x:c r="T687" s="13" t="str">
        <x:v>Mild or ambiguous cue; do not classify without clear evidence span.</x:v>
      </x:c>
      <x:c r="U687" s="13" t="str">
        <x:v>Clear claim-level pattern with some argumentative impact.</x:v>
      </x:c>
      <x:c r="V687" s="13" t="str">
        <x:v>Strong pattern central to the conclusion and likely to materially distort reasoning.</x:v>
      </x:c>
      <x:c r="W687" s="13" t="str"/>
      <x:c r="X687" s="13" t="str">
        <x:v>cialdini_influence</x:v>
      </x:c>
      <x:c r="Y687" s="13" t="str">
        <x:v>https://www.pearson.com/en-us/subject-catalog/p/influence-science-and-practice/P200000003004</x:v>
      </x:c>
      <x:c r="Z687" s="13" t="str">
        <x:v>Review before enabling. This workbook is a living taxonomy scaffold, not a validated scientific benchmark.</x:v>
      </x:c>
      <x:c r="AA687" s="13" t="str">
        <x:v>0.1.0-draft</x:v>
      </x:c>
      <x:c r="AB687" s="12" t="str">
        <x:f>IF(ISNUMBER(SEARCH("healthy",F687)),"healthy_reasoning_patterns",IF(ISNUMBER(SEARCH("statistical",F687)),"statistical_reasoning",IF(ISNUMBER(SEARCH("causal",F687)),"causal_reasoning",IF(ISNUMBER(SEARCH("social",F687)),"social_influence",IF(ISNUMBER(SEARCH("rhetoric",F687)),"rhetoric_discourse",IF(ISNUMBER(SEARCH("behavior",F687)),"behavioural_economics",IF(ISNUMBER(SEARCH("cognitive",F687)),"cognitive_biases",IF(J687="protective_pattern","healthy_reasoning_patterns",IF(L687="P0","core_mvp","extended_fallacies")))))))))</x:f>
        <x:v>social_influence</x:v>
      </x:c>
      <x:c r="AC687" s="12" t="str">
        <x:f>IF(ISNUMBER(SEARCH("operational",J687)),"operational",IF(ISNUMBER(SEARCH("deprecated",J687)),"deprecated",IF(L687="P0","canonical","recognized_subtype")))</x:f>
        <x:v>operational</x:v>
      </x:c>
      <x:c r="AD687" s="12" t="str">
        <x:f>IF(AC687="canonical","high",IF(AC687="recognized_subtype","medium",IF(AC687="operational","operational_only","debated")))</x:f>
        <x:v>operational_only</x:v>
      </x:c>
      <x:c r="AE687" s="12" t="str">
        <x:f>IF(AC687="deprecated","deprecated",IF(M687="yes","active",IF(M687="review","review_required","backlog")))</x:f>
        <x:v>backlog</x:v>
      </x:c>
      <x:c r="AF687" s="12" t="str">
        <x:f>IF(OR(AE687="active",AE687="review_required"),"yes","no")</x:f>
        <x:v>no</x:v>
      </x:c>
      <x:c r="AG687" s="12" t="str">
        <x:f>IF(AND(AE687="active",M687="yes",NOT(ISNUMBER(SEARCH("healthy",AB687)))),"yes","no")</x:f>
        <x:v>no</x:v>
      </x:c>
      <x:c r="AH687" s="12" t="str">
        <x:f>IF(OR(H687="contextual",H687="dialogue",H687="discourse",I687="claim+context",I687="discourse_segment"),"yes","no")</x:f>
        <x:v>yes</x:v>
      </x:c>
      <x:c r="AI687" s="12" t="str">
        <x:f>IF(OR(AH687="yes",AD687="debated",AC687="operational"),"yes","no")</x:f>
        <x:v>yes</x:v>
      </x:c>
      <x:c r="AJ687" s="12" t="str">
        <x:f>IF(OR(AH687="yes",AC687="operational",AD687="debated"),"high",IF(AND(AG687="yes",L687="P0"),"medium","low"))</x:f>
        <x:v>high</x:v>
      </x:c>
      <x:c r="AK687" s="12" t="str">
        <x:f>IF(ISNUMBER(SEARCH("healthy",AB687)),"yes","no")</x:f>
        <x:v>no</x:v>
      </x:c>
      <x:c r="AL687" s="12" t="str">
        <x:f>IF(AG687="yes","yes","candidate_only")</x:f>
        <x:v>candidate_only</x:v>
      </x:c>
      <x:c r="AM687" s="12" t="str">
        <x:f>IF(OR(AC687="canonical",AG687="yes"),"yes","recommended")</x:f>
        <x:v>recommended</x:v>
      </x:c>
      <x:c r="AN687" s="12" t="str">
        <x:f>IF(AC687="deprecated","exclude",IF(AND(AG687="yes",AJ687="high"),"import_but_human_review_required",IF(AG687="yes","import_as_active","import_as_backlog")))</x:f>
        <x:v>import_as_backlog</x:v>
      </x:c>
      <x:c r="AO687" s="12" t="str">
        <x:f>IF(AND(AG687="yes",OR(P687="",Q687="",R687="",S687="")),"missing_required_mvp_fields",IF(AND(AC687="canonical",Y687=""),"missing_source_ref","ok"))</x:f>
        <x:v>ok</x:v>
      </x:c>
      <x:c r="AP687" s="12" t="str">
        <x:f>IF(AO687="ok","ready_for_codex_import","needs_review")</x:f>
        <x:v>ready_for_codex_import</x:v>
      </x:c>
      <x:c r="AQ687" s="12"/>
      <x:c r="AR687" s="12" t="str">
        <x:v>Added v2 operational fields. Review before classification activation.</x:v>
      </x:c>
    </x:row>
    <x:row r="688">
      <x:c r="A688" s="13" t="str">
        <x:v>pluralistic_ignorance_authority_cue_variant</x:v>
      </x:c>
      <x:c r="B688" s="13" t="str">
        <x:v>pluralistic_ignorance</x:v>
      </x:c>
      <x:c r="C688" s="13" t="str">
        <x:v>Pluralistic ignorance</x:v>
      </x:c>
      <x:c r="D688" s="13" t="str">
        <x:v>نادانی جمعی</x:v>
      </x:c>
      <x:c r="E688" s="13" t="str">
        <x:v>Authority-cue variant</x:v>
      </x:c>
      <x:c r="F688" s="13" t="str">
        <x:v>social_influence_patterns</x:v>
      </x:c>
      <x:c r="G688" s="13" t="str">
        <x:v>operational_variant</x:v>
      </x:c>
      <x:c r="H688" s="13" t="str">
        <x:v>contextual</x:v>
      </x:c>
      <x:c r="I688" s="13" t="str">
        <x:v>claim+context</x:v>
      </x:c>
      <x:c r="J688" s="13" t="str">
        <x:v>derived_operational_subtype</x:v>
      </x:c>
      <x:c r="K688" s="13" t="str">
        <x:v>derived_from_established_parent_review_required</x:v>
      </x:c>
      <x:c r="L688" s="13" t="str">
        <x:v>P2</x:v>
      </x:c>
      <x:c r="M688" s="13" t="str">
        <x:v>no</x:v>
      </x:c>
      <x:c r="N688" s="13" t="str">
        <x:v>Operational subtype under Pluralistic ignorance: authority or credential cues drive the conclusion. Parent definition: People privately reject a norm but assume others accept it.</x:v>
      </x:c>
      <x:c r="O688" s="13" t="str">
        <x:v>Look for: explicit claim-level evidence; parent-family cues for Pluralistic ignorance; variant cue: authority or credential cues drive the conclusion; avoid author-level inference.</x:v>
      </x:c>
      <x:c r="P688" s="13" t="str">
        <x:v>Exact evidence span in text plus claim-level reasoning link; for contextual/discourse entries, require surrounding context.</x:v>
      </x:c>
      <x:c r="Q688" s="13" t="str">
        <x:v>Do not label merely because topic is controversial, emotional, or wrong. Do not judge intent or personality. Require textual evidence and consider healthy-reasoning cues.</x:v>
      </x:c>
      <x:c r="R688" s="13" t="str">
        <x:v>Stub: A claim relies on authority or credential cues drive the conclusion to support a conclusion without adequate qualification.</x:v>
      </x:c>
      <x:c r="S688" s="13" t="str">
        <x:v>Stub: A claim discusses pluralistic ignorance with caveats, balanced evidence, or no argumentative use of the pattern.</x:v>
      </x:c>
      <x:c r="T688" s="13" t="str">
        <x:v>Mild or ambiguous cue; do not classify without clear evidence span.</x:v>
      </x:c>
      <x:c r="U688" s="13" t="str">
        <x:v>Clear claim-level pattern with some argumentative impact.</x:v>
      </x:c>
      <x:c r="V688" s="13" t="str">
        <x:v>Strong pattern central to the conclusion and likely to materially distort reasoning.</x:v>
      </x:c>
      <x:c r="W688" s="13" t="str"/>
      <x:c r="X688" s="13" t="str">
        <x:v>cialdini_influence</x:v>
      </x:c>
      <x:c r="Y688" s="13" t="str">
        <x:v>https://www.pearson.com/en-us/subject-catalog/p/influence-science-and-practice/P200000003004</x:v>
      </x:c>
      <x:c r="Z688" s="13" t="str">
        <x:v>Review before enabling. This workbook is a living taxonomy scaffold, not a validated scientific benchmark.</x:v>
      </x:c>
      <x:c r="AA688" s="13" t="str">
        <x:v>0.1.0-draft</x:v>
      </x:c>
      <x:c r="AB688" s="12" t="str">
        <x:f>IF(ISNUMBER(SEARCH("healthy",F688)),"healthy_reasoning_patterns",IF(ISNUMBER(SEARCH("statistical",F688)),"statistical_reasoning",IF(ISNUMBER(SEARCH("causal",F688)),"causal_reasoning",IF(ISNUMBER(SEARCH("social",F688)),"social_influence",IF(ISNUMBER(SEARCH("rhetoric",F688)),"rhetoric_discourse",IF(ISNUMBER(SEARCH("behavior",F688)),"behavioural_economics",IF(ISNUMBER(SEARCH("cognitive",F688)),"cognitive_biases",IF(J688="protective_pattern","healthy_reasoning_patterns",IF(L688="P0","core_mvp","extended_fallacies")))))))))</x:f>
        <x:v>social_influence</x:v>
      </x:c>
      <x:c r="AC688" s="12" t="str">
        <x:f>IF(ISNUMBER(SEARCH("operational",J688)),"operational",IF(ISNUMBER(SEARCH("deprecated",J688)),"deprecated",IF(L688="P0","canonical","recognized_subtype")))</x:f>
        <x:v>operational</x:v>
      </x:c>
      <x:c r="AD688" s="12" t="str">
        <x:f>IF(AC688="canonical","high",IF(AC688="recognized_subtype","medium",IF(AC688="operational","operational_only","debated")))</x:f>
        <x:v>operational_only</x:v>
      </x:c>
      <x:c r="AE688" s="12" t="str">
        <x:f>IF(AC688="deprecated","deprecated",IF(M688="yes","active",IF(M688="review","review_required","backlog")))</x:f>
        <x:v>backlog</x:v>
      </x:c>
      <x:c r="AF688" s="12" t="str">
        <x:f>IF(OR(AE688="active",AE688="review_required"),"yes","no")</x:f>
        <x:v>no</x:v>
      </x:c>
      <x:c r="AG688" s="12" t="str">
        <x:f>IF(AND(AE688="active",M688="yes",NOT(ISNUMBER(SEARCH("healthy",AB688)))),"yes","no")</x:f>
        <x:v>no</x:v>
      </x:c>
      <x:c r="AH688" s="12" t="str">
        <x:f>IF(OR(H688="contextual",H688="dialogue",H688="discourse",I688="claim+context",I688="discourse_segment"),"yes","no")</x:f>
        <x:v>yes</x:v>
      </x:c>
      <x:c r="AI688" s="12" t="str">
        <x:f>IF(OR(AH688="yes",AD688="debated",AC688="operational"),"yes","no")</x:f>
        <x:v>yes</x:v>
      </x:c>
      <x:c r="AJ688" s="12" t="str">
        <x:f>IF(OR(AH688="yes",AC688="operational",AD688="debated"),"high",IF(AND(AG688="yes",L688="P0"),"medium","low"))</x:f>
        <x:v>high</x:v>
      </x:c>
      <x:c r="AK688" s="12" t="str">
        <x:f>IF(ISNUMBER(SEARCH("healthy",AB688)),"yes","no")</x:f>
        <x:v>no</x:v>
      </x:c>
      <x:c r="AL688" s="12" t="str">
        <x:f>IF(AG688="yes","yes","candidate_only")</x:f>
        <x:v>candidate_only</x:v>
      </x:c>
      <x:c r="AM688" s="12" t="str">
        <x:f>IF(OR(AC688="canonical",AG688="yes"),"yes","recommended")</x:f>
        <x:v>recommended</x:v>
      </x:c>
      <x:c r="AN688" s="12" t="str">
        <x:f>IF(AC688="deprecated","exclude",IF(AND(AG688="yes",AJ688="high"),"import_but_human_review_required",IF(AG688="yes","import_as_active","import_as_backlog")))</x:f>
        <x:v>import_as_backlog</x:v>
      </x:c>
      <x:c r="AO688" s="12" t="str">
        <x:f>IF(AND(AG688="yes",OR(P688="",Q688="",R688="",S688="")),"missing_required_mvp_fields",IF(AND(AC688="canonical",Y688=""),"missing_source_ref","ok"))</x:f>
        <x:v>ok</x:v>
      </x:c>
      <x:c r="AP688" s="12" t="str">
        <x:f>IF(AO688="ok","ready_for_codex_import","needs_review")</x:f>
        <x:v>ready_for_codex_import</x:v>
      </x:c>
      <x:c r="AQ688" s="12"/>
      <x:c r="AR688" s="12" t="str">
        <x:v>Added v2 operational fields. Review before classification activation.</x:v>
      </x:c>
    </x:row>
    <x:row r="689">
      <x:c r="A689" s="13" t="str">
        <x:v>false_consensus_effect_authority_cue_variant</x:v>
      </x:c>
      <x:c r="B689" s="13" t="str">
        <x:v>false_consensus_effect</x:v>
      </x:c>
      <x:c r="C689" s="13" t="str">
        <x:v>False consensus effect</x:v>
      </x:c>
      <x:c r="D689" s="13" t="str">
        <x:v>اثر اجماع کاذب</x:v>
      </x:c>
      <x:c r="E689" s="13" t="str">
        <x:v>Authority-cue variant</x:v>
      </x:c>
      <x:c r="F689" s="13" t="str">
        <x:v>social_influence_patterns</x:v>
      </x:c>
      <x:c r="G689" s="13" t="str">
        <x:v>operational_variant</x:v>
      </x:c>
      <x:c r="H689" s="13" t="str">
        <x:v>contextual</x:v>
      </x:c>
      <x:c r="I689" s="13" t="str">
        <x:v>claim+context</x:v>
      </x:c>
      <x:c r="J689" s="13" t="str">
        <x:v>derived_operational_subtype</x:v>
      </x:c>
      <x:c r="K689" s="13" t="str">
        <x:v>derived_from_established_parent_review_required</x:v>
      </x:c>
      <x:c r="L689" s="13" t="str">
        <x:v>P2</x:v>
      </x:c>
      <x:c r="M689" s="13" t="str">
        <x:v>no</x:v>
      </x:c>
      <x:c r="N689" s="13" t="str">
        <x:v>Operational subtype under False consensus effect: authority or credential cues drive the conclusion. Parent definition: Overestimating how many others share one's views.</x:v>
      </x:c>
      <x:c r="O689" s="13" t="str">
        <x:v>Look for: explicit claim-level evidence; parent-family cues for False consensus effect; variant cue: authority or credential cues drive the conclusion; avoid author-level inference.</x:v>
      </x:c>
      <x:c r="P689" s="13" t="str">
        <x:v>Exact evidence span in text plus claim-level reasoning link; for contextual/discourse entries, require surrounding context.</x:v>
      </x:c>
      <x:c r="Q689" s="13" t="str">
        <x:v>Do not label merely because topic is controversial, emotional, or wrong. Do not judge intent or personality. Require textual evidence and consider healthy-reasoning cues.</x:v>
      </x:c>
      <x:c r="R689" s="13" t="str">
        <x:v>Stub: A claim relies on authority or credential cues drive the conclusion to support a conclusion without adequate qualification.</x:v>
      </x:c>
      <x:c r="S689" s="13" t="str">
        <x:v>Stub: A claim discusses false consensus effect with caveats, balanced evidence, or no argumentative use of the pattern.</x:v>
      </x:c>
      <x:c r="T689" s="13" t="str">
        <x:v>Mild or ambiguous cue; do not classify without clear evidence span.</x:v>
      </x:c>
      <x:c r="U689" s="13" t="str">
        <x:v>Clear claim-level pattern with some argumentative impact.</x:v>
      </x:c>
      <x:c r="V689" s="13" t="str">
        <x:v>Strong pattern central to the conclusion and likely to materially distort reasoning.</x:v>
      </x:c>
      <x:c r="W689" s="13" t="str"/>
      <x:c r="X689" s="13" t="str">
        <x:v>gilovich_heuristics_biases</x:v>
      </x:c>
      <x:c r="Y689" s="13" t="str">
        <x:v>https://www.cambridge.org/core/books/heuristics-and-biases/3C30D3B05D2F190C3B8BE5E2531EFD24</x:v>
      </x:c>
      <x:c r="Z689" s="13" t="str">
        <x:v>Review before enabling. This workbook is a living taxonomy scaffold, not a validated scientific benchmark.</x:v>
      </x:c>
      <x:c r="AA689" s="13" t="str">
        <x:v>0.1.0-draft</x:v>
      </x:c>
      <x:c r="AB689" s="12" t="str">
        <x:f>IF(ISNUMBER(SEARCH("healthy",F689)),"healthy_reasoning_patterns",IF(ISNUMBER(SEARCH("statistical",F689)),"statistical_reasoning",IF(ISNUMBER(SEARCH("causal",F689)),"causal_reasoning",IF(ISNUMBER(SEARCH("social",F689)),"social_influence",IF(ISNUMBER(SEARCH("rhetoric",F689)),"rhetoric_discourse",IF(ISNUMBER(SEARCH("behavior",F689)),"behavioural_economics",IF(ISNUMBER(SEARCH("cognitive",F689)),"cognitive_biases",IF(J689="protective_pattern","healthy_reasoning_patterns",IF(L689="P0","core_mvp","extended_fallacies")))))))))</x:f>
        <x:v>social_influence</x:v>
      </x:c>
      <x:c r="AC689" s="12" t="str">
        <x:f>IF(ISNUMBER(SEARCH("operational",J689)),"operational",IF(ISNUMBER(SEARCH("deprecated",J689)),"deprecated",IF(L689="P0","canonical","recognized_subtype")))</x:f>
        <x:v>operational</x:v>
      </x:c>
      <x:c r="AD689" s="12" t="str">
        <x:f>IF(AC689="canonical","high",IF(AC689="recognized_subtype","medium",IF(AC689="operational","operational_only","debated")))</x:f>
        <x:v>operational_only</x:v>
      </x:c>
      <x:c r="AE689" s="12" t="str">
        <x:f>IF(AC689="deprecated","deprecated",IF(M689="yes","active",IF(M689="review","review_required","backlog")))</x:f>
        <x:v>backlog</x:v>
      </x:c>
      <x:c r="AF689" s="12" t="str">
        <x:f>IF(OR(AE689="active",AE689="review_required"),"yes","no")</x:f>
        <x:v>no</x:v>
      </x:c>
      <x:c r="AG689" s="12" t="str">
        <x:f>IF(AND(AE689="active",M689="yes",NOT(ISNUMBER(SEARCH("healthy",AB689)))),"yes","no")</x:f>
        <x:v>no</x:v>
      </x:c>
      <x:c r="AH689" s="12" t="str">
        <x:f>IF(OR(H689="contextual",H689="dialogue",H689="discourse",I689="claim+context",I689="discourse_segment"),"yes","no")</x:f>
        <x:v>yes</x:v>
      </x:c>
      <x:c r="AI689" s="12" t="str">
        <x:f>IF(OR(AH689="yes",AD689="debated",AC689="operational"),"yes","no")</x:f>
        <x:v>yes</x:v>
      </x:c>
      <x:c r="AJ689" s="12" t="str">
        <x:f>IF(OR(AH689="yes",AC689="operational",AD689="debated"),"high",IF(AND(AG689="yes",L689="P0"),"medium","low"))</x:f>
        <x:v>high</x:v>
      </x:c>
      <x:c r="AK689" s="12" t="str">
        <x:f>IF(ISNUMBER(SEARCH("healthy",AB689)),"yes","no")</x:f>
        <x:v>no</x:v>
      </x:c>
      <x:c r="AL689" s="12" t="str">
        <x:f>IF(AG689="yes","yes","candidate_only")</x:f>
        <x:v>candidate_only</x:v>
      </x:c>
      <x:c r="AM689" s="12" t="str">
        <x:f>IF(OR(AC689="canonical",AG689="yes"),"yes","recommended")</x:f>
        <x:v>recommended</x:v>
      </x:c>
      <x:c r="AN689" s="12" t="str">
        <x:f>IF(AC689="deprecated","exclude",IF(AND(AG689="yes",AJ689="high"),"import_but_human_review_required",IF(AG689="yes","import_as_active","import_as_backlog")))</x:f>
        <x:v>import_as_backlog</x:v>
      </x:c>
      <x:c r="AO689" s="12" t="str">
        <x:f>IF(AND(AG689="yes",OR(P689="",Q689="",R689="",S689="")),"missing_required_mvp_fields",IF(AND(AC689="canonical",Y689=""),"missing_source_ref","ok"))</x:f>
        <x:v>ok</x:v>
      </x:c>
      <x:c r="AP689" s="12" t="str">
        <x:f>IF(AO689="ok","ready_for_codex_import","needs_review")</x:f>
        <x:v>ready_for_codex_import</x:v>
      </x:c>
      <x:c r="AQ689" s="12"/>
      <x:c r="AR689" s="12" t="str">
        <x:v>Added v2 operational fields. Review before classification activation.</x:v>
      </x:c>
    </x:row>
    <x:row r="690">
      <x:c r="A690" s="13" t="str">
        <x:v>false_uniqueness_effect_authority_cue_variant</x:v>
      </x:c>
      <x:c r="B690" s="13" t="str">
        <x:v>false_uniqueness_effect</x:v>
      </x:c>
      <x:c r="C690" s="13" t="str">
        <x:v>False uniqueness effect</x:v>
      </x:c>
      <x:c r="D690" s="13" t="str">
        <x:v>اثر یکتایی کاذب</x:v>
      </x:c>
      <x:c r="E690" s="13" t="str">
        <x:v>Authority-cue variant</x:v>
      </x:c>
      <x:c r="F690" s="13" t="str">
        <x:v>social_influence_patterns</x:v>
      </x:c>
      <x:c r="G690" s="13" t="str">
        <x:v>operational_variant</x:v>
      </x:c>
      <x:c r="H690" s="13" t="str">
        <x:v>contextual</x:v>
      </x:c>
      <x:c r="I690" s="13" t="str">
        <x:v>claim+context</x:v>
      </x:c>
      <x:c r="J690" s="13" t="str">
        <x:v>derived_operational_subtype</x:v>
      </x:c>
      <x:c r="K690" s="13" t="str">
        <x:v>derived_from_established_parent_review_required</x:v>
      </x:c>
      <x:c r="L690" s="13" t="str">
        <x:v>P2</x:v>
      </x:c>
      <x:c r="M690" s="13" t="str">
        <x:v>no</x:v>
      </x:c>
      <x:c r="N690" s="13" t="str">
        <x:v>Operational subtype under False uniqueness effect: authority or credential cues drive the conclusion. Parent definition: Underestimating how many others share one's desirable traits or views.</x:v>
      </x:c>
      <x:c r="O690" s="13" t="str">
        <x:v>Look for: explicit claim-level evidence; parent-family cues for False uniqueness effect; variant cue: authority or credential cues drive the conclusion; avoid author-level inference.</x:v>
      </x:c>
      <x:c r="P690" s="13" t="str">
        <x:v>Exact evidence span in text plus claim-level reasoning link; for contextual/discourse entries, require surrounding context.</x:v>
      </x:c>
      <x:c r="Q690" s="13" t="str">
        <x:v>Do not label merely because topic is controversial, emotional, or wrong. Do not judge intent or personality. Require textual evidence and consider healthy-reasoning cues.</x:v>
      </x:c>
      <x:c r="R690" s="13" t="str">
        <x:v>Stub: A claim relies on authority or credential cues drive the conclusion to support a conclusion without adequate qualification.</x:v>
      </x:c>
      <x:c r="S690" s="13" t="str">
        <x:v>Stub: A claim discusses false uniqueness effect with caveats, balanced evidence, or no argumentative use of the pattern.</x:v>
      </x:c>
      <x:c r="T690" s="13" t="str">
        <x:v>Mild or ambiguous cue; do not classify without clear evidence span.</x:v>
      </x:c>
      <x:c r="U690" s="13" t="str">
        <x:v>Clear claim-level pattern with some argumentative impact.</x:v>
      </x:c>
      <x:c r="V690" s="13" t="str">
        <x:v>Strong pattern central to the conclusion and likely to materially distort reasoning.</x:v>
      </x:c>
      <x:c r="W690" s="13" t="str"/>
      <x:c r="X690" s="13" t="str">
        <x:v>gilovich_heuristics_biases</x:v>
      </x:c>
      <x:c r="Y690" s="13" t="str">
        <x:v>https://www.cambridge.org/core/books/heuristics-and-biases/3C30D3B05D2F190C3B8BE5E2531EFD24</x:v>
      </x:c>
      <x:c r="Z690" s="13" t="str">
        <x:v>Review before enabling. This workbook is a living taxonomy scaffold, not a validated scientific benchmark.</x:v>
      </x:c>
      <x:c r="AA690" s="13" t="str">
        <x:v>0.1.0-draft</x:v>
      </x:c>
      <x:c r="AB690" s="12" t="str">
        <x:f>IF(ISNUMBER(SEARCH("healthy",F690)),"healthy_reasoning_patterns",IF(ISNUMBER(SEARCH("statistical",F690)),"statistical_reasoning",IF(ISNUMBER(SEARCH("causal",F690)),"causal_reasoning",IF(ISNUMBER(SEARCH("social",F690)),"social_influence",IF(ISNUMBER(SEARCH("rhetoric",F690)),"rhetoric_discourse",IF(ISNUMBER(SEARCH("behavior",F690)),"behavioural_economics",IF(ISNUMBER(SEARCH("cognitive",F690)),"cognitive_biases",IF(J690="protective_pattern","healthy_reasoning_patterns",IF(L690="P0","core_mvp","extended_fallacies")))))))))</x:f>
        <x:v>social_influence</x:v>
      </x:c>
      <x:c r="AC690" s="12" t="str">
        <x:f>IF(ISNUMBER(SEARCH("operational",J690)),"operational",IF(ISNUMBER(SEARCH("deprecated",J690)),"deprecated",IF(L690="P0","canonical","recognized_subtype")))</x:f>
        <x:v>operational</x:v>
      </x:c>
      <x:c r="AD690" s="12" t="str">
        <x:f>IF(AC690="canonical","high",IF(AC690="recognized_subtype","medium",IF(AC690="operational","operational_only","debated")))</x:f>
        <x:v>operational_only</x:v>
      </x:c>
      <x:c r="AE690" s="12" t="str">
        <x:f>IF(AC690="deprecated","deprecated",IF(M690="yes","active",IF(M690="review","review_required","backlog")))</x:f>
        <x:v>backlog</x:v>
      </x:c>
      <x:c r="AF690" s="12" t="str">
        <x:f>IF(OR(AE690="active",AE690="review_required"),"yes","no")</x:f>
        <x:v>no</x:v>
      </x:c>
      <x:c r="AG690" s="12" t="str">
        <x:f>IF(AND(AE690="active",M690="yes",NOT(ISNUMBER(SEARCH("healthy",AB690)))),"yes","no")</x:f>
        <x:v>no</x:v>
      </x:c>
      <x:c r="AH690" s="12" t="str">
        <x:f>IF(OR(H690="contextual",H690="dialogue",H690="discourse",I690="claim+context",I690="discourse_segment"),"yes","no")</x:f>
        <x:v>yes</x:v>
      </x:c>
      <x:c r="AI690" s="12" t="str">
        <x:f>IF(OR(AH690="yes",AD690="debated",AC690="operational"),"yes","no")</x:f>
        <x:v>yes</x:v>
      </x:c>
      <x:c r="AJ690" s="12" t="str">
        <x:f>IF(OR(AH690="yes",AC690="operational",AD690="debated"),"high",IF(AND(AG690="yes",L690="P0"),"medium","low"))</x:f>
        <x:v>high</x:v>
      </x:c>
      <x:c r="AK690" s="12" t="str">
        <x:f>IF(ISNUMBER(SEARCH("healthy",AB690)),"yes","no")</x:f>
        <x:v>no</x:v>
      </x:c>
      <x:c r="AL690" s="12" t="str">
        <x:f>IF(AG690="yes","yes","candidate_only")</x:f>
        <x:v>candidate_only</x:v>
      </x:c>
      <x:c r="AM690" s="12" t="str">
        <x:f>IF(OR(AC690="canonical",AG690="yes"),"yes","recommended")</x:f>
        <x:v>recommended</x:v>
      </x:c>
      <x:c r="AN690" s="12" t="str">
        <x:f>IF(AC690="deprecated","exclude",IF(AND(AG690="yes",AJ690="high"),"import_but_human_review_required",IF(AG690="yes","import_as_active","import_as_backlog")))</x:f>
        <x:v>import_as_backlog</x:v>
      </x:c>
      <x:c r="AO690" s="12" t="str">
        <x:f>IF(AND(AG690="yes",OR(P690="",Q690="",R690="",S690="")),"missing_required_mvp_fields",IF(AND(AC690="canonical",Y690=""),"missing_source_ref","ok"))</x:f>
        <x:v>ok</x:v>
      </x:c>
      <x:c r="AP690" s="12" t="str">
        <x:f>IF(AO690="ok","ready_for_codex_import","needs_review")</x:f>
        <x:v>ready_for_codex_import</x:v>
      </x:c>
      <x:c r="AQ690" s="12"/>
      <x:c r="AR690" s="12" t="str">
        <x:v>Added v2 operational fields. Review before classification activation.</x:v>
      </x:c>
    </x:row>
    <x:row r="691">
      <x:c r="A691" s="13" t="str">
        <x:v>information_cascade_authority_cue_variant</x:v>
      </x:c>
      <x:c r="B691" s="13" t="str">
        <x:v>information_cascade</x:v>
      </x:c>
      <x:c r="C691" s="13" t="str">
        <x:v>Information cascade</x:v>
      </x:c>
      <x:c r="D691" s="13" t="str">
        <x:v>آبشار اطلاعاتی</x:v>
      </x:c>
      <x:c r="E691" s="13" t="str">
        <x:v>Authority-cue variant</x:v>
      </x:c>
      <x:c r="F691" s="13" t="str">
        <x:v>social_influence_patterns</x:v>
      </x:c>
      <x:c r="G691" s="13" t="str">
        <x:v>operational_variant</x:v>
      </x:c>
      <x:c r="H691" s="13" t="str">
        <x:v>discourse</x:v>
      </x:c>
      <x:c r="I691" s="13" t="str">
        <x:v>discourse_segment</x:v>
      </x:c>
      <x:c r="J691" s="13" t="str">
        <x:v>derived_operational_subtype</x:v>
      </x:c>
      <x:c r="K691" s="13" t="str">
        <x:v>derived_from_established_parent_review_required</x:v>
      </x:c>
      <x:c r="L691" s="13" t="str">
        <x:v>P2</x:v>
      </x:c>
      <x:c r="M691" s="13" t="str">
        <x:v>no</x:v>
      </x:c>
      <x:c r="N691" s="13" t="str">
        <x:v>Operational subtype under Information cascade: authority or credential cues drive the conclusion. Parent definition: Following earlier choices because they appear informative.</x:v>
      </x:c>
      <x:c r="O691" s="13" t="str">
        <x:v>Look for: explicit claim-level evidence; parent-family cues for Information cascade; variant cue: authority or credential cues drive the conclusion; avoid author-level inference.</x:v>
      </x:c>
      <x:c r="P691" s="13" t="str">
        <x:v>Exact evidence span in text plus claim-level reasoning link; for contextual/discourse entries, require surrounding context.</x:v>
      </x:c>
      <x:c r="Q691" s="13" t="str">
        <x:v>Do not label merely because topic is controversial, emotional, or wrong. Do not judge intent or personality. Require textual evidence and consider healthy-reasoning cues.</x:v>
      </x:c>
      <x:c r="R691" s="13" t="str">
        <x:v>Stub: A claim relies on authority or credential cues drive the conclusion to support a conclusion without adequate qualification.</x:v>
      </x:c>
      <x:c r="S691" s="13" t="str">
        <x:v>Stub: A claim discusses information cascade with caveats, balanced evidence, or no argumentative use of the pattern.</x:v>
      </x:c>
      <x:c r="T691" s="13" t="str">
        <x:v>Mild or ambiguous cue; do not classify without clear evidence span.</x:v>
      </x:c>
      <x:c r="U691" s="13" t="str">
        <x:v>Clear claim-level pattern with some argumentative impact.</x:v>
      </x:c>
      <x:c r="V691" s="13" t="str">
        <x:v>Strong pattern central to the conclusion and likely to materially distort reasoning.</x:v>
      </x:c>
      <x:c r="W691" s="13" t="str"/>
      <x:c r="X691" s="13" t="str">
        <x:v>cialdini_influence</x:v>
      </x:c>
      <x:c r="Y691" s="13" t="str">
        <x:v>https://www.pearson.com/en-us/subject-catalog/p/influence-science-and-practice/P200000003004</x:v>
      </x:c>
      <x:c r="Z691" s="13" t="str">
        <x:v>Review before enabling. This workbook is a living taxonomy scaffold, not a validated scientific benchmark.</x:v>
      </x:c>
      <x:c r="AA691" s="13" t="str">
        <x:v>0.1.0-draft</x:v>
      </x:c>
      <x:c r="AB691" s="12" t="str">
        <x:f>IF(ISNUMBER(SEARCH("healthy",F691)),"healthy_reasoning_patterns",IF(ISNUMBER(SEARCH("statistical",F691)),"statistical_reasoning",IF(ISNUMBER(SEARCH("causal",F691)),"causal_reasoning",IF(ISNUMBER(SEARCH("social",F691)),"social_influence",IF(ISNUMBER(SEARCH("rhetoric",F691)),"rhetoric_discourse",IF(ISNUMBER(SEARCH("behavior",F691)),"behavioural_economics",IF(ISNUMBER(SEARCH("cognitive",F691)),"cognitive_biases",IF(J691="protective_pattern","healthy_reasoning_patterns",IF(L691="P0","core_mvp","extended_fallacies")))))))))</x:f>
        <x:v>social_influence</x:v>
      </x:c>
      <x:c r="AC691" s="12" t="str">
        <x:f>IF(ISNUMBER(SEARCH("operational",J691)),"operational",IF(ISNUMBER(SEARCH("deprecated",J691)),"deprecated",IF(L691="P0","canonical","recognized_subtype")))</x:f>
        <x:v>operational</x:v>
      </x:c>
      <x:c r="AD691" s="12" t="str">
        <x:f>IF(AC691="canonical","high",IF(AC691="recognized_subtype","medium",IF(AC691="operational","operational_only","debated")))</x:f>
        <x:v>operational_only</x:v>
      </x:c>
      <x:c r="AE691" s="12" t="str">
        <x:f>IF(AC691="deprecated","deprecated",IF(M691="yes","active",IF(M691="review","review_required","backlog")))</x:f>
        <x:v>backlog</x:v>
      </x:c>
      <x:c r="AF691" s="12" t="str">
        <x:f>IF(OR(AE691="active",AE691="review_required"),"yes","no")</x:f>
        <x:v>no</x:v>
      </x:c>
      <x:c r="AG691" s="12" t="str">
        <x:f>IF(AND(AE691="active",M691="yes",NOT(ISNUMBER(SEARCH("healthy",AB691)))),"yes","no")</x:f>
        <x:v>no</x:v>
      </x:c>
      <x:c r="AH691" s="12" t="str">
        <x:f>IF(OR(H691="contextual",H691="dialogue",H691="discourse",I691="claim+context",I691="discourse_segment"),"yes","no")</x:f>
        <x:v>yes</x:v>
      </x:c>
      <x:c r="AI691" s="12" t="str">
        <x:f>IF(OR(AH691="yes",AD691="debated",AC691="operational"),"yes","no")</x:f>
        <x:v>yes</x:v>
      </x:c>
      <x:c r="AJ691" s="12" t="str">
        <x:f>IF(OR(AH691="yes",AC691="operational",AD691="debated"),"high",IF(AND(AG691="yes",L691="P0"),"medium","low"))</x:f>
        <x:v>high</x:v>
      </x:c>
      <x:c r="AK691" s="12" t="str">
        <x:f>IF(ISNUMBER(SEARCH("healthy",AB691)),"yes","no")</x:f>
        <x:v>no</x:v>
      </x:c>
      <x:c r="AL691" s="12" t="str">
        <x:f>IF(AG691="yes","yes","candidate_only")</x:f>
        <x:v>candidate_only</x:v>
      </x:c>
      <x:c r="AM691" s="12" t="str">
        <x:f>IF(OR(AC691="canonical",AG691="yes"),"yes","recommended")</x:f>
        <x:v>recommended</x:v>
      </x:c>
      <x:c r="AN691" s="12" t="str">
        <x:f>IF(AC691="deprecated","exclude",IF(AND(AG691="yes",AJ691="high"),"import_but_human_review_required",IF(AG691="yes","import_as_active","import_as_backlog")))</x:f>
        <x:v>import_as_backlog</x:v>
      </x:c>
      <x:c r="AO691" s="12" t="str">
        <x:f>IF(AND(AG691="yes",OR(P691="",Q691="",R691="",S691="")),"missing_required_mvp_fields",IF(AND(AC691="canonical",Y691=""),"missing_source_ref","ok"))</x:f>
        <x:v>ok</x:v>
      </x:c>
      <x:c r="AP691" s="12" t="str">
        <x:f>IF(AO691="ok","ready_for_codex_import","needs_review")</x:f>
        <x:v>ready_for_codex_import</x:v>
      </x:c>
      <x:c r="AQ691" s="12"/>
      <x:c r="AR691" s="12" t="str">
        <x:v>Added v2 operational fields. Review before classification activation.</x:v>
      </x:c>
    </x:row>
    <x:row r="692">
      <x:c r="A692" s="13" t="str">
        <x:v>reputational_cascade_authority_cue_variant</x:v>
      </x:c>
      <x:c r="B692" s="13" t="str">
        <x:v>reputational_cascade</x:v>
      </x:c>
      <x:c r="C692" s="13" t="str">
        <x:v>Reputational cascade</x:v>
      </x:c>
      <x:c r="D692" s="13" t="str">
        <x:v>آبشار حیثیتی</x:v>
      </x:c>
      <x:c r="E692" s="13" t="str">
        <x:v>Authority-cue variant</x:v>
      </x:c>
      <x:c r="F692" s="13" t="str">
        <x:v>social_influence_patterns</x:v>
      </x:c>
      <x:c r="G692" s="13" t="str">
        <x:v>operational_variant</x:v>
      </x:c>
      <x:c r="H692" s="13" t="str">
        <x:v>discourse</x:v>
      </x:c>
      <x:c r="I692" s="13" t="str">
        <x:v>discourse_segment</x:v>
      </x:c>
      <x:c r="J692" s="13" t="str">
        <x:v>derived_operational_subtype</x:v>
      </x:c>
      <x:c r="K692" s="13" t="str">
        <x:v>derived_from_established_parent_review_required</x:v>
      </x:c>
      <x:c r="L692" s="13" t="str">
        <x:v>P2</x:v>
      </x:c>
      <x:c r="M692" s="13" t="str">
        <x:v>no</x:v>
      </x:c>
      <x:c r="N692" s="13" t="str">
        <x:v>Operational subtype under Reputational cascade: authority or credential cues drive the conclusion. Parent definition: Publicly endorsing a view to protect reputation despite private doubts.</x:v>
      </x:c>
      <x:c r="O692" s="13" t="str">
        <x:v>Look for: explicit claim-level evidence; parent-family cues for Reputational cascade; variant cue: authority or credential cues drive the conclusion; avoid author-level inference.</x:v>
      </x:c>
      <x:c r="P692" s="13" t="str">
        <x:v>Exact evidence span in text plus claim-level reasoning link; for contextual/discourse entries, require surrounding context.</x:v>
      </x:c>
      <x:c r="Q692" s="13" t="str">
        <x:v>Do not label merely because topic is controversial, emotional, or wrong. Do not judge intent or personality. Require textual evidence and consider healthy-reasoning cues.</x:v>
      </x:c>
      <x:c r="R692" s="13" t="str">
        <x:v>Stub: A claim relies on authority or credential cues drive the conclusion to support a conclusion without adequate qualification.</x:v>
      </x:c>
      <x:c r="S692" s="13" t="str">
        <x:v>Stub: A claim discusses reputational cascade with caveats, balanced evidence, or no argumentative use of the pattern.</x:v>
      </x:c>
      <x:c r="T692" s="13" t="str">
        <x:v>Mild or ambiguous cue; do not classify without clear evidence span.</x:v>
      </x:c>
      <x:c r="U692" s="13" t="str">
        <x:v>Clear claim-level pattern with some argumentative impact.</x:v>
      </x:c>
      <x:c r="V692" s="13" t="str">
        <x:v>Strong pattern central to the conclusion and likely to materially distort reasoning.</x:v>
      </x:c>
      <x:c r="W692" s="13" t="str"/>
      <x:c r="X692" s="13" t="str">
        <x:v>cialdini_influence</x:v>
      </x:c>
      <x:c r="Y692" s="13" t="str">
        <x:v>https://www.pearson.com/en-us/subject-catalog/p/influence-science-and-practice/P200000003004</x:v>
      </x:c>
      <x:c r="Z692" s="13" t="str">
        <x:v>Review before enabling. This workbook is a living taxonomy scaffold, not a validated scientific benchmark.</x:v>
      </x:c>
      <x:c r="AA692" s="13" t="str">
        <x:v>0.1.0-draft</x:v>
      </x:c>
      <x:c r="AB692" s="12" t="str">
        <x:f>IF(ISNUMBER(SEARCH("healthy",F692)),"healthy_reasoning_patterns",IF(ISNUMBER(SEARCH("statistical",F692)),"statistical_reasoning",IF(ISNUMBER(SEARCH("causal",F692)),"causal_reasoning",IF(ISNUMBER(SEARCH("social",F692)),"social_influence",IF(ISNUMBER(SEARCH("rhetoric",F692)),"rhetoric_discourse",IF(ISNUMBER(SEARCH("behavior",F692)),"behavioural_economics",IF(ISNUMBER(SEARCH("cognitive",F692)),"cognitive_biases",IF(J692="protective_pattern","healthy_reasoning_patterns",IF(L692="P0","core_mvp","extended_fallacies")))))))))</x:f>
        <x:v>social_influence</x:v>
      </x:c>
      <x:c r="AC692" s="12" t="str">
        <x:f>IF(ISNUMBER(SEARCH("operational",J692)),"operational",IF(ISNUMBER(SEARCH("deprecated",J692)),"deprecated",IF(L692="P0","canonical","recognized_subtype")))</x:f>
        <x:v>operational</x:v>
      </x:c>
      <x:c r="AD692" s="12" t="str">
        <x:f>IF(AC692="canonical","high",IF(AC692="recognized_subtype","medium",IF(AC692="operational","operational_only","debated")))</x:f>
        <x:v>operational_only</x:v>
      </x:c>
      <x:c r="AE692" s="12" t="str">
        <x:f>IF(AC692="deprecated","deprecated",IF(M692="yes","active",IF(M692="review","review_required","backlog")))</x:f>
        <x:v>backlog</x:v>
      </x:c>
      <x:c r="AF692" s="12" t="str">
        <x:f>IF(OR(AE692="active",AE692="review_required"),"yes","no")</x:f>
        <x:v>no</x:v>
      </x:c>
      <x:c r="AG692" s="12" t="str">
        <x:f>IF(AND(AE692="active",M692="yes",NOT(ISNUMBER(SEARCH("healthy",AB692)))),"yes","no")</x:f>
        <x:v>no</x:v>
      </x:c>
      <x:c r="AH692" s="12" t="str">
        <x:f>IF(OR(H692="contextual",H692="dialogue",H692="discourse",I692="claim+context",I692="discourse_segment"),"yes","no")</x:f>
        <x:v>yes</x:v>
      </x:c>
      <x:c r="AI692" s="12" t="str">
        <x:f>IF(OR(AH692="yes",AD692="debated",AC692="operational"),"yes","no")</x:f>
        <x:v>yes</x:v>
      </x:c>
      <x:c r="AJ692" s="12" t="str">
        <x:f>IF(OR(AH692="yes",AC692="operational",AD692="debated"),"high",IF(AND(AG692="yes",L692="P0"),"medium","low"))</x:f>
        <x:v>high</x:v>
      </x:c>
      <x:c r="AK692" s="12" t="str">
        <x:f>IF(ISNUMBER(SEARCH("healthy",AB692)),"yes","no")</x:f>
        <x:v>no</x:v>
      </x:c>
      <x:c r="AL692" s="12" t="str">
        <x:f>IF(AG692="yes","yes","candidate_only")</x:f>
        <x:v>candidate_only</x:v>
      </x:c>
      <x:c r="AM692" s="12" t="str">
        <x:f>IF(OR(AC692="canonical",AG692="yes"),"yes","recommended")</x:f>
        <x:v>recommended</x:v>
      </x:c>
      <x:c r="AN692" s="12" t="str">
        <x:f>IF(AC692="deprecated","exclude",IF(AND(AG692="yes",AJ692="high"),"import_but_human_review_required",IF(AG692="yes","import_as_active","import_as_backlog")))</x:f>
        <x:v>import_as_backlog</x:v>
      </x:c>
      <x:c r="AO692" s="12" t="str">
        <x:f>IF(AND(AG692="yes",OR(P692="",Q692="",R692="",S692="")),"missing_required_mvp_fields",IF(AND(AC692="canonical",Y692=""),"missing_source_ref","ok"))</x:f>
        <x:v>ok</x:v>
      </x:c>
      <x:c r="AP692" s="12" t="str">
        <x:f>IF(AO692="ok","ready_for_codex_import","needs_review")</x:f>
        <x:v>ready_for_codex_import</x:v>
      </x:c>
      <x:c r="AQ692" s="12"/>
      <x:c r="AR692" s="12" t="str">
        <x:v>Added v2 operational fields. Review before classification activation.</x:v>
      </x:c>
    </x:row>
    <x:row r="693">
      <x:c r="A693" s="13" t="str">
        <x:v>ingroup_bias_authority_cue_variant</x:v>
      </x:c>
      <x:c r="B693" s="13" t="str">
        <x:v>ingroup_bias</x:v>
      </x:c>
      <x:c r="C693" s="13" t="str">
        <x:v>In-group bias</x:v>
      </x:c>
      <x:c r="D693" s="13" t="str">
        <x:v>سوگیری درون‌گروهی</x:v>
      </x:c>
      <x:c r="E693" s="13" t="str">
        <x:v>Authority-cue variant</x:v>
      </x:c>
      <x:c r="F693" s="13" t="str">
        <x:v>social_influence_patterns</x:v>
      </x:c>
      <x:c r="G693" s="13" t="str">
        <x:v>operational_variant</x:v>
      </x:c>
      <x:c r="H693" s="13" t="str">
        <x:v>contextual</x:v>
      </x:c>
      <x:c r="I693" s="13" t="str">
        <x:v>claim+context</x:v>
      </x:c>
      <x:c r="J693" s="13" t="str">
        <x:v>derived_operational_subtype</x:v>
      </x:c>
      <x:c r="K693" s="13" t="str">
        <x:v>derived_from_established_parent_review_required</x:v>
      </x:c>
      <x:c r="L693" s="13" t="str">
        <x:v>P2</x:v>
      </x:c>
      <x:c r="M693" s="13" t="str">
        <x:v>no</x:v>
      </x:c>
      <x:c r="N693" s="13" t="str">
        <x:v>Operational subtype under In-group bias: authority or credential cues drive the conclusion. Parent definition: Favoring claims or people associated with one's own group.</x:v>
      </x:c>
      <x:c r="O693" s="13" t="str">
        <x:v>Look for: explicit claim-level evidence; parent-family cues for In-group bias; variant cue: authority or credential cues drive the conclusion; avoid author-level inference.</x:v>
      </x:c>
      <x:c r="P693" s="13" t="str">
        <x:v>Exact evidence span in text plus claim-level reasoning link; for contextual/discourse entries, require surrounding context.</x:v>
      </x:c>
      <x:c r="Q693" s="13" t="str">
        <x:v>Do not label merely because topic is controversial, emotional, or wrong. Do not judge intent or personality. Require textual evidence and consider healthy-reasoning cues.</x:v>
      </x:c>
      <x:c r="R693" s="13" t="str">
        <x:v>Stub: A claim relies on authority or credential cues drive the conclusion to support a conclusion without adequate qualification.</x:v>
      </x:c>
      <x:c r="S693" s="13" t="str">
        <x:v>Stub: A claim discusses in-group bias with caveats, balanced evidence, or no argumentative use of the pattern.</x:v>
      </x:c>
      <x:c r="T693" s="13" t="str">
        <x:v>Mild or ambiguous cue; do not classify without clear evidence span.</x:v>
      </x:c>
      <x:c r="U693" s="13" t="str">
        <x:v>Clear claim-level pattern with some argumentative impact.</x:v>
      </x:c>
      <x:c r="V693" s="13" t="str">
        <x:v>Strong pattern central to the conclusion and likely to materially distort reasoning.</x:v>
      </x:c>
      <x:c r="W693" s="13" t="str"/>
      <x:c r="X693" s="13" t="str">
        <x:v>gilovich_heuristics_biases</x:v>
      </x:c>
      <x:c r="Y693" s="13" t="str">
        <x:v>https://www.cambridge.org/core/books/heuristics-and-biases/3C30D3B05D2F190C3B8BE5E2531EFD24</x:v>
      </x:c>
      <x:c r="Z693" s="13" t="str">
        <x:v>Review before enabling. This workbook is a living taxonomy scaffold, not a validated scientific benchmark.</x:v>
      </x:c>
      <x:c r="AA693" s="13" t="str">
        <x:v>0.1.0-draft</x:v>
      </x:c>
      <x:c r="AB693" s="12" t="str">
        <x:f>IF(ISNUMBER(SEARCH("healthy",F693)),"healthy_reasoning_patterns",IF(ISNUMBER(SEARCH("statistical",F693)),"statistical_reasoning",IF(ISNUMBER(SEARCH("causal",F693)),"causal_reasoning",IF(ISNUMBER(SEARCH("social",F693)),"social_influence",IF(ISNUMBER(SEARCH("rhetoric",F693)),"rhetoric_discourse",IF(ISNUMBER(SEARCH("behavior",F693)),"behavioural_economics",IF(ISNUMBER(SEARCH("cognitive",F693)),"cognitive_biases",IF(J693="protective_pattern","healthy_reasoning_patterns",IF(L693="P0","core_mvp","extended_fallacies")))))))))</x:f>
        <x:v>social_influence</x:v>
      </x:c>
      <x:c r="AC693" s="12" t="str">
        <x:f>IF(ISNUMBER(SEARCH("operational",J693)),"operational",IF(ISNUMBER(SEARCH("deprecated",J693)),"deprecated",IF(L693="P0","canonical","recognized_subtype")))</x:f>
        <x:v>operational</x:v>
      </x:c>
      <x:c r="AD693" s="12" t="str">
        <x:f>IF(AC693="canonical","high",IF(AC693="recognized_subtype","medium",IF(AC693="operational","operational_only","debated")))</x:f>
        <x:v>operational_only</x:v>
      </x:c>
      <x:c r="AE693" s="12" t="str">
        <x:f>IF(AC693="deprecated","deprecated",IF(M693="yes","active",IF(M693="review","review_required","backlog")))</x:f>
        <x:v>backlog</x:v>
      </x:c>
      <x:c r="AF693" s="12" t="str">
        <x:f>IF(OR(AE693="active",AE693="review_required"),"yes","no")</x:f>
        <x:v>no</x:v>
      </x:c>
      <x:c r="AG693" s="12" t="str">
        <x:f>IF(AND(AE693="active",M693="yes",NOT(ISNUMBER(SEARCH("healthy",AB693)))),"yes","no")</x:f>
        <x:v>no</x:v>
      </x:c>
      <x:c r="AH693" s="12" t="str">
        <x:f>IF(OR(H693="contextual",H693="dialogue",H693="discourse",I693="claim+context",I693="discourse_segment"),"yes","no")</x:f>
        <x:v>yes</x:v>
      </x:c>
      <x:c r="AI693" s="12" t="str">
        <x:f>IF(OR(AH693="yes",AD693="debated",AC693="operational"),"yes","no")</x:f>
        <x:v>yes</x:v>
      </x:c>
      <x:c r="AJ693" s="12" t="str">
        <x:f>IF(OR(AH693="yes",AC693="operational",AD693="debated"),"high",IF(AND(AG693="yes",L693="P0"),"medium","low"))</x:f>
        <x:v>high</x:v>
      </x:c>
      <x:c r="AK693" s="12" t="str">
        <x:f>IF(ISNUMBER(SEARCH("healthy",AB693)),"yes","no")</x:f>
        <x:v>no</x:v>
      </x:c>
      <x:c r="AL693" s="12" t="str">
        <x:f>IF(AG693="yes","yes","candidate_only")</x:f>
        <x:v>candidate_only</x:v>
      </x:c>
      <x:c r="AM693" s="12" t="str">
        <x:f>IF(OR(AC693="canonical",AG693="yes"),"yes","recommended")</x:f>
        <x:v>recommended</x:v>
      </x:c>
      <x:c r="AN693" s="12" t="str">
        <x:f>IF(AC693="deprecated","exclude",IF(AND(AG693="yes",AJ693="high"),"import_but_human_review_required",IF(AG693="yes","import_as_active","import_as_backlog")))</x:f>
        <x:v>import_as_backlog</x:v>
      </x:c>
      <x:c r="AO693" s="12" t="str">
        <x:f>IF(AND(AG693="yes",OR(P693="",Q693="",R693="",S693="")),"missing_required_mvp_fields",IF(AND(AC693="canonical",Y693=""),"missing_source_ref","ok"))</x:f>
        <x:v>ok</x:v>
      </x:c>
      <x:c r="AP693" s="12" t="str">
        <x:f>IF(AO693="ok","ready_for_codex_import","needs_review")</x:f>
        <x:v>ready_for_codex_import</x:v>
      </x:c>
      <x:c r="AQ693" s="12"/>
      <x:c r="AR693" s="12" t="str">
        <x:v>Added v2 operational fields. Review before classification activation.</x:v>
      </x:c>
    </x:row>
    <x:row r="694">
      <x:c r="A694" s="13" t="str">
        <x:v>outgroup_homogeneity_authority_cue_variant</x:v>
      </x:c>
      <x:c r="B694" s="13" t="str">
        <x:v>outgroup_homogeneity</x:v>
      </x:c>
      <x:c r="C694" s="13" t="str">
        <x:v>Out-group homogeneity bias</x:v>
      </x:c>
      <x:c r="D694" s="13" t="str">
        <x:v>یکسان‌انگاری برون‌گروه</x:v>
      </x:c>
      <x:c r="E694" s="13" t="str">
        <x:v>Authority-cue variant</x:v>
      </x:c>
      <x:c r="F694" s="13" t="str">
        <x:v>social_influence_patterns</x:v>
      </x:c>
      <x:c r="G694" s="13" t="str">
        <x:v>operational_variant</x:v>
      </x:c>
      <x:c r="H694" s="13" t="str">
        <x:v>contextual</x:v>
      </x:c>
      <x:c r="I694" s="13" t="str">
        <x:v>claim+context</x:v>
      </x:c>
      <x:c r="J694" s="13" t="str">
        <x:v>derived_operational_subtype</x:v>
      </x:c>
      <x:c r="K694" s="13" t="str">
        <x:v>derived_from_established_parent_review_required</x:v>
      </x:c>
      <x:c r="L694" s="13" t="str">
        <x:v>P2</x:v>
      </x:c>
      <x:c r="M694" s="13" t="str">
        <x:v>no</x:v>
      </x:c>
      <x:c r="N694" s="13" t="str">
        <x:v>Operational subtype under Out-group homogeneity bias: authority or credential cues drive the conclusion. Parent definition: Perceiving out-group members as more similar than they are.</x:v>
      </x:c>
      <x:c r="O694" s="13" t="str">
        <x:v>Look for: explicit claim-level evidence; parent-family cues for Out-group homogeneity bias; variant cue: authority or credential cues drive the conclusion; avoid author-level inference.</x:v>
      </x:c>
      <x:c r="P694" s="13" t="str">
        <x:v>Exact evidence span in text plus claim-level reasoning link; for contextual/discourse entries, require surrounding context.</x:v>
      </x:c>
      <x:c r="Q694" s="13" t="str">
        <x:v>Do not label merely because topic is controversial, emotional, or wrong. Do not judge intent or personality. Require textual evidence and consider healthy-reasoning cues.</x:v>
      </x:c>
      <x:c r="R694" s="13" t="str">
        <x:v>Stub: A claim relies on authority or credential cues drive the conclusion to support a conclusion without adequate qualification.</x:v>
      </x:c>
      <x:c r="S694" s="13" t="str">
        <x:v>Stub: A claim discusses out-group homogeneity bias with caveats, balanced evidence, or no argumentative use of the pattern.</x:v>
      </x:c>
      <x:c r="T694" s="13" t="str">
        <x:v>Mild or ambiguous cue; do not classify without clear evidence span.</x:v>
      </x:c>
      <x:c r="U694" s="13" t="str">
        <x:v>Clear claim-level pattern with some argumentative impact.</x:v>
      </x:c>
      <x:c r="V694" s="13" t="str">
        <x:v>Strong pattern central to the conclusion and likely to materially distort reasoning.</x:v>
      </x:c>
      <x:c r="W694" s="13" t="str"/>
      <x:c r="X694" s="13" t="str">
        <x:v>gilovich_heuristics_biases</x:v>
      </x:c>
      <x:c r="Y694" s="13" t="str">
        <x:v>https://www.cambridge.org/core/books/heuristics-and-biases/3C30D3B05D2F190C3B8BE5E2531EFD24</x:v>
      </x:c>
      <x:c r="Z694" s="13" t="str">
        <x:v>Review before enabling. This workbook is a living taxonomy scaffold, not a validated scientific benchmark.</x:v>
      </x:c>
      <x:c r="AA694" s="13" t="str">
        <x:v>0.1.0-draft</x:v>
      </x:c>
      <x:c r="AB694" s="12" t="str">
        <x:f>IF(ISNUMBER(SEARCH("healthy",F694)),"healthy_reasoning_patterns",IF(ISNUMBER(SEARCH("statistical",F694)),"statistical_reasoning",IF(ISNUMBER(SEARCH("causal",F694)),"causal_reasoning",IF(ISNUMBER(SEARCH("social",F694)),"social_influence",IF(ISNUMBER(SEARCH("rhetoric",F694)),"rhetoric_discourse",IF(ISNUMBER(SEARCH("behavior",F694)),"behavioural_economics",IF(ISNUMBER(SEARCH("cognitive",F694)),"cognitive_biases",IF(J694="protective_pattern","healthy_reasoning_patterns",IF(L694="P0","core_mvp","extended_fallacies")))))))))</x:f>
        <x:v>social_influence</x:v>
      </x:c>
      <x:c r="AC694" s="12" t="str">
        <x:f>IF(ISNUMBER(SEARCH("operational",J694)),"operational",IF(ISNUMBER(SEARCH("deprecated",J694)),"deprecated",IF(L694="P0","canonical","recognized_subtype")))</x:f>
        <x:v>operational</x:v>
      </x:c>
      <x:c r="AD694" s="12" t="str">
        <x:f>IF(AC694="canonical","high",IF(AC694="recognized_subtype","medium",IF(AC694="operational","operational_only","debated")))</x:f>
        <x:v>operational_only</x:v>
      </x:c>
      <x:c r="AE694" s="12" t="str">
        <x:f>IF(AC694="deprecated","deprecated",IF(M694="yes","active",IF(M694="review","review_required","backlog")))</x:f>
        <x:v>backlog</x:v>
      </x:c>
      <x:c r="AF694" s="12" t="str">
        <x:f>IF(OR(AE694="active",AE694="review_required"),"yes","no")</x:f>
        <x:v>no</x:v>
      </x:c>
      <x:c r="AG694" s="12" t="str">
        <x:f>IF(AND(AE694="active",M694="yes",NOT(ISNUMBER(SEARCH("healthy",AB694)))),"yes","no")</x:f>
        <x:v>no</x:v>
      </x:c>
      <x:c r="AH694" s="12" t="str">
        <x:f>IF(OR(H694="contextual",H694="dialogue",H694="discourse",I694="claim+context",I694="discourse_segment"),"yes","no")</x:f>
        <x:v>yes</x:v>
      </x:c>
      <x:c r="AI694" s="12" t="str">
        <x:f>IF(OR(AH694="yes",AD694="debated",AC694="operational"),"yes","no")</x:f>
        <x:v>yes</x:v>
      </x:c>
      <x:c r="AJ694" s="12" t="str">
        <x:f>IF(OR(AH694="yes",AC694="operational",AD694="debated"),"high",IF(AND(AG694="yes",L694="P0"),"medium","low"))</x:f>
        <x:v>high</x:v>
      </x:c>
      <x:c r="AK694" s="12" t="str">
        <x:f>IF(ISNUMBER(SEARCH("healthy",AB694)),"yes","no")</x:f>
        <x:v>no</x:v>
      </x:c>
      <x:c r="AL694" s="12" t="str">
        <x:f>IF(AG694="yes","yes","candidate_only")</x:f>
        <x:v>candidate_only</x:v>
      </x:c>
      <x:c r="AM694" s="12" t="str">
        <x:f>IF(OR(AC694="canonical",AG694="yes"),"yes","recommended")</x:f>
        <x:v>recommended</x:v>
      </x:c>
      <x:c r="AN694" s="12" t="str">
        <x:f>IF(AC694="deprecated","exclude",IF(AND(AG694="yes",AJ694="high"),"import_but_human_review_required",IF(AG694="yes","import_as_active","import_as_backlog")))</x:f>
        <x:v>import_as_backlog</x:v>
      </x:c>
      <x:c r="AO694" s="12" t="str">
        <x:f>IF(AND(AG694="yes",OR(P694="",Q694="",R694="",S694="")),"missing_required_mvp_fields",IF(AND(AC694="canonical",Y694=""),"missing_source_ref","ok"))</x:f>
        <x:v>ok</x:v>
      </x:c>
      <x:c r="AP694" s="12" t="str">
        <x:f>IF(AO694="ok","ready_for_codex_import","needs_review")</x:f>
        <x:v>ready_for_codex_import</x:v>
      </x:c>
      <x:c r="AQ694" s="12"/>
      <x:c r="AR694" s="12" t="str">
        <x:v>Added v2 operational fields. Review before classification activation.</x:v>
      </x:c>
    </x:row>
    <x:row r="695">
      <x:c r="A695" s="13" t="str">
        <x:v>identity_protective_cognition_authority_cue_variant</x:v>
      </x:c>
      <x:c r="B695" s="13" t="str">
        <x:v>identity_protective_cognition</x:v>
      </x:c>
      <x:c r="C695" s="13" t="str">
        <x:v>Identity-protective cognition</x:v>
      </x:c>
      <x:c r="D695" s="13" t="str">
        <x:v>شناخت محافظ هویت</x:v>
      </x:c>
      <x:c r="E695" s="13" t="str">
        <x:v>Authority-cue variant</x:v>
      </x:c>
      <x:c r="F695" s="13" t="str">
        <x:v>social_influence_patterns</x:v>
      </x:c>
      <x:c r="G695" s="13" t="str">
        <x:v>operational_variant</x:v>
      </x:c>
      <x:c r="H695" s="13" t="str">
        <x:v>contextual</x:v>
      </x:c>
      <x:c r="I695" s="13" t="str">
        <x:v>claim+context</x:v>
      </x:c>
      <x:c r="J695" s="13" t="str">
        <x:v>derived_operational_subtype</x:v>
      </x:c>
      <x:c r="K695" s="13" t="str">
        <x:v>derived_from_established_parent_review_required</x:v>
      </x:c>
      <x:c r="L695" s="13" t="str">
        <x:v>P2</x:v>
      </x:c>
      <x:c r="M695" s="13" t="str">
        <x:v>no</x:v>
      </x:c>
      <x:c r="N695" s="13" t="str">
        <x:v>Operational subtype under Identity-protective cognition: authority or credential cues drive the conclusion. Parent definition: Processing information to protect group identity or status.</x:v>
      </x:c>
      <x:c r="O695" s="13" t="str">
        <x:v>Look for: explicit claim-level evidence; parent-family cues for Identity-protective cognition; variant cue: authority or credential cues drive the conclusion; avoid author-level inference.</x:v>
      </x:c>
      <x:c r="P695" s="13" t="str">
        <x:v>Exact evidence span in text plus claim-level reasoning link; for contextual/discourse entries, require surrounding context.</x:v>
      </x:c>
      <x:c r="Q695" s="13" t="str">
        <x:v>Do not label merely because topic is controversial, emotional, or wrong. Do not judge intent or personality. Require textual evidence and consider healthy-reasoning cues.</x:v>
      </x:c>
      <x:c r="R695" s="13" t="str">
        <x:v>Stub: A claim relies on authority or credential cues drive the conclusion to support a conclusion without adequate qualification.</x:v>
      </x:c>
      <x:c r="S695" s="13" t="str">
        <x:v>Stub: A claim discusses identity-protective cognition with caveats, balanced evidence, or no argumentative use of the pattern.</x:v>
      </x:c>
      <x:c r="T695" s="13" t="str">
        <x:v>Mild or ambiguous cue; do not classify without clear evidence span.</x:v>
      </x:c>
      <x:c r="U695" s="13" t="str">
        <x:v>Clear claim-level pattern with some argumentative impact.</x:v>
      </x:c>
      <x:c r="V695" s="13" t="str">
        <x:v>Strong pattern central to the conclusion and likely to materially distort reasoning.</x:v>
      </x:c>
      <x:c r="W695" s="13" t="str"/>
      <x:c r="X695" s="13" t="str">
        <x:v>stanovich_dual_process</x:v>
      </x:c>
      <x:c r="Y695" s="13" t="str">
        <x:v>https://global.oup.com/academic/product/rationality-and-the-reflective-mind-9780195341140</x:v>
      </x:c>
      <x:c r="Z695" s="13" t="str">
        <x:v>Review before enabling. This workbook is a living taxonomy scaffold, not a validated scientific benchmark.</x:v>
      </x:c>
      <x:c r="AA695" s="13" t="str">
        <x:v>0.1.0-draft</x:v>
      </x:c>
      <x:c r="AB695" s="12" t="str">
        <x:f>IF(ISNUMBER(SEARCH("healthy",F695)),"healthy_reasoning_patterns",IF(ISNUMBER(SEARCH("statistical",F695)),"statistical_reasoning",IF(ISNUMBER(SEARCH("causal",F695)),"causal_reasoning",IF(ISNUMBER(SEARCH("social",F695)),"social_influence",IF(ISNUMBER(SEARCH("rhetoric",F695)),"rhetoric_discourse",IF(ISNUMBER(SEARCH("behavior",F695)),"behavioural_economics",IF(ISNUMBER(SEARCH("cognitive",F695)),"cognitive_biases",IF(J695="protective_pattern","healthy_reasoning_patterns",IF(L695="P0","core_mvp","extended_fallacies")))))))))</x:f>
        <x:v>social_influence</x:v>
      </x:c>
      <x:c r="AC695" s="12" t="str">
        <x:f>IF(ISNUMBER(SEARCH("operational",J695)),"operational",IF(ISNUMBER(SEARCH("deprecated",J695)),"deprecated",IF(L695="P0","canonical","recognized_subtype")))</x:f>
        <x:v>operational</x:v>
      </x:c>
      <x:c r="AD695" s="12" t="str">
        <x:f>IF(AC695="canonical","high",IF(AC695="recognized_subtype","medium",IF(AC695="operational","operational_only","debated")))</x:f>
        <x:v>operational_only</x:v>
      </x:c>
      <x:c r="AE695" s="12" t="str">
        <x:f>IF(AC695="deprecated","deprecated",IF(M695="yes","active",IF(M695="review","review_required","backlog")))</x:f>
        <x:v>backlog</x:v>
      </x:c>
      <x:c r="AF695" s="12" t="str">
        <x:f>IF(OR(AE695="active",AE695="review_required"),"yes","no")</x:f>
        <x:v>no</x:v>
      </x:c>
      <x:c r="AG695" s="12" t="str">
        <x:f>IF(AND(AE695="active",M695="yes",NOT(ISNUMBER(SEARCH("healthy",AB695)))),"yes","no")</x:f>
        <x:v>no</x:v>
      </x:c>
      <x:c r="AH695" s="12" t="str">
        <x:f>IF(OR(H695="contextual",H695="dialogue",H695="discourse",I695="claim+context",I695="discourse_segment"),"yes","no")</x:f>
        <x:v>yes</x:v>
      </x:c>
      <x:c r="AI695" s="12" t="str">
        <x:f>IF(OR(AH695="yes",AD695="debated",AC695="operational"),"yes","no")</x:f>
        <x:v>yes</x:v>
      </x:c>
      <x:c r="AJ695" s="12" t="str">
        <x:f>IF(OR(AH695="yes",AC695="operational",AD695="debated"),"high",IF(AND(AG695="yes",L695="P0"),"medium","low"))</x:f>
        <x:v>high</x:v>
      </x:c>
      <x:c r="AK695" s="12" t="str">
        <x:f>IF(ISNUMBER(SEARCH("healthy",AB695)),"yes","no")</x:f>
        <x:v>no</x:v>
      </x:c>
      <x:c r="AL695" s="12" t="str">
        <x:f>IF(AG695="yes","yes","candidate_only")</x:f>
        <x:v>candidate_only</x:v>
      </x:c>
      <x:c r="AM695" s="12" t="str">
        <x:f>IF(OR(AC695="canonical",AG695="yes"),"yes","recommended")</x:f>
        <x:v>recommended</x:v>
      </x:c>
      <x:c r="AN695" s="12" t="str">
        <x:f>IF(AC695="deprecated","exclude",IF(AND(AG695="yes",AJ695="high"),"import_but_human_review_required",IF(AG695="yes","import_as_active","import_as_backlog")))</x:f>
        <x:v>import_as_backlog</x:v>
      </x:c>
      <x:c r="AO695" s="12" t="str">
        <x:f>IF(AND(AG695="yes",OR(P695="",Q695="",R695="",S695="")),"missing_required_mvp_fields",IF(AND(AC695="canonical",Y695=""),"missing_source_ref","ok"))</x:f>
        <x:v>ok</x:v>
      </x:c>
      <x:c r="AP695" s="12" t="str">
        <x:f>IF(AO695="ok","ready_for_codex_import","needs_review")</x:f>
        <x:v>ready_for_codex_import</x:v>
      </x:c>
      <x:c r="AQ695" s="12"/>
      <x:c r="AR695" s="12" t="str">
        <x:v>Added v2 operational fields. Review before classification activation.</x:v>
      </x:c>
    </x:row>
    <x:row r="696">
      <x:c r="A696" s="13" t="str">
        <x:v>normative_social_influence_authority_cue_variant</x:v>
      </x:c>
      <x:c r="B696" s="13" t="str">
        <x:v>normative_social_influence</x:v>
      </x:c>
      <x:c r="C696" s="13" t="str">
        <x:v>Normative social influence</x:v>
      </x:c>
      <x:c r="D696" s="13" t="str">
        <x:v>تأثیر هنجاری اجتماعی</x:v>
      </x:c>
      <x:c r="E696" s="13" t="str">
        <x:v>Authority-cue variant</x:v>
      </x:c>
      <x:c r="F696" s="13" t="str">
        <x:v>social_influence_patterns</x:v>
      </x:c>
      <x:c r="G696" s="13" t="str">
        <x:v>operational_variant</x:v>
      </x:c>
      <x:c r="H696" s="13" t="str">
        <x:v>discourse</x:v>
      </x:c>
      <x:c r="I696" s="13" t="str">
        <x:v>discourse_segment</x:v>
      </x:c>
      <x:c r="J696" s="13" t="str">
        <x:v>derived_operational_subtype</x:v>
      </x:c>
      <x:c r="K696" s="13" t="str">
        <x:v>derived_from_established_parent_review_required</x:v>
      </x:c>
      <x:c r="L696" s="13" t="str">
        <x:v>P2</x:v>
      </x:c>
      <x:c r="M696" s="13" t="str">
        <x:v>no</x:v>
      </x:c>
      <x:c r="N696" s="13" t="str">
        <x:v>Operational subtype under Normative social influence: authority or credential cues drive the conclusion. Parent definition: Conforming to gain approval or avoid disapproval.</x:v>
      </x:c>
      <x:c r="O696" s="13" t="str">
        <x:v>Look for: explicit claim-level evidence; parent-family cues for Normative social influence; variant cue: authority or credential cues drive the conclusion; avoid author-level inference.</x:v>
      </x:c>
      <x:c r="P696" s="13" t="str">
        <x:v>Exact evidence span in text plus claim-level reasoning link; for contextual/discourse entries, require surrounding context.</x:v>
      </x:c>
      <x:c r="Q696" s="13" t="str">
        <x:v>Do not label merely because topic is controversial, emotional, or wrong. Do not judge intent or personality. Require textual evidence and consider healthy-reasoning cues.</x:v>
      </x:c>
      <x:c r="R696" s="13" t="str">
        <x:v>Stub: A claim relies on authority or credential cues drive the conclusion to support a conclusion without adequate qualification.</x:v>
      </x:c>
      <x:c r="S696" s="13" t="str">
        <x:v>Stub: A claim discusses normative social influence with caveats, balanced evidence, or no argumentative use of the pattern.</x:v>
      </x:c>
      <x:c r="T696" s="13" t="str">
        <x:v>Mild or ambiguous cue; do not classify without clear evidence span.</x:v>
      </x:c>
      <x:c r="U696" s="13" t="str">
        <x:v>Clear claim-level pattern with some argumentative impact.</x:v>
      </x:c>
      <x:c r="V696" s="13" t="str">
        <x:v>Strong pattern central to the conclusion and likely to materially distort reasoning.</x:v>
      </x:c>
      <x:c r="W696" s="13" t="str"/>
      <x:c r="X696" s="13" t="str">
        <x:v>cialdini_influence</x:v>
      </x:c>
      <x:c r="Y696" s="13" t="str">
        <x:v>https://www.pearson.com/en-us/subject-catalog/p/influence-science-and-practice/P200000003004</x:v>
      </x:c>
      <x:c r="Z696" s="13" t="str">
        <x:v>Review before enabling. This workbook is a living taxonomy scaffold, not a validated scientific benchmark.</x:v>
      </x:c>
      <x:c r="AA696" s="13" t="str">
        <x:v>0.1.0-draft</x:v>
      </x:c>
      <x:c r="AB696" s="12" t="str">
        <x:f>IF(ISNUMBER(SEARCH("healthy",F696)),"healthy_reasoning_patterns",IF(ISNUMBER(SEARCH("statistical",F696)),"statistical_reasoning",IF(ISNUMBER(SEARCH("causal",F696)),"causal_reasoning",IF(ISNUMBER(SEARCH("social",F696)),"social_influence",IF(ISNUMBER(SEARCH("rhetoric",F696)),"rhetoric_discourse",IF(ISNUMBER(SEARCH("behavior",F696)),"behavioural_economics",IF(ISNUMBER(SEARCH("cognitive",F696)),"cognitive_biases",IF(J696="protective_pattern","healthy_reasoning_patterns",IF(L696="P0","core_mvp","extended_fallacies")))))))))</x:f>
        <x:v>social_influence</x:v>
      </x:c>
      <x:c r="AC696" s="12" t="str">
        <x:f>IF(ISNUMBER(SEARCH("operational",J696)),"operational",IF(ISNUMBER(SEARCH("deprecated",J696)),"deprecated",IF(L696="P0","canonical","recognized_subtype")))</x:f>
        <x:v>operational</x:v>
      </x:c>
      <x:c r="AD696" s="12" t="str">
        <x:f>IF(AC696="canonical","high",IF(AC696="recognized_subtype","medium",IF(AC696="operational","operational_only","debated")))</x:f>
        <x:v>operational_only</x:v>
      </x:c>
      <x:c r="AE696" s="12" t="str">
        <x:f>IF(AC696="deprecated","deprecated",IF(M696="yes","active",IF(M696="review","review_required","backlog")))</x:f>
        <x:v>backlog</x:v>
      </x:c>
      <x:c r="AF696" s="12" t="str">
        <x:f>IF(OR(AE696="active",AE696="review_required"),"yes","no")</x:f>
        <x:v>no</x:v>
      </x:c>
      <x:c r="AG696" s="12" t="str">
        <x:f>IF(AND(AE696="active",M696="yes",NOT(ISNUMBER(SEARCH("healthy",AB696)))),"yes","no")</x:f>
        <x:v>no</x:v>
      </x:c>
      <x:c r="AH696" s="12" t="str">
        <x:f>IF(OR(H696="contextual",H696="dialogue",H696="discourse",I696="claim+context",I696="discourse_segment"),"yes","no")</x:f>
        <x:v>yes</x:v>
      </x:c>
      <x:c r="AI696" s="12" t="str">
        <x:f>IF(OR(AH696="yes",AD696="debated",AC696="operational"),"yes","no")</x:f>
        <x:v>yes</x:v>
      </x:c>
      <x:c r="AJ696" s="12" t="str">
        <x:f>IF(OR(AH696="yes",AC696="operational",AD696="debated"),"high",IF(AND(AG696="yes",L696="P0"),"medium","low"))</x:f>
        <x:v>high</x:v>
      </x:c>
      <x:c r="AK696" s="12" t="str">
        <x:f>IF(ISNUMBER(SEARCH("healthy",AB696)),"yes","no")</x:f>
        <x:v>no</x:v>
      </x:c>
      <x:c r="AL696" s="12" t="str">
        <x:f>IF(AG696="yes","yes","candidate_only")</x:f>
        <x:v>candidate_only</x:v>
      </x:c>
      <x:c r="AM696" s="12" t="str">
        <x:f>IF(OR(AC696="canonical",AG696="yes"),"yes","recommended")</x:f>
        <x:v>recommended</x:v>
      </x:c>
      <x:c r="AN696" s="12" t="str">
        <x:f>IF(AC696="deprecated","exclude",IF(AND(AG696="yes",AJ696="high"),"import_but_human_review_required",IF(AG696="yes","import_as_active","import_as_backlog")))</x:f>
        <x:v>import_as_backlog</x:v>
      </x:c>
      <x:c r="AO696" s="12" t="str">
        <x:f>IF(AND(AG696="yes",OR(P696="",Q696="",R696="",S696="")),"missing_required_mvp_fields",IF(AND(AC696="canonical",Y696=""),"missing_source_ref","ok"))</x:f>
        <x:v>ok</x:v>
      </x:c>
      <x:c r="AP696" s="12" t="str">
        <x:f>IF(AO696="ok","ready_for_codex_import","needs_review")</x:f>
        <x:v>ready_for_codex_import</x:v>
      </x:c>
      <x:c r="AQ696" s="12"/>
      <x:c r="AR696" s="12" t="str">
        <x:v>Added v2 operational fields. Review before classification activation.</x:v>
      </x:c>
    </x:row>
    <x:row r="697">
      <x:c r="A697" s="13" t="str">
        <x:v>informational_social_influence_authority_cue_variant</x:v>
      </x:c>
      <x:c r="B697" s="13" t="str">
        <x:v>informational_social_influence</x:v>
      </x:c>
      <x:c r="C697" s="13" t="str">
        <x:v>Informational social influence</x:v>
      </x:c>
      <x:c r="D697" s="13" t="str">
        <x:v>تأثیر اطلاعاتی اجتماعی</x:v>
      </x:c>
      <x:c r="E697" s="13" t="str">
        <x:v>Authority-cue variant</x:v>
      </x:c>
      <x:c r="F697" s="13" t="str">
        <x:v>social_influence_patterns</x:v>
      </x:c>
      <x:c r="G697" s="13" t="str">
        <x:v>operational_variant</x:v>
      </x:c>
      <x:c r="H697" s="13" t="str">
        <x:v>discourse</x:v>
      </x:c>
      <x:c r="I697" s="13" t="str">
        <x:v>discourse_segment</x:v>
      </x:c>
      <x:c r="J697" s="13" t="str">
        <x:v>derived_operational_subtype</x:v>
      </x:c>
      <x:c r="K697" s="13" t="str">
        <x:v>derived_from_established_parent_review_required</x:v>
      </x:c>
      <x:c r="L697" s="13" t="str">
        <x:v>P2</x:v>
      </x:c>
      <x:c r="M697" s="13" t="str">
        <x:v>no</x:v>
      </x:c>
      <x:c r="N697" s="13" t="str">
        <x:v>Operational subtype under Informational social influence: authority or credential cues drive the conclusion. Parent definition: Treating others' behavior as information under uncertainty.</x:v>
      </x:c>
      <x:c r="O697" s="13" t="str">
        <x:v>Look for: explicit claim-level evidence; parent-family cues for Informational social influence; variant cue: authority or credential cues drive the conclusion; avoid author-level inference.</x:v>
      </x:c>
      <x:c r="P697" s="13" t="str">
        <x:v>Exact evidence span in text plus claim-level reasoning link; for contextual/discourse entries, require surrounding context.</x:v>
      </x:c>
      <x:c r="Q697" s="13" t="str">
        <x:v>Do not label merely because topic is controversial, emotional, or wrong. Do not judge intent or personality. Require textual evidence and consider healthy-reasoning cues.</x:v>
      </x:c>
      <x:c r="R697" s="13" t="str">
        <x:v>Stub: A claim relies on authority or credential cues drive the conclusion to support a conclusion without adequate qualification.</x:v>
      </x:c>
      <x:c r="S697" s="13" t="str">
        <x:v>Stub: A claim discusses informational social influence with caveats, balanced evidence, or no argumentative use of the pattern.</x:v>
      </x:c>
      <x:c r="T697" s="13" t="str">
        <x:v>Mild or ambiguous cue; do not classify without clear evidence span.</x:v>
      </x:c>
      <x:c r="U697" s="13" t="str">
        <x:v>Clear claim-level pattern with some argumentative impact.</x:v>
      </x:c>
      <x:c r="V697" s="13" t="str">
        <x:v>Strong pattern central to the conclusion and likely to materially distort reasoning.</x:v>
      </x:c>
      <x:c r="W697" s="13" t="str"/>
      <x:c r="X697" s="13" t="str">
        <x:v>cialdini_influence</x:v>
      </x:c>
      <x:c r="Y697" s="13" t="str">
        <x:v>https://www.pearson.com/en-us/subject-catalog/p/influence-science-and-practice/P200000003004</x:v>
      </x:c>
      <x:c r="Z697" s="13" t="str">
        <x:v>Review before enabling. This workbook is a living taxonomy scaffold, not a validated scientific benchmark.</x:v>
      </x:c>
      <x:c r="AA697" s="13" t="str">
        <x:v>0.1.0-draft</x:v>
      </x:c>
      <x:c r="AB697" s="12" t="str">
        <x:f>IF(ISNUMBER(SEARCH("healthy",F697)),"healthy_reasoning_patterns",IF(ISNUMBER(SEARCH("statistical",F697)),"statistical_reasoning",IF(ISNUMBER(SEARCH("causal",F697)),"causal_reasoning",IF(ISNUMBER(SEARCH("social",F697)),"social_influence",IF(ISNUMBER(SEARCH("rhetoric",F697)),"rhetoric_discourse",IF(ISNUMBER(SEARCH("behavior",F697)),"behavioural_economics",IF(ISNUMBER(SEARCH("cognitive",F697)),"cognitive_biases",IF(J697="protective_pattern","healthy_reasoning_patterns",IF(L697="P0","core_mvp","extended_fallacies")))))))))</x:f>
        <x:v>social_influence</x:v>
      </x:c>
      <x:c r="AC697" s="12" t="str">
        <x:f>IF(ISNUMBER(SEARCH("operational",J697)),"operational",IF(ISNUMBER(SEARCH("deprecated",J697)),"deprecated",IF(L697="P0","canonical","recognized_subtype")))</x:f>
        <x:v>operational</x:v>
      </x:c>
      <x:c r="AD697" s="12" t="str">
        <x:f>IF(AC697="canonical","high",IF(AC697="recognized_subtype","medium",IF(AC697="operational","operational_only","debated")))</x:f>
        <x:v>operational_only</x:v>
      </x:c>
      <x:c r="AE697" s="12" t="str">
        <x:f>IF(AC697="deprecated","deprecated",IF(M697="yes","active",IF(M697="review","review_required","backlog")))</x:f>
        <x:v>backlog</x:v>
      </x:c>
      <x:c r="AF697" s="12" t="str">
        <x:f>IF(OR(AE697="active",AE697="review_required"),"yes","no")</x:f>
        <x:v>no</x:v>
      </x:c>
      <x:c r="AG697" s="12" t="str">
        <x:f>IF(AND(AE697="active",M697="yes",NOT(ISNUMBER(SEARCH("healthy",AB697)))),"yes","no")</x:f>
        <x:v>no</x:v>
      </x:c>
      <x:c r="AH697" s="12" t="str">
        <x:f>IF(OR(H697="contextual",H697="dialogue",H697="discourse",I697="claim+context",I697="discourse_segment"),"yes","no")</x:f>
        <x:v>yes</x:v>
      </x:c>
      <x:c r="AI697" s="12" t="str">
        <x:f>IF(OR(AH697="yes",AD697="debated",AC697="operational"),"yes","no")</x:f>
        <x:v>yes</x:v>
      </x:c>
      <x:c r="AJ697" s="12" t="str">
        <x:f>IF(OR(AH697="yes",AC697="operational",AD697="debated"),"high",IF(AND(AG697="yes",L697="P0"),"medium","low"))</x:f>
        <x:v>high</x:v>
      </x:c>
      <x:c r="AK697" s="12" t="str">
        <x:f>IF(ISNUMBER(SEARCH("healthy",AB697)),"yes","no")</x:f>
        <x:v>no</x:v>
      </x:c>
      <x:c r="AL697" s="12" t="str">
        <x:f>IF(AG697="yes","yes","candidate_only")</x:f>
        <x:v>candidate_only</x:v>
      </x:c>
      <x:c r="AM697" s="12" t="str">
        <x:f>IF(OR(AC697="canonical",AG697="yes"),"yes","recommended")</x:f>
        <x:v>recommended</x:v>
      </x:c>
      <x:c r="AN697" s="12" t="str">
        <x:f>IF(AC697="deprecated","exclude",IF(AND(AG697="yes",AJ697="high"),"import_but_human_review_required",IF(AG697="yes","import_as_active","import_as_backlog")))</x:f>
        <x:v>import_as_backlog</x:v>
      </x:c>
      <x:c r="AO697" s="12" t="str">
        <x:f>IF(AND(AG697="yes",OR(P697="",Q697="",R697="",S697="")),"missing_required_mvp_fields",IF(AND(AC697="canonical",Y697=""),"missing_source_ref","ok"))</x:f>
        <x:v>ok</x:v>
      </x:c>
      <x:c r="AP697" s="12" t="str">
        <x:f>IF(AO697="ok","ready_for_codex_import","needs_review")</x:f>
        <x:v>ready_for_codex_import</x:v>
      </x:c>
      <x:c r="AQ697" s="12"/>
      <x:c r="AR697" s="12" t="str">
        <x:v>Added v2 operational fields. Review before classification activation.</x:v>
      </x:c>
    </x:row>
    <x:row r="698">
      <x:c r="A698" s="13" t="str">
        <x:v>reciprocity_pressure_authority_cue_variant</x:v>
      </x:c>
      <x:c r="B698" s="13" t="str">
        <x:v>reciprocity_pressure</x:v>
      </x:c>
      <x:c r="C698" s="13" t="str">
        <x:v>Reciprocity pressure</x:v>
      </x:c>
      <x:c r="D698" s="13" t="str">
        <x:v>فشار جبران متقابل</x:v>
      </x:c>
      <x:c r="E698" s="13" t="str">
        <x:v>Authority-cue variant</x:v>
      </x:c>
      <x:c r="F698" s="13" t="str">
        <x:v>social_influence_patterns</x:v>
      </x:c>
      <x:c r="G698" s="13" t="str">
        <x:v>operational_variant</x:v>
      </x:c>
      <x:c r="H698" s="13" t="str">
        <x:v>discourse</x:v>
      </x:c>
      <x:c r="I698" s="13" t="str">
        <x:v>discourse_segment</x:v>
      </x:c>
      <x:c r="J698" s="13" t="str">
        <x:v>derived_operational_subtype</x:v>
      </x:c>
      <x:c r="K698" s="13" t="str">
        <x:v>derived_from_established_parent_review_required</x:v>
      </x:c>
      <x:c r="L698" s="13" t="str">
        <x:v>P2</x:v>
      </x:c>
      <x:c r="M698" s="13" t="str">
        <x:v>no</x:v>
      </x:c>
      <x:c r="N698" s="13" t="str">
        <x:v>Operational subtype under Reciprocity pressure: authority or credential cues drive the conclusion. Parent definition: Feeling obliged to comply because of a prior favor.</x:v>
      </x:c>
      <x:c r="O698" s="13" t="str">
        <x:v>Look for: explicit claim-level evidence; parent-family cues for Reciprocity pressure; variant cue: authority or credential cues drive the conclusion; avoid author-level inference.</x:v>
      </x:c>
      <x:c r="P698" s="13" t="str">
        <x:v>Exact evidence span in text plus claim-level reasoning link; for contextual/discourse entries, require surrounding context.</x:v>
      </x:c>
      <x:c r="Q698" s="13" t="str">
        <x:v>Do not label merely because topic is controversial, emotional, or wrong. Do not judge intent or personality. Require textual evidence and consider healthy-reasoning cues.</x:v>
      </x:c>
      <x:c r="R698" s="13" t="str">
        <x:v>Stub: A claim relies on authority or credential cues drive the conclusion to support a conclusion without adequate qualification.</x:v>
      </x:c>
      <x:c r="S698" s="13" t="str">
        <x:v>Stub: A claim discusses reciprocity pressure with caveats, balanced evidence, or no argumentative use of the pattern.</x:v>
      </x:c>
      <x:c r="T698" s="13" t="str">
        <x:v>Mild or ambiguous cue; do not classify without clear evidence span.</x:v>
      </x:c>
      <x:c r="U698" s="13" t="str">
        <x:v>Clear claim-level pattern with some argumentative impact.</x:v>
      </x:c>
      <x:c r="V698" s="13" t="str">
        <x:v>Strong pattern central to the conclusion and likely to materially distort reasoning.</x:v>
      </x:c>
      <x:c r="W698" s="13" t="str"/>
      <x:c r="X698" s="13" t="str">
        <x:v>cialdini_influence</x:v>
      </x:c>
      <x:c r="Y698" s="13" t="str">
        <x:v>https://www.pearson.com/en-us/subject-catalog/p/influence-science-and-practice/P200000003004</x:v>
      </x:c>
      <x:c r="Z698" s="13" t="str">
        <x:v>Review before enabling. This workbook is a living taxonomy scaffold, not a validated scientific benchmark.</x:v>
      </x:c>
      <x:c r="AA698" s="13" t="str">
        <x:v>0.1.0-draft</x:v>
      </x:c>
      <x:c r="AB698" s="12" t="str">
        <x:f>IF(ISNUMBER(SEARCH("healthy",F698)),"healthy_reasoning_patterns",IF(ISNUMBER(SEARCH("statistical",F698)),"statistical_reasoning",IF(ISNUMBER(SEARCH("causal",F698)),"causal_reasoning",IF(ISNUMBER(SEARCH("social",F698)),"social_influence",IF(ISNUMBER(SEARCH("rhetoric",F698)),"rhetoric_discourse",IF(ISNUMBER(SEARCH("behavior",F698)),"behavioural_economics",IF(ISNUMBER(SEARCH("cognitive",F698)),"cognitive_biases",IF(J698="protective_pattern","healthy_reasoning_patterns",IF(L698="P0","core_mvp","extended_fallacies")))))))))</x:f>
        <x:v>social_influence</x:v>
      </x:c>
      <x:c r="AC698" s="12" t="str">
        <x:f>IF(ISNUMBER(SEARCH("operational",J698)),"operational",IF(ISNUMBER(SEARCH("deprecated",J698)),"deprecated",IF(L698="P0","canonical","recognized_subtype")))</x:f>
        <x:v>operational</x:v>
      </x:c>
      <x:c r="AD698" s="12" t="str">
        <x:f>IF(AC698="canonical","high",IF(AC698="recognized_subtype","medium",IF(AC698="operational","operational_only","debated")))</x:f>
        <x:v>operational_only</x:v>
      </x:c>
      <x:c r="AE698" s="12" t="str">
        <x:f>IF(AC698="deprecated","deprecated",IF(M698="yes","active",IF(M698="review","review_required","backlog")))</x:f>
        <x:v>backlog</x:v>
      </x:c>
      <x:c r="AF698" s="12" t="str">
        <x:f>IF(OR(AE698="active",AE698="review_required"),"yes","no")</x:f>
        <x:v>no</x:v>
      </x:c>
      <x:c r="AG698" s="12" t="str">
        <x:f>IF(AND(AE698="active",M698="yes",NOT(ISNUMBER(SEARCH("healthy",AB698)))),"yes","no")</x:f>
        <x:v>no</x:v>
      </x:c>
      <x:c r="AH698" s="12" t="str">
        <x:f>IF(OR(H698="contextual",H698="dialogue",H698="discourse",I698="claim+context",I698="discourse_segment"),"yes","no")</x:f>
        <x:v>yes</x:v>
      </x:c>
      <x:c r="AI698" s="12" t="str">
        <x:f>IF(OR(AH698="yes",AD698="debated",AC698="operational"),"yes","no")</x:f>
        <x:v>yes</x:v>
      </x:c>
      <x:c r="AJ698" s="12" t="str">
        <x:f>IF(OR(AH698="yes",AC698="operational",AD698="debated"),"high",IF(AND(AG698="yes",L698="P0"),"medium","low"))</x:f>
        <x:v>high</x:v>
      </x:c>
      <x:c r="AK698" s="12" t="str">
        <x:f>IF(ISNUMBER(SEARCH("healthy",AB698)),"yes","no")</x:f>
        <x:v>no</x:v>
      </x:c>
      <x:c r="AL698" s="12" t="str">
        <x:f>IF(AG698="yes","yes","candidate_only")</x:f>
        <x:v>candidate_only</x:v>
      </x:c>
      <x:c r="AM698" s="12" t="str">
        <x:f>IF(OR(AC698="canonical",AG698="yes"),"yes","recommended")</x:f>
        <x:v>recommended</x:v>
      </x:c>
      <x:c r="AN698" s="12" t="str">
        <x:f>IF(AC698="deprecated","exclude",IF(AND(AG698="yes",AJ698="high"),"import_but_human_review_required",IF(AG698="yes","import_as_active","import_as_backlog")))</x:f>
        <x:v>import_as_backlog</x:v>
      </x:c>
      <x:c r="AO698" s="12" t="str">
        <x:f>IF(AND(AG698="yes",OR(P698="",Q698="",R698="",S698="")),"missing_required_mvp_fields",IF(AND(AC698="canonical",Y698=""),"missing_source_ref","ok"))</x:f>
        <x:v>ok</x:v>
      </x:c>
      <x:c r="AP698" s="12" t="str">
        <x:f>IF(AO698="ok","ready_for_codex_import","needs_review")</x:f>
        <x:v>ready_for_codex_import</x:v>
      </x:c>
      <x:c r="AQ698" s="12"/>
      <x:c r="AR698" s="12" t="str">
        <x:v>Added v2 operational fields. Review before classification activation.</x:v>
      </x:c>
    </x:row>
    <x:row r="699">
      <x:c r="A699" s="13" t="str">
        <x:v>commitment_consistency_pressure_authority_cue_variant</x:v>
      </x:c>
      <x:c r="B699" s="13" t="str">
        <x:v>commitment_consistency_pressure</x:v>
      </x:c>
      <x:c r="C699" s="13" t="str">
        <x:v>Commitment-consistency pressure</x:v>
      </x:c>
      <x:c r="D699" s="13" t="str">
        <x:v>فشار ثبات تعهد</x:v>
      </x:c>
      <x:c r="E699" s="13" t="str">
        <x:v>Authority-cue variant</x:v>
      </x:c>
      <x:c r="F699" s="13" t="str">
        <x:v>social_influence_patterns</x:v>
      </x:c>
      <x:c r="G699" s="13" t="str">
        <x:v>operational_variant</x:v>
      </x:c>
      <x:c r="H699" s="13" t="str">
        <x:v>discourse</x:v>
      </x:c>
      <x:c r="I699" s="13" t="str">
        <x:v>discourse_segment</x:v>
      </x:c>
      <x:c r="J699" s="13" t="str">
        <x:v>derived_operational_subtype</x:v>
      </x:c>
      <x:c r="K699" s="13" t="str">
        <x:v>derived_from_established_parent_review_required</x:v>
      </x:c>
      <x:c r="L699" s="13" t="str">
        <x:v>P2</x:v>
      </x:c>
      <x:c r="M699" s="13" t="str">
        <x:v>no</x:v>
      </x:c>
      <x:c r="N699" s="13" t="str">
        <x:v>Operational subtype under Commitment-consistency pressure: authority or credential cues drive the conclusion. Parent definition: Pressure to act consistently with a prior public commitment.</x:v>
      </x:c>
      <x:c r="O699" s="13" t="str">
        <x:v>Look for: explicit claim-level evidence; parent-family cues for Commitment-consistency pressure; variant cue: authority or credential cues drive the conclusion; avoid author-level inference.</x:v>
      </x:c>
      <x:c r="P699" s="13" t="str">
        <x:v>Exact evidence span in text plus claim-level reasoning link; for contextual/discourse entries, require surrounding context.</x:v>
      </x:c>
      <x:c r="Q699" s="13" t="str">
        <x:v>Do not label merely because topic is controversial, emotional, or wrong. Do not judge intent or personality. Require textual evidence and consider healthy-reasoning cues.</x:v>
      </x:c>
      <x:c r="R699" s="13" t="str">
        <x:v>Stub: A claim relies on authority or credential cues drive the conclusion to support a conclusion without adequate qualification.</x:v>
      </x:c>
      <x:c r="S699" s="13" t="str">
        <x:v>Stub: A claim discusses commitment-consistency pressure with caveats, balanced evidence, or no argumentative use of the pattern.</x:v>
      </x:c>
      <x:c r="T699" s="13" t="str">
        <x:v>Mild or ambiguous cue; do not classify without clear evidence span.</x:v>
      </x:c>
      <x:c r="U699" s="13" t="str">
        <x:v>Clear claim-level pattern with some argumentative impact.</x:v>
      </x:c>
      <x:c r="V699" s="13" t="str">
        <x:v>Strong pattern central to the conclusion and likely to materially distort reasoning.</x:v>
      </x:c>
      <x:c r="W699" s="13" t="str"/>
      <x:c r="X699" s="13" t="str">
        <x:v>cialdini_influence</x:v>
      </x:c>
      <x:c r="Y699" s="13" t="str">
        <x:v>https://www.pearson.com/en-us/subject-catalog/p/influence-science-and-practice/P200000003004</x:v>
      </x:c>
      <x:c r="Z699" s="13" t="str">
        <x:v>Review before enabling. This workbook is a living taxonomy scaffold, not a validated scientific benchmark.</x:v>
      </x:c>
      <x:c r="AA699" s="13" t="str">
        <x:v>0.1.0-draft</x:v>
      </x:c>
      <x:c r="AB699" s="12" t="str">
        <x:f>IF(ISNUMBER(SEARCH("healthy",F699)),"healthy_reasoning_patterns",IF(ISNUMBER(SEARCH("statistical",F699)),"statistical_reasoning",IF(ISNUMBER(SEARCH("causal",F699)),"causal_reasoning",IF(ISNUMBER(SEARCH("social",F699)),"social_influence",IF(ISNUMBER(SEARCH("rhetoric",F699)),"rhetoric_discourse",IF(ISNUMBER(SEARCH("behavior",F699)),"behavioural_economics",IF(ISNUMBER(SEARCH("cognitive",F699)),"cognitive_biases",IF(J699="protective_pattern","healthy_reasoning_patterns",IF(L699="P0","core_mvp","extended_fallacies")))))))))</x:f>
        <x:v>social_influence</x:v>
      </x:c>
      <x:c r="AC699" s="12" t="str">
        <x:f>IF(ISNUMBER(SEARCH("operational",J699)),"operational",IF(ISNUMBER(SEARCH("deprecated",J699)),"deprecated",IF(L699="P0","canonical","recognized_subtype")))</x:f>
        <x:v>operational</x:v>
      </x:c>
      <x:c r="AD699" s="12" t="str">
        <x:f>IF(AC699="canonical","high",IF(AC699="recognized_subtype","medium",IF(AC699="operational","operational_only","debated")))</x:f>
        <x:v>operational_only</x:v>
      </x:c>
      <x:c r="AE699" s="12" t="str">
        <x:f>IF(AC699="deprecated","deprecated",IF(M699="yes","active",IF(M699="review","review_required","backlog")))</x:f>
        <x:v>backlog</x:v>
      </x:c>
      <x:c r="AF699" s="12" t="str">
        <x:f>IF(OR(AE699="active",AE699="review_required"),"yes","no")</x:f>
        <x:v>no</x:v>
      </x:c>
      <x:c r="AG699" s="12" t="str">
        <x:f>IF(AND(AE699="active",M699="yes",NOT(ISNUMBER(SEARCH("healthy",AB699)))),"yes","no")</x:f>
        <x:v>no</x:v>
      </x:c>
      <x:c r="AH699" s="12" t="str">
        <x:f>IF(OR(H699="contextual",H699="dialogue",H699="discourse",I699="claim+context",I699="discourse_segment"),"yes","no")</x:f>
        <x:v>yes</x:v>
      </x:c>
      <x:c r="AI699" s="12" t="str">
        <x:f>IF(OR(AH699="yes",AD699="debated",AC699="operational"),"yes","no")</x:f>
        <x:v>yes</x:v>
      </x:c>
      <x:c r="AJ699" s="12" t="str">
        <x:f>IF(OR(AH699="yes",AC699="operational",AD699="debated"),"high",IF(AND(AG699="yes",L699="P0"),"medium","low"))</x:f>
        <x:v>high</x:v>
      </x:c>
      <x:c r="AK699" s="12" t="str">
        <x:f>IF(ISNUMBER(SEARCH("healthy",AB699)),"yes","no")</x:f>
        <x:v>no</x:v>
      </x:c>
      <x:c r="AL699" s="12" t="str">
        <x:f>IF(AG699="yes","yes","candidate_only")</x:f>
        <x:v>candidate_only</x:v>
      </x:c>
      <x:c r="AM699" s="12" t="str">
        <x:f>IF(OR(AC699="canonical",AG699="yes"),"yes","recommended")</x:f>
        <x:v>recommended</x:v>
      </x:c>
      <x:c r="AN699" s="12" t="str">
        <x:f>IF(AC699="deprecated","exclude",IF(AND(AG699="yes",AJ699="high"),"import_but_human_review_required",IF(AG699="yes","import_as_active","import_as_backlog")))</x:f>
        <x:v>import_as_backlog</x:v>
      </x:c>
      <x:c r="AO699" s="12" t="str">
        <x:f>IF(AND(AG699="yes",OR(P699="",Q699="",R699="",S699="")),"missing_required_mvp_fields",IF(AND(AC699="canonical",Y699=""),"missing_source_ref","ok"))</x:f>
        <x:v>ok</x:v>
      </x:c>
      <x:c r="AP699" s="12" t="str">
        <x:f>IF(AO699="ok","ready_for_codex_import","needs_review")</x:f>
        <x:v>ready_for_codex_import</x:v>
      </x:c>
      <x:c r="AQ699" s="12"/>
      <x:c r="AR699" s="12" t="str">
        <x:v>Added v2 operational fields. Review before classification activation.</x:v>
      </x:c>
    </x:row>
    <x:row r="700">
      <x:c r="A700" s="13" t="str">
        <x:v>liking_bias_authority_cue_variant</x:v>
      </x:c>
      <x:c r="B700" s="13" t="str">
        <x:v>liking_bias</x:v>
      </x:c>
      <x:c r="C700" s="13" t="str">
        <x:v>Liking bias</x:v>
      </x:c>
      <x:c r="D700" s="13" t="str">
        <x:v>سوگیری علاقه‌مندی</x:v>
      </x:c>
      <x:c r="E700" s="13" t="str">
        <x:v>Authority-cue variant</x:v>
      </x:c>
      <x:c r="F700" s="13" t="str">
        <x:v>social_influence_patterns</x:v>
      </x:c>
      <x:c r="G700" s="13" t="str">
        <x:v>operational_variant</x:v>
      </x:c>
      <x:c r="H700" s="13" t="str">
        <x:v>contextual</x:v>
      </x:c>
      <x:c r="I700" s="13" t="str">
        <x:v>claim+context</x:v>
      </x:c>
      <x:c r="J700" s="13" t="str">
        <x:v>derived_operational_subtype</x:v>
      </x:c>
      <x:c r="K700" s="13" t="str">
        <x:v>derived_from_established_parent_review_required</x:v>
      </x:c>
      <x:c r="L700" s="13" t="str">
        <x:v>P2</x:v>
      </x:c>
      <x:c r="M700" s="13" t="str">
        <x:v>no</x:v>
      </x:c>
      <x:c r="N700" s="13" t="str">
        <x:v>Operational subtype under Liking bias: authority or credential cues drive the conclusion. Parent definition: Accepting a claim more readily because the communicator is liked.</x:v>
      </x:c>
      <x:c r="O700" s="13" t="str">
        <x:v>Look for: explicit claim-level evidence; parent-family cues for Liking bias; variant cue: authority or credential cues drive the conclusion; avoid author-level inference.</x:v>
      </x:c>
      <x:c r="P700" s="13" t="str">
        <x:v>Exact evidence span in text plus claim-level reasoning link; for contextual/discourse entries, require surrounding context.</x:v>
      </x:c>
      <x:c r="Q700" s="13" t="str">
        <x:v>Do not label merely because topic is controversial, emotional, or wrong. Do not judge intent or personality. Require textual evidence and consider healthy-reasoning cues.</x:v>
      </x:c>
      <x:c r="R700" s="13" t="str">
        <x:v>Stub: A claim relies on authority or credential cues drive the conclusion to support a conclusion without adequate qualification.</x:v>
      </x:c>
      <x:c r="S700" s="13" t="str">
        <x:v>Stub: A claim discusses liking bias with caveats, balanced evidence, or no argumentative use of the pattern.</x:v>
      </x:c>
      <x:c r="T700" s="13" t="str">
        <x:v>Mild or ambiguous cue; do not classify without clear evidence span.</x:v>
      </x:c>
      <x:c r="U700" s="13" t="str">
        <x:v>Clear claim-level pattern with some argumentative impact.</x:v>
      </x:c>
      <x:c r="V700" s="13" t="str">
        <x:v>Strong pattern central to the conclusion and likely to materially distort reasoning.</x:v>
      </x:c>
      <x:c r="W700" s="13" t="str"/>
      <x:c r="X700" s="13" t="str">
        <x:v>cialdini_influence</x:v>
      </x:c>
      <x:c r="Y700" s="13" t="str">
        <x:v>https://www.pearson.com/en-us/subject-catalog/p/influence-science-and-practice/P200000003004</x:v>
      </x:c>
      <x:c r="Z700" s="13" t="str">
        <x:v>Review before enabling. This workbook is a living taxonomy scaffold, not a validated scientific benchmark.</x:v>
      </x:c>
      <x:c r="AA700" s="13" t="str">
        <x:v>0.1.0-draft</x:v>
      </x:c>
      <x:c r="AB700" s="12" t="str">
        <x:f>IF(ISNUMBER(SEARCH("healthy",F700)),"healthy_reasoning_patterns",IF(ISNUMBER(SEARCH("statistical",F700)),"statistical_reasoning",IF(ISNUMBER(SEARCH("causal",F700)),"causal_reasoning",IF(ISNUMBER(SEARCH("social",F700)),"social_influence",IF(ISNUMBER(SEARCH("rhetoric",F700)),"rhetoric_discourse",IF(ISNUMBER(SEARCH("behavior",F700)),"behavioural_economics",IF(ISNUMBER(SEARCH("cognitive",F700)),"cognitive_biases",IF(J700="protective_pattern","healthy_reasoning_patterns",IF(L700="P0","core_mvp","extended_fallacies")))))))))</x:f>
        <x:v>social_influence</x:v>
      </x:c>
      <x:c r="AC700" s="12" t="str">
        <x:f>IF(ISNUMBER(SEARCH("operational",J700)),"operational",IF(ISNUMBER(SEARCH("deprecated",J700)),"deprecated",IF(L700="P0","canonical","recognized_subtype")))</x:f>
        <x:v>operational</x:v>
      </x:c>
      <x:c r="AD700" s="12" t="str">
        <x:f>IF(AC700="canonical","high",IF(AC700="recognized_subtype","medium",IF(AC700="operational","operational_only","debated")))</x:f>
        <x:v>operational_only</x:v>
      </x:c>
      <x:c r="AE700" s="12" t="str">
        <x:f>IF(AC700="deprecated","deprecated",IF(M700="yes","active",IF(M700="review","review_required","backlog")))</x:f>
        <x:v>backlog</x:v>
      </x:c>
      <x:c r="AF700" s="12" t="str">
        <x:f>IF(OR(AE700="active",AE700="review_required"),"yes","no")</x:f>
        <x:v>no</x:v>
      </x:c>
      <x:c r="AG700" s="12" t="str">
        <x:f>IF(AND(AE700="active",M700="yes",NOT(ISNUMBER(SEARCH("healthy",AB700)))),"yes","no")</x:f>
        <x:v>no</x:v>
      </x:c>
      <x:c r="AH700" s="12" t="str">
        <x:f>IF(OR(H700="contextual",H700="dialogue",H700="discourse",I700="claim+context",I700="discourse_segment"),"yes","no")</x:f>
        <x:v>yes</x:v>
      </x:c>
      <x:c r="AI700" s="12" t="str">
        <x:f>IF(OR(AH700="yes",AD700="debated",AC700="operational"),"yes","no")</x:f>
        <x:v>yes</x:v>
      </x:c>
      <x:c r="AJ700" s="12" t="str">
        <x:f>IF(OR(AH700="yes",AC700="operational",AD700="debated"),"high",IF(AND(AG700="yes",L700="P0"),"medium","low"))</x:f>
        <x:v>high</x:v>
      </x:c>
      <x:c r="AK700" s="12" t="str">
        <x:f>IF(ISNUMBER(SEARCH("healthy",AB700)),"yes","no")</x:f>
        <x:v>no</x:v>
      </x:c>
      <x:c r="AL700" s="12" t="str">
        <x:f>IF(AG700="yes","yes","candidate_only")</x:f>
        <x:v>candidate_only</x:v>
      </x:c>
      <x:c r="AM700" s="12" t="str">
        <x:f>IF(OR(AC700="canonical",AG700="yes"),"yes","recommended")</x:f>
        <x:v>recommended</x:v>
      </x:c>
      <x:c r="AN700" s="12" t="str">
        <x:f>IF(AC700="deprecated","exclude",IF(AND(AG700="yes",AJ700="high"),"import_but_human_review_required",IF(AG700="yes","import_as_active","import_as_backlog")))</x:f>
        <x:v>import_as_backlog</x:v>
      </x:c>
      <x:c r="AO700" s="12" t="str">
        <x:f>IF(AND(AG700="yes",OR(P700="",Q700="",R700="",S700="")),"missing_required_mvp_fields",IF(AND(AC700="canonical",Y700=""),"missing_source_ref","ok"))</x:f>
        <x:v>ok</x:v>
      </x:c>
      <x:c r="AP700" s="12" t="str">
        <x:f>IF(AO700="ok","ready_for_codex_import","needs_review")</x:f>
        <x:v>ready_for_codex_import</x:v>
      </x:c>
      <x:c r="AQ700" s="12"/>
      <x:c r="AR700" s="12" t="str">
        <x:v>Added v2 operational fields. Review before classification activation.</x:v>
      </x:c>
    </x:row>
    <x:row r="701">
      <x:c r="A701" s="13" t="str">
        <x:v>halo_authority_blend_authority_cue_variant</x:v>
      </x:c>
      <x:c r="B701" s="13" t="str">
        <x:v>halo_authority_blend</x:v>
      </x:c>
      <x:c r="C701" s="13" t="str">
        <x:v>Halo-authority blend</x:v>
      </x:c>
      <x:c r="D701" s="13" t="str">
        <x:v>ترکیب هاله و اقتدار</x:v>
      </x:c>
      <x:c r="E701" s="13" t="str">
        <x:v>Authority-cue variant</x:v>
      </x:c>
      <x:c r="F701" s="13" t="str">
        <x:v>social_influence_patterns</x:v>
      </x:c>
      <x:c r="G701" s="13" t="str">
        <x:v>operational_variant</x:v>
      </x:c>
      <x:c r="H701" s="13" t="str">
        <x:v>contextual</x:v>
      </x:c>
      <x:c r="I701" s="13" t="str">
        <x:v>claim+context</x:v>
      </x:c>
      <x:c r="J701" s="13" t="str">
        <x:v>derived_operational_subtype</x:v>
      </x:c>
      <x:c r="K701" s="13" t="str">
        <x:v>derived_from_established_parent_review_required</x:v>
      </x:c>
      <x:c r="L701" s="13" t="str">
        <x:v>P2</x:v>
      </x:c>
      <x:c r="M701" s="13" t="str">
        <x:v>no</x:v>
      </x:c>
      <x:c r="N701" s="13" t="str">
        <x:v>Operational subtype under Halo-authority blend: authority or credential cues drive the conclusion. Parent definition: Positive global impressions amplify perceived authority.</x:v>
      </x:c>
      <x:c r="O701" s="13" t="str">
        <x:v>Look for: explicit claim-level evidence; parent-family cues for Halo-authority blend; variant cue: authority or credential cues drive the conclusion; avoid author-level inference.</x:v>
      </x:c>
      <x:c r="P701" s="13" t="str">
        <x:v>Exact evidence span in text plus claim-level reasoning link; for contextual/discourse entries, require surrounding context.</x:v>
      </x:c>
      <x:c r="Q701" s="13" t="str">
        <x:v>Do not label merely because topic is controversial, emotional, or wrong. Do not judge intent or personality. Require textual evidence and consider healthy-reasoning cues.</x:v>
      </x:c>
      <x:c r="R701" s="13" t="str">
        <x:v>Stub: A claim relies on authority or credential cues drive the conclusion to support a conclusion without adequate qualification.</x:v>
      </x:c>
      <x:c r="S701" s="13" t="str">
        <x:v>Stub: A claim discusses halo-authority blend with caveats, balanced evidence, or no argumentative use of the pattern.</x:v>
      </x:c>
      <x:c r="T701" s="13" t="str">
        <x:v>Mild or ambiguous cue; do not classify without clear evidence span.</x:v>
      </x:c>
      <x:c r="U701" s="13" t="str">
        <x:v>Clear claim-level pattern with some argumentative impact.</x:v>
      </x:c>
      <x:c r="V701" s="13" t="str">
        <x:v>Strong pattern central to the conclusion and likely to materially distort reasoning.</x:v>
      </x:c>
      <x:c r="W701" s="13" t="str">
        <x:v>authority_bias; appeal_to_authority_misuse; source_triangulation</x:v>
      </x:c>
      <x:c r="X701" s="13" t="str">
        <x:v>cialdini_influence</x:v>
      </x:c>
      <x:c r="Y701" s="13" t="str">
        <x:v>https://www.pearson.com/en-us/subject-catalog/p/influence-science-and-practice/P200000003004</x:v>
      </x:c>
      <x:c r="Z701" s="13" t="str">
        <x:v>Review before enabling. This workbook is a living taxonomy scaffold, not a validated scientific benchmark.</x:v>
      </x:c>
      <x:c r="AA701" s="13" t="str">
        <x:v>0.1.0-draft</x:v>
      </x:c>
      <x:c r="AB701" s="12" t="str">
        <x:f>IF(ISNUMBER(SEARCH("healthy",F701)),"healthy_reasoning_patterns",IF(ISNUMBER(SEARCH("statistical",F701)),"statistical_reasoning",IF(ISNUMBER(SEARCH("causal",F701)),"causal_reasoning",IF(ISNUMBER(SEARCH("social",F701)),"social_influence",IF(ISNUMBER(SEARCH("rhetoric",F701)),"rhetoric_discourse",IF(ISNUMBER(SEARCH("behavior",F701)),"behavioural_economics",IF(ISNUMBER(SEARCH("cognitive",F701)),"cognitive_biases",IF(J701="protective_pattern","healthy_reasoning_patterns",IF(L701="P0","core_mvp","extended_fallacies")))))))))</x:f>
        <x:v>social_influence</x:v>
      </x:c>
      <x:c r="AC701" s="12" t="str">
        <x:f>IF(ISNUMBER(SEARCH("operational",J701)),"operational",IF(ISNUMBER(SEARCH("deprecated",J701)),"deprecated",IF(L701="P0","canonical","recognized_subtype")))</x:f>
        <x:v>operational</x:v>
      </x:c>
      <x:c r="AD701" s="12" t="str">
        <x:f>IF(AC701="canonical","high",IF(AC701="recognized_subtype","medium",IF(AC701="operational","operational_only","debated")))</x:f>
        <x:v>operational_only</x:v>
      </x:c>
      <x:c r="AE701" s="12" t="str">
        <x:f>IF(AC701="deprecated","deprecated",IF(M701="yes","active",IF(M701="review","review_required","backlog")))</x:f>
        <x:v>backlog</x:v>
      </x:c>
      <x:c r="AF701" s="12" t="str">
        <x:f>IF(OR(AE701="active",AE701="review_required"),"yes","no")</x:f>
        <x:v>no</x:v>
      </x:c>
      <x:c r="AG701" s="12" t="str">
        <x:f>IF(AND(AE701="active",M701="yes",NOT(ISNUMBER(SEARCH("healthy",AB701)))),"yes","no")</x:f>
        <x:v>no</x:v>
      </x:c>
      <x:c r="AH701" s="12" t="str">
        <x:f>IF(OR(H701="contextual",H701="dialogue",H701="discourse",I701="claim+context",I701="discourse_segment"),"yes","no")</x:f>
        <x:v>yes</x:v>
      </x:c>
      <x:c r="AI701" s="12" t="str">
        <x:f>IF(OR(AH701="yes",AD701="debated",AC701="operational"),"yes","no")</x:f>
        <x:v>yes</x:v>
      </x:c>
      <x:c r="AJ701" s="12" t="str">
        <x:f>IF(OR(AH701="yes",AC701="operational",AD701="debated"),"high",IF(AND(AG701="yes",L701="P0"),"medium","low"))</x:f>
        <x:v>high</x:v>
      </x:c>
      <x:c r="AK701" s="12" t="str">
        <x:f>IF(ISNUMBER(SEARCH("healthy",AB701)),"yes","no")</x:f>
        <x:v>no</x:v>
      </x:c>
      <x:c r="AL701" s="12" t="str">
        <x:f>IF(AG701="yes","yes","candidate_only")</x:f>
        <x:v>candidate_only</x:v>
      </x:c>
      <x:c r="AM701" s="12" t="str">
        <x:f>IF(OR(AC701="canonical",AG701="yes"),"yes","recommended")</x:f>
        <x:v>recommended</x:v>
      </x:c>
      <x:c r="AN701" s="12" t="str">
        <x:f>IF(AC701="deprecated","exclude",IF(AND(AG701="yes",AJ701="high"),"import_but_human_review_required",IF(AG701="yes","import_as_active","import_as_backlog")))</x:f>
        <x:v>import_as_backlog</x:v>
      </x:c>
      <x:c r="AO701" s="12" t="str">
        <x:f>IF(AND(AG701="yes",OR(P701="",Q701="",R701="",S701="")),"missing_required_mvp_fields",IF(AND(AC701="canonical",Y701=""),"missing_source_ref","ok"))</x:f>
        <x:v>ok</x:v>
      </x:c>
      <x:c r="AP701" s="12" t="str">
        <x:f>IF(AO701="ok","ready_for_codex_import","needs_review")</x:f>
        <x:v>ready_for_codex_import</x:v>
      </x:c>
      <x:c r="AQ701" s="12"/>
      <x:c r="AR701" s="12" t="str">
        <x:v>Added v2 operational fields. Review before classification activation.</x:v>
      </x:c>
    </x:row>
    <x:row r="702">
      <x:c r="A702" s="13" t="str">
        <x:v>social_proof_majority_cue_variant</x:v>
      </x:c>
      <x:c r="B702" s="13" t="str">
        <x:v>social_proof</x:v>
      </x:c>
      <x:c r="C702" s="13" t="str">
        <x:v>Social proof</x:v>
      </x:c>
      <x:c r="D702" s="13" t="str">
        <x:v>اثبات اجتماعی</x:v>
      </x:c>
      <x:c r="E702" s="13" t="str">
        <x:v>Majority-cue variant</x:v>
      </x:c>
      <x:c r="F702" s="13" t="str">
        <x:v>social_influence_patterns</x:v>
      </x:c>
      <x:c r="G702" s="13" t="str">
        <x:v>operational_variant</x:v>
      </x:c>
      <x:c r="H702" s="13" t="str">
        <x:v>discourse</x:v>
      </x:c>
      <x:c r="I702" s="13" t="str">
        <x:v>discourse_segment</x:v>
      </x:c>
      <x:c r="J702" s="13" t="str">
        <x:v>derived_operational_subtype</x:v>
      </x:c>
      <x:c r="K702" s="13" t="str">
        <x:v>derived_from_established_parent_review_required</x:v>
      </x:c>
      <x:c r="L702" s="13" t="str">
        <x:v>P2</x:v>
      </x:c>
      <x:c r="M702" s="13" t="str">
        <x:v>no</x:v>
      </x:c>
      <x:c r="N702" s="13" t="str">
        <x:v>Operational subtype under Social proof: majority or popularity cues drive the conclusion. Parent definition: Treating others' behavior as evidence of correctness.</x:v>
      </x:c>
      <x:c r="O702" s="13" t="str">
        <x:v>Look for: explicit claim-level evidence; parent-family cues for Social proof; variant cue: majority or popularity cues drive the conclusion; avoid author-level inference.</x:v>
      </x:c>
      <x:c r="P702" s="13" t="str">
        <x:v>Exact evidence span in text plus claim-level reasoning link; for contextual/discourse entries, require surrounding context.</x:v>
      </x:c>
      <x:c r="Q702" s="13" t="str">
        <x:v>Do not label merely because topic is controversial, emotional, or wrong. Do not judge intent or personality. Require textual evidence and consider healthy-reasoning cues.</x:v>
      </x:c>
      <x:c r="R702" s="13" t="str">
        <x:v>Stub: A claim relies on majority or popularity cues drive the conclusion to support a conclusion without adequate qualification.</x:v>
      </x:c>
      <x:c r="S702" s="13" t="str">
        <x:v>Stub: A claim discusses social proof with caveats, balanced evidence, or no argumentative use of the pattern.</x:v>
      </x:c>
      <x:c r="T702" s="13" t="str">
        <x:v>Mild or ambiguous cue; do not classify without clear evidence span.</x:v>
      </x:c>
      <x:c r="U702" s="13" t="str">
        <x:v>Clear claim-level pattern with some argumentative impact.</x:v>
      </x:c>
      <x:c r="V702" s="13" t="str">
        <x:v>Strong pattern central to the conclusion and likely to materially distort reasoning.</x:v>
      </x:c>
      <x:c r="W702" s="13" t="str">
        <x:v>cherry_picking; missing_counterevidence; evidence_grading</x:v>
      </x:c>
      <x:c r="X702" s="13" t="str">
        <x:v>cialdini_influence</x:v>
      </x:c>
      <x:c r="Y702" s="13" t="str">
        <x:v>https://www.pearson.com/en-us/subject-catalog/p/influence-science-and-practice/P200000003004</x:v>
      </x:c>
      <x:c r="Z702" s="13" t="str">
        <x:v>Review before enabling. This workbook is a living taxonomy scaffold, not a validated scientific benchmark.</x:v>
      </x:c>
      <x:c r="AA702" s="13" t="str">
        <x:v>0.1.0-draft</x:v>
      </x:c>
      <x:c r="AB702" s="12" t="str">
        <x:f>IF(ISNUMBER(SEARCH("healthy",F702)),"healthy_reasoning_patterns",IF(ISNUMBER(SEARCH("statistical",F702)),"statistical_reasoning",IF(ISNUMBER(SEARCH("causal",F702)),"causal_reasoning",IF(ISNUMBER(SEARCH("social",F702)),"social_influence",IF(ISNUMBER(SEARCH("rhetoric",F702)),"rhetoric_discourse",IF(ISNUMBER(SEARCH("behavior",F702)),"behavioural_economics",IF(ISNUMBER(SEARCH("cognitive",F702)),"cognitive_biases",IF(J702="protective_pattern","healthy_reasoning_patterns",IF(L702="P0","core_mvp","extended_fallacies")))))))))</x:f>
        <x:v>social_influence</x:v>
      </x:c>
      <x:c r="AC702" s="12" t="str">
        <x:f>IF(ISNUMBER(SEARCH("operational",J702)),"operational",IF(ISNUMBER(SEARCH("deprecated",J702)),"deprecated",IF(L702="P0","canonical","recognized_subtype")))</x:f>
        <x:v>operational</x:v>
      </x:c>
      <x:c r="AD702" s="12" t="str">
        <x:f>IF(AC702="canonical","high",IF(AC702="recognized_subtype","medium",IF(AC702="operational","operational_only","debated")))</x:f>
        <x:v>operational_only</x:v>
      </x:c>
      <x:c r="AE702" s="12" t="str">
        <x:f>IF(AC702="deprecated","deprecated",IF(M702="yes","active",IF(M702="review","review_required","backlog")))</x:f>
        <x:v>backlog</x:v>
      </x:c>
      <x:c r="AF702" s="12" t="str">
        <x:f>IF(OR(AE702="active",AE702="review_required"),"yes","no")</x:f>
        <x:v>no</x:v>
      </x:c>
      <x:c r="AG702" s="12" t="str">
        <x:f>IF(AND(AE702="active",M702="yes",NOT(ISNUMBER(SEARCH("healthy",AB702)))),"yes","no")</x:f>
        <x:v>no</x:v>
      </x:c>
      <x:c r="AH702" s="12" t="str">
        <x:f>IF(OR(H702="contextual",H702="dialogue",H702="discourse",I702="claim+context",I702="discourse_segment"),"yes","no")</x:f>
        <x:v>yes</x:v>
      </x:c>
      <x:c r="AI702" s="12" t="str">
        <x:f>IF(OR(AH702="yes",AD702="debated",AC702="operational"),"yes","no")</x:f>
        <x:v>yes</x:v>
      </x:c>
      <x:c r="AJ702" s="12" t="str">
        <x:f>IF(OR(AH702="yes",AC702="operational",AD702="debated"),"high",IF(AND(AG702="yes",L702="P0"),"medium","low"))</x:f>
        <x:v>high</x:v>
      </x:c>
      <x:c r="AK702" s="12" t="str">
        <x:f>IF(ISNUMBER(SEARCH("healthy",AB702)),"yes","no")</x:f>
        <x:v>no</x:v>
      </x:c>
      <x:c r="AL702" s="12" t="str">
        <x:f>IF(AG702="yes","yes","candidate_only")</x:f>
        <x:v>candidate_only</x:v>
      </x:c>
      <x:c r="AM702" s="12" t="str">
        <x:f>IF(OR(AC702="canonical",AG702="yes"),"yes","recommended")</x:f>
        <x:v>recommended</x:v>
      </x:c>
      <x:c r="AN702" s="12" t="str">
        <x:f>IF(AC702="deprecated","exclude",IF(AND(AG702="yes",AJ702="high"),"import_but_human_review_required",IF(AG702="yes","import_as_active","import_as_backlog")))</x:f>
        <x:v>import_as_backlog</x:v>
      </x:c>
      <x:c r="AO702" s="12" t="str">
        <x:f>IF(AND(AG702="yes",OR(P702="",Q702="",R702="",S702="")),"missing_required_mvp_fields",IF(AND(AC702="canonical",Y702=""),"missing_source_ref","ok"))</x:f>
        <x:v>ok</x:v>
      </x:c>
      <x:c r="AP702" s="12" t="str">
        <x:f>IF(AO702="ok","ready_for_codex_import","needs_review")</x:f>
        <x:v>ready_for_codex_import</x:v>
      </x:c>
      <x:c r="AQ702" s="12"/>
      <x:c r="AR702" s="12" t="str">
        <x:v>Added v2 operational fields. Review before classification activation.</x:v>
      </x:c>
    </x:row>
    <x:row r="703">
      <x:c r="A703" s="13" t="str">
        <x:v>bandwagon_effect_majority_cue_variant</x:v>
      </x:c>
      <x:c r="B703" s="13" t="str">
        <x:v>bandwagon_effect</x:v>
      </x:c>
      <x:c r="C703" s="13" t="str">
        <x:v>Bandwagon effect</x:v>
      </x:c>
      <x:c r="D703" s="13" t="str">
        <x:v>اثر همراهی با جمع</x:v>
      </x:c>
      <x:c r="E703" s="13" t="str">
        <x:v>Majority-cue variant</x:v>
      </x:c>
      <x:c r="F703" s="13" t="str">
        <x:v>social_influence_patterns</x:v>
      </x:c>
      <x:c r="G703" s="13" t="str">
        <x:v>operational_variant</x:v>
      </x:c>
      <x:c r="H703" s="13" t="str">
        <x:v>discourse</x:v>
      </x:c>
      <x:c r="I703" s="13" t="str">
        <x:v>discourse_segment</x:v>
      </x:c>
      <x:c r="J703" s="13" t="str">
        <x:v>derived_operational_subtype</x:v>
      </x:c>
      <x:c r="K703" s="13" t="str">
        <x:v>derived_from_established_parent_review_required</x:v>
      </x:c>
      <x:c r="L703" s="13" t="str">
        <x:v>P2</x:v>
      </x:c>
      <x:c r="M703" s="13" t="str">
        <x:v>no</x:v>
      </x:c>
      <x:c r="N703" s="13" t="str">
        <x:v>Operational subtype under Bandwagon effect: majority or popularity cues drive the conclusion. Parent definition: Adopting beliefs or choices primarily because many others do.</x:v>
      </x:c>
      <x:c r="O703" s="13" t="str">
        <x:v>Look for: explicit claim-level evidence; parent-family cues for Bandwagon effect; variant cue: majority or popularity cues drive the conclusion; avoid author-level inference.</x:v>
      </x:c>
      <x:c r="P703" s="13" t="str">
        <x:v>Exact evidence span in text plus claim-level reasoning link; for contextual/discourse entries, require surrounding context.</x:v>
      </x:c>
      <x:c r="Q703" s="13" t="str">
        <x:v>Do not label merely because topic is controversial, emotional, or wrong. Do not judge intent or personality. Require textual evidence and consider healthy-reasoning cues.</x:v>
      </x:c>
      <x:c r="R703" s="13" t="str">
        <x:v>Stub: A claim relies on majority or popularity cues drive the conclusion to support a conclusion without adequate qualification.</x:v>
      </x:c>
      <x:c r="S703" s="13" t="str">
        <x:v>Stub: A claim discusses bandwagon effect with caveats, balanced evidence, or no argumentative use of the pattern.</x:v>
      </x:c>
      <x:c r="T703" s="13" t="str">
        <x:v>Mild or ambiguous cue; do not classify without clear evidence span.</x:v>
      </x:c>
      <x:c r="U703" s="13" t="str">
        <x:v>Clear claim-level pattern with some argumentative impact.</x:v>
      </x:c>
      <x:c r="V703" s="13" t="str">
        <x:v>Strong pattern central to the conclusion and likely to materially distort reasoning.</x:v>
      </x:c>
      <x:c r="W703" s="13" t="str"/>
      <x:c r="X703" s="13" t="str">
        <x:v>cialdini_influence</x:v>
      </x:c>
      <x:c r="Y703" s="13" t="str">
        <x:v>https://www.pearson.com/en-us/subject-catalog/p/influence-science-and-practice/P200000003004</x:v>
      </x:c>
      <x:c r="Z703" s="13" t="str">
        <x:v>Review before enabling. This workbook is a living taxonomy scaffold, not a validated scientific benchmark.</x:v>
      </x:c>
      <x:c r="AA703" s="13" t="str">
        <x:v>0.1.0-draft</x:v>
      </x:c>
      <x:c r="AB703" s="12" t="str">
        <x:f>IF(ISNUMBER(SEARCH("healthy",F703)),"healthy_reasoning_patterns",IF(ISNUMBER(SEARCH("statistical",F703)),"statistical_reasoning",IF(ISNUMBER(SEARCH("causal",F703)),"causal_reasoning",IF(ISNUMBER(SEARCH("social",F703)),"social_influence",IF(ISNUMBER(SEARCH("rhetoric",F703)),"rhetoric_discourse",IF(ISNUMBER(SEARCH("behavior",F703)),"behavioural_economics",IF(ISNUMBER(SEARCH("cognitive",F703)),"cognitive_biases",IF(J703="protective_pattern","healthy_reasoning_patterns",IF(L703="P0","core_mvp","extended_fallacies")))))))))</x:f>
        <x:v>social_influence</x:v>
      </x:c>
      <x:c r="AC703" s="12" t="str">
        <x:f>IF(ISNUMBER(SEARCH("operational",J703)),"operational",IF(ISNUMBER(SEARCH("deprecated",J703)),"deprecated",IF(L703="P0","canonical","recognized_subtype")))</x:f>
        <x:v>operational</x:v>
      </x:c>
      <x:c r="AD703" s="12" t="str">
        <x:f>IF(AC703="canonical","high",IF(AC703="recognized_subtype","medium",IF(AC703="operational","operational_only","debated")))</x:f>
        <x:v>operational_only</x:v>
      </x:c>
      <x:c r="AE703" s="12" t="str">
        <x:f>IF(AC703="deprecated","deprecated",IF(M703="yes","active",IF(M703="review","review_required","backlog")))</x:f>
        <x:v>backlog</x:v>
      </x:c>
      <x:c r="AF703" s="12" t="str">
        <x:f>IF(OR(AE703="active",AE703="review_required"),"yes","no")</x:f>
        <x:v>no</x:v>
      </x:c>
      <x:c r="AG703" s="12" t="str">
        <x:f>IF(AND(AE703="active",M703="yes",NOT(ISNUMBER(SEARCH("healthy",AB703)))),"yes","no")</x:f>
        <x:v>no</x:v>
      </x:c>
      <x:c r="AH703" s="12" t="str">
        <x:f>IF(OR(H703="contextual",H703="dialogue",H703="discourse",I703="claim+context",I703="discourse_segment"),"yes","no")</x:f>
        <x:v>yes</x:v>
      </x:c>
      <x:c r="AI703" s="12" t="str">
        <x:f>IF(OR(AH703="yes",AD703="debated",AC703="operational"),"yes","no")</x:f>
        <x:v>yes</x:v>
      </x:c>
      <x:c r="AJ703" s="12" t="str">
        <x:f>IF(OR(AH703="yes",AC703="operational",AD703="debated"),"high",IF(AND(AG703="yes",L703="P0"),"medium","low"))</x:f>
        <x:v>high</x:v>
      </x:c>
      <x:c r="AK703" s="12" t="str">
        <x:f>IF(ISNUMBER(SEARCH("healthy",AB703)),"yes","no")</x:f>
        <x:v>no</x:v>
      </x:c>
      <x:c r="AL703" s="12" t="str">
        <x:f>IF(AG703="yes","yes","candidate_only")</x:f>
        <x:v>candidate_only</x:v>
      </x:c>
      <x:c r="AM703" s="12" t="str">
        <x:f>IF(OR(AC703="canonical",AG703="yes"),"yes","recommended")</x:f>
        <x:v>recommended</x:v>
      </x:c>
      <x:c r="AN703" s="12" t="str">
        <x:f>IF(AC703="deprecated","exclude",IF(AND(AG703="yes",AJ703="high"),"import_but_human_review_required",IF(AG703="yes","import_as_active","import_as_backlog")))</x:f>
        <x:v>import_as_backlog</x:v>
      </x:c>
      <x:c r="AO703" s="12" t="str">
        <x:f>IF(AND(AG703="yes",OR(P703="",Q703="",R703="",S703="")),"missing_required_mvp_fields",IF(AND(AC703="canonical",Y703=""),"missing_source_ref","ok"))</x:f>
        <x:v>ok</x:v>
      </x:c>
      <x:c r="AP703" s="12" t="str">
        <x:f>IF(AO703="ok","ready_for_codex_import","needs_review")</x:f>
        <x:v>ready_for_codex_import</x:v>
      </x:c>
      <x:c r="AQ703" s="12"/>
      <x:c r="AR703" s="12" t="str">
        <x:v>Added v2 operational fields. Review before classification activation.</x:v>
      </x:c>
    </x:row>
    <x:row r="704">
      <x:c r="A704" s="13" t="str">
        <x:v>conformity_bias_majority_cue_variant</x:v>
      </x:c>
      <x:c r="B704" s="13" t="str">
        <x:v>conformity_bias</x:v>
      </x:c>
      <x:c r="C704" s="13" t="str">
        <x:v>Conformity bias</x:v>
      </x:c>
      <x:c r="D704" s="13" t="str">
        <x:v>سوگیری همرنگی</x:v>
      </x:c>
      <x:c r="E704" s="13" t="str">
        <x:v>Majority-cue variant</x:v>
      </x:c>
      <x:c r="F704" s="13" t="str">
        <x:v>social_influence_patterns</x:v>
      </x:c>
      <x:c r="G704" s="13" t="str">
        <x:v>operational_variant</x:v>
      </x:c>
      <x:c r="H704" s="13" t="str">
        <x:v>contextual</x:v>
      </x:c>
      <x:c r="I704" s="13" t="str">
        <x:v>claim+context</x:v>
      </x:c>
      <x:c r="J704" s="13" t="str">
        <x:v>derived_operational_subtype</x:v>
      </x:c>
      <x:c r="K704" s="13" t="str">
        <x:v>derived_from_established_parent_review_required</x:v>
      </x:c>
      <x:c r="L704" s="13" t="str">
        <x:v>P2</x:v>
      </x:c>
      <x:c r="M704" s="13" t="str">
        <x:v>no</x:v>
      </x:c>
      <x:c r="N704" s="13" t="str">
        <x:v>Operational subtype under Conformity bias: majority or popularity cues drive the conclusion. Parent definition: Aligning judgments with group norms despite weak evidence.</x:v>
      </x:c>
      <x:c r="O704" s="13" t="str">
        <x:v>Look for: explicit claim-level evidence; parent-family cues for Conformity bias; variant cue: majority or popularity cues drive the conclusion; avoid author-level inference.</x:v>
      </x:c>
      <x:c r="P704" s="13" t="str">
        <x:v>Exact evidence span in text plus claim-level reasoning link; for contextual/discourse entries, require surrounding context.</x:v>
      </x:c>
      <x:c r="Q704" s="13" t="str">
        <x:v>Do not label merely because topic is controversial, emotional, or wrong. Do not judge intent or personality. Require textual evidence and consider healthy-reasoning cues.</x:v>
      </x:c>
      <x:c r="R704" s="13" t="str">
        <x:v>Stub: A claim relies on majority or popularity cues drive the conclusion to support a conclusion without adequate qualification.</x:v>
      </x:c>
      <x:c r="S704" s="13" t="str">
        <x:v>Stub: A claim discusses conformity bias with caveats, balanced evidence, or no argumentative use of the pattern.</x:v>
      </x:c>
      <x:c r="T704" s="13" t="str">
        <x:v>Mild or ambiguous cue; do not classify without clear evidence span.</x:v>
      </x:c>
      <x:c r="U704" s="13" t="str">
        <x:v>Clear claim-level pattern with some argumentative impact.</x:v>
      </x:c>
      <x:c r="V704" s="13" t="str">
        <x:v>Strong pattern central to the conclusion and likely to materially distort reasoning.</x:v>
      </x:c>
      <x:c r="W704" s="13" t="str">
        <x:v>cherry_picking; missing_counterevidence; evidence_grading</x:v>
      </x:c>
      <x:c r="X704" s="13" t="str">
        <x:v>cialdini_influence</x:v>
      </x:c>
      <x:c r="Y704" s="13" t="str">
        <x:v>https://www.pearson.com/en-us/subject-catalog/p/influence-science-and-practice/P200000003004</x:v>
      </x:c>
      <x:c r="Z704" s="13" t="str">
        <x:v>Review before enabling. This workbook is a living taxonomy scaffold, not a validated scientific benchmark.</x:v>
      </x:c>
      <x:c r="AA704" s="13" t="str">
        <x:v>0.1.0-draft</x:v>
      </x:c>
      <x:c r="AB704" s="12" t="str">
        <x:f>IF(ISNUMBER(SEARCH("healthy",F704)),"healthy_reasoning_patterns",IF(ISNUMBER(SEARCH("statistical",F704)),"statistical_reasoning",IF(ISNUMBER(SEARCH("causal",F704)),"causal_reasoning",IF(ISNUMBER(SEARCH("social",F704)),"social_influence",IF(ISNUMBER(SEARCH("rhetoric",F704)),"rhetoric_discourse",IF(ISNUMBER(SEARCH("behavior",F704)),"behavioural_economics",IF(ISNUMBER(SEARCH("cognitive",F704)),"cognitive_biases",IF(J704="protective_pattern","healthy_reasoning_patterns",IF(L704="P0","core_mvp","extended_fallacies")))))))))</x:f>
        <x:v>social_influence</x:v>
      </x:c>
      <x:c r="AC704" s="12" t="str">
        <x:f>IF(ISNUMBER(SEARCH("operational",J704)),"operational",IF(ISNUMBER(SEARCH("deprecated",J704)),"deprecated",IF(L704="P0","canonical","recognized_subtype")))</x:f>
        <x:v>operational</x:v>
      </x:c>
      <x:c r="AD704" s="12" t="str">
        <x:f>IF(AC704="canonical","high",IF(AC704="recognized_subtype","medium",IF(AC704="operational","operational_only","debated")))</x:f>
        <x:v>operational_only</x:v>
      </x:c>
      <x:c r="AE704" s="12" t="str">
        <x:f>IF(AC704="deprecated","deprecated",IF(M704="yes","active",IF(M704="review","review_required","backlog")))</x:f>
        <x:v>backlog</x:v>
      </x:c>
      <x:c r="AF704" s="12" t="str">
        <x:f>IF(OR(AE704="active",AE704="review_required"),"yes","no")</x:f>
        <x:v>no</x:v>
      </x:c>
      <x:c r="AG704" s="12" t="str">
        <x:f>IF(AND(AE704="active",M704="yes",NOT(ISNUMBER(SEARCH("healthy",AB704)))),"yes","no")</x:f>
        <x:v>no</x:v>
      </x:c>
      <x:c r="AH704" s="12" t="str">
        <x:f>IF(OR(H704="contextual",H704="dialogue",H704="discourse",I704="claim+context",I704="discourse_segment"),"yes","no")</x:f>
        <x:v>yes</x:v>
      </x:c>
      <x:c r="AI704" s="12" t="str">
        <x:f>IF(OR(AH704="yes",AD704="debated",AC704="operational"),"yes","no")</x:f>
        <x:v>yes</x:v>
      </x:c>
      <x:c r="AJ704" s="12" t="str">
        <x:f>IF(OR(AH704="yes",AC704="operational",AD704="debated"),"high",IF(AND(AG704="yes",L704="P0"),"medium","low"))</x:f>
        <x:v>high</x:v>
      </x:c>
      <x:c r="AK704" s="12" t="str">
        <x:f>IF(ISNUMBER(SEARCH("healthy",AB704)),"yes","no")</x:f>
        <x:v>no</x:v>
      </x:c>
      <x:c r="AL704" s="12" t="str">
        <x:f>IF(AG704="yes","yes","candidate_only")</x:f>
        <x:v>candidate_only</x:v>
      </x:c>
      <x:c r="AM704" s="12" t="str">
        <x:f>IF(OR(AC704="canonical",AG704="yes"),"yes","recommended")</x:f>
        <x:v>recommended</x:v>
      </x:c>
      <x:c r="AN704" s="12" t="str">
        <x:f>IF(AC704="deprecated","exclude",IF(AND(AG704="yes",AJ704="high"),"import_but_human_review_required",IF(AG704="yes","import_as_active","import_as_backlog")))</x:f>
        <x:v>import_as_backlog</x:v>
      </x:c>
      <x:c r="AO704" s="12" t="str">
        <x:f>IF(AND(AG704="yes",OR(P704="",Q704="",R704="",S704="")),"missing_required_mvp_fields",IF(AND(AC704="canonical",Y704=""),"missing_source_ref","ok"))</x:f>
        <x:v>ok</x:v>
      </x:c>
      <x:c r="AP704" s="12" t="str">
        <x:f>IF(AO704="ok","ready_for_codex_import","needs_review")</x:f>
        <x:v>ready_for_codex_import</x:v>
      </x:c>
      <x:c r="AQ704" s="12"/>
      <x:c r="AR704" s="12" t="str">
        <x:v>Added v2 operational fields. Review before classification activation.</x:v>
      </x:c>
    </x:row>
    <x:row r="705">
      <x:c r="A705" s="13" t="str">
        <x:v>authority_bias_majority_cue_variant</x:v>
      </x:c>
      <x:c r="B705" s="13" t="str">
        <x:v>authority_bias</x:v>
      </x:c>
      <x:c r="C705" s="13" t="str">
        <x:v>Authority bias</x:v>
      </x:c>
      <x:c r="D705" s="13" t="str">
        <x:v>سوگیری اقتدار</x:v>
      </x:c>
      <x:c r="E705" s="13" t="str">
        <x:v>Majority-cue variant</x:v>
      </x:c>
      <x:c r="F705" s="13" t="str">
        <x:v>social_influence_patterns</x:v>
      </x:c>
      <x:c r="G705" s="13" t="str">
        <x:v>operational_variant</x:v>
      </x:c>
      <x:c r="H705" s="13" t="str">
        <x:v>contextual</x:v>
      </x:c>
      <x:c r="I705" s="13" t="str">
        <x:v>claim+context</x:v>
      </x:c>
      <x:c r="J705" s="13" t="str">
        <x:v>derived_operational_subtype</x:v>
      </x:c>
      <x:c r="K705" s="13" t="str">
        <x:v>derived_from_established_parent_review_required</x:v>
      </x:c>
      <x:c r="L705" s="13" t="str">
        <x:v>P2</x:v>
      </x:c>
      <x:c r="M705" s="13" t="str">
        <x:v>no</x:v>
      </x:c>
      <x:c r="N705" s="13" t="str">
        <x:v>Operational subtype under Authority bias: majority or popularity cues drive the conclusion. Parent definition: Giving excessive weight to authority cues.</x:v>
      </x:c>
      <x:c r="O705" s="13" t="str">
        <x:v>Look for: explicit claim-level evidence; parent-family cues for Authority bias; variant cue: majority or popularity cues drive the conclusion; avoid author-level inference.</x:v>
      </x:c>
      <x:c r="P705" s="13" t="str">
        <x:v>Exact evidence span in text plus claim-level reasoning link; for contextual/discourse entries, require surrounding context.</x:v>
      </x:c>
      <x:c r="Q705" s="13" t="str">
        <x:v>Do not label merely because topic is controversial, emotional, or wrong. Do not judge intent or personality. Require textual evidence and consider healthy-reasoning cues.</x:v>
      </x:c>
      <x:c r="R705" s="13" t="str">
        <x:v>Stub: A claim relies on majority or popularity cues drive the conclusion to support a conclusion without adequate qualification.</x:v>
      </x:c>
      <x:c r="S705" s="13" t="str">
        <x:v>Stub: A claim discusses authority bias with caveats, balanced evidence, or no argumentative use of the pattern.</x:v>
      </x:c>
      <x:c r="T705" s="13" t="str">
        <x:v>Mild or ambiguous cue; do not classify without clear evidence span.</x:v>
      </x:c>
      <x:c r="U705" s="13" t="str">
        <x:v>Clear claim-level pattern with some argumentative impact.</x:v>
      </x:c>
      <x:c r="V705" s="13" t="str">
        <x:v>Strong pattern central to the conclusion and likely to materially distort reasoning.</x:v>
      </x:c>
      <x:c r="W705" s="13" t="str">
        <x:v>authority_bias; appeal_to_authority_misuse; source_triangulation</x:v>
      </x:c>
      <x:c r="X705" s="13" t="str">
        <x:v>cialdini_influence</x:v>
      </x:c>
      <x:c r="Y705" s="13" t="str">
        <x:v>https://www.pearson.com/en-us/subject-catalog/p/influence-science-and-practice/P200000003004</x:v>
      </x:c>
      <x:c r="Z705" s="13" t="str">
        <x:v>Review before enabling. This workbook is a living taxonomy scaffold, not a validated scientific benchmark.</x:v>
      </x:c>
      <x:c r="AA705" s="13" t="str">
        <x:v>0.1.0-draft</x:v>
      </x:c>
      <x:c r="AB705" s="12" t="str">
        <x:f>IF(ISNUMBER(SEARCH("healthy",F705)),"healthy_reasoning_patterns",IF(ISNUMBER(SEARCH("statistical",F705)),"statistical_reasoning",IF(ISNUMBER(SEARCH("causal",F705)),"causal_reasoning",IF(ISNUMBER(SEARCH("social",F705)),"social_influence",IF(ISNUMBER(SEARCH("rhetoric",F705)),"rhetoric_discourse",IF(ISNUMBER(SEARCH("behavior",F705)),"behavioural_economics",IF(ISNUMBER(SEARCH("cognitive",F705)),"cognitive_biases",IF(J705="protective_pattern","healthy_reasoning_patterns",IF(L705="P0","core_mvp","extended_fallacies")))))))))</x:f>
        <x:v>social_influence</x:v>
      </x:c>
      <x:c r="AC705" s="12" t="str">
        <x:f>IF(ISNUMBER(SEARCH("operational",J705)),"operational",IF(ISNUMBER(SEARCH("deprecated",J705)),"deprecated",IF(L705="P0","canonical","recognized_subtype")))</x:f>
        <x:v>operational</x:v>
      </x:c>
      <x:c r="AD705" s="12" t="str">
        <x:f>IF(AC705="canonical","high",IF(AC705="recognized_subtype","medium",IF(AC705="operational","operational_only","debated")))</x:f>
        <x:v>operational_only</x:v>
      </x:c>
      <x:c r="AE705" s="12" t="str">
        <x:f>IF(AC705="deprecated","deprecated",IF(M705="yes","active",IF(M705="review","review_required","backlog")))</x:f>
        <x:v>backlog</x:v>
      </x:c>
      <x:c r="AF705" s="12" t="str">
        <x:f>IF(OR(AE705="active",AE705="review_required"),"yes","no")</x:f>
        <x:v>no</x:v>
      </x:c>
      <x:c r="AG705" s="12" t="str">
        <x:f>IF(AND(AE705="active",M705="yes",NOT(ISNUMBER(SEARCH("healthy",AB705)))),"yes","no")</x:f>
        <x:v>no</x:v>
      </x:c>
      <x:c r="AH705" s="12" t="str">
        <x:f>IF(OR(H705="contextual",H705="dialogue",H705="discourse",I705="claim+context",I705="discourse_segment"),"yes","no")</x:f>
        <x:v>yes</x:v>
      </x:c>
      <x:c r="AI705" s="12" t="str">
        <x:f>IF(OR(AH705="yes",AD705="debated",AC705="operational"),"yes","no")</x:f>
        <x:v>yes</x:v>
      </x:c>
      <x:c r="AJ705" s="12" t="str">
        <x:f>IF(OR(AH705="yes",AC705="operational",AD705="debated"),"high",IF(AND(AG705="yes",L705="P0"),"medium","low"))</x:f>
        <x:v>high</x:v>
      </x:c>
      <x:c r="AK705" s="12" t="str">
        <x:f>IF(ISNUMBER(SEARCH("healthy",AB705)),"yes","no")</x:f>
        <x:v>no</x:v>
      </x:c>
      <x:c r="AL705" s="12" t="str">
        <x:f>IF(AG705="yes","yes","candidate_only")</x:f>
        <x:v>candidate_only</x:v>
      </x:c>
      <x:c r="AM705" s="12" t="str">
        <x:f>IF(OR(AC705="canonical",AG705="yes"),"yes","recommended")</x:f>
        <x:v>recommended</x:v>
      </x:c>
      <x:c r="AN705" s="12" t="str">
        <x:f>IF(AC705="deprecated","exclude",IF(AND(AG705="yes",AJ705="high"),"import_but_human_review_required",IF(AG705="yes","import_as_active","import_as_backlog")))</x:f>
        <x:v>import_as_backlog</x:v>
      </x:c>
      <x:c r="AO705" s="12" t="str">
        <x:f>IF(AND(AG705="yes",OR(P705="",Q705="",R705="",S705="")),"missing_required_mvp_fields",IF(AND(AC705="canonical",Y705=""),"missing_source_ref","ok"))</x:f>
        <x:v>ok</x:v>
      </x:c>
      <x:c r="AP705" s="12" t="str">
        <x:f>IF(AO705="ok","ready_for_codex_import","needs_review")</x:f>
        <x:v>ready_for_codex_import</x:v>
      </x:c>
      <x:c r="AQ705" s="12"/>
      <x:c r="AR705" s="12" t="str">
        <x:v>Added v2 operational fields. Review before classification activation.</x:v>
      </x:c>
    </x:row>
    <x:row r="706">
      <x:c r="A706" s="13" t="str">
        <x:v>groupthink_majority_cue_variant</x:v>
      </x:c>
      <x:c r="B706" s="13" t="str">
        <x:v>groupthink</x:v>
      </x:c>
      <x:c r="C706" s="13" t="str">
        <x:v>Groupthink</x:v>
      </x:c>
      <x:c r="D706" s="13" t="str">
        <x:v>تفکر گروهی</x:v>
      </x:c>
      <x:c r="E706" s="13" t="str">
        <x:v>Majority-cue variant</x:v>
      </x:c>
      <x:c r="F706" s="13" t="str">
        <x:v>social_influence_patterns</x:v>
      </x:c>
      <x:c r="G706" s="13" t="str">
        <x:v>operational_variant</x:v>
      </x:c>
      <x:c r="H706" s="13" t="str">
        <x:v>discourse</x:v>
      </x:c>
      <x:c r="I706" s="13" t="str">
        <x:v>discourse_segment</x:v>
      </x:c>
      <x:c r="J706" s="13" t="str">
        <x:v>derived_operational_subtype</x:v>
      </x:c>
      <x:c r="K706" s="13" t="str">
        <x:v>derived_from_established_parent_review_required</x:v>
      </x:c>
      <x:c r="L706" s="13" t="str">
        <x:v>P2</x:v>
      </x:c>
      <x:c r="M706" s="13" t="str">
        <x:v>no</x:v>
      </x:c>
      <x:c r="N706" s="13" t="str">
        <x:v>Operational subtype under Groupthink: majority or popularity cues drive the conclusion. Parent definition: Group cohesion suppresses dissent and critical evaluation.</x:v>
      </x:c>
      <x:c r="O706" s="13" t="str">
        <x:v>Look for: explicit claim-level evidence; parent-family cues for Groupthink; variant cue: majority or popularity cues drive the conclusion; avoid author-level inference.</x:v>
      </x:c>
      <x:c r="P706" s="13" t="str">
        <x:v>Exact evidence span in text plus claim-level reasoning link; for contextual/discourse entries, require surrounding context.</x:v>
      </x:c>
      <x:c r="Q706" s="13" t="str">
        <x:v>Do not label merely because topic is controversial, emotional, or wrong. Do not judge intent or personality. Require textual evidence and consider healthy-reasoning cues.</x:v>
      </x:c>
      <x:c r="R706" s="13" t="str">
        <x:v>Stub: A claim relies on majority or popularity cues drive the conclusion to support a conclusion without adequate qualification.</x:v>
      </x:c>
      <x:c r="S706" s="13" t="str">
        <x:v>Stub: A claim discusses groupthink with caveats, balanced evidence, or no argumentative use of the pattern.</x:v>
      </x:c>
      <x:c r="T706" s="13" t="str">
        <x:v>Mild or ambiguous cue; do not classify without clear evidence span.</x:v>
      </x:c>
      <x:c r="U706" s="13" t="str">
        <x:v>Clear claim-level pattern with some argumentative impact.</x:v>
      </x:c>
      <x:c r="V706" s="13" t="str">
        <x:v>Strong pattern central to the conclusion and likely to materially distort reasoning.</x:v>
      </x:c>
      <x:c r="W706" s="13" t="str"/>
      <x:c r="X706" s="13" t="str">
        <x:v>cialdini_influence</x:v>
      </x:c>
      <x:c r="Y706" s="13" t="str">
        <x:v>https://www.pearson.com/en-us/subject-catalog/p/influence-science-and-practice/P200000003004</x:v>
      </x:c>
      <x:c r="Z706" s="13" t="str">
        <x:v>Review before enabling. This workbook is a living taxonomy scaffold, not a validated scientific benchmark.</x:v>
      </x:c>
      <x:c r="AA706" s="13" t="str">
        <x:v>0.1.0-draft</x:v>
      </x:c>
      <x:c r="AB706" s="12" t="str">
        <x:f>IF(ISNUMBER(SEARCH("healthy",F706)),"healthy_reasoning_patterns",IF(ISNUMBER(SEARCH("statistical",F706)),"statistical_reasoning",IF(ISNUMBER(SEARCH("causal",F706)),"causal_reasoning",IF(ISNUMBER(SEARCH("social",F706)),"social_influence",IF(ISNUMBER(SEARCH("rhetoric",F706)),"rhetoric_discourse",IF(ISNUMBER(SEARCH("behavior",F706)),"behavioural_economics",IF(ISNUMBER(SEARCH("cognitive",F706)),"cognitive_biases",IF(J706="protective_pattern","healthy_reasoning_patterns",IF(L706="P0","core_mvp","extended_fallacies")))))))))</x:f>
        <x:v>social_influence</x:v>
      </x:c>
      <x:c r="AC706" s="12" t="str">
        <x:f>IF(ISNUMBER(SEARCH("operational",J706)),"operational",IF(ISNUMBER(SEARCH("deprecated",J706)),"deprecated",IF(L706="P0","canonical","recognized_subtype")))</x:f>
        <x:v>operational</x:v>
      </x:c>
      <x:c r="AD706" s="12" t="str">
        <x:f>IF(AC706="canonical","high",IF(AC706="recognized_subtype","medium",IF(AC706="operational","operational_only","debated")))</x:f>
        <x:v>operational_only</x:v>
      </x:c>
      <x:c r="AE706" s="12" t="str">
        <x:f>IF(AC706="deprecated","deprecated",IF(M706="yes","active",IF(M706="review","review_required","backlog")))</x:f>
        <x:v>backlog</x:v>
      </x:c>
      <x:c r="AF706" s="12" t="str">
        <x:f>IF(OR(AE706="active",AE706="review_required"),"yes","no")</x:f>
        <x:v>no</x:v>
      </x:c>
      <x:c r="AG706" s="12" t="str">
        <x:f>IF(AND(AE706="active",M706="yes",NOT(ISNUMBER(SEARCH("healthy",AB706)))),"yes","no")</x:f>
        <x:v>no</x:v>
      </x:c>
      <x:c r="AH706" s="12" t="str">
        <x:f>IF(OR(H706="contextual",H706="dialogue",H706="discourse",I706="claim+context",I706="discourse_segment"),"yes","no")</x:f>
        <x:v>yes</x:v>
      </x:c>
      <x:c r="AI706" s="12" t="str">
        <x:f>IF(OR(AH706="yes",AD706="debated",AC706="operational"),"yes","no")</x:f>
        <x:v>yes</x:v>
      </x:c>
      <x:c r="AJ706" s="12" t="str">
        <x:f>IF(OR(AH706="yes",AC706="operational",AD706="debated"),"high",IF(AND(AG706="yes",L706="P0"),"medium","low"))</x:f>
        <x:v>high</x:v>
      </x:c>
      <x:c r="AK706" s="12" t="str">
        <x:f>IF(ISNUMBER(SEARCH("healthy",AB706)),"yes","no")</x:f>
        <x:v>no</x:v>
      </x:c>
      <x:c r="AL706" s="12" t="str">
        <x:f>IF(AG706="yes","yes","candidate_only")</x:f>
        <x:v>candidate_only</x:v>
      </x:c>
      <x:c r="AM706" s="12" t="str">
        <x:f>IF(OR(AC706="canonical",AG706="yes"),"yes","recommended")</x:f>
        <x:v>recommended</x:v>
      </x:c>
      <x:c r="AN706" s="12" t="str">
        <x:f>IF(AC706="deprecated","exclude",IF(AND(AG706="yes",AJ706="high"),"import_but_human_review_required",IF(AG706="yes","import_as_active","import_as_backlog")))</x:f>
        <x:v>import_as_backlog</x:v>
      </x:c>
      <x:c r="AO706" s="12" t="str">
        <x:f>IF(AND(AG706="yes",OR(P706="",Q706="",R706="",S706="")),"missing_required_mvp_fields",IF(AND(AC706="canonical",Y706=""),"missing_source_ref","ok"))</x:f>
        <x:v>ok</x:v>
      </x:c>
      <x:c r="AP706" s="12" t="str">
        <x:f>IF(AO706="ok","ready_for_codex_import","needs_review")</x:f>
        <x:v>ready_for_codex_import</x:v>
      </x:c>
      <x:c r="AQ706" s="12"/>
      <x:c r="AR706" s="12" t="str">
        <x:v>Added v2 operational fields. Review before classification activation.</x:v>
      </x:c>
    </x:row>
    <x:row r="707">
      <x:c r="A707" s="13" t="str">
        <x:v>group_polarization_majority_cue_variant</x:v>
      </x:c>
      <x:c r="B707" s="13" t="str">
        <x:v>group_polarization</x:v>
      </x:c>
      <x:c r="C707" s="13" t="str">
        <x:v>Group polarization</x:v>
      </x:c>
      <x:c r="D707" s="13" t="str">
        <x:v>قطبی‌شدن گروهی</x:v>
      </x:c>
      <x:c r="E707" s="13" t="str">
        <x:v>Majority-cue variant</x:v>
      </x:c>
      <x:c r="F707" s="13" t="str">
        <x:v>social_influence_patterns</x:v>
      </x:c>
      <x:c r="G707" s="13" t="str">
        <x:v>operational_variant</x:v>
      </x:c>
      <x:c r="H707" s="13" t="str">
        <x:v>discourse</x:v>
      </x:c>
      <x:c r="I707" s="13" t="str">
        <x:v>discourse_segment</x:v>
      </x:c>
      <x:c r="J707" s="13" t="str">
        <x:v>derived_operational_subtype</x:v>
      </x:c>
      <x:c r="K707" s="13" t="str">
        <x:v>derived_from_established_parent_review_required</x:v>
      </x:c>
      <x:c r="L707" s="13" t="str">
        <x:v>P2</x:v>
      </x:c>
      <x:c r="M707" s="13" t="str">
        <x:v>no</x:v>
      </x:c>
      <x:c r="N707" s="13" t="str">
        <x:v>Operational subtype under Group polarization: majority or popularity cues drive the conclusion. Parent definition: Discussion among similar views leads to more extreme positions.</x:v>
      </x:c>
      <x:c r="O707" s="13" t="str">
        <x:v>Look for: explicit claim-level evidence; parent-family cues for Group polarization; variant cue: majority or popularity cues drive the conclusion; avoid author-level inference.</x:v>
      </x:c>
      <x:c r="P707" s="13" t="str">
        <x:v>Exact evidence span in text plus claim-level reasoning link; for contextual/discourse entries, require surrounding context.</x:v>
      </x:c>
      <x:c r="Q707" s="13" t="str">
        <x:v>Do not label merely because topic is controversial, emotional, or wrong. Do not judge intent or personality. Require textual evidence and consider healthy-reasoning cues.</x:v>
      </x:c>
      <x:c r="R707" s="13" t="str">
        <x:v>Stub: A claim relies on majority or popularity cues drive the conclusion to support a conclusion without adequate qualification.</x:v>
      </x:c>
      <x:c r="S707" s="13" t="str">
        <x:v>Stub: A claim discusses group polarization with caveats, balanced evidence, or no argumentative use of the pattern.</x:v>
      </x:c>
      <x:c r="T707" s="13" t="str">
        <x:v>Mild or ambiguous cue; do not classify without clear evidence span.</x:v>
      </x:c>
      <x:c r="U707" s="13" t="str">
        <x:v>Clear claim-level pattern with some argumentative impact.</x:v>
      </x:c>
      <x:c r="V707" s="13" t="str">
        <x:v>Strong pattern central to the conclusion and likely to materially distort reasoning.</x:v>
      </x:c>
      <x:c r="W707" s="13" t="str"/>
      <x:c r="X707" s="13" t="str">
        <x:v>cialdini_influence</x:v>
      </x:c>
      <x:c r="Y707" s="13" t="str">
        <x:v>https://www.pearson.com/en-us/subject-catalog/p/influence-science-and-practice/P200000003004</x:v>
      </x:c>
      <x:c r="Z707" s="13" t="str">
        <x:v>Review before enabling. This workbook is a living taxonomy scaffold, not a validated scientific benchmark.</x:v>
      </x:c>
      <x:c r="AA707" s="13" t="str">
        <x:v>0.1.0-draft</x:v>
      </x:c>
      <x:c r="AB707" s="12" t="str">
        <x:f>IF(ISNUMBER(SEARCH("healthy",F707)),"healthy_reasoning_patterns",IF(ISNUMBER(SEARCH("statistical",F707)),"statistical_reasoning",IF(ISNUMBER(SEARCH("causal",F707)),"causal_reasoning",IF(ISNUMBER(SEARCH("social",F707)),"social_influence",IF(ISNUMBER(SEARCH("rhetoric",F707)),"rhetoric_discourse",IF(ISNUMBER(SEARCH("behavior",F707)),"behavioural_economics",IF(ISNUMBER(SEARCH("cognitive",F707)),"cognitive_biases",IF(J707="protective_pattern","healthy_reasoning_patterns",IF(L707="P0","core_mvp","extended_fallacies")))))))))</x:f>
        <x:v>social_influence</x:v>
      </x:c>
      <x:c r="AC707" s="12" t="str">
        <x:f>IF(ISNUMBER(SEARCH("operational",J707)),"operational",IF(ISNUMBER(SEARCH("deprecated",J707)),"deprecated",IF(L707="P0","canonical","recognized_subtype")))</x:f>
        <x:v>operational</x:v>
      </x:c>
      <x:c r="AD707" s="12" t="str">
        <x:f>IF(AC707="canonical","high",IF(AC707="recognized_subtype","medium",IF(AC707="operational","operational_only","debated")))</x:f>
        <x:v>operational_only</x:v>
      </x:c>
      <x:c r="AE707" s="12" t="str">
        <x:f>IF(AC707="deprecated","deprecated",IF(M707="yes","active",IF(M707="review","review_required","backlog")))</x:f>
        <x:v>backlog</x:v>
      </x:c>
      <x:c r="AF707" s="12" t="str">
        <x:f>IF(OR(AE707="active",AE707="review_required"),"yes","no")</x:f>
        <x:v>no</x:v>
      </x:c>
      <x:c r="AG707" s="12" t="str">
        <x:f>IF(AND(AE707="active",M707="yes",NOT(ISNUMBER(SEARCH("healthy",AB707)))),"yes","no")</x:f>
        <x:v>no</x:v>
      </x:c>
      <x:c r="AH707" s="12" t="str">
        <x:f>IF(OR(H707="contextual",H707="dialogue",H707="discourse",I707="claim+context",I707="discourse_segment"),"yes","no")</x:f>
        <x:v>yes</x:v>
      </x:c>
      <x:c r="AI707" s="12" t="str">
        <x:f>IF(OR(AH707="yes",AD707="debated",AC707="operational"),"yes","no")</x:f>
        <x:v>yes</x:v>
      </x:c>
      <x:c r="AJ707" s="12" t="str">
        <x:f>IF(OR(AH707="yes",AC707="operational",AD707="debated"),"high",IF(AND(AG707="yes",L707="P0"),"medium","low"))</x:f>
        <x:v>high</x:v>
      </x:c>
      <x:c r="AK707" s="12" t="str">
        <x:f>IF(ISNUMBER(SEARCH("healthy",AB707)),"yes","no")</x:f>
        <x:v>no</x:v>
      </x:c>
      <x:c r="AL707" s="12" t="str">
        <x:f>IF(AG707="yes","yes","candidate_only")</x:f>
        <x:v>candidate_only</x:v>
      </x:c>
      <x:c r="AM707" s="12" t="str">
        <x:f>IF(OR(AC707="canonical",AG707="yes"),"yes","recommended")</x:f>
        <x:v>recommended</x:v>
      </x:c>
      <x:c r="AN707" s="12" t="str">
        <x:f>IF(AC707="deprecated","exclude",IF(AND(AG707="yes",AJ707="high"),"import_but_human_review_required",IF(AG707="yes","import_as_active","import_as_backlog")))</x:f>
        <x:v>import_as_backlog</x:v>
      </x:c>
      <x:c r="AO707" s="12" t="str">
        <x:f>IF(AND(AG707="yes",OR(P707="",Q707="",R707="",S707="")),"missing_required_mvp_fields",IF(AND(AC707="canonical",Y707=""),"missing_source_ref","ok"))</x:f>
        <x:v>ok</x:v>
      </x:c>
      <x:c r="AP707" s="12" t="str">
        <x:f>IF(AO707="ok","ready_for_codex_import","needs_review")</x:f>
        <x:v>ready_for_codex_import</x:v>
      </x:c>
      <x:c r="AQ707" s="12"/>
      <x:c r="AR707" s="12" t="str">
        <x:v>Added v2 operational fields. Review before classification activation.</x:v>
      </x:c>
    </x:row>
    <x:row r="708">
      <x:c r="A708" s="13" t="str">
        <x:v>pluralistic_ignorance_majority_cue_variant</x:v>
      </x:c>
      <x:c r="B708" s="13" t="str">
        <x:v>pluralistic_ignorance</x:v>
      </x:c>
      <x:c r="C708" s="13" t="str">
        <x:v>Pluralistic ignorance</x:v>
      </x:c>
      <x:c r="D708" s="13" t="str">
        <x:v>نادانی جمعی</x:v>
      </x:c>
      <x:c r="E708" s="13" t="str">
        <x:v>Majority-cue variant</x:v>
      </x:c>
      <x:c r="F708" s="13" t="str">
        <x:v>social_influence_patterns</x:v>
      </x:c>
      <x:c r="G708" s="13" t="str">
        <x:v>operational_variant</x:v>
      </x:c>
      <x:c r="H708" s="13" t="str">
        <x:v>contextual</x:v>
      </x:c>
      <x:c r="I708" s="13" t="str">
        <x:v>claim+context</x:v>
      </x:c>
      <x:c r="J708" s="13" t="str">
        <x:v>derived_operational_subtype</x:v>
      </x:c>
      <x:c r="K708" s="13" t="str">
        <x:v>derived_from_established_parent_review_required</x:v>
      </x:c>
      <x:c r="L708" s="13" t="str">
        <x:v>P2</x:v>
      </x:c>
      <x:c r="M708" s="13" t="str">
        <x:v>no</x:v>
      </x:c>
      <x:c r="N708" s="13" t="str">
        <x:v>Operational subtype under Pluralistic ignorance: majority or popularity cues drive the conclusion. Parent definition: People privately reject a norm but assume others accept it.</x:v>
      </x:c>
      <x:c r="O708" s="13" t="str">
        <x:v>Look for: explicit claim-level evidence; parent-family cues for Pluralistic ignorance; variant cue: majority or popularity cues drive the conclusion; avoid author-level inference.</x:v>
      </x:c>
      <x:c r="P708" s="13" t="str">
        <x:v>Exact evidence span in text plus claim-level reasoning link; for contextual/discourse entries, require surrounding context.</x:v>
      </x:c>
      <x:c r="Q708" s="13" t="str">
        <x:v>Do not label merely because topic is controversial, emotional, or wrong. Do not judge intent or personality. Require textual evidence and consider healthy-reasoning cues.</x:v>
      </x:c>
      <x:c r="R708" s="13" t="str">
        <x:v>Stub: A claim relies on majority or popularity cues drive the conclusion to support a conclusion without adequate qualification.</x:v>
      </x:c>
      <x:c r="S708" s="13" t="str">
        <x:v>Stub: A claim discusses pluralistic ignorance with caveats, balanced evidence, or no argumentative use of the pattern.</x:v>
      </x:c>
      <x:c r="T708" s="13" t="str">
        <x:v>Mild or ambiguous cue; do not classify without clear evidence span.</x:v>
      </x:c>
      <x:c r="U708" s="13" t="str">
        <x:v>Clear claim-level pattern with some argumentative impact.</x:v>
      </x:c>
      <x:c r="V708" s="13" t="str">
        <x:v>Strong pattern central to the conclusion and likely to materially distort reasoning.</x:v>
      </x:c>
      <x:c r="W708" s="13" t="str"/>
      <x:c r="X708" s="13" t="str">
        <x:v>cialdini_influence</x:v>
      </x:c>
      <x:c r="Y708" s="13" t="str">
        <x:v>https://www.pearson.com/en-us/subject-catalog/p/influence-science-and-practice/P200000003004</x:v>
      </x:c>
      <x:c r="Z708" s="13" t="str">
        <x:v>Review before enabling. This workbook is a living taxonomy scaffold, not a validated scientific benchmark.</x:v>
      </x:c>
      <x:c r="AA708" s="13" t="str">
        <x:v>0.1.0-draft</x:v>
      </x:c>
      <x:c r="AB708" s="12" t="str">
        <x:f>IF(ISNUMBER(SEARCH("healthy",F708)),"healthy_reasoning_patterns",IF(ISNUMBER(SEARCH("statistical",F708)),"statistical_reasoning",IF(ISNUMBER(SEARCH("causal",F708)),"causal_reasoning",IF(ISNUMBER(SEARCH("social",F708)),"social_influence",IF(ISNUMBER(SEARCH("rhetoric",F708)),"rhetoric_discourse",IF(ISNUMBER(SEARCH("behavior",F708)),"behavioural_economics",IF(ISNUMBER(SEARCH("cognitive",F708)),"cognitive_biases",IF(J708="protective_pattern","healthy_reasoning_patterns",IF(L708="P0","core_mvp","extended_fallacies")))))))))</x:f>
        <x:v>social_influence</x:v>
      </x:c>
      <x:c r="AC708" s="12" t="str">
        <x:f>IF(ISNUMBER(SEARCH("operational",J708)),"operational",IF(ISNUMBER(SEARCH("deprecated",J708)),"deprecated",IF(L708="P0","canonical","recognized_subtype")))</x:f>
        <x:v>operational</x:v>
      </x:c>
      <x:c r="AD708" s="12" t="str">
        <x:f>IF(AC708="canonical","high",IF(AC708="recognized_subtype","medium",IF(AC708="operational","operational_only","debated")))</x:f>
        <x:v>operational_only</x:v>
      </x:c>
      <x:c r="AE708" s="12" t="str">
        <x:f>IF(AC708="deprecated","deprecated",IF(M708="yes","active",IF(M708="review","review_required","backlog")))</x:f>
        <x:v>backlog</x:v>
      </x:c>
      <x:c r="AF708" s="12" t="str">
        <x:f>IF(OR(AE708="active",AE708="review_required"),"yes","no")</x:f>
        <x:v>no</x:v>
      </x:c>
      <x:c r="AG708" s="12" t="str">
        <x:f>IF(AND(AE708="active",M708="yes",NOT(ISNUMBER(SEARCH("healthy",AB708)))),"yes","no")</x:f>
        <x:v>no</x:v>
      </x:c>
      <x:c r="AH708" s="12" t="str">
        <x:f>IF(OR(H708="contextual",H708="dialogue",H708="discourse",I708="claim+context",I708="discourse_segment"),"yes","no")</x:f>
        <x:v>yes</x:v>
      </x:c>
      <x:c r="AI708" s="12" t="str">
        <x:f>IF(OR(AH708="yes",AD708="debated",AC708="operational"),"yes","no")</x:f>
        <x:v>yes</x:v>
      </x:c>
      <x:c r="AJ708" s="12" t="str">
        <x:f>IF(OR(AH708="yes",AC708="operational",AD708="debated"),"high",IF(AND(AG708="yes",L708="P0"),"medium","low"))</x:f>
        <x:v>high</x:v>
      </x:c>
      <x:c r="AK708" s="12" t="str">
        <x:f>IF(ISNUMBER(SEARCH("healthy",AB708)),"yes","no")</x:f>
        <x:v>no</x:v>
      </x:c>
      <x:c r="AL708" s="12" t="str">
        <x:f>IF(AG708="yes","yes","candidate_only")</x:f>
        <x:v>candidate_only</x:v>
      </x:c>
      <x:c r="AM708" s="12" t="str">
        <x:f>IF(OR(AC708="canonical",AG708="yes"),"yes","recommended")</x:f>
        <x:v>recommended</x:v>
      </x:c>
      <x:c r="AN708" s="12" t="str">
        <x:f>IF(AC708="deprecated","exclude",IF(AND(AG708="yes",AJ708="high"),"import_but_human_review_required",IF(AG708="yes","import_as_active","import_as_backlog")))</x:f>
        <x:v>import_as_backlog</x:v>
      </x:c>
      <x:c r="AO708" s="12" t="str">
        <x:f>IF(AND(AG708="yes",OR(P708="",Q708="",R708="",S708="")),"missing_required_mvp_fields",IF(AND(AC708="canonical",Y708=""),"missing_source_ref","ok"))</x:f>
        <x:v>ok</x:v>
      </x:c>
      <x:c r="AP708" s="12" t="str">
        <x:f>IF(AO708="ok","ready_for_codex_import","needs_review")</x:f>
        <x:v>ready_for_codex_import</x:v>
      </x:c>
      <x:c r="AQ708" s="12"/>
      <x:c r="AR708" s="12" t="str">
        <x:v>Added v2 operational fields. Review before classification activation.</x:v>
      </x:c>
    </x:row>
    <x:row r="709">
      <x:c r="A709" s="13" t="str">
        <x:v>false_consensus_effect_majority_cue_variant</x:v>
      </x:c>
      <x:c r="B709" s="13" t="str">
        <x:v>false_consensus_effect</x:v>
      </x:c>
      <x:c r="C709" s="13" t="str">
        <x:v>False consensus effect</x:v>
      </x:c>
      <x:c r="D709" s="13" t="str">
        <x:v>اثر اجماع کاذب</x:v>
      </x:c>
      <x:c r="E709" s="13" t="str">
        <x:v>Majority-cue variant</x:v>
      </x:c>
      <x:c r="F709" s="13" t="str">
        <x:v>social_influence_patterns</x:v>
      </x:c>
      <x:c r="G709" s="13" t="str">
        <x:v>operational_variant</x:v>
      </x:c>
      <x:c r="H709" s="13" t="str">
        <x:v>contextual</x:v>
      </x:c>
      <x:c r="I709" s="13" t="str">
        <x:v>claim+context</x:v>
      </x:c>
      <x:c r="J709" s="13" t="str">
        <x:v>derived_operational_subtype</x:v>
      </x:c>
      <x:c r="K709" s="13" t="str">
        <x:v>derived_from_established_parent_review_required</x:v>
      </x:c>
      <x:c r="L709" s="13" t="str">
        <x:v>P2</x:v>
      </x:c>
      <x:c r="M709" s="13" t="str">
        <x:v>no</x:v>
      </x:c>
      <x:c r="N709" s="13" t="str">
        <x:v>Operational subtype under False consensus effect: majority or popularity cues drive the conclusion. Parent definition: Overestimating how many others share one's views.</x:v>
      </x:c>
      <x:c r="O709" s="13" t="str">
        <x:v>Look for: explicit claim-level evidence; parent-family cues for False consensus effect; variant cue: majority or popularity cues drive the conclusion; avoid author-level inference.</x:v>
      </x:c>
      <x:c r="P709" s="13" t="str">
        <x:v>Exact evidence span in text plus claim-level reasoning link; for contextual/discourse entries, require surrounding context.</x:v>
      </x:c>
      <x:c r="Q709" s="13" t="str">
        <x:v>Do not label merely because topic is controversial, emotional, or wrong. Do not judge intent or personality. Require textual evidence and consider healthy-reasoning cues.</x:v>
      </x:c>
      <x:c r="R709" s="13" t="str">
        <x:v>Stub: A claim relies on majority or popularity cues drive the conclusion to support a conclusion without adequate qualification.</x:v>
      </x:c>
      <x:c r="S709" s="13" t="str">
        <x:v>Stub: A claim discusses false consensus effect with caveats, balanced evidence, or no argumentative use of the pattern.</x:v>
      </x:c>
      <x:c r="T709" s="13" t="str">
        <x:v>Mild or ambiguous cue; do not classify without clear evidence span.</x:v>
      </x:c>
      <x:c r="U709" s="13" t="str">
        <x:v>Clear claim-level pattern with some argumentative impact.</x:v>
      </x:c>
      <x:c r="V709" s="13" t="str">
        <x:v>Strong pattern central to the conclusion and likely to materially distort reasoning.</x:v>
      </x:c>
      <x:c r="W709" s="13" t="str"/>
      <x:c r="X709" s="13" t="str">
        <x:v>gilovich_heuristics_biases</x:v>
      </x:c>
      <x:c r="Y709" s="13" t="str">
        <x:v>https://www.cambridge.org/core/books/heuristics-and-biases/3C30D3B05D2F190C3B8BE5E2531EFD24</x:v>
      </x:c>
      <x:c r="Z709" s="13" t="str">
        <x:v>Review before enabling. This workbook is a living taxonomy scaffold, not a validated scientific benchmark.</x:v>
      </x:c>
      <x:c r="AA709" s="13" t="str">
        <x:v>0.1.0-draft</x:v>
      </x:c>
      <x:c r="AB709" s="12" t="str">
        <x:f>IF(ISNUMBER(SEARCH("healthy",F709)),"healthy_reasoning_patterns",IF(ISNUMBER(SEARCH("statistical",F709)),"statistical_reasoning",IF(ISNUMBER(SEARCH("causal",F709)),"causal_reasoning",IF(ISNUMBER(SEARCH("social",F709)),"social_influence",IF(ISNUMBER(SEARCH("rhetoric",F709)),"rhetoric_discourse",IF(ISNUMBER(SEARCH("behavior",F709)),"behavioural_economics",IF(ISNUMBER(SEARCH("cognitive",F709)),"cognitive_biases",IF(J709="protective_pattern","healthy_reasoning_patterns",IF(L709="P0","core_mvp","extended_fallacies")))))))))</x:f>
        <x:v>social_influence</x:v>
      </x:c>
      <x:c r="AC709" s="12" t="str">
        <x:f>IF(ISNUMBER(SEARCH("operational",J709)),"operational",IF(ISNUMBER(SEARCH("deprecated",J709)),"deprecated",IF(L709="P0","canonical","recognized_subtype")))</x:f>
        <x:v>operational</x:v>
      </x:c>
      <x:c r="AD709" s="12" t="str">
        <x:f>IF(AC709="canonical","high",IF(AC709="recognized_subtype","medium",IF(AC709="operational","operational_only","debated")))</x:f>
        <x:v>operational_only</x:v>
      </x:c>
      <x:c r="AE709" s="12" t="str">
        <x:f>IF(AC709="deprecated","deprecated",IF(M709="yes","active",IF(M709="review","review_required","backlog")))</x:f>
        <x:v>backlog</x:v>
      </x:c>
      <x:c r="AF709" s="12" t="str">
        <x:f>IF(OR(AE709="active",AE709="review_required"),"yes","no")</x:f>
        <x:v>no</x:v>
      </x:c>
      <x:c r="AG709" s="12" t="str">
        <x:f>IF(AND(AE709="active",M709="yes",NOT(ISNUMBER(SEARCH("healthy",AB709)))),"yes","no")</x:f>
        <x:v>no</x:v>
      </x:c>
      <x:c r="AH709" s="12" t="str">
        <x:f>IF(OR(H709="contextual",H709="dialogue",H709="discourse",I709="claim+context",I709="discourse_segment"),"yes","no")</x:f>
        <x:v>yes</x:v>
      </x:c>
      <x:c r="AI709" s="12" t="str">
        <x:f>IF(OR(AH709="yes",AD709="debated",AC709="operational"),"yes","no")</x:f>
        <x:v>yes</x:v>
      </x:c>
      <x:c r="AJ709" s="12" t="str">
        <x:f>IF(OR(AH709="yes",AC709="operational",AD709="debated"),"high",IF(AND(AG709="yes",L709="P0"),"medium","low"))</x:f>
        <x:v>high</x:v>
      </x:c>
      <x:c r="AK709" s="12" t="str">
        <x:f>IF(ISNUMBER(SEARCH("healthy",AB709)),"yes","no")</x:f>
        <x:v>no</x:v>
      </x:c>
      <x:c r="AL709" s="12" t="str">
        <x:f>IF(AG709="yes","yes","candidate_only")</x:f>
        <x:v>candidate_only</x:v>
      </x:c>
      <x:c r="AM709" s="12" t="str">
        <x:f>IF(OR(AC709="canonical",AG709="yes"),"yes","recommended")</x:f>
        <x:v>recommended</x:v>
      </x:c>
      <x:c r="AN709" s="12" t="str">
        <x:f>IF(AC709="deprecated","exclude",IF(AND(AG709="yes",AJ709="high"),"import_but_human_review_required",IF(AG709="yes","import_as_active","import_as_backlog")))</x:f>
        <x:v>import_as_backlog</x:v>
      </x:c>
      <x:c r="AO709" s="12" t="str">
        <x:f>IF(AND(AG709="yes",OR(P709="",Q709="",R709="",S709="")),"missing_required_mvp_fields",IF(AND(AC709="canonical",Y709=""),"missing_source_ref","ok"))</x:f>
        <x:v>ok</x:v>
      </x:c>
      <x:c r="AP709" s="12" t="str">
        <x:f>IF(AO709="ok","ready_for_codex_import","needs_review")</x:f>
        <x:v>ready_for_codex_import</x:v>
      </x:c>
      <x:c r="AQ709" s="12"/>
      <x:c r="AR709" s="12" t="str">
        <x:v>Added v2 operational fields. Review before classification activation.</x:v>
      </x:c>
    </x:row>
    <x:row r="710">
      <x:c r="A710" s="13" t="str">
        <x:v>false_uniqueness_effect_majority_cue_variant</x:v>
      </x:c>
      <x:c r="B710" s="13" t="str">
        <x:v>false_uniqueness_effect</x:v>
      </x:c>
      <x:c r="C710" s="13" t="str">
        <x:v>False uniqueness effect</x:v>
      </x:c>
      <x:c r="D710" s="13" t="str">
        <x:v>اثر یکتایی کاذب</x:v>
      </x:c>
      <x:c r="E710" s="13" t="str">
        <x:v>Majority-cue variant</x:v>
      </x:c>
      <x:c r="F710" s="13" t="str">
        <x:v>social_influence_patterns</x:v>
      </x:c>
      <x:c r="G710" s="13" t="str">
        <x:v>operational_variant</x:v>
      </x:c>
      <x:c r="H710" s="13" t="str">
        <x:v>contextual</x:v>
      </x:c>
      <x:c r="I710" s="13" t="str">
        <x:v>claim+context</x:v>
      </x:c>
      <x:c r="J710" s="13" t="str">
        <x:v>derived_operational_subtype</x:v>
      </x:c>
      <x:c r="K710" s="13" t="str">
        <x:v>derived_from_established_parent_review_required</x:v>
      </x:c>
      <x:c r="L710" s="13" t="str">
        <x:v>P2</x:v>
      </x:c>
      <x:c r="M710" s="13" t="str">
        <x:v>no</x:v>
      </x:c>
      <x:c r="N710" s="13" t="str">
        <x:v>Operational subtype under False uniqueness effect: majority or popularity cues drive the conclusion. Parent definition: Underestimating how many others share one's desirable traits or views.</x:v>
      </x:c>
      <x:c r="O710" s="13" t="str">
        <x:v>Look for: explicit claim-level evidence; parent-family cues for False uniqueness effect; variant cue: majority or popularity cues drive the conclusion; avoid author-level inference.</x:v>
      </x:c>
      <x:c r="P710" s="13" t="str">
        <x:v>Exact evidence span in text plus claim-level reasoning link; for contextual/discourse entries, require surrounding context.</x:v>
      </x:c>
      <x:c r="Q710" s="13" t="str">
        <x:v>Do not label merely because topic is controversial, emotional, or wrong. Do not judge intent or personality. Require textual evidence and consider healthy-reasoning cues.</x:v>
      </x:c>
      <x:c r="R710" s="13" t="str">
        <x:v>Stub: A claim relies on majority or popularity cues drive the conclusion to support a conclusion without adequate qualification.</x:v>
      </x:c>
      <x:c r="S710" s="13" t="str">
        <x:v>Stub: A claim discusses false uniqueness effect with caveats, balanced evidence, or no argumentative use of the pattern.</x:v>
      </x:c>
      <x:c r="T710" s="13" t="str">
        <x:v>Mild or ambiguous cue; do not classify without clear evidence span.</x:v>
      </x:c>
      <x:c r="U710" s="13" t="str">
        <x:v>Clear claim-level pattern with some argumentative impact.</x:v>
      </x:c>
      <x:c r="V710" s="13" t="str">
        <x:v>Strong pattern central to the conclusion and likely to materially distort reasoning.</x:v>
      </x:c>
      <x:c r="W710" s="13" t="str"/>
      <x:c r="X710" s="13" t="str">
        <x:v>gilovich_heuristics_biases</x:v>
      </x:c>
      <x:c r="Y710" s="13" t="str">
        <x:v>https://www.cambridge.org/core/books/heuristics-and-biases/3C30D3B05D2F190C3B8BE5E2531EFD24</x:v>
      </x:c>
      <x:c r="Z710" s="13" t="str">
        <x:v>Review before enabling. This workbook is a living taxonomy scaffold, not a validated scientific benchmark.</x:v>
      </x:c>
      <x:c r="AA710" s="13" t="str">
        <x:v>0.1.0-draft</x:v>
      </x:c>
      <x:c r="AB710" s="12" t="str">
        <x:f>IF(ISNUMBER(SEARCH("healthy",F710)),"healthy_reasoning_patterns",IF(ISNUMBER(SEARCH("statistical",F710)),"statistical_reasoning",IF(ISNUMBER(SEARCH("causal",F710)),"causal_reasoning",IF(ISNUMBER(SEARCH("social",F710)),"social_influence",IF(ISNUMBER(SEARCH("rhetoric",F710)),"rhetoric_discourse",IF(ISNUMBER(SEARCH("behavior",F710)),"behavioural_economics",IF(ISNUMBER(SEARCH("cognitive",F710)),"cognitive_biases",IF(J710="protective_pattern","healthy_reasoning_patterns",IF(L710="P0","core_mvp","extended_fallacies")))))))))</x:f>
        <x:v>social_influence</x:v>
      </x:c>
      <x:c r="AC710" s="12" t="str">
        <x:f>IF(ISNUMBER(SEARCH("operational",J710)),"operational",IF(ISNUMBER(SEARCH("deprecated",J710)),"deprecated",IF(L710="P0","canonical","recognized_subtype")))</x:f>
        <x:v>operational</x:v>
      </x:c>
      <x:c r="AD710" s="12" t="str">
        <x:f>IF(AC710="canonical","high",IF(AC710="recognized_subtype","medium",IF(AC710="operational","operational_only","debated")))</x:f>
        <x:v>operational_only</x:v>
      </x:c>
      <x:c r="AE710" s="12" t="str">
        <x:f>IF(AC710="deprecated","deprecated",IF(M710="yes","active",IF(M710="review","review_required","backlog")))</x:f>
        <x:v>backlog</x:v>
      </x:c>
      <x:c r="AF710" s="12" t="str">
        <x:f>IF(OR(AE710="active",AE710="review_required"),"yes","no")</x:f>
        <x:v>no</x:v>
      </x:c>
      <x:c r="AG710" s="12" t="str">
        <x:f>IF(AND(AE710="active",M710="yes",NOT(ISNUMBER(SEARCH("healthy",AB710)))),"yes","no")</x:f>
        <x:v>no</x:v>
      </x:c>
      <x:c r="AH710" s="12" t="str">
        <x:f>IF(OR(H710="contextual",H710="dialogue",H710="discourse",I710="claim+context",I710="discourse_segment"),"yes","no")</x:f>
        <x:v>yes</x:v>
      </x:c>
      <x:c r="AI710" s="12" t="str">
        <x:f>IF(OR(AH710="yes",AD710="debated",AC710="operational"),"yes","no")</x:f>
        <x:v>yes</x:v>
      </x:c>
      <x:c r="AJ710" s="12" t="str">
        <x:f>IF(OR(AH710="yes",AC710="operational",AD710="debated"),"high",IF(AND(AG710="yes",L710="P0"),"medium","low"))</x:f>
        <x:v>high</x:v>
      </x:c>
      <x:c r="AK710" s="12" t="str">
        <x:f>IF(ISNUMBER(SEARCH("healthy",AB710)),"yes","no")</x:f>
        <x:v>no</x:v>
      </x:c>
      <x:c r="AL710" s="12" t="str">
        <x:f>IF(AG710="yes","yes","candidate_only")</x:f>
        <x:v>candidate_only</x:v>
      </x:c>
      <x:c r="AM710" s="12" t="str">
        <x:f>IF(OR(AC710="canonical",AG710="yes"),"yes","recommended")</x:f>
        <x:v>recommended</x:v>
      </x:c>
      <x:c r="AN710" s="12" t="str">
        <x:f>IF(AC710="deprecated","exclude",IF(AND(AG710="yes",AJ710="high"),"import_but_human_review_required",IF(AG710="yes","import_as_active","import_as_backlog")))</x:f>
        <x:v>import_as_backlog</x:v>
      </x:c>
      <x:c r="AO710" s="12" t="str">
        <x:f>IF(AND(AG710="yes",OR(P710="",Q710="",R710="",S710="")),"missing_required_mvp_fields",IF(AND(AC710="canonical",Y710=""),"missing_source_ref","ok"))</x:f>
        <x:v>ok</x:v>
      </x:c>
      <x:c r="AP710" s="12" t="str">
        <x:f>IF(AO710="ok","ready_for_codex_import","needs_review")</x:f>
        <x:v>ready_for_codex_import</x:v>
      </x:c>
      <x:c r="AQ710" s="12"/>
      <x:c r="AR710" s="12" t="str">
        <x:v>Added v2 operational fields. Review before classification activation.</x:v>
      </x:c>
    </x:row>
    <x:row r="711">
      <x:c r="A711" s="13" t="str">
        <x:v>information_cascade_majority_cue_variant</x:v>
      </x:c>
      <x:c r="B711" s="13" t="str">
        <x:v>information_cascade</x:v>
      </x:c>
      <x:c r="C711" s="13" t="str">
        <x:v>Information cascade</x:v>
      </x:c>
      <x:c r="D711" s="13" t="str">
        <x:v>آبشار اطلاعاتی</x:v>
      </x:c>
      <x:c r="E711" s="13" t="str">
        <x:v>Majority-cue variant</x:v>
      </x:c>
      <x:c r="F711" s="13" t="str">
        <x:v>social_influence_patterns</x:v>
      </x:c>
      <x:c r="G711" s="13" t="str">
        <x:v>operational_variant</x:v>
      </x:c>
      <x:c r="H711" s="13" t="str">
        <x:v>discourse</x:v>
      </x:c>
      <x:c r="I711" s="13" t="str">
        <x:v>discourse_segment</x:v>
      </x:c>
      <x:c r="J711" s="13" t="str">
        <x:v>derived_operational_subtype</x:v>
      </x:c>
      <x:c r="K711" s="13" t="str">
        <x:v>derived_from_established_parent_review_required</x:v>
      </x:c>
      <x:c r="L711" s="13" t="str">
        <x:v>P2</x:v>
      </x:c>
      <x:c r="M711" s="13" t="str">
        <x:v>no</x:v>
      </x:c>
      <x:c r="N711" s="13" t="str">
        <x:v>Operational subtype under Information cascade: majority or popularity cues drive the conclusion. Parent definition: Following earlier choices because they appear informative.</x:v>
      </x:c>
      <x:c r="O711" s="13" t="str">
        <x:v>Look for: explicit claim-level evidence; parent-family cues for Information cascade; variant cue: majority or popularity cues drive the conclusion; avoid author-level inference.</x:v>
      </x:c>
      <x:c r="P711" s="13" t="str">
        <x:v>Exact evidence span in text plus claim-level reasoning link; for contextual/discourse entries, require surrounding context.</x:v>
      </x:c>
      <x:c r="Q711" s="13" t="str">
        <x:v>Do not label merely because topic is controversial, emotional, or wrong. Do not judge intent or personality. Require textual evidence and consider healthy-reasoning cues.</x:v>
      </x:c>
      <x:c r="R711" s="13" t="str">
        <x:v>Stub: A claim relies on majority or popularity cues drive the conclusion to support a conclusion without adequate qualification.</x:v>
      </x:c>
      <x:c r="S711" s="13" t="str">
        <x:v>Stub: A claim discusses information cascade with caveats, balanced evidence, or no argumentative use of the pattern.</x:v>
      </x:c>
      <x:c r="T711" s="13" t="str">
        <x:v>Mild or ambiguous cue; do not classify without clear evidence span.</x:v>
      </x:c>
      <x:c r="U711" s="13" t="str">
        <x:v>Clear claim-level pattern with some argumentative impact.</x:v>
      </x:c>
      <x:c r="V711" s="13" t="str">
        <x:v>Strong pattern central to the conclusion and likely to materially distort reasoning.</x:v>
      </x:c>
      <x:c r="W711" s="13" t="str"/>
      <x:c r="X711" s="13" t="str">
        <x:v>cialdini_influence</x:v>
      </x:c>
      <x:c r="Y711" s="13" t="str">
        <x:v>https://www.pearson.com/en-us/subject-catalog/p/influence-science-and-practice/P200000003004</x:v>
      </x:c>
      <x:c r="Z711" s="13" t="str">
        <x:v>Review before enabling. This workbook is a living taxonomy scaffold, not a validated scientific benchmark.</x:v>
      </x:c>
      <x:c r="AA711" s="13" t="str">
        <x:v>0.1.0-draft</x:v>
      </x:c>
      <x:c r="AB711" s="12" t="str">
        <x:f>IF(ISNUMBER(SEARCH("healthy",F711)),"healthy_reasoning_patterns",IF(ISNUMBER(SEARCH("statistical",F711)),"statistical_reasoning",IF(ISNUMBER(SEARCH("causal",F711)),"causal_reasoning",IF(ISNUMBER(SEARCH("social",F711)),"social_influence",IF(ISNUMBER(SEARCH("rhetoric",F711)),"rhetoric_discourse",IF(ISNUMBER(SEARCH("behavior",F711)),"behavioural_economics",IF(ISNUMBER(SEARCH("cognitive",F711)),"cognitive_biases",IF(J711="protective_pattern","healthy_reasoning_patterns",IF(L711="P0","core_mvp","extended_fallacies")))))))))</x:f>
        <x:v>social_influence</x:v>
      </x:c>
      <x:c r="AC711" s="12" t="str">
        <x:f>IF(ISNUMBER(SEARCH("operational",J711)),"operational",IF(ISNUMBER(SEARCH("deprecated",J711)),"deprecated",IF(L711="P0","canonical","recognized_subtype")))</x:f>
        <x:v>operational</x:v>
      </x:c>
      <x:c r="AD711" s="12" t="str">
        <x:f>IF(AC711="canonical","high",IF(AC711="recognized_subtype","medium",IF(AC711="operational","operational_only","debated")))</x:f>
        <x:v>operational_only</x:v>
      </x:c>
      <x:c r="AE711" s="12" t="str">
        <x:f>IF(AC711="deprecated","deprecated",IF(M711="yes","active",IF(M711="review","review_required","backlog")))</x:f>
        <x:v>backlog</x:v>
      </x:c>
      <x:c r="AF711" s="12" t="str">
        <x:f>IF(OR(AE711="active",AE711="review_required"),"yes","no")</x:f>
        <x:v>no</x:v>
      </x:c>
      <x:c r="AG711" s="12" t="str">
        <x:f>IF(AND(AE711="active",M711="yes",NOT(ISNUMBER(SEARCH("healthy",AB711)))),"yes","no")</x:f>
        <x:v>no</x:v>
      </x:c>
      <x:c r="AH711" s="12" t="str">
        <x:f>IF(OR(H711="contextual",H711="dialogue",H711="discourse",I711="claim+context",I711="discourse_segment"),"yes","no")</x:f>
        <x:v>yes</x:v>
      </x:c>
      <x:c r="AI711" s="12" t="str">
        <x:f>IF(OR(AH711="yes",AD711="debated",AC711="operational"),"yes","no")</x:f>
        <x:v>yes</x:v>
      </x:c>
      <x:c r="AJ711" s="12" t="str">
        <x:f>IF(OR(AH711="yes",AC711="operational",AD711="debated"),"high",IF(AND(AG711="yes",L711="P0"),"medium","low"))</x:f>
        <x:v>high</x:v>
      </x:c>
      <x:c r="AK711" s="12" t="str">
        <x:f>IF(ISNUMBER(SEARCH("healthy",AB711)),"yes","no")</x:f>
        <x:v>no</x:v>
      </x:c>
      <x:c r="AL711" s="12" t="str">
        <x:f>IF(AG711="yes","yes","candidate_only")</x:f>
        <x:v>candidate_only</x:v>
      </x:c>
      <x:c r="AM711" s="12" t="str">
        <x:f>IF(OR(AC711="canonical",AG711="yes"),"yes","recommended")</x:f>
        <x:v>recommended</x:v>
      </x:c>
      <x:c r="AN711" s="12" t="str">
        <x:f>IF(AC711="deprecated","exclude",IF(AND(AG711="yes",AJ711="high"),"import_but_human_review_required",IF(AG711="yes","import_as_active","import_as_backlog")))</x:f>
        <x:v>import_as_backlog</x:v>
      </x:c>
      <x:c r="AO711" s="12" t="str">
        <x:f>IF(AND(AG711="yes",OR(P711="",Q711="",R711="",S711="")),"missing_required_mvp_fields",IF(AND(AC711="canonical",Y711=""),"missing_source_ref","ok"))</x:f>
        <x:v>ok</x:v>
      </x:c>
      <x:c r="AP711" s="12" t="str">
        <x:f>IF(AO711="ok","ready_for_codex_import","needs_review")</x:f>
        <x:v>ready_for_codex_import</x:v>
      </x:c>
      <x:c r="AQ711" s="12"/>
      <x:c r="AR711" s="12" t="str">
        <x:v>Added v2 operational fields. Review before classification activation.</x:v>
      </x:c>
    </x:row>
    <x:row r="712">
      <x:c r="A712" s="13" t="str">
        <x:v>reputational_cascade_majority_cue_variant</x:v>
      </x:c>
      <x:c r="B712" s="13" t="str">
        <x:v>reputational_cascade</x:v>
      </x:c>
      <x:c r="C712" s="13" t="str">
        <x:v>Reputational cascade</x:v>
      </x:c>
      <x:c r="D712" s="13" t="str">
        <x:v>آبشار حیثیتی</x:v>
      </x:c>
      <x:c r="E712" s="13" t="str">
        <x:v>Majority-cue variant</x:v>
      </x:c>
      <x:c r="F712" s="13" t="str">
        <x:v>social_influence_patterns</x:v>
      </x:c>
      <x:c r="G712" s="13" t="str">
        <x:v>operational_variant</x:v>
      </x:c>
      <x:c r="H712" s="13" t="str">
        <x:v>discourse</x:v>
      </x:c>
      <x:c r="I712" s="13" t="str">
        <x:v>discourse_segment</x:v>
      </x:c>
      <x:c r="J712" s="13" t="str">
        <x:v>derived_operational_subtype</x:v>
      </x:c>
      <x:c r="K712" s="13" t="str">
        <x:v>derived_from_established_parent_review_required</x:v>
      </x:c>
      <x:c r="L712" s="13" t="str">
        <x:v>P2</x:v>
      </x:c>
      <x:c r="M712" s="13" t="str">
        <x:v>no</x:v>
      </x:c>
      <x:c r="N712" s="13" t="str">
        <x:v>Operational subtype under Reputational cascade: majority or popularity cues drive the conclusion. Parent definition: Publicly endorsing a view to protect reputation despite private doubts.</x:v>
      </x:c>
      <x:c r="O712" s="13" t="str">
        <x:v>Look for: explicit claim-level evidence; parent-family cues for Reputational cascade; variant cue: majority or popularity cues drive the conclusion; avoid author-level inference.</x:v>
      </x:c>
      <x:c r="P712" s="13" t="str">
        <x:v>Exact evidence span in text plus claim-level reasoning link; for contextual/discourse entries, require surrounding context.</x:v>
      </x:c>
      <x:c r="Q712" s="13" t="str">
        <x:v>Do not label merely because topic is controversial, emotional, or wrong. Do not judge intent or personality. Require textual evidence and consider healthy-reasoning cues.</x:v>
      </x:c>
      <x:c r="R712" s="13" t="str">
        <x:v>Stub: A claim relies on majority or popularity cues drive the conclusion to support a conclusion without adequate qualification.</x:v>
      </x:c>
      <x:c r="S712" s="13" t="str">
        <x:v>Stub: A claim discusses reputational cascade with caveats, balanced evidence, or no argumentative use of the pattern.</x:v>
      </x:c>
      <x:c r="T712" s="13" t="str">
        <x:v>Mild or ambiguous cue; do not classify without clear evidence span.</x:v>
      </x:c>
      <x:c r="U712" s="13" t="str">
        <x:v>Clear claim-level pattern with some argumentative impact.</x:v>
      </x:c>
      <x:c r="V712" s="13" t="str">
        <x:v>Strong pattern central to the conclusion and likely to materially distort reasoning.</x:v>
      </x:c>
      <x:c r="W712" s="13" t="str"/>
      <x:c r="X712" s="13" t="str">
        <x:v>cialdini_influence</x:v>
      </x:c>
      <x:c r="Y712" s="13" t="str">
        <x:v>https://www.pearson.com/en-us/subject-catalog/p/influence-science-and-practice/P200000003004</x:v>
      </x:c>
      <x:c r="Z712" s="13" t="str">
        <x:v>Review before enabling. This workbook is a living taxonomy scaffold, not a validated scientific benchmark.</x:v>
      </x:c>
      <x:c r="AA712" s="13" t="str">
        <x:v>0.1.0-draft</x:v>
      </x:c>
      <x:c r="AB712" s="12" t="str">
        <x:f>IF(ISNUMBER(SEARCH("healthy",F712)),"healthy_reasoning_patterns",IF(ISNUMBER(SEARCH("statistical",F712)),"statistical_reasoning",IF(ISNUMBER(SEARCH("causal",F712)),"causal_reasoning",IF(ISNUMBER(SEARCH("social",F712)),"social_influence",IF(ISNUMBER(SEARCH("rhetoric",F712)),"rhetoric_discourse",IF(ISNUMBER(SEARCH("behavior",F712)),"behavioural_economics",IF(ISNUMBER(SEARCH("cognitive",F712)),"cognitive_biases",IF(J712="protective_pattern","healthy_reasoning_patterns",IF(L712="P0","core_mvp","extended_fallacies")))))))))</x:f>
        <x:v>social_influence</x:v>
      </x:c>
      <x:c r="AC712" s="12" t="str">
        <x:f>IF(ISNUMBER(SEARCH("operational",J712)),"operational",IF(ISNUMBER(SEARCH("deprecated",J712)),"deprecated",IF(L712="P0","canonical","recognized_subtype")))</x:f>
        <x:v>operational</x:v>
      </x:c>
      <x:c r="AD712" s="12" t="str">
        <x:f>IF(AC712="canonical","high",IF(AC712="recognized_subtype","medium",IF(AC712="operational","operational_only","debated")))</x:f>
        <x:v>operational_only</x:v>
      </x:c>
      <x:c r="AE712" s="12" t="str">
        <x:f>IF(AC712="deprecated","deprecated",IF(M712="yes","active",IF(M712="review","review_required","backlog")))</x:f>
        <x:v>backlog</x:v>
      </x:c>
      <x:c r="AF712" s="12" t="str">
        <x:f>IF(OR(AE712="active",AE712="review_required"),"yes","no")</x:f>
        <x:v>no</x:v>
      </x:c>
      <x:c r="AG712" s="12" t="str">
        <x:f>IF(AND(AE712="active",M712="yes",NOT(ISNUMBER(SEARCH("healthy",AB712)))),"yes","no")</x:f>
        <x:v>no</x:v>
      </x:c>
      <x:c r="AH712" s="12" t="str">
        <x:f>IF(OR(H712="contextual",H712="dialogue",H712="discourse",I712="claim+context",I712="discourse_segment"),"yes","no")</x:f>
        <x:v>yes</x:v>
      </x:c>
      <x:c r="AI712" s="12" t="str">
        <x:f>IF(OR(AH712="yes",AD712="debated",AC712="operational"),"yes","no")</x:f>
        <x:v>yes</x:v>
      </x:c>
      <x:c r="AJ712" s="12" t="str">
        <x:f>IF(OR(AH712="yes",AC712="operational",AD712="debated"),"high",IF(AND(AG712="yes",L712="P0"),"medium","low"))</x:f>
        <x:v>high</x:v>
      </x:c>
      <x:c r="AK712" s="12" t="str">
        <x:f>IF(ISNUMBER(SEARCH("healthy",AB712)),"yes","no")</x:f>
        <x:v>no</x:v>
      </x:c>
      <x:c r="AL712" s="12" t="str">
        <x:f>IF(AG712="yes","yes","candidate_only")</x:f>
        <x:v>candidate_only</x:v>
      </x:c>
      <x:c r="AM712" s="12" t="str">
        <x:f>IF(OR(AC712="canonical",AG712="yes"),"yes","recommended")</x:f>
        <x:v>recommended</x:v>
      </x:c>
      <x:c r="AN712" s="12" t="str">
        <x:f>IF(AC712="deprecated","exclude",IF(AND(AG712="yes",AJ712="high"),"import_but_human_review_required",IF(AG712="yes","import_as_active","import_as_backlog")))</x:f>
        <x:v>import_as_backlog</x:v>
      </x:c>
      <x:c r="AO712" s="12" t="str">
        <x:f>IF(AND(AG712="yes",OR(P712="",Q712="",R712="",S712="")),"missing_required_mvp_fields",IF(AND(AC712="canonical",Y712=""),"missing_source_ref","ok"))</x:f>
        <x:v>ok</x:v>
      </x:c>
      <x:c r="AP712" s="12" t="str">
        <x:f>IF(AO712="ok","ready_for_codex_import","needs_review")</x:f>
        <x:v>ready_for_codex_import</x:v>
      </x:c>
      <x:c r="AQ712" s="12"/>
      <x:c r="AR712" s="12" t="str">
        <x:v>Added v2 operational fields. Review before classification activation.</x:v>
      </x:c>
    </x:row>
    <x:row r="713">
      <x:c r="A713" s="13" t="str">
        <x:v>ingroup_bias_majority_cue_variant</x:v>
      </x:c>
      <x:c r="B713" s="13" t="str">
        <x:v>ingroup_bias</x:v>
      </x:c>
      <x:c r="C713" s="13" t="str">
        <x:v>In-group bias</x:v>
      </x:c>
      <x:c r="D713" s="13" t="str">
        <x:v>سوگیری درون‌گروهی</x:v>
      </x:c>
      <x:c r="E713" s="13" t="str">
        <x:v>Majority-cue variant</x:v>
      </x:c>
      <x:c r="F713" s="13" t="str">
        <x:v>social_influence_patterns</x:v>
      </x:c>
      <x:c r="G713" s="13" t="str">
        <x:v>operational_variant</x:v>
      </x:c>
      <x:c r="H713" s="13" t="str">
        <x:v>contextual</x:v>
      </x:c>
      <x:c r="I713" s="13" t="str">
        <x:v>claim+context</x:v>
      </x:c>
      <x:c r="J713" s="13" t="str">
        <x:v>derived_operational_subtype</x:v>
      </x:c>
      <x:c r="K713" s="13" t="str">
        <x:v>derived_from_established_parent_review_required</x:v>
      </x:c>
      <x:c r="L713" s="13" t="str">
        <x:v>P2</x:v>
      </x:c>
      <x:c r="M713" s="13" t="str">
        <x:v>no</x:v>
      </x:c>
      <x:c r="N713" s="13" t="str">
        <x:v>Operational subtype under In-group bias: majority or popularity cues drive the conclusion. Parent definition: Favoring claims or people associated with one's own group.</x:v>
      </x:c>
      <x:c r="O713" s="13" t="str">
        <x:v>Look for: explicit claim-level evidence; parent-family cues for In-group bias; variant cue: majority or popularity cues drive the conclusion; avoid author-level inference.</x:v>
      </x:c>
      <x:c r="P713" s="13" t="str">
        <x:v>Exact evidence span in text plus claim-level reasoning link; for contextual/discourse entries, require surrounding context.</x:v>
      </x:c>
      <x:c r="Q713" s="13" t="str">
        <x:v>Do not label merely because topic is controversial, emotional, or wrong. Do not judge intent or personality. Require textual evidence and consider healthy-reasoning cues.</x:v>
      </x:c>
      <x:c r="R713" s="13" t="str">
        <x:v>Stub: A claim relies on majority or popularity cues drive the conclusion to support a conclusion without adequate qualification.</x:v>
      </x:c>
      <x:c r="S713" s="13" t="str">
        <x:v>Stub: A claim discusses in-group bias with caveats, balanced evidence, or no argumentative use of the pattern.</x:v>
      </x:c>
      <x:c r="T713" s="13" t="str">
        <x:v>Mild or ambiguous cue; do not classify without clear evidence span.</x:v>
      </x:c>
      <x:c r="U713" s="13" t="str">
        <x:v>Clear claim-level pattern with some argumentative impact.</x:v>
      </x:c>
      <x:c r="V713" s="13" t="str">
        <x:v>Strong pattern central to the conclusion and likely to materially distort reasoning.</x:v>
      </x:c>
      <x:c r="W713" s="13" t="str"/>
      <x:c r="X713" s="13" t="str">
        <x:v>gilovich_heuristics_biases</x:v>
      </x:c>
      <x:c r="Y713" s="13" t="str">
        <x:v>https://www.cambridge.org/core/books/heuristics-and-biases/3C30D3B05D2F190C3B8BE5E2531EFD24</x:v>
      </x:c>
      <x:c r="Z713" s="13" t="str">
        <x:v>Review before enabling. This workbook is a living taxonomy scaffold, not a validated scientific benchmark.</x:v>
      </x:c>
      <x:c r="AA713" s="13" t="str">
        <x:v>0.1.0-draft</x:v>
      </x:c>
      <x:c r="AB713" s="12" t="str">
        <x:f>IF(ISNUMBER(SEARCH("healthy",F713)),"healthy_reasoning_patterns",IF(ISNUMBER(SEARCH("statistical",F713)),"statistical_reasoning",IF(ISNUMBER(SEARCH("causal",F713)),"causal_reasoning",IF(ISNUMBER(SEARCH("social",F713)),"social_influence",IF(ISNUMBER(SEARCH("rhetoric",F713)),"rhetoric_discourse",IF(ISNUMBER(SEARCH("behavior",F713)),"behavioural_economics",IF(ISNUMBER(SEARCH("cognitive",F713)),"cognitive_biases",IF(J713="protective_pattern","healthy_reasoning_patterns",IF(L713="P0","core_mvp","extended_fallacies")))))))))</x:f>
        <x:v>social_influence</x:v>
      </x:c>
      <x:c r="AC713" s="12" t="str">
        <x:f>IF(ISNUMBER(SEARCH("operational",J713)),"operational",IF(ISNUMBER(SEARCH("deprecated",J713)),"deprecated",IF(L713="P0","canonical","recognized_subtype")))</x:f>
        <x:v>operational</x:v>
      </x:c>
      <x:c r="AD713" s="12" t="str">
        <x:f>IF(AC713="canonical","high",IF(AC713="recognized_subtype","medium",IF(AC713="operational","operational_only","debated")))</x:f>
        <x:v>operational_only</x:v>
      </x:c>
      <x:c r="AE713" s="12" t="str">
        <x:f>IF(AC713="deprecated","deprecated",IF(M713="yes","active",IF(M713="review","review_required","backlog")))</x:f>
        <x:v>backlog</x:v>
      </x:c>
      <x:c r="AF713" s="12" t="str">
        <x:f>IF(OR(AE713="active",AE713="review_required"),"yes","no")</x:f>
        <x:v>no</x:v>
      </x:c>
      <x:c r="AG713" s="12" t="str">
        <x:f>IF(AND(AE713="active",M713="yes",NOT(ISNUMBER(SEARCH("healthy",AB713)))),"yes","no")</x:f>
        <x:v>no</x:v>
      </x:c>
      <x:c r="AH713" s="12" t="str">
        <x:f>IF(OR(H713="contextual",H713="dialogue",H713="discourse",I713="claim+context",I713="discourse_segment"),"yes","no")</x:f>
        <x:v>yes</x:v>
      </x:c>
      <x:c r="AI713" s="12" t="str">
        <x:f>IF(OR(AH713="yes",AD713="debated",AC713="operational"),"yes","no")</x:f>
        <x:v>yes</x:v>
      </x:c>
      <x:c r="AJ713" s="12" t="str">
        <x:f>IF(OR(AH713="yes",AC713="operational",AD713="debated"),"high",IF(AND(AG713="yes",L713="P0"),"medium","low"))</x:f>
        <x:v>high</x:v>
      </x:c>
      <x:c r="AK713" s="12" t="str">
        <x:f>IF(ISNUMBER(SEARCH("healthy",AB713)),"yes","no")</x:f>
        <x:v>no</x:v>
      </x:c>
      <x:c r="AL713" s="12" t="str">
        <x:f>IF(AG713="yes","yes","candidate_only")</x:f>
        <x:v>candidate_only</x:v>
      </x:c>
      <x:c r="AM713" s="12" t="str">
        <x:f>IF(OR(AC713="canonical",AG713="yes"),"yes","recommended")</x:f>
        <x:v>recommended</x:v>
      </x:c>
      <x:c r="AN713" s="12" t="str">
        <x:f>IF(AC713="deprecated","exclude",IF(AND(AG713="yes",AJ713="high"),"import_but_human_review_required",IF(AG713="yes","import_as_active","import_as_backlog")))</x:f>
        <x:v>import_as_backlog</x:v>
      </x:c>
      <x:c r="AO713" s="12" t="str">
        <x:f>IF(AND(AG713="yes",OR(P713="",Q713="",R713="",S713="")),"missing_required_mvp_fields",IF(AND(AC713="canonical",Y713=""),"missing_source_ref","ok"))</x:f>
        <x:v>ok</x:v>
      </x:c>
      <x:c r="AP713" s="12" t="str">
        <x:f>IF(AO713="ok","ready_for_codex_import","needs_review")</x:f>
        <x:v>ready_for_codex_import</x:v>
      </x:c>
      <x:c r="AQ713" s="12"/>
      <x:c r="AR713" s="12" t="str">
        <x:v>Added v2 operational fields. Review before classification activation.</x:v>
      </x:c>
    </x:row>
    <x:row r="714">
      <x:c r="A714" s="13" t="str">
        <x:v>outgroup_homogeneity_majority_cue_variant</x:v>
      </x:c>
      <x:c r="B714" s="13" t="str">
        <x:v>outgroup_homogeneity</x:v>
      </x:c>
      <x:c r="C714" s="13" t="str">
        <x:v>Out-group homogeneity bias</x:v>
      </x:c>
      <x:c r="D714" s="13" t="str">
        <x:v>یکسان‌انگاری برون‌گروه</x:v>
      </x:c>
      <x:c r="E714" s="13" t="str">
        <x:v>Majority-cue variant</x:v>
      </x:c>
      <x:c r="F714" s="13" t="str">
        <x:v>social_influence_patterns</x:v>
      </x:c>
      <x:c r="G714" s="13" t="str">
        <x:v>operational_variant</x:v>
      </x:c>
      <x:c r="H714" s="13" t="str">
        <x:v>contextual</x:v>
      </x:c>
      <x:c r="I714" s="13" t="str">
        <x:v>claim+context</x:v>
      </x:c>
      <x:c r="J714" s="13" t="str">
        <x:v>derived_operational_subtype</x:v>
      </x:c>
      <x:c r="K714" s="13" t="str">
        <x:v>derived_from_established_parent_review_required</x:v>
      </x:c>
      <x:c r="L714" s="13" t="str">
        <x:v>P2</x:v>
      </x:c>
      <x:c r="M714" s="13" t="str">
        <x:v>no</x:v>
      </x:c>
      <x:c r="N714" s="13" t="str">
        <x:v>Operational subtype under Out-group homogeneity bias: majority or popularity cues drive the conclusion. Parent definition: Perceiving out-group members as more similar than they are.</x:v>
      </x:c>
      <x:c r="O714" s="13" t="str">
        <x:v>Look for: explicit claim-level evidence; parent-family cues for Out-group homogeneity bias; variant cue: majority or popularity cues drive the conclusion; avoid author-level inference.</x:v>
      </x:c>
      <x:c r="P714" s="13" t="str">
        <x:v>Exact evidence span in text plus claim-level reasoning link; for contextual/discourse entries, require surrounding context.</x:v>
      </x:c>
      <x:c r="Q714" s="13" t="str">
        <x:v>Do not label merely because topic is controversial, emotional, or wrong. Do not judge intent or personality. Require textual evidence and consider healthy-reasoning cues.</x:v>
      </x:c>
      <x:c r="R714" s="13" t="str">
        <x:v>Stub: A claim relies on majority or popularity cues drive the conclusion to support a conclusion without adequate qualification.</x:v>
      </x:c>
      <x:c r="S714" s="13" t="str">
        <x:v>Stub: A claim discusses out-group homogeneity bias with caveats, balanced evidence, or no argumentative use of the pattern.</x:v>
      </x:c>
      <x:c r="T714" s="13" t="str">
        <x:v>Mild or ambiguous cue; do not classify without clear evidence span.</x:v>
      </x:c>
      <x:c r="U714" s="13" t="str">
        <x:v>Clear claim-level pattern with some argumentative impact.</x:v>
      </x:c>
      <x:c r="V714" s="13" t="str">
        <x:v>Strong pattern central to the conclusion and likely to materially distort reasoning.</x:v>
      </x:c>
      <x:c r="W714" s="13" t="str"/>
      <x:c r="X714" s="13" t="str">
        <x:v>gilovich_heuristics_biases</x:v>
      </x:c>
      <x:c r="Y714" s="13" t="str">
        <x:v>https://www.cambridge.org/core/books/heuristics-and-biases/3C30D3B05D2F190C3B8BE5E2531EFD24</x:v>
      </x:c>
      <x:c r="Z714" s="13" t="str">
        <x:v>Review before enabling. This workbook is a living taxonomy scaffold, not a validated scientific benchmark.</x:v>
      </x:c>
      <x:c r="AA714" s="13" t="str">
        <x:v>0.1.0-draft</x:v>
      </x:c>
      <x:c r="AB714" s="12" t="str">
        <x:f>IF(ISNUMBER(SEARCH("healthy",F714)),"healthy_reasoning_patterns",IF(ISNUMBER(SEARCH("statistical",F714)),"statistical_reasoning",IF(ISNUMBER(SEARCH("causal",F714)),"causal_reasoning",IF(ISNUMBER(SEARCH("social",F714)),"social_influence",IF(ISNUMBER(SEARCH("rhetoric",F714)),"rhetoric_discourse",IF(ISNUMBER(SEARCH("behavior",F714)),"behavioural_economics",IF(ISNUMBER(SEARCH("cognitive",F714)),"cognitive_biases",IF(J714="protective_pattern","healthy_reasoning_patterns",IF(L714="P0","core_mvp","extended_fallacies")))))))))</x:f>
        <x:v>social_influence</x:v>
      </x:c>
      <x:c r="AC714" s="12" t="str">
        <x:f>IF(ISNUMBER(SEARCH("operational",J714)),"operational",IF(ISNUMBER(SEARCH("deprecated",J714)),"deprecated",IF(L714="P0","canonical","recognized_subtype")))</x:f>
        <x:v>operational</x:v>
      </x:c>
      <x:c r="AD714" s="12" t="str">
        <x:f>IF(AC714="canonical","high",IF(AC714="recognized_subtype","medium",IF(AC714="operational","operational_only","debated")))</x:f>
        <x:v>operational_only</x:v>
      </x:c>
      <x:c r="AE714" s="12" t="str">
        <x:f>IF(AC714="deprecated","deprecated",IF(M714="yes","active",IF(M714="review","review_required","backlog")))</x:f>
        <x:v>backlog</x:v>
      </x:c>
      <x:c r="AF714" s="12" t="str">
        <x:f>IF(OR(AE714="active",AE714="review_required"),"yes","no")</x:f>
        <x:v>no</x:v>
      </x:c>
      <x:c r="AG714" s="12" t="str">
        <x:f>IF(AND(AE714="active",M714="yes",NOT(ISNUMBER(SEARCH("healthy",AB714)))),"yes","no")</x:f>
        <x:v>no</x:v>
      </x:c>
      <x:c r="AH714" s="12" t="str">
        <x:f>IF(OR(H714="contextual",H714="dialogue",H714="discourse",I714="claim+context",I714="discourse_segment"),"yes","no")</x:f>
        <x:v>yes</x:v>
      </x:c>
      <x:c r="AI714" s="12" t="str">
        <x:f>IF(OR(AH714="yes",AD714="debated",AC714="operational"),"yes","no")</x:f>
        <x:v>yes</x:v>
      </x:c>
      <x:c r="AJ714" s="12" t="str">
        <x:f>IF(OR(AH714="yes",AC714="operational",AD714="debated"),"high",IF(AND(AG714="yes",L714="P0"),"medium","low"))</x:f>
        <x:v>high</x:v>
      </x:c>
      <x:c r="AK714" s="12" t="str">
        <x:f>IF(ISNUMBER(SEARCH("healthy",AB714)),"yes","no")</x:f>
        <x:v>no</x:v>
      </x:c>
      <x:c r="AL714" s="12" t="str">
        <x:f>IF(AG714="yes","yes","candidate_only")</x:f>
        <x:v>candidate_only</x:v>
      </x:c>
      <x:c r="AM714" s="12" t="str">
        <x:f>IF(OR(AC714="canonical",AG714="yes"),"yes","recommended")</x:f>
        <x:v>recommended</x:v>
      </x:c>
      <x:c r="AN714" s="12" t="str">
        <x:f>IF(AC714="deprecated","exclude",IF(AND(AG714="yes",AJ714="high"),"import_but_human_review_required",IF(AG714="yes","import_as_active","import_as_backlog")))</x:f>
        <x:v>import_as_backlog</x:v>
      </x:c>
      <x:c r="AO714" s="12" t="str">
        <x:f>IF(AND(AG714="yes",OR(P714="",Q714="",R714="",S714="")),"missing_required_mvp_fields",IF(AND(AC714="canonical",Y714=""),"missing_source_ref","ok"))</x:f>
        <x:v>ok</x:v>
      </x:c>
      <x:c r="AP714" s="12" t="str">
        <x:f>IF(AO714="ok","ready_for_codex_import","needs_review")</x:f>
        <x:v>ready_for_codex_import</x:v>
      </x:c>
      <x:c r="AQ714" s="12"/>
      <x:c r="AR714" s="12" t="str">
        <x:v>Added v2 operational fields. Review before classification activation.</x:v>
      </x:c>
    </x:row>
    <x:row r="715">
      <x:c r="A715" s="13" t="str">
        <x:v>identity_protective_cognition_majority_cue_variant</x:v>
      </x:c>
      <x:c r="B715" s="13" t="str">
        <x:v>identity_protective_cognition</x:v>
      </x:c>
      <x:c r="C715" s="13" t="str">
        <x:v>Identity-protective cognition</x:v>
      </x:c>
      <x:c r="D715" s="13" t="str">
        <x:v>شناخت محافظ هویت</x:v>
      </x:c>
      <x:c r="E715" s="13" t="str">
        <x:v>Majority-cue variant</x:v>
      </x:c>
      <x:c r="F715" s="13" t="str">
        <x:v>social_influence_patterns</x:v>
      </x:c>
      <x:c r="G715" s="13" t="str">
        <x:v>operational_variant</x:v>
      </x:c>
      <x:c r="H715" s="13" t="str">
        <x:v>contextual</x:v>
      </x:c>
      <x:c r="I715" s="13" t="str">
        <x:v>claim+context</x:v>
      </x:c>
      <x:c r="J715" s="13" t="str">
        <x:v>derived_operational_subtype</x:v>
      </x:c>
      <x:c r="K715" s="13" t="str">
        <x:v>derived_from_established_parent_review_required</x:v>
      </x:c>
      <x:c r="L715" s="13" t="str">
        <x:v>P2</x:v>
      </x:c>
      <x:c r="M715" s="13" t="str">
        <x:v>no</x:v>
      </x:c>
      <x:c r="N715" s="13" t="str">
        <x:v>Operational subtype under Identity-protective cognition: majority or popularity cues drive the conclusion. Parent definition: Processing information to protect group identity or status.</x:v>
      </x:c>
      <x:c r="O715" s="13" t="str">
        <x:v>Look for: explicit claim-level evidence; parent-family cues for Identity-protective cognition; variant cue: majority or popularity cues drive the conclusion; avoid author-level inference.</x:v>
      </x:c>
      <x:c r="P715" s="13" t="str">
        <x:v>Exact evidence span in text plus claim-level reasoning link; for contextual/discourse entries, require surrounding context.</x:v>
      </x:c>
      <x:c r="Q715" s="13" t="str">
        <x:v>Do not label merely because topic is controversial, emotional, or wrong. Do not judge intent or personality. Require textual evidence and consider healthy-reasoning cues.</x:v>
      </x:c>
      <x:c r="R715" s="13" t="str">
        <x:v>Stub: A claim relies on majority or popularity cues drive the conclusion to support a conclusion without adequate qualification.</x:v>
      </x:c>
      <x:c r="S715" s="13" t="str">
        <x:v>Stub: A claim discusses identity-protective cognition with caveats, balanced evidence, or no argumentative use of the pattern.</x:v>
      </x:c>
      <x:c r="T715" s="13" t="str">
        <x:v>Mild or ambiguous cue; do not classify without clear evidence span.</x:v>
      </x:c>
      <x:c r="U715" s="13" t="str">
        <x:v>Clear claim-level pattern with some argumentative impact.</x:v>
      </x:c>
      <x:c r="V715" s="13" t="str">
        <x:v>Strong pattern central to the conclusion and likely to materially distort reasoning.</x:v>
      </x:c>
      <x:c r="W715" s="13" t="str"/>
      <x:c r="X715" s="13" t="str">
        <x:v>stanovich_dual_process</x:v>
      </x:c>
      <x:c r="Y715" s="13" t="str">
        <x:v>https://global.oup.com/academic/product/rationality-and-the-reflective-mind-9780195341140</x:v>
      </x:c>
      <x:c r="Z715" s="13" t="str">
        <x:v>Review before enabling. This workbook is a living taxonomy scaffold, not a validated scientific benchmark.</x:v>
      </x:c>
      <x:c r="AA715" s="13" t="str">
        <x:v>0.1.0-draft</x:v>
      </x:c>
      <x:c r="AB715" s="12" t="str">
        <x:f>IF(ISNUMBER(SEARCH("healthy",F715)),"healthy_reasoning_patterns",IF(ISNUMBER(SEARCH("statistical",F715)),"statistical_reasoning",IF(ISNUMBER(SEARCH("causal",F715)),"causal_reasoning",IF(ISNUMBER(SEARCH("social",F715)),"social_influence",IF(ISNUMBER(SEARCH("rhetoric",F715)),"rhetoric_discourse",IF(ISNUMBER(SEARCH("behavior",F715)),"behavioural_economics",IF(ISNUMBER(SEARCH("cognitive",F715)),"cognitive_biases",IF(J715="protective_pattern","healthy_reasoning_patterns",IF(L715="P0","core_mvp","extended_fallacies")))))))))</x:f>
        <x:v>social_influence</x:v>
      </x:c>
      <x:c r="AC715" s="12" t="str">
        <x:f>IF(ISNUMBER(SEARCH("operational",J715)),"operational",IF(ISNUMBER(SEARCH("deprecated",J715)),"deprecated",IF(L715="P0","canonical","recognized_subtype")))</x:f>
        <x:v>operational</x:v>
      </x:c>
      <x:c r="AD715" s="12" t="str">
        <x:f>IF(AC715="canonical","high",IF(AC715="recognized_subtype","medium",IF(AC715="operational","operational_only","debated")))</x:f>
        <x:v>operational_only</x:v>
      </x:c>
      <x:c r="AE715" s="12" t="str">
        <x:f>IF(AC715="deprecated","deprecated",IF(M715="yes","active",IF(M715="review","review_required","backlog")))</x:f>
        <x:v>backlog</x:v>
      </x:c>
      <x:c r="AF715" s="12" t="str">
        <x:f>IF(OR(AE715="active",AE715="review_required"),"yes","no")</x:f>
        <x:v>no</x:v>
      </x:c>
      <x:c r="AG715" s="12" t="str">
        <x:f>IF(AND(AE715="active",M715="yes",NOT(ISNUMBER(SEARCH("healthy",AB715)))),"yes","no")</x:f>
        <x:v>no</x:v>
      </x:c>
      <x:c r="AH715" s="12" t="str">
        <x:f>IF(OR(H715="contextual",H715="dialogue",H715="discourse",I715="claim+context",I715="discourse_segment"),"yes","no")</x:f>
        <x:v>yes</x:v>
      </x:c>
      <x:c r="AI715" s="12" t="str">
        <x:f>IF(OR(AH715="yes",AD715="debated",AC715="operational"),"yes","no")</x:f>
        <x:v>yes</x:v>
      </x:c>
      <x:c r="AJ715" s="12" t="str">
        <x:f>IF(OR(AH715="yes",AC715="operational",AD715="debated"),"high",IF(AND(AG715="yes",L715="P0"),"medium","low"))</x:f>
        <x:v>high</x:v>
      </x:c>
      <x:c r="AK715" s="12" t="str">
        <x:f>IF(ISNUMBER(SEARCH("healthy",AB715)),"yes","no")</x:f>
        <x:v>no</x:v>
      </x:c>
      <x:c r="AL715" s="12" t="str">
        <x:f>IF(AG715="yes","yes","candidate_only")</x:f>
        <x:v>candidate_only</x:v>
      </x:c>
      <x:c r="AM715" s="12" t="str">
        <x:f>IF(OR(AC715="canonical",AG715="yes"),"yes","recommended")</x:f>
        <x:v>recommended</x:v>
      </x:c>
      <x:c r="AN715" s="12" t="str">
        <x:f>IF(AC715="deprecated","exclude",IF(AND(AG715="yes",AJ715="high"),"import_but_human_review_required",IF(AG715="yes","import_as_active","import_as_backlog")))</x:f>
        <x:v>import_as_backlog</x:v>
      </x:c>
      <x:c r="AO715" s="12" t="str">
        <x:f>IF(AND(AG715="yes",OR(P715="",Q715="",R715="",S715="")),"missing_required_mvp_fields",IF(AND(AC715="canonical",Y715=""),"missing_source_ref","ok"))</x:f>
        <x:v>ok</x:v>
      </x:c>
      <x:c r="AP715" s="12" t="str">
        <x:f>IF(AO715="ok","ready_for_codex_import","needs_review")</x:f>
        <x:v>ready_for_codex_import</x:v>
      </x:c>
      <x:c r="AQ715" s="12"/>
      <x:c r="AR715" s="12" t="str">
        <x:v>Added v2 operational fields. Review before classification activation.</x:v>
      </x:c>
    </x:row>
    <x:row r="716">
      <x:c r="A716" s="13" t="str">
        <x:v>normative_social_influence_majority_cue_variant</x:v>
      </x:c>
      <x:c r="B716" s="13" t="str">
        <x:v>normative_social_influence</x:v>
      </x:c>
      <x:c r="C716" s="13" t="str">
        <x:v>Normative social influence</x:v>
      </x:c>
      <x:c r="D716" s="13" t="str">
        <x:v>تأثیر هنجاری اجتماعی</x:v>
      </x:c>
      <x:c r="E716" s="13" t="str">
        <x:v>Majority-cue variant</x:v>
      </x:c>
      <x:c r="F716" s="13" t="str">
        <x:v>social_influence_patterns</x:v>
      </x:c>
      <x:c r="G716" s="13" t="str">
        <x:v>operational_variant</x:v>
      </x:c>
      <x:c r="H716" s="13" t="str">
        <x:v>discourse</x:v>
      </x:c>
      <x:c r="I716" s="13" t="str">
        <x:v>discourse_segment</x:v>
      </x:c>
      <x:c r="J716" s="13" t="str">
        <x:v>derived_operational_subtype</x:v>
      </x:c>
      <x:c r="K716" s="13" t="str">
        <x:v>derived_from_established_parent_review_required</x:v>
      </x:c>
      <x:c r="L716" s="13" t="str">
        <x:v>P3</x:v>
      </x:c>
      <x:c r="M716" s="13" t="str">
        <x:v>no</x:v>
      </x:c>
      <x:c r="N716" s="13" t="str">
        <x:v>Operational subtype under Normative social influence: majority or popularity cues drive the conclusion. Parent definition: Conforming to gain approval or avoid disapproval.</x:v>
      </x:c>
      <x:c r="O716" s="13" t="str">
        <x:v>Look for: explicit claim-level evidence; parent-family cues for Normative social influence; variant cue: majority or popularity cues drive the conclusion; avoid author-level inference.</x:v>
      </x:c>
      <x:c r="P716" s="13" t="str">
        <x:v>Exact evidence span in text plus claim-level reasoning link; for contextual/discourse entries, require surrounding context.</x:v>
      </x:c>
      <x:c r="Q716" s="13" t="str">
        <x:v>Do not label merely because topic is controversial, emotional, or wrong. Do not judge intent or personality. Require textual evidence and consider healthy-reasoning cues.</x:v>
      </x:c>
      <x:c r="R716" s="13" t="str">
        <x:v>Stub: A claim relies on majority or popularity cues drive the conclusion to support a conclusion without adequate qualification.</x:v>
      </x:c>
      <x:c r="S716" s="13" t="str">
        <x:v>Stub: A claim discusses normative social influence with caveats, balanced evidence, or no argumentative use of the pattern.</x:v>
      </x:c>
      <x:c r="T716" s="13" t="str">
        <x:v>Mild or ambiguous cue; do not classify without clear evidence span.</x:v>
      </x:c>
      <x:c r="U716" s="13" t="str">
        <x:v>Clear claim-level pattern with some argumentative impact.</x:v>
      </x:c>
      <x:c r="V716" s="13" t="str">
        <x:v>Strong pattern central to the conclusion and likely to materially distort reasoning.</x:v>
      </x:c>
      <x:c r="W716" s="13" t="str"/>
      <x:c r="X716" s="13" t="str">
        <x:v>cialdini_influence</x:v>
      </x:c>
      <x:c r="Y716" s="13" t="str">
        <x:v>https://www.pearson.com/en-us/subject-catalog/p/influence-science-and-practice/P200000003004</x:v>
      </x:c>
      <x:c r="Z716" s="13" t="str">
        <x:v>Review before enabling. This workbook is a living taxonomy scaffold, not a validated scientific benchmark.</x:v>
      </x:c>
      <x:c r="AA716" s="13" t="str">
        <x:v>0.1.0-draft</x:v>
      </x:c>
      <x:c r="AB716" s="12" t="str">
        <x:f>IF(ISNUMBER(SEARCH("healthy",F716)),"healthy_reasoning_patterns",IF(ISNUMBER(SEARCH("statistical",F716)),"statistical_reasoning",IF(ISNUMBER(SEARCH("causal",F716)),"causal_reasoning",IF(ISNUMBER(SEARCH("social",F716)),"social_influence",IF(ISNUMBER(SEARCH("rhetoric",F716)),"rhetoric_discourse",IF(ISNUMBER(SEARCH("behavior",F716)),"behavioural_economics",IF(ISNUMBER(SEARCH("cognitive",F716)),"cognitive_biases",IF(J716="protective_pattern","healthy_reasoning_patterns",IF(L716="P0","core_mvp","extended_fallacies")))))))))</x:f>
        <x:v>social_influence</x:v>
      </x:c>
      <x:c r="AC716" s="12" t="str">
        <x:f>IF(ISNUMBER(SEARCH("operational",J716)),"operational",IF(ISNUMBER(SEARCH("deprecated",J716)),"deprecated",IF(L716="P0","canonical","recognized_subtype")))</x:f>
        <x:v>operational</x:v>
      </x:c>
      <x:c r="AD716" s="12" t="str">
        <x:f>IF(AC716="canonical","high",IF(AC716="recognized_subtype","medium",IF(AC716="operational","operational_only","debated")))</x:f>
        <x:v>operational_only</x:v>
      </x:c>
      <x:c r="AE716" s="12" t="str">
        <x:f>IF(AC716="deprecated","deprecated",IF(M716="yes","active",IF(M716="review","review_required","backlog")))</x:f>
        <x:v>backlog</x:v>
      </x:c>
      <x:c r="AF716" s="12" t="str">
        <x:f>IF(OR(AE716="active",AE716="review_required"),"yes","no")</x:f>
        <x:v>no</x:v>
      </x:c>
      <x:c r="AG716" s="12" t="str">
        <x:f>IF(AND(AE716="active",M716="yes",NOT(ISNUMBER(SEARCH("healthy",AB716)))),"yes","no")</x:f>
        <x:v>no</x:v>
      </x:c>
      <x:c r="AH716" s="12" t="str">
        <x:f>IF(OR(H716="contextual",H716="dialogue",H716="discourse",I716="claim+context",I716="discourse_segment"),"yes","no")</x:f>
        <x:v>yes</x:v>
      </x:c>
      <x:c r="AI716" s="12" t="str">
        <x:f>IF(OR(AH716="yes",AD716="debated",AC716="operational"),"yes","no")</x:f>
        <x:v>yes</x:v>
      </x:c>
      <x:c r="AJ716" s="12" t="str">
        <x:f>IF(OR(AH716="yes",AC716="operational",AD716="debated"),"high",IF(AND(AG716="yes",L716="P0"),"medium","low"))</x:f>
        <x:v>high</x:v>
      </x:c>
      <x:c r="AK716" s="12" t="str">
        <x:f>IF(ISNUMBER(SEARCH("healthy",AB716)),"yes","no")</x:f>
        <x:v>no</x:v>
      </x:c>
      <x:c r="AL716" s="12" t="str">
        <x:f>IF(AG716="yes","yes","candidate_only")</x:f>
        <x:v>candidate_only</x:v>
      </x:c>
      <x:c r="AM716" s="12" t="str">
        <x:f>IF(OR(AC716="canonical",AG716="yes"),"yes","recommended")</x:f>
        <x:v>recommended</x:v>
      </x:c>
      <x:c r="AN716" s="12" t="str">
        <x:f>IF(AC716="deprecated","exclude",IF(AND(AG716="yes",AJ716="high"),"import_but_human_review_required",IF(AG716="yes","import_as_active","import_as_backlog")))</x:f>
        <x:v>import_as_backlog</x:v>
      </x:c>
      <x:c r="AO716" s="12" t="str">
        <x:f>IF(AND(AG716="yes",OR(P716="",Q716="",R716="",S716="")),"missing_required_mvp_fields",IF(AND(AC716="canonical",Y716=""),"missing_source_ref","ok"))</x:f>
        <x:v>ok</x:v>
      </x:c>
      <x:c r="AP716" s="12" t="str">
        <x:f>IF(AO716="ok","ready_for_codex_import","needs_review")</x:f>
        <x:v>ready_for_codex_import</x:v>
      </x:c>
      <x:c r="AQ716" s="12"/>
      <x:c r="AR716" s="12" t="str">
        <x:v>Added v2 operational fields. Review before classification activation.</x:v>
      </x:c>
    </x:row>
    <x:row r="717">
      <x:c r="A717" s="13" t="str">
        <x:v>informational_social_influence_majority_cue_variant</x:v>
      </x:c>
      <x:c r="B717" s="13" t="str">
        <x:v>informational_social_influence</x:v>
      </x:c>
      <x:c r="C717" s="13" t="str">
        <x:v>Informational social influence</x:v>
      </x:c>
      <x:c r="D717" s="13" t="str">
        <x:v>تأثیر اطلاعاتی اجتماعی</x:v>
      </x:c>
      <x:c r="E717" s="13" t="str">
        <x:v>Majority-cue variant</x:v>
      </x:c>
      <x:c r="F717" s="13" t="str">
        <x:v>social_influence_patterns</x:v>
      </x:c>
      <x:c r="G717" s="13" t="str">
        <x:v>operational_variant</x:v>
      </x:c>
      <x:c r="H717" s="13" t="str">
        <x:v>discourse</x:v>
      </x:c>
      <x:c r="I717" s="13" t="str">
        <x:v>discourse_segment</x:v>
      </x:c>
      <x:c r="J717" s="13" t="str">
        <x:v>derived_operational_subtype</x:v>
      </x:c>
      <x:c r="K717" s="13" t="str">
        <x:v>derived_from_established_parent_review_required</x:v>
      </x:c>
      <x:c r="L717" s="13" t="str">
        <x:v>P3</x:v>
      </x:c>
      <x:c r="M717" s="13" t="str">
        <x:v>no</x:v>
      </x:c>
      <x:c r="N717" s="13" t="str">
        <x:v>Operational subtype under Informational social influence: majority or popularity cues drive the conclusion. Parent definition: Treating others' behavior as information under uncertainty.</x:v>
      </x:c>
      <x:c r="O717" s="13" t="str">
        <x:v>Look for: explicit claim-level evidence; parent-family cues for Informational social influence; variant cue: majority or popularity cues drive the conclusion; avoid author-level inference.</x:v>
      </x:c>
      <x:c r="P717" s="13" t="str">
        <x:v>Exact evidence span in text plus claim-level reasoning link; for contextual/discourse entries, require surrounding context.</x:v>
      </x:c>
      <x:c r="Q717" s="13" t="str">
        <x:v>Do not label merely because topic is controversial, emotional, or wrong. Do not judge intent or personality. Require textual evidence and consider healthy-reasoning cues.</x:v>
      </x:c>
      <x:c r="R717" s="13" t="str">
        <x:v>Stub: A claim relies on majority or popularity cues drive the conclusion to support a conclusion without adequate qualification.</x:v>
      </x:c>
      <x:c r="S717" s="13" t="str">
        <x:v>Stub: A claim discusses informational social influence with caveats, balanced evidence, or no argumentative use of the pattern.</x:v>
      </x:c>
      <x:c r="T717" s="13" t="str">
        <x:v>Mild or ambiguous cue; do not classify without clear evidence span.</x:v>
      </x:c>
      <x:c r="U717" s="13" t="str">
        <x:v>Clear claim-level pattern with some argumentative impact.</x:v>
      </x:c>
      <x:c r="V717" s="13" t="str">
        <x:v>Strong pattern central to the conclusion and likely to materially distort reasoning.</x:v>
      </x:c>
      <x:c r="W717" s="13" t="str"/>
      <x:c r="X717" s="13" t="str">
        <x:v>cialdini_influence</x:v>
      </x:c>
      <x:c r="Y717" s="13" t="str">
        <x:v>https://www.pearson.com/en-us/subject-catalog/p/influence-science-and-practice/P200000003004</x:v>
      </x:c>
      <x:c r="Z717" s="13" t="str">
        <x:v>Review before enabling. This workbook is a living taxonomy scaffold, not a validated scientific benchmark.</x:v>
      </x:c>
      <x:c r="AA717" s="13" t="str">
        <x:v>0.1.0-draft</x:v>
      </x:c>
      <x:c r="AB717" s="12" t="str">
        <x:f>IF(ISNUMBER(SEARCH("healthy",F717)),"healthy_reasoning_patterns",IF(ISNUMBER(SEARCH("statistical",F717)),"statistical_reasoning",IF(ISNUMBER(SEARCH("causal",F717)),"causal_reasoning",IF(ISNUMBER(SEARCH("social",F717)),"social_influence",IF(ISNUMBER(SEARCH("rhetoric",F717)),"rhetoric_discourse",IF(ISNUMBER(SEARCH("behavior",F717)),"behavioural_economics",IF(ISNUMBER(SEARCH("cognitive",F717)),"cognitive_biases",IF(J717="protective_pattern","healthy_reasoning_patterns",IF(L717="P0","core_mvp","extended_fallacies")))))))))</x:f>
        <x:v>social_influence</x:v>
      </x:c>
      <x:c r="AC717" s="12" t="str">
        <x:f>IF(ISNUMBER(SEARCH("operational",J717)),"operational",IF(ISNUMBER(SEARCH("deprecated",J717)),"deprecated",IF(L717="P0","canonical","recognized_subtype")))</x:f>
        <x:v>operational</x:v>
      </x:c>
      <x:c r="AD717" s="12" t="str">
        <x:f>IF(AC717="canonical","high",IF(AC717="recognized_subtype","medium",IF(AC717="operational","operational_only","debated")))</x:f>
        <x:v>operational_only</x:v>
      </x:c>
      <x:c r="AE717" s="12" t="str">
        <x:f>IF(AC717="deprecated","deprecated",IF(M717="yes","active",IF(M717="review","review_required","backlog")))</x:f>
        <x:v>backlog</x:v>
      </x:c>
      <x:c r="AF717" s="12" t="str">
        <x:f>IF(OR(AE717="active",AE717="review_required"),"yes","no")</x:f>
        <x:v>no</x:v>
      </x:c>
      <x:c r="AG717" s="12" t="str">
        <x:f>IF(AND(AE717="active",M717="yes",NOT(ISNUMBER(SEARCH("healthy",AB717)))),"yes","no")</x:f>
        <x:v>no</x:v>
      </x:c>
      <x:c r="AH717" s="12" t="str">
        <x:f>IF(OR(H717="contextual",H717="dialogue",H717="discourse",I717="claim+context",I717="discourse_segment"),"yes","no")</x:f>
        <x:v>yes</x:v>
      </x:c>
      <x:c r="AI717" s="12" t="str">
        <x:f>IF(OR(AH717="yes",AD717="debated",AC717="operational"),"yes","no")</x:f>
        <x:v>yes</x:v>
      </x:c>
      <x:c r="AJ717" s="12" t="str">
        <x:f>IF(OR(AH717="yes",AC717="operational",AD717="debated"),"high",IF(AND(AG717="yes",L717="P0"),"medium","low"))</x:f>
        <x:v>high</x:v>
      </x:c>
      <x:c r="AK717" s="12" t="str">
        <x:f>IF(ISNUMBER(SEARCH("healthy",AB717)),"yes","no")</x:f>
        <x:v>no</x:v>
      </x:c>
      <x:c r="AL717" s="12" t="str">
        <x:f>IF(AG717="yes","yes","candidate_only")</x:f>
        <x:v>candidate_only</x:v>
      </x:c>
      <x:c r="AM717" s="12" t="str">
        <x:f>IF(OR(AC717="canonical",AG717="yes"),"yes","recommended")</x:f>
        <x:v>recommended</x:v>
      </x:c>
      <x:c r="AN717" s="12" t="str">
        <x:f>IF(AC717="deprecated","exclude",IF(AND(AG717="yes",AJ717="high"),"import_but_human_review_required",IF(AG717="yes","import_as_active","import_as_backlog")))</x:f>
        <x:v>import_as_backlog</x:v>
      </x:c>
      <x:c r="AO717" s="12" t="str">
        <x:f>IF(AND(AG717="yes",OR(P717="",Q717="",R717="",S717="")),"missing_required_mvp_fields",IF(AND(AC717="canonical",Y717=""),"missing_source_ref","ok"))</x:f>
        <x:v>ok</x:v>
      </x:c>
      <x:c r="AP717" s="12" t="str">
        <x:f>IF(AO717="ok","ready_for_codex_import","needs_review")</x:f>
        <x:v>ready_for_codex_import</x:v>
      </x:c>
      <x:c r="AQ717" s="12"/>
      <x:c r="AR717" s="12" t="str">
        <x:v>Added v2 operational fields. Review before classification activation.</x:v>
      </x:c>
    </x:row>
    <x:row r="718">
      <x:c r="A718" s="13" t="str">
        <x:v>reciprocity_pressure_majority_cue_variant</x:v>
      </x:c>
      <x:c r="B718" s="13" t="str">
        <x:v>reciprocity_pressure</x:v>
      </x:c>
      <x:c r="C718" s="13" t="str">
        <x:v>Reciprocity pressure</x:v>
      </x:c>
      <x:c r="D718" s="13" t="str">
        <x:v>فشار جبران متقابل</x:v>
      </x:c>
      <x:c r="E718" s="13" t="str">
        <x:v>Majority-cue variant</x:v>
      </x:c>
      <x:c r="F718" s="13" t="str">
        <x:v>social_influence_patterns</x:v>
      </x:c>
      <x:c r="G718" s="13" t="str">
        <x:v>operational_variant</x:v>
      </x:c>
      <x:c r="H718" s="13" t="str">
        <x:v>discourse</x:v>
      </x:c>
      <x:c r="I718" s="13" t="str">
        <x:v>discourse_segment</x:v>
      </x:c>
      <x:c r="J718" s="13" t="str">
        <x:v>derived_operational_subtype</x:v>
      </x:c>
      <x:c r="K718" s="13" t="str">
        <x:v>derived_from_established_parent_review_required</x:v>
      </x:c>
      <x:c r="L718" s="13" t="str">
        <x:v>P3</x:v>
      </x:c>
      <x:c r="M718" s="13" t="str">
        <x:v>no</x:v>
      </x:c>
      <x:c r="N718" s="13" t="str">
        <x:v>Operational subtype under Reciprocity pressure: majority or popularity cues drive the conclusion. Parent definition: Feeling obliged to comply because of a prior favor.</x:v>
      </x:c>
      <x:c r="O718" s="13" t="str">
        <x:v>Look for: explicit claim-level evidence; parent-family cues for Reciprocity pressure; variant cue: majority or popularity cues drive the conclusion; avoid author-level inference.</x:v>
      </x:c>
      <x:c r="P718" s="13" t="str">
        <x:v>Exact evidence span in text plus claim-level reasoning link; for contextual/discourse entries, require surrounding context.</x:v>
      </x:c>
      <x:c r="Q718" s="13" t="str">
        <x:v>Do not label merely because topic is controversial, emotional, or wrong. Do not judge intent or personality. Require textual evidence and consider healthy-reasoning cues.</x:v>
      </x:c>
      <x:c r="R718" s="13" t="str">
        <x:v>Stub: A claim relies on majority or popularity cues drive the conclusion to support a conclusion without adequate qualification.</x:v>
      </x:c>
      <x:c r="S718" s="13" t="str">
        <x:v>Stub: A claim discusses reciprocity pressure with caveats, balanced evidence, or no argumentative use of the pattern.</x:v>
      </x:c>
      <x:c r="T718" s="13" t="str">
        <x:v>Mild or ambiguous cue; do not classify without clear evidence span.</x:v>
      </x:c>
      <x:c r="U718" s="13" t="str">
        <x:v>Clear claim-level pattern with some argumentative impact.</x:v>
      </x:c>
      <x:c r="V718" s="13" t="str">
        <x:v>Strong pattern central to the conclusion and likely to materially distort reasoning.</x:v>
      </x:c>
      <x:c r="W718" s="13" t="str"/>
      <x:c r="X718" s="13" t="str">
        <x:v>cialdini_influence</x:v>
      </x:c>
      <x:c r="Y718" s="13" t="str">
        <x:v>https://www.pearson.com/en-us/subject-catalog/p/influence-science-and-practice/P200000003004</x:v>
      </x:c>
      <x:c r="Z718" s="13" t="str">
        <x:v>Review before enabling. This workbook is a living taxonomy scaffold, not a validated scientific benchmark.</x:v>
      </x:c>
      <x:c r="AA718" s="13" t="str">
        <x:v>0.1.0-draft</x:v>
      </x:c>
      <x:c r="AB718" s="12" t="str">
        <x:f>IF(ISNUMBER(SEARCH("healthy",F718)),"healthy_reasoning_patterns",IF(ISNUMBER(SEARCH("statistical",F718)),"statistical_reasoning",IF(ISNUMBER(SEARCH("causal",F718)),"causal_reasoning",IF(ISNUMBER(SEARCH("social",F718)),"social_influence",IF(ISNUMBER(SEARCH("rhetoric",F718)),"rhetoric_discourse",IF(ISNUMBER(SEARCH("behavior",F718)),"behavioural_economics",IF(ISNUMBER(SEARCH("cognitive",F718)),"cognitive_biases",IF(J718="protective_pattern","healthy_reasoning_patterns",IF(L718="P0","core_mvp","extended_fallacies")))))))))</x:f>
        <x:v>social_influence</x:v>
      </x:c>
      <x:c r="AC718" s="12" t="str">
        <x:f>IF(ISNUMBER(SEARCH("operational",J718)),"operational",IF(ISNUMBER(SEARCH("deprecated",J718)),"deprecated",IF(L718="P0","canonical","recognized_subtype")))</x:f>
        <x:v>operational</x:v>
      </x:c>
      <x:c r="AD718" s="12" t="str">
        <x:f>IF(AC718="canonical","high",IF(AC718="recognized_subtype","medium",IF(AC718="operational","operational_only","debated")))</x:f>
        <x:v>operational_only</x:v>
      </x:c>
      <x:c r="AE718" s="12" t="str">
        <x:f>IF(AC718="deprecated","deprecated",IF(M718="yes","active",IF(M718="review","review_required","backlog")))</x:f>
        <x:v>backlog</x:v>
      </x:c>
      <x:c r="AF718" s="12" t="str">
        <x:f>IF(OR(AE718="active",AE718="review_required"),"yes","no")</x:f>
        <x:v>no</x:v>
      </x:c>
      <x:c r="AG718" s="12" t="str">
        <x:f>IF(AND(AE718="active",M718="yes",NOT(ISNUMBER(SEARCH("healthy",AB718)))),"yes","no")</x:f>
        <x:v>no</x:v>
      </x:c>
      <x:c r="AH718" s="12" t="str">
        <x:f>IF(OR(H718="contextual",H718="dialogue",H718="discourse",I718="claim+context",I718="discourse_segment"),"yes","no")</x:f>
        <x:v>yes</x:v>
      </x:c>
      <x:c r="AI718" s="12" t="str">
        <x:f>IF(OR(AH718="yes",AD718="debated",AC718="operational"),"yes","no")</x:f>
        <x:v>yes</x:v>
      </x:c>
      <x:c r="AJ718" s="12" t="str">
        <x:f>IF(OR(AH718="yes",AC718="operational",AD718="debated"),"high",IF(AND(AG718="yes",L718="P0"),"medium","low"))</x:f>
        <x:v>high</x:v>
      </x:c>
      <x:c r="AK718" s="12" t="str">
        <x:f>IF(ISNUMBER(SEARCH("healthy",AB718)),"yes","no")</x:f>
        <x:v>no</x:v>
      </x:c>
      <x:c r="AL718" s="12" t="str">
        <x:f>IF(AG718="yes","yes","candidate_only")</x:f>
        <x:v>candidate_only</x:v>
      </x:c>
      <x:c r="AM718" s="12" t="str">
        <x:f>IF(OR(AC718="canonical",AG718="yes"),"yes","recommended")</x:f>
        <x:v>recommended</x:v>
      </x:c>
      <x:c r="AN718" s="12" t="str">
        <x:f>IF(AC718="deprecated","exclude",IF(AND(AG718="yes",AJ718="high"),"import_but_human_review_required",IF(AG718="yes","import_as_active","import_as_backlog")))</x:f>
        <x:v>import_as_backlog</x:v>
      </x:c>
      <x:c r="AO718" s="12" t="str">
        <x:f>IF(AND(AG718="yes",OR(P718="",Q718="",R718="",S718="")),"missing_required_mvp_fields",IF(AND(AC718="canonical",Y718=""),"missing_source_ref","ok"))</x:f>
        <x:v>ok</x:v>
      </x:c>
      <x:c r="AP718" s="12" t="str">
        <x:f>IF(AO718="ok","ready_for_codex_import","needs_review")</x:f>
        <x:v>ready_for_codex_import</x:v>
      </x:c>
      <x:c r="AQ718" s="12"/>
      <x:c r="AR718" s="12" t="str">
        <x:v>Added v2 operational fields. Review before classification activation.</x:v>
      </x:c>
    </x:row>
    <x:row r="719">
      <x:c r="A719" s="13" t="str">
        <x:v>commitment_consistency_pressure_majority_cue_variant</x:v>
      </x:c>
      <x:c r="B719" s="13" t="str">
        <x:v>commitment_consistency_pressure</x:v>
      </x:c>
      <x:c r="C719" s="13" t="str">
        <x:v>Commitment-consistency pressure</x:v>
      </x:c>
      <x:c r="D719" s="13" t="str">
        <x:v>فشار ثبات تعهد</x:v>
      </x:c>
      <x:c r="E719" s="13" t="str">
        <x:v>Majority-cue variant</x:v>
      </x:c>
      <x:c r="F719" s="13" t="str">
        <x:v>social_influence_patterns</x:v>
      </x:c>
      <x:c r="G719" s="13" t="str">
        <x:v>operational_variant</x:v>
      </x:c>
      <x:c r="H719" s="13" t="str">
        <x:v>discourse</x:v>
      </x:c>
      <x:c r="I719" s="13" t="str">
        <x:v>discourse_segment</x:v>
      </x:c>
      <x:c r="J719" s="13" t="str">
        <x:v>derived_operational_subtype</x:v>
      </x:c>
      <x:c r="K719" s="13" t="str">
        <x:v>derived_from_established_parent_review_required</x:v>
      </x:c>
      <x:c r="L719" s="13" t="str">
        <x:v>P3</x:v>
      </x:c>
      <x:c r="M719" s="13" t="str">
        <x:v>no</x:v>
      </x:c>
      <x:c r="N719" s="13" t="str">
        <x:v>Operational subtype under Commitment-consistency pressure: majority or popularity cues drive the conclusion. Parent definition: Pressure to act consistently with a prior public commitment.</x:v>
      </x:c>
      <x:c r="O719" s="13" t="str">
        <x:v>Look for: explicit claim-level evidence; parent-family cues for Commitment-consistency pressure; variant cue: majority or popularity cues drive the conclusion; avoid author-level inference.</x:v>
      </x:c>
      <x:c r="P719" s="13" t="str">
        <x:v>Exact evidence span in text plus claim-level reasoning link; for contextual/discourse entries, require surrounding context.</x:v>
      </x:c>
      <x:c r="Q719" s="13" t="str">
        <x:v>Do not label merely because topic is controversial, emotional, or wrong. Do not judge intent or personality. Require textual evidence and consider healthy-reasoning cues.</x:v>
      </x:c>
      <x:c r="R719" s="13" t="str">
        <x:v>Stub: A claim relies on majority or popularity cues drive the conclusion to support a conclusion without adequate qualification.</x:v>
      </x:c>
      <x:c r="S719" s="13" t="str">
        <x:v>Stub: A claim discusses commitment-consistency pressure with caveats, balanced evidence, or no argumentative use of the pattern.</x:v>
      </x:c>
      <x:c r="T719" s="13" t="str">
        <x:v>Mild or ambiguous cue; do not classify without clear evidence span.</x:v>
      </x:c>
      <x:c r="U719" s="13" t="str">
        <x:v>Clear claim-level pattern with some argumentative impact.</x:v>
      </x:c>
      <x:c r="V719" s="13" t="str">
        <x:v>Strong pattern central to the conclusion and likely to materially distort reasoning.</x:v>
      </x:c>
      <x:c r="W719" s="13" t="str"/>
      <x:c r="X719" s="13" t="str">
        <x:v>cialdini_influence</x:v>
      </x:c>
      <x:c r="Y719" s="13" t="str">
        <x:v>https://www.pearson.com/en-us/subject-catalog/p/influence-science-and-practice/P200000003004</x:v>
      </x:c>
      <x:c r="Z719" s="13" t="str">
        <x:v>Review before enabling. This workbook is a living taxonomy scaffold, not a validated scientific benchmark.</x:v>
      </x:c>
      <x:c r="AA719" s="13" t="str">
        <x:v>0.1.0-draft</x:v>
      </x:c>
      <x:c r="AB719" s="12" t="str">
        <x:f>IF(ISNUMBER(SEARCH("healthy",F719)),"healthy_reasoning_patterns",IF(ISNUMBER(SEARCH("statistical",F719)),"statistical_reasoning",IF(ISNUMBER(SEARCH("causal",F719)),"causal_reasoning",IF(ISNUMBER(SEARCH("social",F719)),"social_influence",IF(ISNUMBER(SEARCH("rhetoric",F719)),"rhetoric_discourse",IF(ISNUMBER(SEARCH("behavior",F719)),"behavioural_economics",IF(ISNUMBER(SEARCH("cognitive",F719)),"cognitive_biases",IF(J719="protective_pattern","healthy_reasoning_patterns",IF(L719="P0","core_mvp","extended_fallacies")))))))))</x:f>
        <x:v>social_influence</x:v>
      </x:c>
      <x:c r="AC719" s="12" t="str">
        <x:f>IF(ISNUMBER(SEARCH("operational",J719)),"operational",IF(ISNUMBER(SEARCH("deprecated",J719)),"deprecated",IF(L719="P0","canonical","recognized_subtype")))</x:f>
        <x:v>operational</x:v>
      </x:c>
      <x:c r="AD719" s="12" t="str">
        <x:f>IF(AC719="canonical","high",IF(AC719="recognized_subtype","medium",IF(AC719="operational","operational_only","debated")))</x:f>
        <x:v>operational_only</x:v>
      </x:c>
      <x:c r="AE719" s="12" t="str">
        <x:f>IF(AC719="deprecated","deprecated",IF(M719="yes","active",IF(M719="review","review_required","backlog")))</x:f>
        <x:v>backlog</x:v>
      </x:c>
      <x:c r="AF719" s="12" t="str">
        <x:f>IF(OR(AE719="active",AE719="review_required"),"yes","no")</x:f>
        <x:v>no</x:v>
      </x:c>
      <x:c r="AG719" s="12" t="str">
        <x:f>IF(AND(AE719="active",M719="yes",NOT(ISNUMBER(SEARCH("healthy",AB719)))),"yes","no")</x:f>
        <x:v>no</x:v>
      </x:c>
      <x:c r="AH719" s="12" t="str">
        <x:f>IF(OR(H719="contextual",H719="dialogue",H719="discourse",I719="claim+context",I719="discourse_segment"),"yes","no")</x:f>
        <x:v>yes</x:v>
      </x:c>
      <x:c r="AI719" s="12" t="str">
        <x:f>IF(OR(AH719="yes",AD719="debated",AC719="operational"),"yes","no")</x:f>
        <x:v>yes</x:v>
      </x:c>
      <x:c r="AJ719" s="12" t="str">
        <x:f>IF(OR(AH719="yes",AC719="operational",AD719="debated"),"high",IF(AND(AG719="yes",L719="P0"),"medium","low"))</x:f>
        <x:v>high</x:v>
      </x:c>
      <x:c r="AK719" s="12" t="str">
        <x:f>IF(ISNUMBER(SEARCH("healthy",AB719)),"yes","no")</x:f>
        <x:v>no</x:v>
      </x:c>
      <x:c r="AL719" s="12" t="str">
        <x:f>IF(AG719="yes","yes","candidate_only")</x:f>
        <x:v>candidate_only</x:v>
      </x:c>
      <x:c r="AM719" s="12" t="str">
        <x:f>IF(OR(AC719="canonical",AG719="yes"),"yes","recommended")</x:f>
        <x:v>recommended</x:v>
      </x:c>
      <x:c r="AN719" s="12" t="str">
        <x:f>IF(AC719="deprecated","exclude",IF(AND(AG719="yes",AJ719="high"),"import_but_human_review_required",IF(AG719="yes","import_as_active","import_as_backlog")))</x:f>
        <x:v>import_as_backlog</x:v>
      </x:c>
      <x:c r="AO719" s="12" t="str">
        <x:f>IF(AND(AG719="yes",OR(P719="",Q719="",R719="",S719="")),"missing_required_mvp_fields",IF(AND(AC719="canonical",Y719=""),"missing_source_ref","ok"))</x:f>
        <x:v>ok</x:v>
      </x:c>
      <x:c r="AP719" s="12" t="str">
        <x:f>IF(AO719="ok","ready_for_codex_import","needs_review")</x:f>
        <x:v>ready_for_codex_import</x:v>
      </x:c>
      <x:c r="AQ719" s="12"/>
      <x:c r="AR719" s="12" t="str">
        <x:v>Added v2 operational fields. Review before classification activation.</x:v>
      </x:c>
    </x:row>
    <x:row r="720">
      <x:c r="A720" s="13" t="str">
        <x:v>liking_bias_majority_cue_variant</x:v>
      </x:c>
      <x:c r="B720" s="13" t="str">
        <x:v>liking_bias</x:v>
      </x:c>
      <x:c r="C720" s="13" t="str">
        <x:v>Liking bias</x:v>
      </x:c>
      <x:c r="D720" s="13" t="str">
        <x:v>سوگیری علاقه‌مندی</x:v>
      </x:c>
      <x:c r="E720" s="13" t="str">
        <x:v>Majority-cue variant</x:v>
      </x:c>
      <x:c r="F720" s="13" t="str">
        <x:v>social_influence_patterns</x:v>
      </x:c>
      <x:c r="G720" s="13" t="str">
        <x:v>operational_variant</x:v>
      </x:c>
      <x:c r="H720" s="13" t="str">
        <x:v>contextual</x:v>
      </x:c>
      <x:c r="I720" s="13" t="str">
        <x:v>claim+context</x:v>
      </x:c>
      <x:c r="J720" s="13" t="str">
        <x:v>derived_operational_subtype</x:v>
      </x:c>
      <x:c r="K720" s="13" t="str">
        <x:v>derived_from_established_parent_review_required</x:v>
      </x:c>
      <x:c r="L720" s="13" t="str">
        <x:v>P3</x:v>
      </x:c>
      <x:c r="M720" s="13" t="str">
        <x:v>no</x:v>
      </x:c>
      <x:c r="N720" s="13" t="str">
        <x:v>Operational subtype under Liking bias: majority or popularity cues drive the conclusion. Parent definition: Accepting a claim more readily because the communicator is liked.</x:v>
      </x:c>
      <x:c r="O720" s="13" t="str">
        <x:v>Look for: explicit claim-level evidence; parent-family cues for Liking bias; variant cue: majority or popularity cues drive the conclusion; avoid author-level inference.</x:v>
      </x:c>
      <x:c r="P720" s="13" t="str">
        <x:v>Exact evidence span in text plus claim-level reasoning link; for contextual/discourse entries, require surrounding context.</x:v>
      </x:c>
      <x:c r="Q720" s="13" t="str">
        <x:v>Do not label merely because topic is controversial, emotional, or wrong. Do not judge intent or personality. Require textual evidence and consider healthy-reasoning cues.</x:v>
      </x:c>
      <x:c r="R720" s="13" t="str">
        <x:v>Stub: A claim relies on majority or popularity cues drive the conclusion to support a conclusion without adequate qualification.</x:v>
      </x:c>
      <x:c r="S720" s="13" t="str">
        <x:v>Stub: A claim discusses liking bias with caveats, balanced evidence, or no argumentative use of the pattern.</x:v>
      </x:c>
      <x:c r="T720" s="13" t="str">
        <x:v>Mild or ambiguous cue; do not classify without clear evidence span.</x:v>
      </x:c>
      <x:c r="U720" s="13" t="str">
        <x:v>Clear claim-level pattern with some argumentative impact.</x:v>
      </x:c>
      <x:c r="V720" s="13" t="str">
        <x:v>Strong pattern central to the conclusion and likely to materially distort reasoning.</x:v>
      </x:c>
      <x:c r="W720" s="13" t="str"/>
      <x:c r="X720" s="13" t="str">
        <x:v>cialdini_influence</x:v>
      </x:c>
      <x:c r="Y720" s="13" t="str">
        <x:v>https://www.pearson.com/en-us/subject-catalog/p/influence-science-and-practice/P200000003004</x:v>
      </x:c>
      <x:c r="Z720" s="13" t="str">
        <x:v>Review before enabling. This workbook is a living taxonomy scaffold, not a validated scientific benchmark.</x:v>
      </x:c>
      <x:c r="AA720" s="13" t="str">
        <x:v>0.1.0-draft</x:v>
      </x:c>
      <x:c r="AB720" s="12" t="str">
        <x:f>IF(ISNUMBER(SEARCH("healthy",F720)),"healthy_reasoning_patterns",IF(ISNUMBER(SEARCH("statistical",F720)),"statistical_reasoning",IF(ISNUMBER(SEARCH("causal",F720)),"causal_reasoning",IF(ISNUMBER(SEARCH("social",F720)),"social_influence",IF(ISNUMBER(SEARCH("rhetoric",F720)),"rhetoric_discourse",IF(ISNUMBER(SEARCH("behavior",F720)),"behavioural_economics",IF(ISNUMBER(SEARCH("cognitive",F720)),"cognitive_biases",IF(J720="protective_pattern","healthy_reasoning_patterns",IF(L720="P0","core_mvp","extended_fallacies")))))))))</x:f>
        <x:v>social_influence</x:v>
      </x:c>
      <x:c r="AC720" s="12" t="str">
        <x:f>IF(ISNUMBER(SEARCH("operational",J720)),"operational",IF(ISNUMBER(SEARCH("deprecated",J720)),"deprecated",IF(L720="P0","canonical","recognized_subtype")))</x:f>
        <x:v>operational</x:v>
      </x:c>
      <x:c r="AD720" s="12" t="str">
        <x:f>IF(AC720="canonical","high",IF(AC720="recognized_subtype","medium",IF(AC720="operational","operational_only","debated")))</x:f>
        <x:v>operational_only</x:v>
      </x:c>
      <x:c r="AE720" s="12" t="str">
        <x:f>IF(AC720="deprecated","deprecated",IF(M720="yes","active",IF(M720="review","review_required","backlog")))</x:f>
        <x:v>backlog</x:v>
      </x:c>
      <x:c r="AF720" s="12" t="str">
        <x:f>IF(OR(AE720="active",AE720="review_required"),"yes","no")</x:f>
        <x:v>no</x:v>
      </x:c>
      <x:c r="AG720" s="12" t="str">
        <x:f>IF(AND(AE720="active",M720="yes",NOT(ISNUMBER(SEARCH("healthy",AB720)))),"yes","no")</x:f>
        <x:v>no</x:v>
      </x:c>
      <x:c r="AH720" s="12" t="str">
        <x:f>IF(OR(H720="contextual",H720="dialogue",H720="discourse",I720="claim+context",I720="discourse_segment"),"yes","no")</x:f>
        <x:v>yes</x:v>
      </x:c>
      <x:c r="AI720" s="12" t="str">
        <x:f>IF(OR(AH720="yes",AD720="debated",AC720="operational"),"yes","no")</x:f>
        <x:v>yes</x:v>
      </x:c>
      <x:c r="AJ720" s="12" t="str">
        <x:f>IF(OR(AH720="yes",AC720="operational",AD720="debated"),"high",IF(AND(AG720="yes",L720="P0"),"medium","low"))</x:f>
        <x:v>high</x:v>
      </x:c>
      <x:c r="AK720" s="12" t="str">
        <x:f>IF(ISNUMBER(SEARCH("healthy",AB720)),"yes","no")</x:f>
        <x:v>no</x:v>
      </x:c>
      <x:c r="AL720" s="12" t="str">
        <x:f>IF(AG720="yes","yes","candidate_only")</x:f>
        <x:v>candidate_only</x:v>
      </x:c>
      <x:c r="AM720" s="12" t="str">
        <x:f>IF(OR(AC720="canonical",AG720="yes"),"yes","recommended")</x:f>
        <x:v>recommended</x:v>
      </x:c>
      <x:c r="AN720" s="12" t="str">
        <x:f>IF(AC720="deprecated","exclude",IF(AND(AG720="yes",AJ720="high"),"import_but_human_review_required",IF(AG720="yes","import_as_active","import_as_backlog")))</x:f>
        <x:v>import_as_backlog</x:v>
      </x:c>
      <x:c r="AO720" s="12" t="str">
        <x:f>IF(AND(AG720="yes",OR(P720="",Q720="",R720="",S720="")),"missing_required_mvp_fields",IF(AND(AC720="canonical",Y720=""),"missing_source_ref","ok"))</x:f>
        <x:v>ok</x:v>
      </x:c>
      <x:c r="AP720" s="12" t="str">
        <x:f>IF(AO720="ok","ready_for_codex_import","needs_review")</x:f>
        <x:v>ready_for_codex_import</x:v>
      </x:c>
      <x:c r="AQ720" s="12"/>
      <x:c r="AR720" s="12" t="str">
        <x:v>Added v2 operational fields. Review before classification activation.</x:v>
      </x:c>
    </x:row>
    <x:row r="721">
      <x:c r="A721" s="13" t="str">
        <x:v>halo_authority_blend_majority_cue_variant</x:v>
      </x:c>
      <x:c r="B721" s="13" t="str">
        <x:v>halo_authority_blend</x:v>
      </x:c>
      <x:c r="C721" s="13" t="str">
        <x:v>Halo-authority blend</x:v>
      </x:c>
      <x:c r="D721" s="13" t="str">
        <x:v>ترکیب هاله و اقتدار</x:v>
      </x:c>
      <x:c r="E721" s="13" t="str">
        <x:v>Majority-cue variant</x:v>
      </x:c>
      <x:c r="F721" s="13" t="str">
        <x:v>social_influence_patterns</x:v>
      </x:c>
      <x:c r="G721" s="13" t="str">
        <x:v>operational_variant</x:v>
      </x:c>
      <x:c r="H721" s="13" t="str">
        <x:v>contextual</x:v>
      </x:c>
      <x:c r="I721" s="13" t="str">
        <x:v>claim+context</x:v>
      </x:c>
      <x:c r="J721" s="13" t="str">
        <x:v>derived_operational_subtype</x:v>
      </x:c>
      <x:c r="K721" s="13" t="str">
        <x:v>derived_from_established_parent_review_required</x:v>
      </x:c>
      <x:c r="L721" s="13" t="str">
        <x:v>P3</x:v>
      </x:c>
      <x:c r="M721" s="13" t="str">
        <x:v>no</x:v>
      </x:c>
      <x:c r="N721" s="13" t="str">
        <x:v>Operational subtype under Halo-authority blend: majority or popularity cues drive the conclusion. Parent definition: Positive global impressions amplify perceived authority.</x:v>
      </x:c>
      <x:c r="O721" s="13" t="str">
        <x:v>Look for: explicit claim-level evidence; parent-family cues for Halo-authority blend; variant cue: majority or popularity cues drive the conclusion; avoid author-level inference.</x:v>
      </x:c>
      <x:c r="P721" s="13" t="str">
        <x:v>Exact evidence span in text plus claim-level reasoning link; for contextual/discourse entries, require surrounding context.</x:v>
      </x:c>
      <x:c r="Q721" s="13" t="str">
        <x:v>Do not label merely because topic is controversial, emotional, or wrong. Do not judge intent or personality. Require textual evidence and consider healthy-reasoning cues.</x:v>
      </x:c>
      <x:c r="R721" s="13" t="str">
        <x:v>Stub: A claim relies on majority or popularity cues drive the conclusion to support a conclusion without adequate qualification.</x:v>
      </x:c>
      <x:c r="S721" s="13" t="str">
        <x:v>Stub: A claim discusses halo-authority blend with caveats, balanced evidence, or no argumentative use of the pattern.</x:v>
      </x:c>
      <x:c r="T721" s="13" t="str">
        <x:v>Mild or ambiguous cue; do not classify without clear evidence span.</x:v>
      </x:c>
      <x:c r="U721" s="13" t="str">
        <x:v>Clear claim-level pattern with some argumentative impact.</x:v>
      </x:c>
      <x:c r="V721" s="13" t="str">
        <x:v>Strong pattern central to the conclusion and likely to materially distort reasoning.</x:v>
      </x:c>
      <x:c r="W721" s="13" t="str">
        <x:v>authority_bias; appeal_to_authority_misuse; source_triangulation</x:v>
      </x:c>
      <x:c r="X721" s="13" t="str">
        <x:v>cialdini_influence</x:v>
      </x:c>
      <x:c r="Y721" s="13" t="str">
        <x:v>https://www.pearson.com/en-us/subject-catalog/p/influence-science-and-practice/P200000003004</x:v>
      </x:c>
      <x:c r="Z721" s="13" t="str">
        <x:v>Review before enabling. This workbook is a living taxonomy scaffold, not a validated scientific benchmark.</x:v>
      </x:c>
      <x:c r="AA721" s="13" t="str">
        <x:v>0.1.0-draft</x:v>
      </x:c>
      <x:c r="AB721" s="12" t="str">
        <x:f>IF(ISNUMBER(SEARCH("healthy",F721)),"healthy_reasoning_patterns",IF(ISNUMBER(SEARCH("statistical",F721)),"statistical_reasoning",IF(ISNUMBER(SEARCH("causal",F721)),"causal_reasoning",IF(ISNUMBER(SEARCH("social",F721)),"social_influence",IF(ISNUMBER(SEARCH("rhetoric",F721)),"rhetoric_discourse",IF(ISNUMBER(SEARCH("behavior",F721)),"behavioural_economics",IF(ISNUMBER(SEARCH("cognitive",F721)),"cognitive_biases",IF(J721="protective_pattern","healthy_reasoning_patterns",IF(L721="P0","core_mvp","extended_fallacies")))))))))</x:f>
        <x:v>social_influence</x:v>
      </x:c>
      <x:c r="AC721" s="12" t="str">
        <x:f>IF(ISNUMBER(SEARCH("operational",J721)),"operational",IF(ISNUMBER(SEARCH("deprecated",J721)),"deprecated",IF(L721="P0","canonical","recognized_subtype")))</x:f>
        <x:v>operational</x:v>
      </x:c>
      <x:c r="AD721" s="12" t="str">
        <x:f>IF(AC721="canonical","high",IF(AC721="recognized_subtype","medium",IF(AC721="operational","operational_only","debated")))</x:f>
        <x:v>operational_only</x:v>
      </x:c>
      <x:c r="AE721" s="12" t="str">
        <x:f>IF(AC721="deprecated","deprecated",IF(M721="yes","active",IF(M721="review","review_required","backlog")))</x:f>
        <x:v>backlog</x:v>
      </x:c>
      <x:c r="AF721" s="12" t="str">
        <x:f>IF(OR(AE721="active",AE721="review_required"),"yes","no")</x:f>
        <x:v>no</x:v>
      </x:c>
      <x:c r="AG721" s="12" t="str">
        <x:f>IF(AND(AE721="active",M721="yes",NOT(ISNUMBER(SEARCH("healthy",AB721)))),"yes","no")</x:f>
        <x:v>no</x:v>
      </x:c>
      <x:c r="AH721" s="12" t="str">
        <x:f>IF(OR(H721="contextual",H721="dialogue",H721="discourse",I721="claim+context",I721="discourse_segment"),"yes","no")</x:f>
        <x:v>yes</x:v>
      </x:c>
      <x:c r="AI721" s="12" t="str">
        <x:f>IF(OR(AH721="yes",AD721="debated",AC721="operational"),"yes","no")</x:f>
        <x:v>yes</x:v>
      </x:c>
      <x:c r="AJ721" s="12" t="str">
        <x:f>IF(OR(AH721="yes",AC721="operational",AD721="debated"),"high",IF(AND(AG721="yes",L721="P0"),"medium","low"))</x:f>
        <x:v>high</x:v>
      </x:c>
      <x:c r="AK721" s="12" t="str">
        <x:f>IF(ISNUMBER(SEARCH("healthy",AB721)),"yes","no")</x:f>
        <x:v>no</x:v>
      </x:c>
      <x:c r="AL721" s="12" t="str">
        <x:f>IF(AG721="yes","yes","candidate_only")</x:f>
        <x:v>candidate_only</x:v>
      </x:c>
      <x:c r="AM721" s="12" t="str">
        <x:f>IF(OR(AC721="canonical",AG721="yes"),"yes","recommended")</x:f>
        <x:v>recommended</x:v>
      </x:c>
      <x:c r="AN721" s="12" t="str">
        <x:f>IF(AC721="deprecated","exclude",IF(AND(AG721="yes",AJ721="high"),"import_but_human_review_required",IF(AG721="yes","import_as_active","import_as_backlog")))</x:f>
        <x:v>import_as_backlog</x:v>
      </x:c>
      <x:c r="AO721" s="12" t="str">
        <x:f>IF(AND(AG721="yes",OR(P721="",Q721="",R721="",S721="")),"missing_required_mvp_fields",IF(AND(AC721="canonical",Y721=""),"missing_source_ref","ok"))</x:f>
        <x:v>ok</x:v>
      </x:c>
      <x:c r="AP721" s="12" t="str">
        <x:f>IF(AO721="ok","ready_for_codex_import","needs_review")</x:f>
        <x:v>ready_for_codex_import</x:v>
      </x:c>
      <x:c r="AQ721" s="12"/>
      <x:c r="AR721" s="12" t="str">
        <x:v>Added v2 operational fields. Review before classification activation.</x:v>
      </x:c>
    </x:row>
    <x:row r="722">
      <x:c r="A722" s="13" t="str">
        <x:v>social_proof_group_identity_variant</x:v>
      </x:c>
      <x:c r="B722" s="13" t="str">
        <x:v>social_proof</x:v>
      </x:c>
      <x:c r="C722" s="13" t="str">
        <x:v>Social proof</x:v>
      </x:c>
      <x:c r="D722" s="13" t="str">
        <x:v>اثبات اجتماعی</x:v>
      </x:c>
      <x:c r="E722" s="13" t="str">
        <x:v>Group-identity variant</x:v>
      </x:c>
      <x:c r="F722" s="13" t="str">
        <x:v>social_influence_patterns</x:v>
      </x:c>
      <x:c r="G722" s="13" t="str">
        <x:v>operational_variant</x:v>
      </x:c>
      <x:c r="H722" s="13" t="str">
        <x:v>discourse</x:v>
      </x:c>
      <x:c r="I722" s="13" t="str">
        <x:v>discourse_segment</x:v>
      </x:c>
      <x:c r="J722" s="13" t="str">
        <x:v>derived_operational_subtype</x:v>
      </x:c>
      <x:c r="K722" s="13" t="str">
        <x:v>derived_from_established_parent_review_required</x:v>
      </x:c>
      <x:c r="L722" s="13" t="str">
        <x:v>P3</x:v>
      </x:c>
      <x:c r="M722" s="13" t="str">
        <x:v>no</x:v>
      </x:c>
      <x:c r="N722" s="13" t="str">
        <x:v>Operational subtype under Social proof: group membership or identity cues shape reasoning. Parent definition: Treating others' behavior as evidence of correctness.</x:v>
      </x:c>
      <x:c r="O722" s="13" t="str">
        <x:v>Look for: explicit claim-level evidence; parent-family cues for Social proof; variant cue: group membership or identity cues shape reasoning; avoid author-level inference.</x:v>
      </x:c>
      <x:c r="P722" s="13" t="str">
        <x:v>Exact evidence span in text plus claim-level reasoning link; for contextual/discourse entries, require surrounding context.</x:v>
      </x:c>
      <x:c r="Q722" s="13" t="str">
        <x:v>Do not label merely because topic is controversial, emotional, or wrong. Do not judge intent or personality. Require textual evidence and consider healthy-reasoning cues.</x:v>
      </x:c>
      <x:c r="R722" s="13" t="str">
        <x:v>Stub: A claim relies on group membership or identity cues shape reasoning to support a conclusion without adequate qualification.</x:v>
      </x:c>
      <x:c r="S722" s="13" t="str">
        <x:v>Stub: A claim discusses social proof with caveats, balanced evidence, or no argumentative use of the pattern.</x:v>
      </x:c>
      <x:c r="T722" s="13" t="str">
        <x:v>Mild or ambiguous cue; do not classify without clear evidence span.</x:v>
      </x:c>
      <x:c r="U722" s="13" t="str">
        <x:v>Clear claim-level pattern with some argumentative impact.</x:v>
      </x:c>
      <x:c r="V722" s="13" t="str">
        <x:v>Strong pattern central to the conclusion and likely to materially distort reasoning.</x:v>
      </x:c>
      <x:c r="W722" s="13" t="str">
        <x:v>cherry_picking; missing_counterevidence; evidence_grading</x:v>
      </x:c>
      <x:c r="X722" s="13" t="str">
        <x:v>cialdini_influence</x:v>
      </x:c>
      <x:c r="Y722" s="13" t="str">
        <x:v>https://www.pearson.com/en-us/subject-catalog/p/influence-science-and-practice/P200000003004</x:v>
      </x:c>
      <x:c r="Z722" s="13" t="str">
        <x:v>Review before enabling. This workbook is a living taxonomy scaffold, not a validated scientific benchmark.</x:v>
      </x:c>
      <x:c r="AA722" s="13" t="str">
        <x:v>0.1.0-draft</x:v>
      </x:c>
      <x:c r="AB722" s="12" t="str">
        <x:f>IF(ISNUMBER(SEARCH("healthy",F722)),"healthy_reasoning_patterns",IF(ISNUMBER(SEARCH("statistical",F722)),"statistical_reasoning",IF(ISNUMBER(SEARCH("causal",F722)),"causal_reasoning",IF(ISNUMBER(SEARCH("social",F722)),"social_influence",IF(ISNUMBER(SEARCH("rhetoric",F722)),"rhetoric_discourse",IF(ISNUMBER(SEARCH("behavior",F722)),"behavioural_economics",IF(ISNUMBER(SEARCH("cognitive",F722)),"cognitive_biases",IF(J722="protective_pattern","healthy_reasoning_patterns",IF(L722="P0","core_mvp","extended_fallacies")))))))))</x:f>
        <x:v>social_influence</x:v>
      </x:c>
      <x:c r="AC722" s="12" t="str">
        <x:f>IF(ISNUMBER(SEARCH("operational",J722)),"operational",IF(ISNUMBER(SEARCH("deprecated",J722)),"deprecated",IF(L722="P0","canonical","recognized_subtype")))</x:f>
        <x:v>operational</x:v>
      </x:c>
      <x:c r="AD722" s="12" t="str">
        <x:f>IF(AC722="canonical","high",IF(AC722="recognized_subtype","medium",IF(AC722="operational","operational_only","debated")))</x:f>
        <x:v>operational_only</x:v>
      </x:c>
      <x:c r="AE722" s="12" t="str">
        <x:f>IF(AC722="deprecated","deprecated",IF(M722="yes","active",IF(M722="review","review_required","backlog")))</x:f>
        <x:v>backlog</x:v>
      </x:c>
      <x:c r="AF722" s="12" t="str">
        <x:f>IF(OR(AE722="active",AE722="review_required"),"yes","no")</x:f>
        <x:v>no</x:v>
      </x:c>
      <x:c r="AG722" s="12" t="str">
        <x:f>IF(AND(AE722="active",M722="yes",NOT(ISNUMBER(SEARCH("healthy",AB722)))),"yes","no")</x:f>
        <x:v>no</x:v>
      </x:c>
      <x:c r="AH722" s="12" t="str">
        <x:f>IF(OR(H722="contextual",H722="dialogue",H722="discourse",I722="claim+context",I722="discourse_segment"),"yes","no")</x:f>
        <x:v>yes</x:v>
      </x:c>
      <x:c r="AI722" s="12" t="str">
        <x:f>IF(OR(AH722="yes",AD722="debated",AC722="operational"),"yes","no")</x:f>
        <x:v>yes</x:v>
      </x:c>
      <x:c r="AJ722" s="12" t="str">
        <x:f>IF(OR(AH722="yes",AC722="operational",AD722="debated"),"high",IF(AND(AG722="yes",L722="P0"),"medium","low"))</x:f>
        <x:v>high</x:v>
      </x:c>
      <x:c r="AK722" s="12" t="str">
        <x:f>IF(ISNUMBER(SEARCH("healthy",AB722)),"yes","no")</x:f>
        <x:v>no</x:v>
      </x:c>
      <x:c r="AL722" s="12" t="str">
        <x:f>IF(AG722="yes","yes","candidate_only")</x:f>
        <x:v>candidate_only</x:v>
      </x:c>
      <x:c r="AM722" s="12" t="str">
        <x:f>IF(OR(AC722="canonical",AG722="yes"),"yes","recommended")</x:f>
        <x:v>recommended</x:v>
      </x:c>
      <x:c r="AN722" s="12" t="str">
        <x:f>IF(AC722="deprecated","exclude",IF(AND(AG722="yes",AJ722="high"),"import_but_human_review_required",IF(AG722="yes","import_as_active","import_as_backlog")))</x:f>
        <x:v>import_as_backlog</x:v>
      </x:c>
      <x:c r="AO722" s="12" t="str">
        <x:f>IF(AND(AG722="yes",OR(P722="",Q722="",R722="",S722="")),"missing_required_mvp_fields",IF(AND(AC722="canonical",Y722=""),"missing_source_ref","ok"))</x:f>
        <x:v>ok</x:v>
      </x:c>
      <x:c r="AP722" s="12" t="str">
        <x:f>IF(AO722="ok","ready_for_codex_import","needs_review")</x:f>
        <x:v>ready_for_codex_import</x:v>
      </x:c>
      <x:c r="AQ722" s="12"/>
      <x:c r="AR722" s="12" t="str">
        <x:v>Added v2 operational fields. Review before classification activation.</x:v>
      </x:c>
    </x:row>
    <x:row r="723">
      <x:c r="A723" s="13" t="str">
        <x:v>bandwagon_effect_group_identity_variant</x:v>
      </x:c>
      <x:c r="B723" s="13" t="str">
        <x:v>bandwagon_effect</x:v>
      </x:c>
      <x:c r="C723" s="13" t="str">
        <x:v>Bandwagon effect</x:v>
      </x:c>
      <x:c r="D723" s="13" t="str">
        <x:v>اثر همراهی با جمع</x:v>
      </x:c>
      <x:c r="E723" s="13" t="str">
        <x:v>Group-identity variant</x:v>
      </x:c>
      <x:c r="F723" s="13" t="str">
        <x:v>social_influence_patterns</x:v>
      </x:c>
      <x:c r="G723" s="13" t="str">
        <x:v>operational_variant</x:v>
      </x:c>
      <x:c r="H723" s="13" t="str">
        <x:v>discourse</x:v>
      </x:c>
      <x:c r="I723" s="13" t="str">
        <x:v>discourse_segment</x:v>
      </x:c>
      <x:c r="J723" s="13" t="str">
        <x:v>derived_operational_subtype</x:v>
      </x:c>
      <x:c r="K723" s="13" t="str">
        <x:v>derived_from_established_parent_review_required</x:v>
      </x:c>
      <x:c r="L723" s="13" t="str">
        <x:v>P3</x:v>
      </x:c>
      <x:c r="M723" s="13" t="str">
        <x:v>no</x:v>
      </x:c>
      <x:c r="N723" s="13" t="str">
        <x:v>Operational subtype under Bandwagon effect: group membership or identity cues shape reasoning. Parent definition: Adopting beliefs or choices primarily because many others do.</x:v>
      </x:c>
      <x:c r="O723" s="13" t="str">
        <x:v>Look for: explicit claim-level evidence; parent-family cues for Bandwagon effect; variant cue: group membership or identity cues shape reasoning; avoid author-level inference.</x:v>
      </x:c>
      <x:c r="P723" s="13" t="str">
        <x:v>Exact evidence span in text plus claim-level reasoning link; for contextual/discourse entries, require surrounding context.</x:v>
      </x:c>
      <x:c r="Q723" s="13" t="str">
        <x:v>Do not label merely because topic is controversial, emotional, or wrong. Do not judge intent or personality. Require textual evidence and consider healthy-reasoning cues.</x:v>
      </x:c>
      <x:c r="R723" s="13" t="str">
        <x:v>Stub: A claim relies on group membership or identity cues shape reasoning to support a conclusion without adequate qualification.</x:v>
      </x:c>
      <x:c r="S723" s="13" t="str">
        <x:v>Stub: A claim discusses bandwagon effect with caveats, balanced evidence, or no argumentative use of the pattern.</x:v>
      </x:c>
      <x:c r="T723" s="13" t="str">
        <x:v>Mild or ambiguous cue; do not classify without clear evidence span.</x:v>
      </x:c>
      <x:c r="U723" s="13" t="str">
        <x:v>Clear claim-level pattern with some argumentative impact.</x:v>
      </x:c>
      <x:c r="V723" s="13" t="str">
        <x:v>Strong pattern central to the conclusion and likely to materially distort reasoning.</x:v>
      </x:c>
      <x:c r="W723" s="13" t="str"/>
      <x:c r="X723" s="13" t="str">
        <x:v>cialdini_influence</x:v>
      </x:c>
      <x:c r="Y723" s="13" t="str">
        <x:v>https://www.pearson.com/en-us/subject-catalog/p/influence-science-and-practice/P200000003004</x:v>
      </x:c>
      <x:c r="Z723" s="13" t="str">
        <x:v>Review before enabling. This workbook is a living taxonomy scaffold, not a validated scientific benchmark.</x:v>
      </x:c>
      <x:c r="AA723" s="13" t="str">
        <x:v>0.1.0-draft</x:v>
      </x:c>
      <x:c r="AB723" s="12" t="str">
        <x:f>IF(ISNUMBER(SEARCH("healthy",F723)),"healthy_reasoning_patterns",IF(ISNUMBER(SEARCH("statistical",F723)),"statistical_reasoning",IF(ISNUMBER(SEARCH("causal",F723)),"causal_reasoning",IF(ISNUMBER(SEARCH("social",F723)),"social_influence",IF(ISNUMBER(SEARCH("rhetoric",F723)),"rhetoric_discourse",IF(ISNUMBER(SEARCH("behavior",F723)),"behavioural_economics",IF(ISNUMBER(SEARCH("cognitive",F723)),"cognitive_biases",IF(J723="protective_pattern","healthy_reasoning_patterns",IF(L723="P0","core_mvp","extended_fallacies")))))))))</x:f>
        <x:v>social_influence</x:v>
      </x:c>
      <x:c r="AC723" s="12" t="str">
        <x:f>IF(ISNUMBER(SEARCH("operational",J723)),"operational",IF(ISNUMBER(SEARCH("deprecated",J723)),"deprecated",IF(L723="P0","canonical","recognized_subtype")))</x:f>
        <x:v>operational</x:v>
      </x:c>
      <x:c r="AD723" s="12" t="str">
        <x:f>IF(AC723="canonical","high",IF(AC723="recognized_subtype","medium",IF(AC723="operational","operational_only","debated")))</x:f>
        <x:v>operational_only</x:v>
      </x:c>
      <x:c r="AE723" s="12" t="str">
        <x:f>IF(AC723="deprecated","deprecated",IF(M723="yes","active",IF(M723="review","review_required","backlog")))</x:f>
        <x:v>backlog</x:v>
      </x:c>
      <x:c r="AF723" s="12" t="str">
        <x:f>IF(OR(AE723="active",AE723="review_required"),"yes","no")</x:f>
        <x:v>no</x:v>
      </x:c>
      <x:c r="AG723" s="12" t="str">
        <x:f>IF(AND(AE723="active",M723="yes",NOT(ISNUMBER(SEARCH("healthy",AB723)))),"yes","no")</x:f>
        <x:v>no</x:v>
      </x:c>
      <x:c r="AH723" s="12" t="str">
        <x:f>IF(OR(H723="contextual",H723="dialogue",H723="discourse",I723="claim+context",I723="discourse_segment"),"yes","no")</x:f>
        <x:v>yes</x:v>
      </x:c>
      <x:c r="AI723" s="12" t="str">
        <x:f>IF(OR(AH723="yes",AD723="debated",AC723="operational"),"yes","no")</x:f>
        <x:v>yes</x:v>
      </x:c>
      <x:c r="AJ723" s="12" t="str">
        <x:f>IF(OR(AH723="yes",AC723="operational",AD723="debated"),"high",IF(AND(AG723="yes",L723="P0"),"medium","low"))</x:f>
        <x:v>high</x:v>
      </x:c>
      <x:c r="AK723" s="12" t="str">
        <x:f>IF(ISNUMBER(SEARCH("healthy",AB723)),"yes","no")</x:f>
        <x:v>no</x:v>
      </x:c>
      <x:c r="AL723" s="12" t="str">
        <x:f>IF(AG723="yes","yes","candidate_only")</x:f>
        <x:v>candidate_only</x:v>
      </x:c>
      <x:c r="AM723" s="12" t="str">
        <x:f>IF(OR(AC723="canonical",AG723="yes"),"yes","recommended")</x:f>
        <x:v>recommended</x:v>
      </x:c>
      <x:c r="AN723" s="12" t="str">
        <x:f>IF(AC723="deprecated","exclude",IF(AND(AG723="yes",AJ723="high"),"import_but_human_review_required",IF(AG723="yes","import_as_active","import_as_backlog")))</x:f>
        <x:v>import_as_backlog</x:v>
      </x:c>
      <x:c r="AO723" s="12" t="str">
        <x:f>IF(AND(AG723="yes",OR(P723="",Q723="",R723="",S723="")),"missing_required_mvp_fields",IF(AND(AC723="canonical",Y723=""),"missing_source_ref","ok"))</x:f>
        <x:v>ok</x:v>
      </x:c>
      <x:c r="AP723" s="12" t="str">
        <x:f>IF(AO723="ok","ready_for_codex_import","needs_review")</x:f>
        <x:v>ready_for_codex_import</x:v>
      </x:c>
      <x:c r="AQ723" s="12"/>
      <x:c r="AR723" s="12" t="str">
        <x:v>Added v2 operational fields. Review before classification activation.</x:v>
      </x:c>
    </x:row>
    <x:row r="724">
      <x:c r="A724" s="13" t="str">
        <x:v>conformity_bias_group_identity_variant</x:v>
      </x:c>
      <x:c r="B724" s="13" t="str">
        <x:v>conformity_bias</x:v>
      </x:c>
      <x:c r="C724" s="13" t="str">
        <x:v>Conformity bias</x:v>
      </x:c>
      <x:c r="D724" s="13" t="str">
        <x:v>سوگیری همرنگی</x:v>
      </x:c>
      <x:c r="E724" s="13" t="str">
        <x:v>Group-identity variant</x:v>
      </x:c>
      <x:c r="F724" s="13" t="str">
        <x:v>social_influence_patterns</x:v>
      </x:c>
      <x:c r="G724" s="13" t="str">
        <x:v>operational_variant</x:v>
      </x:c>
      <x:c r="H724" s="13" t="str">
        <x:v>contextual</x:v>
      </x:c>
      <x:c r="I724" s="13" t="str">
        <x:v>claim+context</x:v>
      </x:c>
      <x:c r="J724" s="13" t="str">
        <x:v>derived_operational_subtype</x:v>
      </x:c>
      <x:c r="K724" s="13" t="str">
        <x:v>derived_from_established_parent_review_required</x:v>
      </x:c>
      <x:c r="L724" s="13" t="str">
        <x:v>P3</x:v>
      </x:c>
      <x:c r="M724" s="13" t="str">
        <x:v>no</x:v>
      </x:c>
      <x:c r="N724" s="13" t="str">
        <x:v>Operational subtype under Conformity bias: group membership or identity cues shape reasoning. Parent definition: Aligning judgments with group norms despite weak evidence.</x:v>
      </x:c>
      <x:c r="O724" s="13" t="str">
        <x:v>Look for: explicit claim-level evidence; parent-family cues for Conformity bias; variant cue: group membership or identity cues shape reasoning; avoid author-level inference.</x:v>
      </x:c>
      <x:c r="P724" s="13" t="str">
        <x:v>Exact evidence span in text plus claim-level reasoning link; for contextual/discourse entries, require surrounding context.</x:v>
      </x:c>
      <x:c r="Q724" s="13" t="str">
        <x:v>Do not label merely because topic is controversial, emotional, or wrong. Do not judge intent or personality. Require textual evidence and consider healthy-reasoning cues.</x:v>
      </x:c>
      <x:c r="R724" s="13" t="str">
        <x:v>Stub: A claim relies on group membership or identity cues shape reasoning to support a conclusion without adequate qualification.</x:v>
      </x:c>
      <x:c r="S724" s="13" t="str">
        <x:v>Stub: A claim discusses conformity bias with caveats, balanced evidence, or no argumentative use of the pattern.</x:v>
      </x:c>
      <x:c r="T724" s="13" t="str">
        <x:v>Mild or ambiguous cue; do not classify without clear evidence span.</x:v>
      </x:c>
      <x:c r="U724" s="13" t="str">
        <x:v>Clear claim-level pattern with some argumentative impact.</x:v>
      </x:c>
      <x:c r="V724" s="13" t="str">
        <x:v>Strong pattern central to the conclusion and likely to materially distort reasoning.</x:v>
      </x:c>
      <x:c r="W724" s="13" t="str">
        <x:v>cherry_picking; missing_counterevidence; evidence_grading</x:v>
      </x:c>
      <x:c r="X724" s="13" t="str">
        <x:v>cialdini_influence</x:v>
      </x:c>
      <x:c r="Y724" s="13" t="str">
        <x:v>https://www.pearson.com/en-us/subject-catalog/p/influence-science-and-practice/P200000003004</x:v>
      </x:c>
      <x:c r="Z724" s="13" t="str">
        <x:v>Review before enabling. This workbook is a living taxonomy scaffold, not a validated scientific benchmark.</x:v>
      </x:c>
      <x:c r="AA724" s="13" t="str">
        <x:v>0.1.0-draft</x:v>
      </x:c>
      <x:c r="AB724" s="12" t="str">
        <x:f>IF(ISNUMBER(SEARCH("healthy",F724)),"healthy_reasoning_patterns",IF(ISNUMBER(SEARCH("statistical",F724)),"statistical_reasoning",IF(ISNUMBER(SEARCH("causal",F724)),"causal_reasoning",IF(ISNUMBER(SEARCH("social",F724)),"social_influence",IF(ISNUMBER(SEARCH("rhetoric",F724)),"rhetoric_discourse",IF(ISNUMBER(SEARCH("behavior",F724)),"behavioural_economics",IF(ISNUMBER(SEARCH("cognitive",F724)),"cognitive_biases",IF(J724="protective_pattern","healthy_reasoning_patterns",IF(L724="P0","core_mvp","extended_fallacies")))))))))</x:f>
        <x:v>social_influence</x:v>
      </x:c>
      <x:c r="AC724" s="12" t="str">
        <x:f>IF(ISNUMBER(SEARCH("operational",J724)),"operational",IF(ISNUMBER(SEARCH("deprecated",J724)),"deprecated",IF(L724="P0","canonical","recognized_subtype")))</x:f>
        <x:v>operational</x:v>
      </x:c>
      <x:c r="AD724" s="12" t="str">
        <x:f>IF(AC724="canonical","high",IF(AC724="recognized_subtype","medium",IF(AC724="operational","operational_only","debated")))</x:f>
        <x:v>operational_only</x:v>
      </x:c>
      <x:c r="AE724" s="12" t="str">
        <x:f>IF(AC724="deprecated","deprecated",IF(M724="yes","active",IF(M724="review","review_required","backlog")))</x:f>
        <x:v>backlog</x:v>
      </x:c>
      <x:c r="AF724" s="12" t="str">
        <x:f>IF(OR(AE724="active",AE724="review_required"),"yes","no")</x:f>
        <x:v>no</x:v>
      </x:c>
      <x:c r="AG724" s="12" t="str">
        <x:f>IF(AND(AE724="active",M724="yes",NOT(ISNUMBER(SEARCH("healthy",AB724)))),"yes","no")</x:f>
        <x:v>no</x:v>
      </x:c>
      <x:c r="AH724" s="12" t="str">
        <x:f>IF(OR(H724="contextual",H724="dialogue",H724="discourse",I724="claim+context",I724="discourse_segment"),"yes","no")</x:f>
        <x:v>yes</x:v>
      </x:c>
      <x:c r="AI724" s="12" t="str">
        <x:f>IF(OR(AH724="yes",AD724="debated",AC724="operational"),"yes","no")</x:f>
        <x:v>yes</x:v>
      </x:c>
      <x:c r="AJ724" s="12" t="str">
        <x:f>IF(OR(AH724="yes",AC724="operational",AD724="debated"),"high",IF(AND(AG724="yes",L724="P0"),"medium","low"))</x:f>
        <x:v>high</x:v>
      </x:c>
      <x:c r="AK724" s="12" t="str">
        <x:f>IF(ISNUMBER(SEARCH("healthy",AB724)),"yes","no")</x:f>
        <x:v>no</x:v>
      </x:c>
      <x:c r="AL724" s="12" t="str">
        <x:f>IF(AG724="yes","yes","candidate_only")</x:f>
        <x:v>candidate_only</x:v>
      </x:c>
      <x:c r="AM724" s="12" t="str">
        <x:f>IF(OR(AC724="canonical",AG724="yes"),"yes","recommended")</x:f>
        <x:v>recommended</x:v>
      </x:c>
      <x:c r="AN724" s="12" t="str">
        <x:f>IF(AC724="deprecated","exclude",IF(AND(AG724="yes",AJ724="high"),"import_but_human_review_required",IF(AG724="yes","import_as_active","import_as_backlog")))</x:f>
        <x:v>import_as_backlog</x:v>
      </x:c>
      <x:c r="AO724" s="12" t="str">
        <x:f>IF(AND(AG724="yes",OR(P724="",Q724="",R724="",S724="")),"missing_required_mvp_fields",IF(AND(AC724="canonical",Y724=""),"missing_source_ref","ok"))</x:f>
        <x:v>ok</x:v>
      </x:c>
      <x:c r="AP724" s="12" t="str">
        <x:f>IF(AO724="ok","ready_for_codex_import","needs_review")</x:f>
        <x:v>ready_for_codex_import</x:v>
      </x:c>
      <x:c r="AQ724" s="12"/>
      <x:c r="AR724" s="12" t="str">
        <x:v>Added v2 operational fields. Review before classification activation.</x:v>
      </x:c>
    </x:row>
    <x:row r="725">
      <x:c r="A725" s="13" t="str">
        <x:v>authority_bias_group_identity_variant</x:v>
      </x:c>
      <x:c r="B725" s="13" t="str">
        <x:v>authority_bias</x:v>
      </x:c>
      <x:c r="C725" s="13" t="str">
        <x:v>Authority bias</x:v>
      </x:c>
      <x:c r="D725" s="13" t="str">
        <x:v>سوگیری اقتدار</x:v>
      </x:c>
      <x:c r="E725" s="13" t="str">
        <x:v>Group-identity variant</x:v>
      </x:c>
      <x:c r="F725" s="13" t="str">
        <x:v>social_influence_patterns</x:v>
      </x:c>
      <x:c r="G725" s="13" t="str">
        <x:v>operational_variant</x:v>
      </x:c>
      <x:c r="H725" s="13" t="str">
        <x:v>contextual</x:v>
      </x:c>
      <x:c r="I725" s="13" t="str">
        <x:v>claim+context</x:v>
      </x:c>
      <x:c r="J725" s="13" t="str">
        <x:v>derived_operational_subtype</x:v>
      </x:c>
      <x:c r="K725" s="13" t="str">
        <x:v>derived_from_established_parent_review_required</x:v>
      </x:c>
      <x:c r="L725" s="13" t="str">
        <x:v>P3</x:v>
      </x:c>
      <x:c r="M725" s="13" t="str">
        <x:v>no</x:v>
      </x:c>
      <x:c r="N725" s="13" t="str">
        <x:v>Operational subtype under Authority bias: group membership or identity cues shape reasoning. Parent definition: Giving excessive weight to authority cues.</x:v>
      </x:c>
      <x:c r="O725" s="13" t="str">
        <x:v>Look for: explicit claim-level evidence; parent-family cues for Authority bias; variant cue: group membership or identity cues shape reasoning; avoid author-level inference.</x:v>
      </x:c>
      <x:c r="P725" s="13" t="str">
        <x:v>Exact evidence span in text plus claim-level reasoning link; for contextual/discourse entries, require surrounding context.</x:v>
      </x:c>
      <x:c r="Q725" s="13" t="str">
        <x:v>Do not label merely because topic is controversial, emotional, or wrong. Do not judge intent or personality. Require textual evidence and consider healthy-reasoning cues.</x:v>
      </x:c>
      <x:c r="R725" s="13" t="str">
        <x:v>Stub: A claim relies on group membership or identity cues shape reasoning to support a conclusion without adequate qualification.</x:v>
      </x:c>
      <x:c r="S725" s="13" t="str">
        <x:v>Stub: A claim discusses authority bias with caveats, balanced evidence, or no argumentative use of the pattern.</x:v>
      </x:c>
      <x:c r="T725" s="13" t="str">
        <x:v>Mild or ambiguous cue; do not classify without clear evidence span.</x:v>
      </x:c>
      <x:c r="U725" s="13" t="str">
        <x:v>Clear claim-level pattern with some argumentative impact.</x:v>
      </x:c>
      <x:c r="V725" s="13" t="str">
        <x:v>Strong pattern central to the conclusion and likely to materially distort reasoning.</x:v>
      </x:c>
      <x:c r="W725" s="13" t="str">
        <x:v>authority_bias; appeal_to_authority_misuse; source_triangulation</x:v>
      </x:c>
      <x:c r="X725" s="13" t="str">
        <x:v>cialdini_influence</x:v>
      </x:c>
      <x:c r="Y725" s="13" t="str">
        <x:v>https://www.pearson.com/en-us/subject-catalog/p/influence-science-and-practice/P200000003004</x:v>
      </x:c>
      <x:c r="Z725" s="13" t="str">
        <x:v>Review before enabling. This workbook is a living taxonomy scaffold, not a validated scientific benchmark.</x:v>
      </x:c>
      <x:c r="AA725" s="13" t="str">
        <x:v>0.1.0-draft</x:v>
      </x:c>
      <x:c r="AB725" s="12" t="str">
        <x:f>IF(ISNUMBER(SEARCH("healthy",F725)),"healthy_reasoning_patterns",IF(ISNUMBER(SEARCH("statistical",F725)),"statistical_reasoning",IF(ISNUMBER(SEARCH("causal",F725)),"causal_reasoning",IF(ISNUMBER(SEARCH("social",F725)),"social_influence",IF(ISNUMBER(SEARCH("rhetoric",F725)),"rhetoric_discourse",IF(ISNUMBER(SEARCH("behavior",F725)),"behavioural_economics",IF(ISNUMBER(SEARCH("cognitive",F725)),"cognitive_biases",IF(J725="protective_pattern","healthy_reasoning_patterns",IF(L725="P0","core_mvp","extended_fallacies")))))))))</x:f>
        <x:v>social_influence</x:v>
      </x:c>
      <x:c r="AC725" s="12" t="str">
        <x:f>IF(ISNUMBER(SEARCH("operational",J725)),"operational",IF(ISNUMBER(SEARCH("deprecated",J725)),"deprecated",IF(L725="P0","canonical","recognized_subtype")))</x:f>
        <x:v>operational</x:v>
      </x:c>
      <x:c r="AD725" s="12" t="str">
        <x:f>IF(AC725="canonical","high",IF(AC725="recognized_subtype","medium",IF(AC725="operational","operational_only","debated")))</x:f>
        <x:v>operational_only</x:v>
      </x:c>
      <x:c r="AE725" s="12" t="str">
        <x:f>IF(AC725="deprecated","deprecated",IF(M725="yes","active",IF(M725="review","review_required","backlog")))</x:f>
        <x:v>backlog</x:v>
      </x:c>
      <x:c r="AF725" s="12" t="str">
        <x:f>IF(OR(AE725="active",AE725="review_required"),"yes","no")</x:f>
        <x:v>no</x:v>
      </x:c>
      <x:c r="AG725" s="12" t="str">
        <x:f>IF(AND(AE725="active",M725="yes",NOT(ISNUMBER(SEARCH("healthy",AB725)))),"yes","no")</x:f>
        <x:v>no</x:v>
      </x:c>
      <x:c r="AH725" s="12" t="str">
        <x:f>IF(OR(H725="contextual",H725="dialogue",H725="discourse",I725="claim+context",I725="discourse_segment"),"yes","no")</x:f>
        <x:v>yes</x:v>
      </x:c>
      <x:c r="AI725" s="12" t="str">
        <x:f>IF(OR(AH725="yes",AD725="debated",AC725="operational"),"yes","no")</x:f>
        <x:v>yes</x:v>
      </x:c>
      <x:c r="AJ725" s="12" t="str">
        <x:f>IF(OR(AH725="yes",AC725="operational",AD725="debated"),"high",IF(AND(AG725="yes",L725="P0"),"medium","low"))</x:f>
        <x:v>high</x:v>
      </x:c>
      <x:c r="AK725" s="12" t="str">
        <x:f>IF(ISNUMBER(SEARCH("healthy",AB725)),"yes","no")</x:f>
        <x:v>no</x:v>
      </x:c>
      <x:c r="AL725" s="12" t="str">
        <x:f>IF(AG725="yes","yes","candidate_only")</x:f>
        <x:v>candidate_only</x:v>
      </x:c>
      <x:c r="AM725" s="12" t="str">
        <x:f>IF(OR(AC725="canonical",AG725="yes"),"yes","recommended")</x:f>
        <x:v>recommended</x:v>
      </x:c>
      <x:c r="AN725" s="12" t="str">
        <x:f>IF(AC725="deprecated","exclude",IF(AND(AG725="yes",AJ725="high"),"import_but_human_review_required",IF(AG725="yes","import_as_active","import_as_backlog")))</x:f>
        <x:v>import_as_backlog</x:v>
      </x:c>
      <x:c r="AO725" s="12" t="str">
        <x:f>IF(AND(AG725="yes",OR(P725="",Q725="",R725="",S725="")),"missing_required_mvp_fields",IF(AND(AC725="canonical",Y725=""),"missing_source_ref","ok"))</x:f>
        <x:v>ok</x:v>
      </x:c>
      <x:c r="AP725" s="12" t="str">
        <x:f>IF(AO725="ok","ready_for_codex_import","needs_review")</x:f>
        <x:v>ready_for_codex_import</x:v>
      </x:c>
      <x:c r="AQ725" s="12"/>
      <x:c r="AR725" s="12" t="str">
        <x:v>Added v2 operational fields. Review before classification activation.</x:v>
      </x:c>
    </x:row>
    <x:row r="726">
      <x:c r="A726" s="13" t="str">
        <x:v>groupthink_group_identity_variant</x:v>
      </x:c>
      <x:c r="B726" s="13" t="str">
        <x:v>groupthink</x:v>
      </x:c>
      <x:c r="C726" s="13" t="str">
        <x:v>Groupthink</x:v>
      </x:c>
      <x:c r="D726" s="13" t="str">
        <x:v>تفکر گروهی</x:v>
      </x:c>
      <x:c r="E726" s="13" t="str">
        <x:v>Group-identity variant</x:v>
      </x:c>
      <x:c r="F726" s="13" t="str">
        <x:v>social_influence_patterns</x:v>
      </x:c>
      <x:c r="G726" s="13" t="str">
        <x:v>operational_variant</x:v>
      </x:c>
      <x:c r="H726" s="13" t="str">
        <x:v>discourse</x:v>
      </x:c>
      <x:c r="I726" s="13" t="str">
        <x:v>discourse_segment</x:v>
      </x:c>
      <x:c r="J726" s="13" t="str">
        <x:v>derived_operational_subtype</x:v>
      </x:c>
      <x:c r="K726" s="13" t="str">
        <x:v>derived_from_established_parent_review_required</x:v>
      </x:c>
      <x:c r="L726" s="13" t="str">
        <x:v>P3</x:v>
      </x:c>
      <x:c r="M726" s="13" t="str">
        <x:v>no</x:v>
      </x:c>
      <x:c r="N726" s="13" t="str">
        <x:v>Operational subtype under Groupthink: group membership or identity cues shape reasoning. Parent definition: Group cohesion suppresses dissent and critical evaluation.</x:v>
      </x:c>
      <x:c r="O726" s="13" t="str">
        <x:v>Look for: explicit claim-level evidence; parent-family cues for Groupthink; variant cue: group membership or identity cues shape reasoning; avoid author-level inference.</x:v>
      </x:c>
      <x:c r="P726" s="13" t="str">
        <x:v>Exact evidence span in text plus claim-level reasoning link; for contextual/discourse entries, require surrounding context.</x:v>
      </x:c>
      <x:c r="Q726" s="13" t="str">
        <x:v>Do not label merely because topic is controversial, emotional, or wrong. Do not judge intent or personality. Require textual evidence and consider healthy-reasoning cues.</x:v>
      </x:c>
      <x:c r="R726" s="13" t="str">
        <x:v>Stub: A claim relies on group membership or identity cues shape reasoning to support a conclusion without adequate qualification.</x:v>
      </x:c>
      <x:c r="S726" s="13" t="str">
        <x:v>Stub: A claim discusses groupthink with caveats, balanced evidence, or no argumentative use of the pattern.</x:v>
      </x:c>
      <x:c r="T726" s="13" t="str">
        <x:v>Mild or ambiguous cue; do not classify without clear evidence span.</x:v>
      </x:c>
      <x:c r="U726" s="13" t="str">
        <x:v>Clear claim-level pattern with some argumentative impact.</x:v>
      </x:c>
      <x:c r="V726" s="13" t="str">
        <x:v>Strong pattern central to the conclusion and likely to materially distort reasoning.</x:v>
      </x:c>
      <x:c r="W726" s="13" t="str"/>
      <x:c r="X726" s="13" t="str">
        <x:v>cialdini_influence</x:v>
      </x:c>
      <x:c r="Y726" s="13" t="str">
        <x:v>https://www.pearson.com/en-us/subject-catalog/p/influence-science-and-practice/P200000003004</x:v>
      </x:c>
      <x:c r="Z726" s="13" t="str">
        <x:v>Review before enabling. This workbook is a living taxonomy scaffold, not a validated scientific benchmark.</x:v>
      </x:c>
      <x:c r="AA726" s="13" t="str">
        <x:v>0.1.0-draft</x:v>
      </x:c>
      <x:c r="AB726" s="12" t="str">
        <x:f>IF(ISNUMBER(SEARCH("healthy",F726)),"healthy_reasoning_patterns",IF(ISNUMBER(SEARCH("statistical",F726)),"statistical_reasoning",IF(ISNUMBER(SEARCH("causal",F726)),"causal_reasoning",IF(ISNUMBER(SEARCH("social",F726)),"social_influence",IF(ISNUMBER(SEARCH("rhetoric",F726)),"rhetoric_discourse",IF(ISNUMBER(SEARCH("behavior",F726)),"behavioural_economics",IF(ISNUMBER(SEARCH("cognitive",F726)),"cognitive_biases",IF(J726="protective_pattern","healthy_reasoning_patterns",IF(L726="P0","core_mvp","extended_fallacies")))))))))</x:f>
        <x:v>social_influence</x:v>
      </x:c>
      <x:c r="AC726" s="12" t="str">
        <x:f>IF(ISNUMBER(SEARCH("operational",J726)),"operational",IF(ISNUMBER(SEARCH("deprecated",J726)),"deprecated",IF(L726="P0","canonical","recognized_subtype")))</x:f>
        <x:v>operational</x:v>
      </x:c>
      <x:c r="AD726" s="12" t="str">
        <x:f>IF(AC726="canonical","high",IF(AC726="recognized_subtype","medium",IF(AC726="operational","operational_only","debated")))</x:f>
        <x:v>operational_only</x:v>
      </x:c>
      <x:c r="AE726" s="12" t="str">
        <x:f>IF(AC726="deprecated","deprecated",IF(M726="yes","active",IF(M726="review","review_required","backlog")))</x:f>
        <x:v>backlog</x:v>
      </x:c>
      <x:c r="AF726" s="12" t="str">
        <x:f>IF(OR(AE726="active",AE726="review_required"),"yes","no")</x:f>
        <x:v>no</x:v>
      </x:c>
      <x:c r="AG726" s="12" t="str">
        <x:f>IF(AND(AE726="active",M726="yes",NOT(ISNUMBER(SEARCH("healthy",AB726)))),"yes","no")</x:f>
        <x:v>no</x:v>
      </x:c>
      <x:c r="AH726" s="12" t="str">
        <x:f>IF(OR(H726="contextual",H726="dialogue",H726="discourse",I726="claim+context",I726="discourse_segment"),"yes","no")</x:f>
        <x:v>yes</x:v>
      </x:c>
      <x:c r="AI726" s="12" t="str">
        <x:f>IF(OR(AH726="yes",AD726="debated",AC726="operational"),"yes","no")</x:f>
        <x:v>yes</x:v>
      </x:c>
      <x:c r="AJ726" s="12" t="str">
        <x:f>IF(OR(AH726="yes",AC726="operational",AD726="debated"),"high",IF(AND(AG726="yes",L726="P0"),"medium","low"))</x:f>
        <x:v>high</x:v>
      </x:c>
      <x:c r="AK726" s="12" t="str">
        <x:f>IF(ISNUMBER(SEARCH("healthy",AB726)),"yes","no")</x:f>
        <x:v>no</x:v>
      </x:c>
      <x:c r="AL726" s="12" t="str">
        <x:f>IF(AG726="yes","yes","candidate_only")</x:f>
        <x:v>candidate_only</x:v>
      </x:c>
      <x:c r="AM726" s="12" t="str">
        <x:f>IF(OR(AC726="canonical",AG726="yes"),"yes","recommended")</x:f>
        <x:v>recommended</x:v>
      </x:c>
      <x:c r="AN726" s="12" t="str">
        <x:f>IF(AC726="deprecated","exclude",IF(AND(AG726="yes",AJ726="high"),"import_but_human_review_required",IF(AG726="yes","import_as_active","import_as_backlog")))</x:f>
        <x:v>import_as_backlog</x:v>
      </x:c>
      <x:c r="AO726" s="12" t="str">
        <x:f>IF(AND(AG726="yes",OR(P726="",Q726="",R726="",S726="")),"missing_required_mvp_fields",IF(AND(AC726="canonical",Y726=""),"missing_source_ref","ok"))</x:f>
        <x:v>ok</x:v>
      </x:c>
      <x:c r="AP726" s="12" t="str">
        <x:f>IF(AO726="ok","ready_for_codex_import","needs_review")</x:f>
        <x:v>ready_for_codex_import</x:v>
      </x:c>
      <x:c r="AQ726" s="12"/>
      <x:c r="AR726" s="12" t="str">
        <x:v>Added v2 operational fields. Review before classification activation.</x:v>
      </x:c>
    </x:row>
    <x:row r="727">
      <x:c r="A727" s="13" t="str">
        <x:v>group_polarization_group_identity_variant</x:v>
      </x:c>
      <x:c r="B727" s="13" t="str">
        <x:v>group_polarization</x:v>
      </x:c>
      <x:c r="C727" s="13" t="str">
        <x:v>Group polarization</x:v>
      </x:c>
      <x:c r="D727" s="13" t="str">
        <x:v>قطبی‌شدن گروهی</x:v>
      </x:c>
      <x:c r="E727" s="13" t="str">
        <x:v>Group-identity variant</x:v>
      </x:c>
      <x:c r="F727" s="13" t="str">
        <x:v>social_influence_patterns</x:v>
      </x:c>
      <x:c r="G727" s="13" t="str">
        <x:v>operational_variant</x:v>
      </x:c>
      <x:c r="H727" s="13" t="str">
        <x:v>discourse</x:v>
      </x:c>
      <x:c r="I727" s="13" t="str">
        <x:v>discourse_segment</x:v>
      </x:c>
      <x:c r="J727" s="13" t="str">
        <x:v>derived_operational_subtype</x:v>
      </x:c>
      <x:c r="K727" s="13" t="str">
        <x:v>derived_from_established_parent_review_required</x:v>
      </x:c>
      <x:c r="L727" s="13" t="str">
        <x:v>P3</x:v>
      </x:c>
      <x:c r="M727" s="13" t="str">
        <x:v>no</x:v>
      </x:c>
      <x:c r="N727" s="13" t="str">
        <x:v>Operational subtype under Group polarization: group membership or identity cues shape reasoning. Parent definition: Discussion among similar views leads to more extreme positions.</x:v>
      </x:c>
      <x:c r="O727" s="13" t="str">
        <x:v>Look for: explicit claim-level evidence; parent-family cues for Group polarization; variant cue: group membership or identity cues shape reasoning; avoid author-level inference.</x:v>
      </x:c>
      <x:c r="P727" s="13" t="str">
        <x:v>Exact evidence span in text plus claim-level reasoning link; for contextual/discourse entries, require surrounding context.</x:v>
      </x:c>
      <x:c r="Q727" s="13" t="str">
        <x:v>Do not label merely because topic is controversial, emotional, or wrong. Do not judge intent or personality. Require textual evidence and consider healthy-reasoning cues.</x:v>
      </x:c>
      <x:c r="R727" s="13" t="str">
        <x:v>Stub: A claim relies on group membership or identity cues shape reasoning to support a conclusion without adequate qualification.</x:v>
      </x:c>
      <x:c r="S727" s="13" t="str">
        <x:v>Stub: A claim discusses group polarization with caveats, balanced evidence, or no argumentative use of the pattern.</x:v>
      </x:c>
      <x:c r="T727" s="13" t="str">
        <x:v>Mild or ambiguous cue; do not classify without clear evidence span.</x:v>
      </x:c>
      <x:c r="U727" s="13" t="str">
        <x:v>Clear claim-level pattern with some argumentative impact.</x:v>
      </x:c>
      <x:c r="V727" s="13" t="str">
        <x:v>Strong pattern central to the conclusion and likely to materially distort reasoning.</x:v>
      </x:c>
      <x:c r="W727" s="13" t="str"/>
      <x:c r="X727" s="13" t="str">
        <x:v>cialdini_influence</x:v>
      </x:c>
      <x:c r="Y727" s="13" t="str">
        <x:v>https://www.pearson.com/en-us/subject-catalog/p/influence-science-and-practice/P200000003004</x:v>
      </x:c>
      <x:c r="Z727" s="13" t="str">
        <x:v>Review before enabling. This workbook is a living taxonomy scaffold, not a validated scientific benchmark.</x:v>
      </x:c>
      <x:c r="AA727" s="13" t="str">
        <x:v>0.1.0-draft</x:v>
      </x:c>
      <x:c r="AB727" s="12" t="str">
        <x:f>IF(ISNUMBER(SEARCH("healthy",F727)),"healthy_reasoning_patterns",IF(ISNUMBER(SEARCH("statistical",F727)),"statistical_reasoning",IF(ISNUMBER(SEARCH("causal",F727)),"causal_reasoning",IF(ISNUMBER(SEARCH("social",F727)),"social_influence",IF(ISNUMBER(SEARCH("rhetoric",F727)),"rhetoric_discourse",IF(ISNUMBER(SEARCH("behavior",F727)),"behavioural_economics",IF(ISNUMBER(SEARCH("cognitive",F727)),"cognitive_biases",IF(J727="protective_pattern","healthy_reasoning_patterns",IF(L727="P0","core_mvp","extended_fallacies")))))))))</x:f>
        <x:v>social_influence</x:v>
      </x:c>
      <x:c r="AC727" s="12" t="str">
        <x:f>IF(ISNUMBER(SEARCH("operational",J727)),"operational",IF(ISNUMBER(SEARCH("deprecated",J727)),"deprecated",IF(L727="P0","canonical","recognized_subtype")))</x:f>
        <x:v>operational</x:v>
      </x:c>
      <x:c r="AD727" s="12" t="str">
        <x:f>IF(AC727="canonical","high",IF(AC727="recognized_subtype","medium",IF(AC727="operational","operational_only","debated")))</x:f>
        <x:v>operational_only</x:v>
      </x:c>
      <x:c r="AE727" s="12" t="str">
        <x:f>IF(AC727="deprecated","deprecated",IF(M727="yes","active",IF(M727="review","review_required","backlog")))</x:f>
        <x:v>backlog</x:v>
      </x:c>
      <x:c r="AF727" s="12" t="str">
        <x:f>IF(OR(AE727="active",AE727="review_required"),"yes","no")</x:f>
        <x:v>no</x:v>
      </x:c>
      <x:c r="AG727" s="12" t="str">
        <x:f>IF(AND(AE727="active",M727="yes",NOT(ISNUMBER(SEARCH("healthy",AB727)))),"yes","no")</x:f>
        <x:v>no</x:v>
      </x:c>
      <x:c r="AH727" s="12" t="str">
        <x:f>IF(OR(H727="contextual",H727="dialogue",H727="discourse",I727="claim+context",I727="discourse_segment"),"yes","no")</x:f>
        <x:v>yes</x:v>
      </x:c>
      <x:c r="AI727" s="12" t="str">
        <x:f>IF(OR(AH727="yes",AD727="debated",AC727="operational"),"yes","no")</x:f>
        <x:v>yes</x:v>
      </x:c>
      <x:c r="AJ727" s="12" t="str">
        <x:f>IF(OR(AH727="yes",AC727="operational",AD727="debated"),"high",IF(AND(AG727="yes",L727="P0"),"medium","low"))</x:f>
        <x:v>high</x:v>
      </x:c>
      <x:c r="AK727" s="12" t="str">
        <x:f>IF(ISNUMBER(SEARCH("healthy",AB727)),"yes","no")</x:f>
        <x:v>no</x:v>
      </x:c>
      <x:c r="AL727" s="12" t="str">
        <x:f>IF(AG727="yes","yes","candidate_only")</x:f>
        <x:v>candidate_only</x:v>
      </x:c>
      <x:c r="AM727" s="12" t="str">
        <x:f>IF(OR(AC727="canonical",AG727="yes"),"yes","recommended")</x:f>
        <x:v>recommended</x:v>
      </x:c>
      <x:c r="AN727" s="12" t="str">
        <x:f>IF(AC727="deprecated","exclude",IF(AND(AG727="yes",AJ727="high"),"import_but_human_review_required",IF(AG727="yes","import_as_active","import_as_backlog")))</x:f>
        <x:v>import_as_backlog</x:v>
      </x:c>
      <x:c r="AO727" s="12" t="str">
        <x:f>IF(AND(AG727="yes",OR(P727="",Q727="",R727="",S727="")),"missing_required_mvp_fields",IF(AND(AC727="canonical",Y727=""),"missing_source_ref","ok"))</x:f>
        <x:v>ok</x:v>
      </x:c>
      <x:c r="AP727" s="12" t="str">
        <x:f>IF(AO727="ok","ready_for_codex_import","needs_review")</x:f>
        <x:v>ready_for_codex_import</x:v>
      </x:c>
      <x:c r="AQ727" s="12"/>
      <x:c r="AR727" s="12" t="str">
        <x:v>Added v2 operational fields. Review before classification activation.</x:v>
      </x:c>
    </x:row>
    <x:row r="728">
      <x:c r="A728" s="13" t="str">
        <x:v>pluralistic_ignorance_group_identity_variant</x:v>
      </x:c>
      <x:c r="B728" s="13" t="str">
        <x:v>pluralistic_ignorance</x:v>
      </x:c>
      <x:c r="C728" s="13" t="str">
        <x:v>Pluralistic ignorance</x:v>
      </x:c>
      <x:c r="D728" s="13" t="str">
        <x:v>نادانی جمعی</x:v>
      </x:c>
      <x:c r="E728" s="13" t="str">
        <x:v>Group-identity variant</x:v>
      </x:c>
      <x:c r="F728" s="13" t="str">
        <x:v>social_influence_patterns</x:v>
      </x:c>
      <x:c r="G728" s="13" t="str">
        <x:v>operational_variant</x:v>
      </x:c>
      <x:c r="H728" s="13" t="str">
        <x:v>contextual</x:v>
      </x:c>
      <x:c r="I728" s="13" t="str">
        <x:v>claim+context</x:v>
      </x:c>
      <x:c r="J728" s="13" t="str">
        <x:v>derived_operational_subtype</x:v>
      </x:c>
      <x:c r="K728" s="13" t="str">
        <x:v>derived_from_established_parent_review_required</x:v>
      </x:c>
      <x:c r="L728" s="13" t="str">
        <x:v>P3</x:v>
      </x:c>
      <x:c r="M728" s="13" t="str">
        <x:v>no</x:v>
      </x:c>
      <x:c r="N728" s="13" t="str">
        <x:v>Operational subtype under Pluralistic ignorance: group membership or identity cues shape reasoning. Parent definition: People privately reject a norm but assume others accept it.</x:v>
      </x:c>
      <x:c r="O728" s="13" t="str">
        <x:v>Look for: explicit claim-level evidence; parent-family cues for Pluralistic ignorance; variant cue: group membership or identity cues shape reasoning; avoid author-level inference.</x:v>
      </x:c>
      <x:c r="P728" s="13" t="str">
        <x:v>Exact evidence span in text plus claim-level reasoning link; for contextual/discourse entries, require surrounding context.</x:v>
      </x:c>
      <x:c r="Q728" s="13" t="str">
        <x:v>Do not label merely because topic is controversial, emotional, or wrong. Do not judge intent or personality. Require textual evidence and consider healthy-reasoning cues.</x:v>
      </x:c>
      <x:c r="R728" s="13" t="str">
        <x:v>Stub: A claim relies on group membership or identity cues shape reasoning to support a conclusion without adequate qualification.</x:v>
      </x:c>
      <x:c r="S728" s="13" t="str">
        <x:v>Stub: A claim discusses pluralistic ignorance with caveats, balanced evidence, or no argumentative use of the pattern.</x:v>
      </x:c>
      <x:c r="T728" s="13" t="str">
        <x:v>Mild or ambiguous cue; do not classify without clear evidence span.</x:v>
      </x:c>
      <x:c r="U728" s="13" t="str">
        <x:v>Clear claim-level pattern with some argumentative impact.</x:v>
      </x:c>
      <x:c r="V728" s="13" t="str">
        <x:v>Strong pattern central to the conclusion and likely to materially distort reasoning.</x:v>
      </x:c>
      <x:c r="W728" s="13" t="str"/>
      <x:c r="X728" s="13" t="str">
        <x:v>cialdini_influence</x:v>
      </x:c>
      <x:c r="Y728" s="13" t="str">
        <x:v>https://www.pearson.com/en-us/subject-catalog/p/influence-science-and-practice/P200000003004</x:v>
      </x:c>
      <x:c r="Z728" s="13" t="str">
        <x:v>Review before enabling. This workbook is a living taxonomy scaffold, not a validated scientific benchmark.</x:v>
      </x:c>
      <x:c r="AA728" s="13" t="str">
        <x:v>0.1.0-draft</x:v>
      </x:c>
      <x:c r="AB728" s="12" t="str">
        <x:f>IF(ISNUMBER(SEARCH("healthy",F728)),"healthy_reasoning_patterns",IF(ISNUMBER(SEARCH("statistical",F728)),"statistical_reasoning",IF(ISNUMBER(SEARCH("causal",F728)),"causal_reasoning",IF(ISNUMBER(SEARCH("social",F728)),"social_influence",IF(ISNUMBER(SEARCH("rhetoric",F728)),"rhetoric_discourse",IF(ISNUMBER(SEARCH("behavior",F728)),"behavioural_economics",IF(ISNUMBER(SEARCH("cognitive",F728)),"cognitive_biases",IF(J728="protective_pattern","healthy_reasoning_patterns",IF(L728="P0","core_mvp","extended_fallacies")))))))))</x:f>
        <x:v>social_influence</x:v>
      </x:c>
      <x:c r="AC728" s="12" t="str">
        <x:f>IF(ISNUMBER(SEARCH("operational",J728)),"operational",IF(ISNUMBER(SEARCH("deprecated",J728)),"deprecated",IF(L728="P0","canonical","recognized_subtype")))</x:f>
        <x:v>operational</x:v>
      </x:c>
      <x:c r="AD728" s="12" t="str">
        <x:f>IF(AC728="canonical","high",IF(AC728="recognized_subtype","medium",IF(AC728="operational","operational_only","debated")))</x:f>
        <x:v>operational_only</x:v>
      </x:c>
      <x:c r="AE728" s="12" t="str">
        <x:f>IF(AC728="deprecated","deprecated",IF(M728="yes","active",IF(M728="review","review_required","backlog")))</x:f>
        <x:v>backlog</x:v>
      </x:c>
      <x:c r="AF728" s="12" t="str">
        <x:f>IF(OR(AE728="active",AE728="review_required"),"yes","no")</x:f>
        <x:v>no</x:v>
      </x:c>
      <x:c r="AG728" s="12" t="str">
        <x:f>IF(AND(AE728="active",M728="yes",NOT(ISNUMBER(SEARCH("healthy",AB728)))),"yes","no")</x:f>
        <x:v>no</x:v>
      </x:c>
      <x:c r="AH728" s="12" t="str">
        <x:f>IF(OR(H728="contextual",H728="dialogue",H728="discourse",I728="claim+context",I728="discourse_segment"),"yes","no")</x:f>
        <x:v>yes</x:v>
      </x:c>
      <x:c r="AI728" s="12" t="str">
        <x:f>IF(OR(AH728="yes",AD728="debated",AC728="operational"),"yes","no")</x:f>
        <x:v>yes</x:v>
      </x:c>
      <x:c r="AJ728" s="12" t="str">
        <x:f>IF(OR(AH728="yes",AC728="operational",AD728="debated"),"high",IF(AND(AG728="yes",L728="P0"),"medium","low"))</x:f>
        <x:v>high</x:v>
      </x:c>
      <x:c r="AK728" s="12" t="str">
        <x:f>IF(ISNUMBER(SEARCH("healthy",AB728)),"yes","no")</x:f>
        <x:v>no</x:v>
      </x:c>
      <x:c r="AL728" s="12" t="str">
        <x:f>IF(AG728="yes","yes","candidate_only")</x:f>
        <x:v>candidate_only</x:v>
      </x:c>
      <x:c r="AM728" s="12" t="str">
        <x:f>IF(OR(AC728="canonical",AG728="yes"),"yes","recommended")</x:f>
        <x:v>recommended</x:v>
      </x:c>
      <x:c r="AN728" s="12" t="str">
        <x:f>IF(AC728="deprecated","exclude",IF(AND(AG728="yes",AJ728="high"),"import_but_human_review_required",IF(AG728="yes","import_as_active","import_as_backlog")))</x:f>
        <x:v>import_as_backlog</x:v>
      </x:c>
      <x:c r="AO728" s="12" t="str">
        <x:f>IF(AND(AG728="yes",OR(P728="",Q728="",R728="",S728="")),"missing_required_mvp_fields",IF(AND(AC728="canonical",Y728=""),"missing_source_ref","ok"))</x:f>
        <x:v>ok</x:v>
      </x:c>
      <x:c r="AP728" s="12" t="str">
        <x:f>IF(AO728="ok","ready_for_codex_import","needs_review")</x:f>
        <x:v>ready_for_codex_import</x:v>
      </x:c>
      <x:c r="AQ728" s="12"/>
      <x:c r="AR728" s="12" t="str">
        <x:v>Added v2 operational fields. Review before classification activation.</x:v>
      </x:c>
    </x:row>
    <x:row r="729">
      <x:c r="A729" s="13" t="str">
        <x:v>false_consensus_effect_group_identity_variant</x:v>
      </x:c>
      <x:c r="B729" s="13" t="str">
        <x:v>false_consensus_effect</x:v>
      </x:c>
      <x:c r="C729" s="13" t="str">
        <x:v>False consensus effect</x:v>
      </x:c>
      <x:c r="D729" s="13" t="str">
        <x:v>اثر اجماع کاذب</x:v>
      </x:c>
      <x:c r="E729" s="13" t="str">
        <x:v>Group-identity variant</x:v>
      </x:c>
      <x:c r="F729" s="13" t="str">
        <x:v>social_influence_patterns</x:v>
      </x:c>
      <x:c r="G729" s="13" t="str">
        <x:v>operational_variant</x:v>
      </x:c>
      <x:c r="H729" s="13" t="str">
        <x:v>contextual</x:v>
      </x:c>
      <x:c r="I729" s="13" t="str">
        <x:v>claim+context</x:v>
      </x:c>
      <x:c r="J729" s="13" t="str">
        <x:v>derived_operational_subtype</x:v>
      </x:c>
      <x:c r="K729" s="13" t="str">
        <x:v>derived_from_established_parent_review_required</x:v>
      </x:c>
      <x:c r="L729" s="13" t="str">
        <x:v>P3</x:v>
      </x:c>
      <x:c r="M729" s="13" t="str">
        <x:v>no</x:v>
      </x:c>
      <x:c r="N729" s="13" t="str">
        <x:v>Operational subtype under False consensus effect: group membership or identity cues shape reasoning. Parent definition: Overestimating how many others share one's views.</x:v>
      </x:c>
      <x:c r="O729" s="13" t="str">
        <x:v>Look for: explicit claim-level evidence; parent-family cues for False consensus effect; variant cue: group membership or identity cues shape reasoning; avoid author-level inference.</x:v>
      </x:c>
      <x:c r="P729" s="13" t="str">
        <x:v>Exact evidence span in text plus claim-level reasoning link; for contextual/discourse entries, require surrounding context.</x:v>
      </x:c>
      <x:c r="Q729" s="13" t="str">
        <x:v>Do not label merely because topic is controversial, emotional, or wrong. Do not judge intent or personality. Require textual evidence and consider healthy-reasoning cues.</x:v>
      </x:c>
      <x:c r="R729" s="13" t="str">
        <x:v>Stub: A claim relies on group membership or identity cues shape reasoning to support a conclusion without adequate qualification.</x:v>
      </x:c>
      <x:c r="S729" s="13" t="str">
        <x:v>Stub: A claim discusses false consensus effect with caveats, balanced evidence, or no argumentative use of the pattern.</x:v>
      </x:c>
      <x:c r="T729" s="13" t="str">
        <x:v>Mild or ambiguous cue; do not classify without clear evidence span.</x:v>
      </x:c>
      <x:c r="U729" s="13" t="str">
        <x:v>Clear claim-level pattern with some argumentative impact.</x:v>
      </x:c>
      <x:c r="V729" s="13" t="str">
        <x:v>Strong pattern central to the conclusion and likely to materially distort reasoning.</x:v>
      </x:c>
      <x:c r="W729" s="13" t="str"/>
      <x:c r="X729" s="13" t="str">
        <x:v>gilovich_heuristics_biases</x:v>
      </x:c>
      <x:c r="Y729" s="13" t="str">
        <x:v>https://www.cambridge.org/core/books/heuristics-and-biases/3C30D3B05D2F190C3B8BE5E2531EFD24</x:v>
      </x:c>
      <x:c r="Z729" s="13" t="str">
        <x:v>Review before enabling. This workbook is a living taxonomy scaffold, not a validated scientific benchmark.</x:v>
      </x:c>
      <x:c r="AA729" s="13" t="str">
        <x:v>0.1.0-draft</x:v>
      </x:c>
      <x:c r="AB729" s="12" t="str">
        <x:f>IF(ISNUMBER(SEARCH("healthy",F729)),"healthy_reasoning_patterns",IF(ISNUMBER(SEARCH("statistical",F729)),"statistical_reasoning",IF(ISNUMBER(SEARCH("causal",F729)),"causal_reasoning",IF(ISNUMBER(SEARCH("social",F729)),"social_influence",IF(ISNUMBER(SEARCH("rhetoric",F729)),"rhetoric_discourse",IF(ISNUMBER(SEARCH("behavior",F729)),"behavioural_economics",IF(ISNUMBER(SEARCH("cognitive",F729)),"cognitive_biases",IF(J729="protective_pattern","healthy_reasoning_patterns",IF(L729="P0","core_mvp","extended_fallacies")))))))))</x:f>
        <x:v>social_influence</x:v>
      </x:c>
      <x:c r="AC729" s="12" t="str">
        <x:f>IF(ISNUMBER(SEARCH("operational",J729)),"operational",IF(ISNUMBER(SEARCH("deprecated",J729)),"deprecated",IF(L729="P0","canonical","recognized_subtype")))</x:f>
        <x:v>operational</x:v>
      </x:c>
      <x:c r="AD729" s="12" t="str">
        <x:f>IF(AC729="canonical","high",IF(AC729="recognized_subtype","medium",IF(AC729="operational","operational_only","debated")))</x:f>
        <x:v>operational_only</x:v>
      </x:c>
      <x:c r="AE729" s="12" t="str">
        <x:f>IF(AC729="deprecated","deprecated",IF(M729="yes","active",IF(M729="review","review_required","backlog")))</x:f>
        <x:v>backlog</x:v>
      </x:c>
      <x:c r="AF729" s="12" t="str">
        <x:f>IF(OR(AE729="active",AE729="review_required"),"yes","no")</x:f>
        <x:v>no</x:v>
      </x:c>
      <x:c r="AG729" s="12" t="str">
        <x:f>IF(AND(AE729="active",M729="yes",NOT(ISNUMBER(SEARCH("healthy",AB729)))),"yes","no")</x:f>
        <x:v>no</x:v>
      </x:c>
      <x:c r="AH729" s="12" t="str">
        <x:f>IF(OR(H729="contextual",H729="dialogue",H729="discourse",I729="claim+context",I729="discourse_segment"),"yes","no")</x:f>
        <x:v>yes</x:v>
      </x:c>
      <x:c r="AI729" s="12" t="str">
        <x:f>IF(OR(AH729="yes",AD729="debated",AC729="operational"),"yes","no")</x:f>
        <x:v>yes</x:v>
      </x:c>
      <x:c r="AJ729" s="12" t="str">
        <x:f>IF(OR(AH729="yes",AC729="operational",AD729="debated"),"high",IF(AND(AG729="yes",L729="P0"),"medium","low"))</x:f>
        <x:v>high</x:v>
      </x:c>
      <x:c r="AK729" s="12" t="str">
        <x:f>IF(ISNUMBER(SEARCH("healthy",AB729)),"yes","no")</x:f>
        <x:v>no</x:v>
      </x:c>
      <x:c r="AL729" s="12" t="str">
        <x:f>IF(AG729="yes","yes","candidate_only")</x:f>
        <x:v>candidate_only</x:v>
      </x:c>
      <x:c r="AM729" s="12" t="str">
        <x:f>IF(OR(AC729="canonical",AG729="yes"),"yes","recommended")</x:f>
        <x:v>recommended</x:v>
      </x:c>
      <x:c r="AN729" s="12" t="str">
        <x:f>IF(AC729="deprecated","exclude",IF(AND(AG729="yes",AJ729="high"),"import_but_human_review_required",IF(AG729="yes","import_as_active","import_as_backlog")))</x:f>
        <x:v>import_as_backlog</x:v>
      </x:c>
      <x:c r="AO729" s="12" t="str">
        <x:f>IF(AND(AG729="yes",OR(P729="",Q729="",R729="",S729="")),"missing_required_mvp_fields",IF(AND(AC729="canonical",Y729=""),"missing_source_ref","ok"))</x:f>
        <x:v>ok</x:v>
      </x:c>
      <x:c r="AP729" s="12" t="str">
        <x:f>IF(AO729="ok","ready_for_codex_import","needs_review")</x:f>
        <x:v>ready_for_codex_import</x:v>
      </x:c>
      <x:c r="AQ729" s="12"/>
      <x:c r="AR729" s="12" t="str">
        <x:v>Added v2 operational fields. Review before classification activation.</x:v>
      </x:c>
    </x:row>
    <x:row r="730">
      <x:c r="A730" s="13" t="str">
        <x:v>false_uniqueness_effect_group_identity_variant</x:v>
      </x:c>
      <x:c r="B730" s="13" t="str">
        <x:v>false_uniqueness_effect</x:v>
      </x:c>
      <x:c r="C730" s="13" t="str">
        <x:v>False uniqueness effect</x:v>
      </x:c>
      <x:c r="D730" s="13" t="str">
        <x:v>اثر یکتایی کاذب</x:v>
      </x:c>
      <x:c r="E730" s="13" t="str">
        <x:v>Group-identity variant</x:v>
      </x:c>
      <x:c r="F730" s="13" t="str">
        <x:v>social_influence_patterns</x:v>
      </x:c>
      <x:c r="G730" s="13" t="str">
        <x:v>operational_variant</x:v>
      </x:c>
      <x:c r="H730" s="13" t="str">
        <x:v>contextual</x:v>
      </x:c>
      <x:c r="I730" s="13" t="str">
        <x:v>claim+context</x:v>
      </x:c>
      <x:c r="J730" s="13" t="str">
        <x:v>derived_operational_subtype</x:v>
      </x:c>
      <x:c r="K730" s="13" t="str">
        <x:v>derived_from_established_parent_review_required</x:v>
      </x:c>
      <x:c r="L730" s="13" t="str">
        <x:v>P3</x:v>
      </x:c>
      <x:c r="M730" s="13" t="str">
        <x:v>no</x:v>
      </x:c>
      <x:c r="N730" s="13" t="str">
        <x:v>Operational subtype under False uniqueness effect: group membership or identity cues shape reasoning. Parent definition: Underestimating how many others share one's desirable traits or views.</x:v>
      </x:c>
      <x:c r="O730" s="13" t="str">
        <x:v>Look for: explicit claim-level evidence; parent-family cues for False uniqueness effect; variant cue: group membership or identity cues shape reasoning; avoid author-level inference.</x:v>
      </x:c>
      <x:c r="P730" s="13" t="str">
        <x:v>Exact evidence span in text plus claim-level reasoning link; for contextual/discourse entries, require surrounding context.</x:v>
      </x:c>
      <x:c r="Q730" s="13" t="str">
        <x:v>Do not label merely because topic is controversial, emotional, or wrong. Do not judge intent or personality. Require textual evidence and consider healthy-reasoning cues.</x:v>
      </x:c>
      <x:c r="R730" s="13" t="str">
        <x:v>Stub: A claim relies on group membership or identity cues shape reasoning to support a conclusion without adequate qualification.</x:v>
      </x:c>
      <x:c r="S730" s="13" t="str">
        <x:v>Stub: A claim discusses false uniqueness effect with caveats, balanced evidence, or no argumentative use of the pattern.</x:v>
      </x:c>
      <x:c r="T730" s="13" t="str">
        <x:v>Mild or ambiguous cue; do not classify without clear evidence span.</x:v>
      </x:c>
      <x:c r="U730" s="13" t="str">
        <x:v>Clear claim-level pattern with some argumentative impact.</x:v>
      </x:c>
      <x:c r="V730" s="13" t="str">
        <x:v>Strong pattern central to the conclusion and likely to materially distort reasoning.</x:v>
      </x:c>
      <x:c r="W730" s="13" t="str"/>
      <x:c r="X730" s="13" t="str">
        <x:v>gilovich_heuristics_biases</x:v>
      </x:c>
      <x:c r="Y730" s="13" t="str">
        <x:v>https://www.cambridge.org/core/books/heuristics-and-biases/3C30D3B05D2F190C3B8BE5E2531EFD24</x:v>
      </x:c>
      <x:c r="Z730" s="13" t="str">
        <x:v>Review before enabling. This workbook is a living taxonomy scaffold, not a validated scientific benchmark.</x:v>
      </x:c>
      <x:c r="AA730" s="13" t="str">
        <x:v>0.1.0-draft</x:v>
      </x:c>
      <x:c r="AB730" s="12" t="str">
        <x:f>IF(ISNUMBER(SEARCH("healthy",F730)),"healthy_reasoning_patterns",IF(ISNUMBER(SEARCH("statistical",F730)),"statistical_reasoning",IF(ISNUMBER(SEARCH("causal",F730)),"causal_reasoning",IF(ISNUMBER(SEARCH("social",F730)),"social_influence",IF(ISNUMBER(SEARCH("rhetoric",F730)),"rhetoric_discourse",IF(ISNUMBER(SEARCH("behavior",F730)),"behavioural_economics",IF(ISNUMBER(SEARCH("cognitive",F730)),"cognitive_biases",IF(J730="protective_pattern","healthy_reasoning_patterns",IF(L730="P0","core_mvp","extended_fallacies")))))))))</x:f>
        <x:v>social_influence</x:v>
      </x:c>
      <x:c r="AC730" s="12" t="str">
        <x:f>IF(ISNUMBER(SEARCH("operational",J730)),"operational",IF(ISNUMBER(SEARCH("deprecated",J730)),"deprecated",IF(L730="P0","canonical","recognized_subtype")))</x:f>
        <x:v>operational</x:v>
      </x:c>
      <x:c r="AD730" s="12" t="str">
        <x:f>IF(AC730="canonical","high",IF(AC730="recognized_subtype","medium",IF(AC730="operational","operational_only","debated")))</x:f>
        <x:v>operational_only</x:v>
      </x:c>
      <x:c r="AE730" s="12" t="str">
        <x:f>IF(AC730="deprecated","deprecated",IF(M730="yes","active",IF(M730="review","review_required","backlog")))</x:f>
        <x:v>backlog</x:v>
      </x:c>
      <x:c r="AF730" s="12" t="str">
        <x:f>IF(OR(AE730="active",AE730="review_required"),"yes","no")</x:f>
        <x:v>no</x:v>
      </x:c>
      <x:c r="AG730" s="12" t="str">
        <x:f>IF(AND(AE730="active",M730="yes",NOT(ISNUMBER(SEARCH("healthy",AB730)))),"yes","no")</x:f>
        <x:v>no</x:v>
      </x:c>
      <x:c r="AH730" s="12" t="str">
        <x:f>IF(OR(H730="contextual",H730="dialogue",H730="discourse",I730="claim+context",I730="discourse_segment"),"yes","no")</x:f>
        <x:v>yes</x:v>
      </x:c>
      <x:c r="AI730" s="12" t="str">
        <x:f>IF(OR(AH730="yes",AD730="debated",AC730="operational"),"yes","no")</x:f>
        <x:v>yes</x:v>
      </x:c>
      <x:c r="AJ730" s="12" t="str">
        <x:f>IF(OR(AH730="yes",AC730="operational",AD730="debated"),"high",IF(AND(AG730="yes",L730="P0"),"medium","low"))</x:f>
        <x:v>high</x:v>
      </x:c>
      <x:c r="AK730" s="12" t="str">
        <x:f>IF(ISNUMBER(SEARCH("healthy",AB730)),"yes","no")</x:f>
        <x:v>no</x:v>
      </x:c>
      <x:c r="AL730" s="12" t="str">
        <x:f>IF(AG730="yes","yes","candidate_only")</x:f>
        <x:v>candidate_only</x:v>
      </x:c>
      <x:c r="AM730" s="12" t="str">
        <x:f>IF(OR(AC730="canonical",AG730="yes"),"yes","recommended")</x:f>
        <x:v>recommended</x:v>
      </x:c>
      <x:c r="AN730" s="12" t="str">
        <x:f>IF(AC730="deprecated","exclude",IF(AND(AG730="yes",AJ730="high"),"import_but_human_review_required",IF(AG730="yes","import_as_active","import_as_backlog")))</x:f>
        <x:v>import_as_backlog</x:v>
      </x:c>
      <x:c r="AO730" s="12" t="str">
        <x:f>IF(AND(AG730="yes",OR(P730="",Q730="",R730="",S730="")),"missing_required_mvp_fields",IF(AND(AC730="canonical",Y730=""),"missing_source_ref","ok"))</x:f>
        <x:v>ok</x:v>
      </x:c>
      <x:c r="AP730" s="12" t="str">
        <x:f>IF(AO730="ok","ready_for_codex_import","needs_review")</x:f>
        <x:v>ready_for_codex_import</x:v>
      </x:c>
      <x:c r="AQ730" s="12"/>
      <x:c r="AR730" s="12" t="str">
        <x:v>Added v2 operational fields. Review before classification activation.</x:v>
      </x:c>
    </x:row>
    <x:row r="731">
      <x:c r="A731" s="13" t="str">
        <x:v>information_cascade_group_identity_variant</x:v>
      </x:c>
      <x:c r="B731" s="13" t="str">
        <x:v>information_cascade</x:v>
      </x:c>
      <x:c r="C731" s="13" t="str">
        <x:v>Information cascade</x:v>
      </x:c>
      <x:c r="D731" s="13" t="str">
        <x:v>آبشار اطلاعاتی</x:v>
      </x:c>
      <x:c r="E731" s="13" t="str">
        <x:v>Group-identity variant</x:v>
      </x:c>
      <x:c r="F731" s="13" t="str">
        <x:v>social_influence_patterns</x:v>
      </x:c>
      <x:c r="G731" s="13" t="str">
        <x:v>operational_variant</x:v>
      </x:c>
      <x:c r="H731" s="13" t="str">
        <x:v>discourse</x:v>
      </x:c>
      <x:c r="I731" s="13" t="str">
        <x:v>discourse_segment</x:v>
      </x:c>
      <x:c r="J731" s="13" t="str">
        <x:v>derived_operational_subtype</x:v>
      </x:c>
      <x:c r="K731" s="13" t="str">
        <x:v>derived_from_established_parent_review_required</x:v>
      </x:c>
      <x:c r="L731" s="13" t="str">
        <x:v>P3</x:v>
      </x:c>
      <x:c r="M731" s="13" t="str">
        <x:v>no</x:v>
      </x:c>
      <x:c r="N731" s="13" t="str">
        <x:v>Operational subtype under Information cascade: group membership or identity cues shape reasoning. Parent definition: Following earlier choices because they appear informative.</x:v>
      </x:c>
      <x:c r="O731" s="13" t="str">
        <x:v>Look for: explicit claim-level evidence; parent-family cues for Information cascade; variant cue: group membership or identity cues shape reasoning; avoid author-level inference.</x:v>
      </x:c>
      <x:c r="P731" s="13" t="str">
        <x:v>Exact evidence span in text plus claim-level reasoning link; for contextual/discourse entries, require surrounding context.</x:v>
      </x:c>
      <x:c r="Q731" s="13" t="str">
        <x:v>Do not label merely because topic is controversial, emotional, or wrong. Do not judge intent or personality. Require textual evidence and consider healthy-reasoning cues.</x:v>
      </x:c>
      <x:c r="R731" s="13" t="str">
        <x:v>Stub: A claim relies on group membership or identity cues shape reasoning to support a conclusion without adequate qualification.</x:v>
      </x:c>
      <x:c r="S731" s="13" t="str">
        <x:v>Stub: A claim discusses information cascade with caveats, balanced evidence, or no argumentative use of the pattern.</x:v>
      </x:c>
      <x:c r="T731" s="13" t="str">
        <x:v>Mild or ambiguous cue; do not classify without clear evidence span.</x:v>
      </x:c>
      <x:c r="U731" s="13" t="str">
        <x:v>Clear claim-level pattern with some argumentative impact.</x:v>
      </x:c>
      <x:c r="V731" s="13" t="str">
        <x:v>Strong pattern central to the conclusion and likely to materially distort reasoning.</x:v>
      </x:c>
      <x:c r="W731" s="13" t="str"/>
      <x:c r="X731" s="13" t="str">
        <x:v>cialdini_influence</x:v>
      </x:c>
      <x:c r="Y731" s="13" t="str">
        <x:v>https://www.pearson.com/en-us/subject-catalog/p/influence-science-and-practice/P200000003004</x:v>
      </x:c>
      <x:c r="Z731" s="13" t="str">
        <x:v>Review before enabling. This workbook is a living taxonomy scaffold, not a validated scientific benchmark.</x:v>
      </x:c>
      <x:c r="AA731" s="13" t="str">
        <x:v>0.1.0-draft</x:v>
      </x:c>
      <x:c r="AB731" s="12" t="str">
        <x:f>IF(ISNUMBER(SEARCH("healthy",F731)),"healthy_reasoning_patterns",IF(ISNUMBER(SEARCH("statistical",F731)),"statistical_reasoning",IF(ISNUMBER(SEARCH("causal",F731)),"causal_reasoning",IF(ISNUMBER(SEARCH("social",F731)),"social_influence",IF(ISNUMBER(SEARCH("rhetoric",F731)),"rhetoric_discourse",IF(ISNUMBER(SEARCH("behavior",F731)),"behavioural_economics",IF(ISNUMBER(SEARCH("cognitive",F731)),"cognitive_biases",IF(J731="protective_pattern","healthy_reasoning_patterns",IF(L731="P0","core_mvp","extended_fallacies")))))))))</x:f>
        <x:v>social_influence</x:v>
      </x:c>
      <x:c r="AC731" s="12" t="str">
        <x:f>IF(ISNUMBER(SEARCH("operational",J731)),"operational",IF(ISNUMBER(SEARCH("deprecated",J731)),"deprecated",IF(L731="P0","canonical","recognized_subtype")))</x:f>
        <x:v>operational</x:v>
      </x:c>
      <x:c r="AD731" s="12" t="str">
        <x:f>IF(AC731="canonical","high",IF(AC731="recognized_subtype","medium",IF(AC731="operational","operational_only","debated")))</x:f>
        <x:v>operational_only</x:v>
      </x:c>
      <x:c r="AE731" s="12" t="str">
        <x:f>IF(AC731="deprecated","deprecated",IF(M731="yes","active",IF(M731="review","review_required","backlog")))</x:f>
        <x:v>backlog</x:v>
      </x:c>
      <x:c r="AF731" s="12" t="str">
        <x:f>IF(OR(AE731="active",AE731="review_required"),"yes","no")</x:f>
        <x:v>no</x:v>
      </x:c>
      <x:c r="AG731" s="12" t="str">
        <x:f>IF(AND(AE731="active",M731="yes",NOT(ISNUMBER(SEARCH("healthy",AB731)))),"yes","no")</x:f>
        <x:v>no</x:v>
      </x:c>
      <x:c r="AH731" s="12" t="str">
        <x:f>IF(OR(H731="contextual",H731="dialogue",H731="discourse",I731="claim+context",I731="discourse_segment"),"yes","no")</x:f>
        <x:v>yes</x:v>
      </x:c>
      <x:c r="AI731" s="12" t="str">
        <x:f>IF(OR(AH731="yes",AD731="debated",AC731="operational"),"yes","no")</x:f>
        <x:v>yes</x:v>
      </x:c>
      <x:c r="AJ731" s="12" t="str">
        <x:f>IF(OR(AH731="yes",AC731="operational",AD731="debated"),"high",IF(AND(AG731="yes",L731="P0"),"medium","low"))</x:f>
        <x:v>high</x:v>
      </x:c>
      <x:c r="AK731" s="12" t="str">
        <x:f>IF(ISNUMBER(SEARCH("healthy",AB731)),"yes","no")</x:f>
        <x:v>no</x:v>
      </x:c>
      <x:c r="AL731" s="12" t="str">
        <x:f>IF(AG731="yes","yes","candidate_only")</x:f>
        <x:v>candidate_only</x:v>
      </x:c>
      <x:c r="AM731" s="12" t="str">
        <x:f>IF(OR(AC731="canonical",AG731="yes"),"yes","recommended")</x:f>
        <x:v>recommended</x:v>
      </x:c>
      <x:c r="AN731" s="12" t="str">
        <x:f>IF(AC731="deprecated","exclude",IF(AND(AG731="yes",AJ731="high"),"import_but_human_review_required",IF(AG731="yes","import_as_active","import_as_backlog")))</x:f>
        <x:v>import_as_backlog</x:v>
      </x:c>
      <x:c r="AO731" s="12" t="str">
        <x:f>IF(AND(AG731="yes",OR(P731="",Q731="",R731="",S731="")),"missing_required_mvp_fields",IF(AND(AC731="canonical",Y731=""),"missing_source_ref","ok"))</x:f>
        <x:v>ok</x:v>
      </x:c>
      <x:c r="AP731" s="12" t="str">
        <x:f>IF(AO731="ok","ready_for_codex_import","needs_review")</x:f>
        <x:v>ready_for_codex_import</x:v>
      </x:c>
      <x:c r="AQ731" s="12"/>
      <x:c r="AR731" s="12" t="str">
        <x:v>Added v2 operational fields. Review before classification activation.</x:v>
      </x:c>
    </x:row>
    <x:row r="732">
      <x:c r="A732" s="13" t="str">
        <x:v>reputational_cascade_group_identity_variant</x:v>
      </x:c>
      <x:c r="B732" s="13" t="str">
        <x:v>reputational_cascade</x:v>
      </x:c>
      <x:c r="C732" s="13" t="str">
        <x:v>Reputational cascade</x:v>
      </x:c>
      <x:c r="D732" s="13" t="str">
        <x:v>آبشار حیثیتی</x:v>
      </x:c>
      <x:c r="E732" s="13" t="str">
        <x:v>Group-identity variant</x:v>
      </x:c>
      <x:c r="F732" s="13" t="str">
        <x:v>social_influence_patterns</x:v>
      </x:c>
      <x:c r="G732" s="13" t="str">
        <x:v>operational_variant</x:v>
      </x:c>
      <x:c r="H732" s="13" t="str">
        <x:v>discourse</x:v>
      </x:c>
      <x:c r="I732" s="13" t="str">
        <x:v>discourse_segment</x:v>
      </x:c>
      <x:c r="J732" s="13" t="str">
        <x:v>derived_operational_subtype</x:v>
      </x:c>
      <x:c r="K732" s="13" t="str">
        <x:v>derived_from_established_parent_review_required</x:v>
      </x:c>
      <x:c r="L732" s="13" t="str">
        <x:v>P3</x:v>
      </x:c>
      <x:c r="M732" s="13" t="str">
        <x:v>no</x:v>
      </x:c>
      <x:c r="N732" s="13" t="str">
        <x:v>Operational subtype under Reputational cascade: group membership or identity cues shape reasoning. Parent definition: Publicly endorsing a view to protect reputation despite private doubts.</x:v>
      </x:c>
      <x:c r="O732" s="13" t="str">
        <x:v>Look for: explicit claim-level evidence; parent-family cues for Reputational cascade; variant cue: group membership or identity cues shape reasoning; avoid author-level inference.</x:v>
      </x:c>
      <x:c r="P732" s="13" t="str">
        <x:v>Exact evidence span in text plus claim-level reasoning link; for contextual/discourse entries, require surrounding context.</x:v>
      </x:c>
      <x:c r="Q732" s="13" t="str">
        <x:v>Do not label merely because topic is controversial, emotional, or wrong. Do not judge intent or personality. Require textual evidence and consider healthy-reasoning cues.</x:v>
      </x:c>
      <x:c r="R732" s="13" t="str">
        <x:v>Stub: A claim relies on group membership or identity cues shape reasoning to support a conclusion without adequate qualification.</x:v>
      </x:c>
      <x:c r="S732" s="13" t="str">
        <x:v>Stub: A claim discusses reputational cascade with caveats, balanced evidence, or no argumentative use of the pattern.</x:v>
      </x:c>
      <x:c r="T732" s="13" t="str">
        <x:v>Mild or ambiguous cue; do not classify without clear evidence span.</x:v>
      </x:c>
      <x:c r="U732" s="13" t="str">
        <x:v>Clear claim-level pattern with some argumentative impact.</x:v>
      </x:c>
      <x:c r="V732" s="13" t="str">
        <x:v>Strong pattern central to the conclusion and likely to materially distort reasoning.</x:v>
      </x:c>
      <x:c r="W732" s="13" t="str"/>
      <x:c r="X732" s="13" t="str">
        <x:v>cialdini_influence</x:v>
      </x:c>
      <x:c r="Y732" s="13" t="str">
        <x:v>https://www.pearson.com/en-us/subject-catalog/p/influence-science-and-practice/P200000003004</x:v>
      </x:c>
      <x:c r="Z732" s="13" t="str">
        <x:v>Review before enabling. This workbook is a living taxonomy scaffold, not a validated scientific benchmark.</x:v>
      </x:c>
      <x:c r="AA732" s="13" t="str">
        <x:v>0.1.0-draft</x:v>
      </x:c>
      <x:c r="AB732" s="12" t="str">
        <x:f>IF(ISNUMBER(SEARCH("healthy",F732)),"healthy_reasoning_patterns",IF(ISNUMBER(SEARCH("statistical",F732)),"statistical_reasoning",IF(ISNUMBER(SEARCH("causal",F732)),"causal_reasoning",IF(ISNUMBER(SEARCH("social",F732)),"social_influence",IF(ISNUMBER(SEARCH("rhetoric",F732)),"rhetoric_discourse",IF(ISNUMBER(SEARCH("behavior",F732)),"behavioural_economics",IF(ISNUMBER(SEARCH("cognitive",F732)),"cognitive_biases",IF(J732="protective_pattern","healthy_reasoning_patterns",IF(L732="P0","core_mvp","extended_fallacies")))))))))</x:f>
        <x:v>social_influence</x:v>
      </x:c>
      <x:c r="AC732" s="12" t="str">
        <x:f>IF(ISNUMBER(SEARCH("operational",J732)),"operational",IF(ISNUMBER(SEARCH("deprecated",J732)),"deprecated",IF(L732="P0","canonical","recognized_subtype")))</x:f>
        <x:v>operational</x:v>
      </x:c>
      <x:c r="AD732" s="12" t="str">
        <x:f>IF(AC732="canonical","high",IF(AC732="recognized_subtype","medium",IF(AC732="operational","operational_only","debated")))</x:f>
        <x:v>operational_only</x:v>
      </x:c>
      <x:c r="AE732" s="12" t="str">
        <x:f>IF(AC732="deprecated","deprecated",IF(M732="yes","active",IF(M732="review","review_required","backlog")))</x:f>
        <x:v>backlog</x:v>
      </x:c>
      <x:c r="AF732" s="12" t="str">
        <x:f>IF(OR(AE732="active",AE732="review_required"),"yes","no")</x:f>
        <x:v>no</x:v>
      </x:c>
      <x:c r="AG732" s="12" t="str">
        <x:f>IF(AND(AE732="active",M732="yes",NOT(ISNUMBER(SEARCH("healthy",AB732)))),"yes","no")</x:f>
        <x:v>no</x:v>
      </x:c>
      <x:c r="AH732" s="12" t="str">
        <x:f>IF(OR(H732="contextual",H732="dialogue",H732="discourse",I732="claim+context",I732="discourse_segment"),"yes","no")</x:f>
        <x:v>yes</x:v>
      </x:c>
      <x:c r="AI732" s="12" t="str">
        <x:f>IF(OR(AH732="yes",AD732="debated",AC732="operational"),"yes","no")</x:f>
        <x:v>yes</x:v>
      </x:c>
      <x:c r="AJ732" s="12" t="str">
        <x:f>IF(OR(AH732="yes",AC732="operational",AD732="debated"),"high",IF(AND(AG732="yes",L732="P0"),"medium","low"))</x:f>
        <x:v>high</x:v>
      </x:c>
      <x:c r="AK732" s="12" t="str">
        <x:f>IF(ISNUMBER(SEARCH("healthy",AB732)),"yes","no")</x:f>
        <x:v>no</x:v>
      </x:c>
      <x:c r="AL732" s="12" t="str">
        <x:f>IF(AG732="yes","yes","candidate_only")</x:f>
        <x:v>candidate_only</x:v>
      </x:c>
      <x:c r="AM732" s="12" t="str">
        <x:f>IF(OR(AC732="canonical",AG732="yes"),"yes","recommended")</x:f>
        <x:v>recommended</x:v>
      </x:c>
      <x:c r="AN732" s="12" t="str">
        <x:f>IF(AC732="deprecated","exclude",IF(AND(AG732="yes",AJ732="high"),"import_but_human_review_required",IF(AG732="yes","import_as_active","import_as_backlog")))</x:f>
        <x:v>import_as_backlog</x:v>
      </x:c>
      <x:c r="AO732" s="12" t="str">
        <x:f>IF(AND(AG732="yes",OR(P732="",Q732="",R732="",S732="")),"missing_required_mvp_fields",IF(AND(AC732="canonical",Y732=""),"missing_source_ref","ok"))</x:f>
        <x:v>ok</x:v>
      </x:c>
      <x:c r="AP732" s="12" t="str">
        <x:f>IF(AO732="ok","ready_for_codex_import","needs_review")</x:f>
        <x:v>ready_for_codex_import</x:v>
      </x:c>
      <x:c r="AQ732" s="12"/>
      <x:c r="AR732" s="12" t="str">
        <x:v>Added v2 operational fields. Review before classification activation.</x:v>
      </x:c>
    </x:row>
    <x:row r="733">
      <x:c r="A733" s="13" t="str">
        <x:v>ingroup_bias_group_identity_variant</x:v>
      </x:c>
      <x:c r="B733" s="13" t="str">
        <x:v>ingroup_bias</x:v>
      </x:c>
      <x:c r="C733" s="13" t="str">
        <x:v>In-group bias</x:v>
      </x:c>
      <x:c r="D733" s="13" t="str">
        <x:v>سوگیری درون‌گروهی</x:v>
      </x:c>
      <x:c r="E733" s="13" t="str">
        <x:v>Group-identity variant</x:v>
      </x:c>
      <x:c r="F733" s="13" t="str">
        <x:v>social_influence_patterns</x:v>
      </x:c>
      <x:c r="G733" s="13" t="str">
        <x:v>operational_variant</x:v>
      </x:c>
      <x:c r="H733" s="13" t="str">
        <x:v>contextual</x:v>
      </x:c>
      <x:c r="I733" s="13" t="str">
        <x:v>claim+context</x:v>
      </x:c>
      <x:c r="J733" s="13" t="str">
        <x:v>derived_operational_subtype</x:v>
      </x:c>
      <x:c r="K733" s="13" t="str">
        <x:v>derived_from_established_parent_review_required</x:v>
      </x:c>
      <x:c r="L733" s="13" t="str">
        <x:v>P3</x:v>
      </x:c>
      <x:c r="M733" s="13" t="str">
        <x:v>no</x:v>
      </x:c>
      <x:c r="N733" s="13" t="str">
        <x:v>Operational subtype under In-group bias: group membership or identity cues shape reasoning. Parent definition: Favoring claims or people associated with one's own group.</x:v>
      </x:c>
      <x:c r="O733" s="13" t="str">
        <x:v>Look for: explicit claim-level evidence; parent-family cues for In-group bias; variant cue: group membership or identity cues shape reasoning; avoid author-level inference.</x:v>
      </x:c>
      <x:c r="P733" s="13" t="str">
        <x:v>Exact evidence span in text plus claim-level reasoning link; for contextual/discourse entries, require surrounding context.</x:v>
      </x:c>
      <x:c r="Q733" s="13" t="str">
        <x:v>Do not label merely because topic is controversial, emotional, or wrong. Do not judge intent or personality. Require textual evidence and consider healthy-reasoning cues.</x:v>
      </x:c>
      <x:c r="R733" s="13" t="str">
        <x:v>Stub: A claim relies on group membership or identity cues shape reasoning to support a conclusion without adequate qualification.</x:v>
      </x:c>
      <x:c r="S733" s="13" t="str">
        <x:v>Stub: A claim discusses in-group bias with caveats, balanced evidence, or no argumentative use of the pattern.</x:v>
      </x:c>
      <x:c r="T733" s="13" t="str">
        <x:v>Mild or ambiguous cue; do not classify without clear evidence span.</x:v>
      </x:c>
      <x:c r="U733" s="13" t="str">
        <x:v>Clear claim-level pattern with some argumentative impact.</x:v>
      </x:c>
      <x:c r="V733" s="13" t="str">
        <x:v>Strong pattern central to the conclusion and likely to materially distort reasoning.</x:v>
      </x:c>
      <x:c r="W733" s="13" t="str"/>
      <x:c r="X733" s="13" t="str">
        <x:v>gilovich_heuristics_biases</x:v>
      </x:c>
      <x:c r="Y733" s="13" t="str">
        <x:v>https://www.cambridge.org/core/books/heuristics-and-biases/3C30D3B05D2F190C3B8BE5E2531EFD24</x:v>
      </x:c>
      <x:c r="Z733" s="13" t="str">
        <x:v>Review before enabling. This workbook is a living taxonomy scaffold, not a validated scientific benchmark.</x:v>
      </x:c>
      <x:c r="AA733" s="13" t="str">
        <x:v>0.1.0-draft</x:v>
      </x:c>
      <x:c r="AB733" s="12" t="str">
        <x:f>IF(ISNUMBER(SEARCH("healthy",F733)),"healthy_reasoning_patterns",IF(ISNUMBER(SEARCH("statistical",F733)),"statistical_reasoning",IF(ISNUMBER(SEARCH("causal",F733)),"causal_reasoning",IF(ISNUMBER(SEARCH("social",F733)),"social_influence",IF(ISNUMBER(SEARCH("rhetoric",F733)),"rhetoric_discourse",IF(ISNUMBER(SEARCH("behavior",F733)),"behavioural_economics",IF(ISNUMBER(SEARCH("cognitive",F733)),"cognitive_biases",IF(J733="protective_pattern","healthy_reasoning_patterns",IF(L733="P0","core_mvp","extended_fallacies")))))))))</x:f>
        <x:v>social_influence</x:v>
      </x:c>
      <x:c r="AC733" s="12" t="str">
        <x:f>IF(ISNUMBER(SEARCH("operational",J733)),"operational",IF(ISNUMBER(SEARCH("deprecated",J733)),"deprecated",IF(L733="P0","canonical","recognized_subtype")))</x:f>
        <x:v>operational</x:v>
      </x:c>
      <x:c r="AD733" s="12" t="str">
        <x:f>IF(AC733="canonical","high",IF(AC733="recognized_subtype","medium",IF(AC733="operational","operational_only","debated")))</x:f>
        <x:v>operational_only</x:v>
      </x:c>
      <x:c r="AE733" s="12" t="str">
        <x:f>IF(AC733="deprecated","deprecated",IF(M733="yes","active",IF(M733="review","review_required","backlog")))</x:f>
        <x:v>backlog</x:v>
      </x:c>
      <x:c r="AF733" s="12" t="str">
        <x:f>IF(OR(AE733="active",AE733="review_required"),"yes","no")</x:f>
        <x:v>no</x:v>
      </x:c>
      <x:c r="AG733" s="12" t="str">
        <x:f>IF(AND(AE733="active",M733="yes",NOT(ISNUMBER(SEARCH("healthy",AB733)))),"yes","no")</x:f>
        <x:v>no</x:v>
      </x:c>
      <x:c r="AH733" s="12" t="str">
        <x:f>IF(OR(H733="contextual",H733="dialogue",H733="discourse",I733="claim+context",I733="discourse_segment"),"yes","no")</x:f>
        <x:v>yes</x:v>
      </x:c>
      <x:c r="AI733" s="12" t="str">
        <x:f>IF(OR(AH733="yes",AD733="debated",AC733="operational"),"yes","no")</x:f>
        <x:v>yes</x:v>
      </x:c>
      <x:c r="AJ733" s="12" t="str">
        <x:f>IF(OR(AH733="yes",AC733="operational",AD733="debated"),"high",IF(AND(AG733="yes",L733="P0"),"medium","low"))</x:f>
        <x:v>high</x:v>
      </x:c>
      <x:c r="AK733" s="12" t="str">
        <x:f>IF(ISNUMBER(SEARCH("healthy",AB733)),"yes","no")</x:f>
        <x:v>no</x:v>
      </x:c>
      <x:c r="AL733" s="12" t="str">
        <x:f>IF(AG733="yes","yes","candidate_only")</x:f>
        <x:v>candidate_only</x:v>
      </x:c>
      <x:c r="AM733" s="12" t="str">
        <x:f>IF(OR(AC733="canonical",AG733="yes"),"yes","recommended")</x:f>
        <x:v>recommended</x:v>
      </x:c>
      <x:c r="AN733" s="12" t="str">
        <x:f>IF(AC733="deprecated","exclude",IF(AND(AG733="yes",AJ733="high"),"import_but_human_review_required",IF(AG733="yes","import_as_active","import_as_backlog")))</x:f>
        <x:v>import_as_backlog</x:v>
      </x:c>
      <x:c r="AO733" s="12" t="str">
        <x:f>IF(AND(AG733="yes",OR(P733="",Q733="",R733="",S733="")),"missing_required_mvp_fields",IF(AND(AC733="canonical",Y733=""),"missing_source_ref","ok"))</x:f>
        <x:v>ok</x:v>
      </x:c>
      <x:c r="AP733" s="12" t="str">
        <x:f>IF(AO733="ok","ready_for_codex_import","needs_review")</x:f>
        <x:v>ready_for_codex_import</x:v>
      </x:c>
      <x:c r="AQ733" s="12"/>
      <x:c r="AR733" s="12" t="str">
        <x:v>Added v2 operational fields. Review before classification activation.</x:v>
      </x:c>
    </x:row>
    <x:row r="734">
      <x:c r="A734" s="13" t="str">
        <x:v>outgroup_homogeneity_group_identity_variant</x:v>
      </x:c>
      <x:c r="B734" s="13" t="str">
        <x:v>outgroup_homogeneity</x:v>
      </x:c>
      <x:c r="C734" s="13" t="str">
        <x:v>Out-group homogeneity bias</x:v>
      </x:c>
      <x:c r="D734" s="13" t="str">
        <x:v>یکسان‌انگاری برون‌گروه</x:v>
      </x:c>
      <x:c r="E734" s="13" t="str">
        <x:v>Group-identity variant</x:v>
      </x:c>
      <x:c r="F734" s="13" t="str">
        <x:v>social_influence_patterns</x:v>
      </x:c>
      <x:c r="G734" s="13" t="str">
        <x:v>operational_variant</x:v>
      </x:c>
      <x:c r="H734" s="13" t="str">
        <x:v>contextual</x:v>
      </x:c>
      <x:c r="I734" s="13" t="str">
        <x:v>claim+context</x:v>
      </x:c>
      <x:c r="J734" s="13" t="str">
        <x:v>derived_operational_subtype</x:v>
      </x:c>
      <x:c r="K734" s="13" t="str">
        <x:v>derived_from_established_parent_review_required</x:v>
      </x:c>
      <x:c r="L734" s="13" t="str">
        <x:v>P3</x:v>
      </x:c>
      <x:c r="M734" s="13" t="str">
        <x:v>no</x:v>
      </x:c>
      <x:c r="N734" s="13" t="str">
        <x:v>Operational subtype under Out-group homogeneity bias: group membership or identity cues shape reasoning. Parent definition: Perceiving out-group members as more similar than they are.</x:v>
      </x:c>
      <x:c r="O734" s="13" t="str">
        <x:v>Look for: explicit claim-level evidence; parent-family cues for Out-group homogeneity bias; variant cue: group membership or identity cues shape reasoning; avoid author-level inference.</x:v>
      </x:c>
      <x:c r="P734" s="13" t="str">
        <x:v>Exact evidence span in text plus claim-level reasoning link; for contextual/discourse entries, require surrounding context.</x:v>
      </x:c>
      <x:c r="Q734" s="13" t="str">
        <x:v>Do not label merely because topic is controversial, emotional, or wrong. Do not judge intent or personality. Require textual evidence and consider healthy-reasoning cues.</x:v>
      </x:c>
      <x:c r="R734" s="13" t="str">
        <x:v>Stub: A claim relies on group membership or identity cues shape reasoning to support a conclusion without adequate qualification.</x:v>
      </x:c>
      <x:c r="S734" s="13" t="str">
        <x:v>Stub: A claim discusses out-group homogeneity bias with caveats, balanced evidence, or no argumentative use of the pattern.</x:v>
      </x:c>
      <x:c r="T734" s="13" t="str">
        <x:v>Mild or ambiguous cue; do not classify without clear evidence span.</x:v>
      </x:c>
      <x:c r="U734" s="13" t="str">
        <x:v>Clear claim-level pattern with some argumentative impact.</x:v>
      </x:c>
      <x:c r="V734" s="13" t="str">
        <x:v>Strong pattern central to the conclusion and likely to materially distort reasoning.</x:v>
      </x:c>
      <x:c r="W734" s="13" t="str"/>
      <x:c r="X734" s="13" t="str">
        <x:v>gilovich_heuristics_biases</x:v>
      </x:c>
      <x:c r="Y734" s="13" t="str">
        <x:v>https://www.cambridge.org/core/books/heuristics-and-biases/3C30D3B05D2F190C3B8BE5E2531EFD24</x:v>
      </x:c>
      <x:c r="Z734" s="13" t="str">
        <x:v>Review before enabling. This workbook is a living taxonomy scaffold, not a validated scientific benchmark.</x:v>
      </x:c>
      <x:c r="AA734" s="13" t="str">
        <x:v>0.1.0-draft</x:v>
      </x:c>
      <x:c r="AB734" s="12" t="str">
        <x:f>IF(ISNUMBER(SEARCH("healthy",F734)),"healthy_reasoning_patterns",IF(ISNUMBER(SEARCH("statistical",F734)),"statistical_reasoning",IF(ISNUMBER(SEARCH("causal",F734)),"causal_reasoning",IF(ISNUMBER(SEARCH("social",F734)),"social_influence",IF(ISNUMBER(SEARCH("rhetoric",F734)),"rhetoric_discourse",IF(ISNUMBER(SEARCH("behavior",F734)),"behavioural_economics",IF(ISNUMBER(SEARCH("cognitive",F734)),"cognitive_biases",IF(J734="protective_pattern","healthy_reasoning_patterns",IF(L734="P0","core_mvp","extended_fallacies")))))))))</x:f>
        <x:v>social_influence</x:v>
      </x:c>
      <x:c r="AC734" s="12" t="str">
        <x:f>IF(ISNUMBER(SEARCH("operational",J734)),"operational",IF(ISNUMBER(SEARCH("deprecated",J734)),"deprecated",IF(L734="P0","canonical","recognized_subtype")))</x:f>
        <x:v>operational</x:v>
      </x:c>
      <x:c r="AD734" s="12" t="str">
        <x:f>IF(AC734="canonical","high",IF(AC734="recognized_subtype","medium",IF(AC734="operational","operational_only","debated")))</x:f>
        <x:v>operational_only</x:v>
      </x:c>
      <x:c r="AE734" s="12" t="str">
        <x:f>IF(AC734="deprecated","deprecated",IF(M734="yes","active",IF(M734="review","review_required","backlog")))</x:f>
        <x:v>backlog</x:v>
      </x:c>
      <x:c r="AF734" s="12" t="str">
        <x:f>IF(OR(AE734="active",AE734="review_required"),"yes","no")</x:f>
        <x:v>no</x:v>
      </x:c>
      <x:c r="AG734" s="12" t="str">
        <x:f>IF(AND(AE734="active",M734="yes",NOT(ISNUMBER(SEARCH("healthy",AB734)))),"yes","no")</x:f>
        <x:v>no</x:v>
      </x:c>
      <x:c r="AH734" s="12" t="str">
        <x:f>IF(OR(H734="contextual",H734="dialogue",H734="discourse",I734="claim+context",I734="discourse_segment"),"yes","no")</x:f>
        <x:v>yes</x:v>
      </x:c>
      <x:c r="AI734" s="12" t="str">
        <x:f>IF(OR(AH734="yes",AD734="debated",AC734="operational"),"yes","no")</x:f>
        <x:v>yes</x:v>
      </x:c>
      <x:c r="AJ734" s="12" t="str">
        <x:f>IF(OR(AH734="yes",AC734="operational",AD734="debated"),"high",IF(AND(AG734="yes",L734="P0"),"medium","low"))</x:f>
        <x:v>high</x:v>
      </x:c>
      <x:c r="AK734" s="12" t="str">
        <x:f>IF(ISNUMBER(SEARCH("healthy",AB734)),"yes","no")</x:f>
        <x:v>no</x:v>
      </x:c>
      <x:c r="AL734" s="12" t="str">
        <x:f>IF(AG734="yes","yes","candidate_only")</x:f>
        <x:v>candidate_only</x:v>
      </x:c>
      <x:c r="AM734" s="12" t="str">
        <x:f>IF(OR(AC734="canonical",AG734="yes"),"yes","recommended")</x:f>
        <x:v>recommended</x:v>
      </x:c>
      <x:c r="AN734" s="12" t="str">
        <x:f>IF(AC734="deprecated","exclude",IF(AND(AG734="yes",AJ734="high"),"import_but_human_review_required",IF(AG734="yes","import_as_active","import_as_backlog")))</x:f>
        <x:v>import_as_backlog</x:v>
      </x:c>
      <x:c r="AO734" s="12" t="str">
        <x:f>IF(AND(AG734="yes",OR(P734="",Q734="",R734="",S734="")),"missing_required_mvp_fields",IF(AND(AC734="canonical",Y734=""),"missing_source_ref","ok"))</x:f>
        <x:v>ok</x:v>
      </x:c>
      <x:c r="AP734" s="12" t="str">
        <x:f>IF(AO734="ok","ready_for_codex_import","needs_review")</x:f>
        <x:v>ready_for_codex_import</x:v>
      </x:c>
      <x:c r="AQ734" s="12"/>
      <x:c r="AR734" s="12" t="str">
        <x:v>Added v2 operational fields. Review before classification activation.</x:v>
      </x:c>
    </x:row>
    <x:row r="735">
      <x:c r="A735" s="13" t="str">
        <x:v>identity_protective_cognition_group_identity_variant</x:v>
      </x:c>
      <x:c r="B735" s="13" t="str">
        <x:v>identity_protective_cognition</x:v>
      </x:c>
      <x:c r="C735" s="13" t="str">
        <x:v>Identity-protective cognition</x:v>
      </x:c>
      <x:c r="D735" s="13" t="str">
        <x:v>شناخت محافظ هویت</x:v>
      </x:c>
      <x:c r="E735" s="13" t="str">
        <x:v>Group-identity variant</x:v>
      </x:c>
      <x:c r="F735" s="13" t="str">
        <x:v>social_influence_patterns</x:v>
      </x:c>
      <x:c r="G735" s="13" t="str">
        <x:v>operational_variant</x:v>
      </x:c>
      <x:c r="H735" s="13" t="str">
        <x:v>contextual</x:v>
      </x:c>
      <x:c r="I735" s="13" t="str">
        <x:v>claim+context</x:v>
      </x:c>
      <x:c r="J735" s="13" t="str">
        <x:v>derived_operational_subtype</x:v>
      </x:c>
      <x:c r="K735" s="13" t="str">
        <x:v>derived_from_established_parent_review_required</x:v>
      </x:c>
      <x:c r="L735" s="13" t="str">
        <x:v>P3</x:v>
      </x:c>
      <x:c r="M735" s="13" t="str">
        <x:v>no</x:v>
      </x:c>
      <x:c r="N735" s="13" t="str">
        <x:v>Operational subtype under Identity-protective cognition: group membership or identity cues shape reasoning. Parent definition: Processing information to protect group identity or status.</x:v>
      </x:c>
      <x:c r="O735" s="13" t="str">
        <x:v>Look for: explicit claim-level evidence; parent-family cues for Identity-protective cognition; variant cue: group membership or identity cues shape reasoning; avoid author-level inference.</x:v>
      </x:c>
      <x:c r="P735" s="13" t="str">
        <x:v>Exact evidence span in text plus claim-level reasoning link; for contextual/discourse entries, require surrounding context.</x:v>
      </x:c>
      <x:c r="Q735" s="13" t="str">
        <x:v>Do not label merely because topic is controversial, emotional, or wrong. Do not judge intent or personality. Require textual evidence and consider healthy-reasoning cues.</x:v>
      </x:c>
      <x:c r="R735" s="13" t="str">
        <x:v>Stub: A claim relies on group membership or identity cues shape reasoning to support a conclusion without adequate qualification.</x:v>
      </x:c>
      <x:c r="S735" s="13" t="str">
        <x:v>Stub: A claim discusses identity-protective cognition with caveats, balanced evidence, or no argumentative use of the pattern.</x:v>
      </x:c>
      <x:c r="T735" s="13" t="str">
        <x:v>Mild or ambiguous cue; do not classify without clear evidence span.</x:v>
      </x:c>
      <x:c r="U735" s="13" t="str">
        <x:v>Clear claim-level pattern with some argumentative impact.</x:v>
      </x:c>
      <x:c r="V735" s="13" t="str">
        <x:v>Strong pattern central to the conclusion and likely to materially distort reasoning.</x:v>
      </x:c>
      <x:c r="W735" s="13" t="str"/>
      <x:c r="X735" s="13" t="str">
        <x:v>stanovich_dual_process</x:v>
      </x:c>
      <x:c r="Y735" s="13" t="str">
        <x:v>https://global.oup.com/academic/product/rationality-and-the-reflective-mind-9780195341140</x:v>
      </x:c>
      <x:c r="Z735" s="13" t="str">
        <x:v>Review before enabling. This workbook is a living taxonomy scaffold, not a validated scientific benchmark.</x:v>
      </x:c>
      <x:c r="AA735" s="13" t="str">
        <x:v>0.1.0-draft</x:v>
      </x:c>
      <x:c r="AB735" s="12" t="str">
        <x:f>IF(ISNUMBER(SEARCH("healthy",F735)),"healthy_reasoning_patterns",IF(ISNUMBER(SEARCH("statistical",F735)),"statistical_reasoning",IF(ISNUMBER(SEARCH("causal",F735)),"causal_reasoning",IF(ISNUMBER(SEARCH("social",F735)),"social_influence",IF(ISNUMBER(SEARCH("rhetoric",F735)),"rhetoric_discourse",IF(ISNUMBER(SEARCH("behavior",F735)),"behavioural_economics",IF(ISNUMBER(SEARCH("cognitive",F735)),"cognitive_biases",IF(J735="protective_pattern","healthy_reasoning_patterns",IF(L735="P0","core_mvp","extended_fallacies")))))))))</x:f>
        <x:v>social_influence</x:v>
      </x:c>
      <x:c r="AC735" s="12" t="str">
        <x:f>IF(ISNUMBER(SEARCH("operational",J735)),"operational",IF(ISNUMBER(SEARCH("deprecated",J735)),"deprecated",IF(L735="P0","canonical","recognized_subtype")))</x:f>
        <x:v>operational</x:v>
      </x:c>
      <x:c r="AD735" s="12" t="str">
        <x:f>IF(AC735="canonical","high",IF(AC735="recognized_subtype","medium",IF(AC735="operational","operational_only","debated")))</x:f>
        <x:v>operational_only</x:v>
      </x:c>
      <x:c r="AE735" s="12" t="str">
        <x:f>IF(AC735="deprecated","deprecated",IF(M735="yes","active",IF(M735="review","review_required","backlog")))</x:f>
        <x:v>backlog</x:v>
      </x:c>
      <x:c r="AF735" s="12" t="str">
        <x:f>IF(OR(AE735="active",AE735="review_required"),"yes","no")</x:f>
        <x:v>no</x:v>
      </x:c>
      <x:c r="AG735" s="12" t="str">
        <x:f>IF(AND(AE735="active",M735="yes",NOT(ISNUMBER(SEARCH("healthy",AB735)))),"yes","no")</x:f>
        <x:v>no</x:v>
      </x:c>
      <x:c r="AH735" s="12" t="str">
        <x:f>IF(OR(H735="contextual",H735="dialogue",H735="discourse",I735="claim+context",I735="discourse_segment"),"yes","no")</x:f>
        <x:v>yes</x:v>
      </x:c>
      <x:c r="AI735" s="12" t="str">
        <x:f>IF(OR(AH735="yes",AD735="debated",AC735="operational"),"yes","no")</x:f>
        <x:v>yes</x:v>
      </x:c>
      <x:c r="AJ735" s="12" t="str">
        <x:f>IF(OR(AH735="yes",AC735="operational",AD735="debated"),"high",IF(AND(AG735="yes",L735="P0"),"medium","low"))</x:f>
        <x:v>high</x:v>
      </x:c>
      <x:c r="AK735" s="12" t="str">
        <x:f>IF(ISNUMBER(SEARCH("healthy",AB735)),"yes","no")</x:f>
        <x:v>no</x:v>
      </x:c>
      <x:c r="AL735" s="12" t="str">
        <x:f>IF(AG735="yes","yes","candidate_only")</x:f>
        <x:v>candidate_only</x:v>
      </x:c>
      <x:c r="AM735" s="12" t="str">
        <x:f>IF(OR(AC735="canonical",AG735="yes"),"yes","recommended")</x:f>
        <x:v>recommended</x:v>
      </x:c>
      <x:c r="AN735" s="12" t="str">
        <x:f>IF(AC735="deprecated","exclude",IF(AND(AG735="yes",AJ735="high"),"import_but_human_review_required",IF(AG735="yes","import_as_active","import_as_backlog")))</x:f>
        <x:v>import_as_backlog</x:v>
      </x:c>
      <x:c r="AO735" s="12" t="str">
        <x:f>IF(AND(AG735="yes",OR(P735="",Q735="",R735="",S735="")),"missing_required_mvp_fields",IF(AND(AC735="canonical",Y735=""),"missing_source_ref","ok"))</x:f>
        <x:v>ok</x:v>
      </x:c>
      <x:c r="AP735" s="12" t="str">
        <x:f>IF(AO735="ok","ready_for_codex_import","needs_review")</x:f>
        <x:v>ready_for_codex_import</x:v>
      </x:c>
      <x:c r="AQ735" s="12"/>
      <x:c r="AR735" s="12" t="str">
        <x:v>Added v2 operational fields. Review before classification activation.</x:v>
      </x:c>
    </x:row>
    <x:row r="736">
      <x:c r="A736" s="13" t="str">
        <x:v>normative_social_influence_group_identity_variant</x:v>
      </x:c>
      <x:c r="B736" s="13" t="str">
        <x:v>normative_social_influence</x:v>
      </x:c>
      <x:c r="C736" s="13" t="str">
        <x:v>Normative social influence</x:v>
      </x:c>
      <x:c r="D736" s="13" t="str">
        <x:v>تأثیر هنجاری اجتماعی</x:v>
      </x:c>
      <x:c r="E736" s="13" t="str">
        <x:v>Group-identity variant</x:v>
      </x:c>
      <x:c r="F736" s="13" t="str">
        <x:v>social_influence_patterns</x:v>
      </x:c>
      <x:c r="G736" s="13" t="str">
        <x:v>operational_variant</x:v>
      </x:c>
      <x:c r="H736" s="13" t="str">
        <x:v>discourse</x:v>
      </x:c>
      <x:c r="I736" s="13" t="str">
        <x:v>discourse_segment</x:v>
      </x:c>
      <x:c r="J736" s="13" t="str">
        <x:v>derived_operational_subtype</x:v>
      </x:c>
      <x:c r="K736" s="13" t="str">
        <x:v>derived_from_established_parent_review_required</x:v>
      </x:c>
      <x:c r="L736" s="13" t="str">
        <x:v>P3</x:v>
      </x:c>
      <x:c r="M736" s="13" t="str">
        <x:v>no</x:v>
      </x:c>
      <x:c r="N736" s="13" t="str">
        <x:v>Operational subtype under Normative social influence: group membership or identity cues shape reasoning. Parent definition: Conforming to gain approval or avoid disapproval.</x:v>
      </x:c>
      <x:c r="O736" s="13" t="str">
        <x:v>Look for: explicit claim-level evidence; parent-family cues for Normative social influence; variant cue: group membership or identity cues shape reasoning; avoid author-level inference.</x:v>
      </x:c>
      <x:c r="P736" s="13" t="str">
        <x:v>Exact evidence span in text plus claim-level reasoning link; for contextual/discourse entries, require surrounding context.</x:v>
      </x:c>
      <x:c r="Q736" s="13" t="str">
        <x:v>Do not label merely because topic is controversial, emotional, or wrong. Do not judge intent or personality. Require textual evidence and consider healthy-reasoning cues.</x:v>
      </x:c>
      <x:c r="R736" s="13" t="str">
        <x:v>Stub: A claim relies on group membership or identity cues shape reasoning to support a conclusion without adequate qualification.</x:v>
      </x:c>
      <x:c r="S736" s="13" t="str">
        <x:v>Stub: A claim discusses normative social influence with caveats, balanced evidence, or no argumentative use of the pattern.</x:v>
      </x:c>
      <x:c r="T736" s="13" t="str">
        <x:v>Mild or ambiguous cue; do not classify without clear evidence span.</x:v>
      </x:c>
      <x:c r="U736" s="13" t="str">
        <x:v>Clear claim-level pattern with some argumentative impact.</x:v>
      </x:c>
      <x:c r="V736" s="13" t="str">
        <x:v>Strong pattern central to the conclusion and likely to materially distort reasoning.</x:v>
      </x:c>
      <x:c r="W736" s="13" t="str"/>
      <x:c r="X736" s="13" t="str">
        <x:v>cialdini_influence</x:v>
      </x:c>
      <x:c r="Y736" s="13" t="str">
        <x:v>https://www.pearson.com/en-us/subject-catalog/p/influence-science-and-practice/P200000003004</x:v>
      </x:c>
      <x:c r="Z736" s="13" t="str">
        <x:v>Review before enabling. This workbook is a living taxonomy scaffold, not a validated scientific benchmark.</x:v>
      </x:c>
      <x:c r="AA736" s="13" t="str">
        <x:v>0.1.0-draft</x:v>
      </x:c>
      <x:c r="AB736" s="12" t="str">
        <x:f>IF(ISNUMBER(SEARCH("healthy",F736)),"healthy_reasoning_patterns",IF(ISNUMBER(SEARCH("statistical",F736)),"statistical_reasoning",IF(ISNUMBER(SEARCH("causal",F736)),"causal_reasoning",IF(ISNUMBER(SEARCH("social",F736)),"social_influence",IF(ISNUMBER(SEARCH("rhetoric",F736)),"rhetoric_discourse",IF(ISNUMBER(SEARCH("behavior",F736)),"behavioural_economics",IF(ISNUMBER(SEARCH("cognitive",F736)),"cognitive_biases",IF(J736="protective_pattern","healthy_reasoning_patterns",IF(L736="P0","core_mvp","extended_fallacies")))))))))</x:f>
        <x:v>social_influence</x:v>
      </x:c>
      <x:c r="AC736" s="12" t="str">
        <x:f>IF(ISNUMBER(SEARCH("operational",J736)),"operational",IF(ISNUMBER(SEARCH("deprecated",J736)),"deprecated",IF(L736="P0","canonical","recognized_subtype")))</x:f>
        <x:v>operational</x:v>
      </x:c>
      <x:c r="AD736" s="12" t="str">
        <x:f>IF(AC736="canonical","high",IF(AC736="recognized_subtype","medium",IF(AC736="operational","operational_only","debated")))</x:f>
        <x:v>operational_only</x:v>
      </x:c>
      <x:c r="AE736" s="12" t="str">
        <x:f>IF(AC736="deprecated","deprecated",IF(M736="yes","active",IF(M736="review","review_required","backlog")))</x:f>
        <x:v>backlog</x:v>
      </x:c>
      <x:c r="AF736" s="12" t="str">
        <x:f>IF(OR(AE736="active",AE736="review_required"),"yes","no")</x:f>
        <x:v>no</x:v>
      </x:c>
      <x:c r="AG736" s="12" t="str">
        <x:f>IF(AND(AE736="active",M736="yes",NOT(ISNUMBER(SEARCH("healthy",AB736)))),"yes","no")</x:f>
        <x:v>no</x:v>
      </x:c>
      <x:c r="AH736" s="12" t="str">
        <x:f>IF(OR(H736="contextual",H736="dialogue",H736="discourse",I736="claim+context",I736="discourse_segment"),"yes","no")</x:f>
        <x:v>yes</x:v>
      </x:c>
      <x:c r="AI736" s="12" t="str">
        <x:f>IF(OR(AH736="yes",AD736="debated",AC736="operational"),"yes","no")</x:f>
        <x:v>yes</x:v>
      </x:c>
      <x:c r="AJ736" s="12" t="str">
        <x:f>IF(OR(AH736="yes",AC736="operational",AD736="debated"),"high",IF(AND(AG736="yes",L736="P0"),"medium","low"))</x:f>
        <x:v>high</x:v>
      </x:c>
      <x:c r="AK736" s="12" t="str">
        <x:f>IF(ISNUMBER(SEARCH("healthy",AB736)),"yes","no")</x:f>
        <x:v>no</x:v>
      </x:c>
      <x:c r="AL736" s="12" t="str">
        <x:f>IF(AG736="yes","yes","candidate_only")</x:f>
        <x:v>candidate_only</x:v>
      </x:c>
      <x:c r="AM736" s="12" t="str">
        <x:f>IF(OR(AC736="canonical",AG736="yes"),"yes","recommended")</x:f>
        <x:v>recommended</x:v>
      </x:c>
      <x:c r="AN736" s="12" t="str">
        <x:f>IF(AC736="deprecated","exclude",IF(AND(AG736="yes",AJ736="high"),"import_but_human_review_required",IF(AG736="yes","import_as_active","import_as_backlog")))</x:f>
        <x:v>import_as_backlog</x:v>
      </x:c>
      <x:c r="AO736" s="12" t="str">
        <x:f>IF(AND(AG736="yes",OR(P736="",Q736="",R736="",S736="")),"missing_required_mvp_fields",IF(AND(AC736="canonical",Y736=""),"missing_source_ref","ok"))</x:f>
        <x:v>ok</x:v>
      </x:c>
      <x:c r="AP736" s="12" t="str">
        <x:f>IF(AO736="ok","ready_for_codex_import","needs_review")</x:f>
        <x:v>ready_for_codex_import</x:v>
      </x:c>
      <x:c r="AQ736" s="12"/>
      <x:c r="AR736" s="12" t="str">
        <x:v>Added v2 operational fields. Review before classification activation.</x:v>
      </x:c>
    </x:row>
    <x:row r="737">
      <x:c r="A737" s="13" t="str">
        <x:v>informational_social_influence_group_identity_variant</x:v>
      </x:c>
      <x:c r="B737" s="13" t="str">
        <x:v>informational_social_influence</x:v>
      </x:c>
      <x:c r="C737" s="13" t="str">
        <x:v>Informational social influence</x:v>
      </x:c>
      <x:c r="D737" s="13" t="str">
        <x:v>تأثیر اطلاعاتی اجتماعی</x:v>
      </x:c>
      <x:c r="E737" s="13" t="str">
        <x:v>Group-identity variant</x:v>
      </x:c>
      <x:c r="F737" s="13" t="str">
        <x:v>social_influence_patterns</x:v>
      </x:c>
      <x:c r="G737" s="13" t="str">
        <x:v>operational_variant</x:v>
      </x:c>
      <x:c r="H737" s="13" t="str">
        <x:v>discourse</x:v>
      </x:c>
      <x:c r="I737" s="13" t="str">
        <x:v>discourse_segment</x:v>
      </x:c>
      <x:c r="J737" s="13" t="str">
        <x:v>derived_operational_subtype</x:v>
      </x:c>
      <x:c r="K737" s="13" t="str">
        <x:v>derived_from_established_parent_review_required</x:v>
      </x:c>
      <x:c r="L737" s="13" t="str">
        <x:v>P3</x:v>
      </x:c>
      <x:c r="M737" s="13" t="str">
        <x:v>no</x:v>
      </x:c>
      <x:c r="N737" s="13" t="str">
        <x:v>Operational subtype under Informational social influence: group membership or identity cues shape reasoning. Parent definition: Treating others' behavior as information under uncertainty.</x:v>
      </x:c>
      <x:c r="O737" s="13" t="str">
        <x:v>Look for: explicit claim-level evidence; parent-family cues for Informational social influence; variant cue: group membership or identity cues shape reasoning; avoid author-level inference.</x:v>
      </x:c>
      <x:c r="P737" s="13" t="str">
        <x:v>Exact evidence span in text plus claim-level reasoning link; for contextual/discourse entries, require surrounding context.</x:v>
      </x:c>
      <x:c r="Q737" s="13" t="str">
        <x:v>Do not label merely because topic is controversial, emotional, or wrong. Do not judge intent or personality. Require textual evidence and consider healthy-reasoning cues.</x:v>
      </x:c>
      <x:c r="R737" s="13" t="str">
        <x:v>Stub: A claim relies on group membership or identity cues shape reasoning to support a conclusion without adequate qualification.</x:v>
      </x:c>
      <x:c r="S737" s="13" t="str">
        <x:v>Stub: A claim discusses informational social influence with caveats, balanced evidence, or no argumentative use of the pattern.</x:v>
      </x:c>
      <x:c r="T737" s="13" t="str">
        <x:v>Mild or ambiguous cue; do not classify without clear evidence span.</x:v>
      </x:c>
      <x:c r="U737" s="13" t="str">
        <x:v>Clear claim-level pattern with some argumentative impact.</x:v>
      </x:c>
      <x:c r="V737" s="13" t="str">
        <x:v>Strong pattern central to the conclusion and likely to materially distort reasoning.</x:v>
      </x:c>
      <x:c r="W737" s="13" t="str"/>
      <x:c r="X737" s="13" t="str">
        <x:v>cialdini_influence</x:v>
      </x:c>
      <x:c r="Y737" s="13" t="str">
        <x:v>https://www.pearson.com/en-us/subject-catalog/p/influence-science-and-practice/P200000003004</x:v>
      </x:c>
      <x:c r="Z737" s="13" t="str">
        <x:v>Review before enabling. This workbook is a living taxonomy scaffold, not a validated scientific benchmark.</x:v>
      </x:c>
      <x:c r="AA737" s="13" t="str">
        <x:v>0.1.0-draft</x:v>
      </x:c>
      <x:c r="AB737" s="12" t="str">
        <x:f>IF(ISNUMBER(SEARCH("healthy",F737)),"healthy_reasoning_patterns",IF(ISNUMBER(SEARCH("statistical",F737)),"statistical_reasoning",IF(ISNUMBER(SEARCH("causal",F737)),"causal_reasoning",IF(ISNUMBER(SEARCH("social",F737)),"social_influence",IF(ISNUMBER(SEARCH("rhetoric",F737)),"rhetoric_discourse",IF(ISNUMBER(SEARCH("behavior",F737)),"behavioural_economics",IF(ISNUMBER(SEARCH("cognitive",F737)),"cognitive_biases",IF(J737="protective_pattern","healthy_reasoning_patterns",IF(L737="P0","core_mvp","extended_fallacies")))))))))</x:f>
        <x:v>social_influence</x:v>
      </x:c>
      <x:c r="AC737" s="12" t="str">
        <x:f>IF(ISNUMBER(SEARCH("operational",J737)),"operational",IF(ISNUMBER(SEARCH("deprecated",J737)),"deprecated",IF(L737="P0","canonical","recognized_subtype")))</x:f>
        <x:v>operational</x:v>
      </x:c>
      <x:c r="AD737" s="12" t="str">
        <x:f>IF(AC737="canonical","high",IF(AC737="recognized_subtype","medium",IF(AC737="operational","operational_only","debated")))</x:f>
        <x:v>operational_only</x:v>
      </x:c>
      <x:c r="AE737" s="12" t="str">
        <x:f>IF(AC737="deprecated","deprecated",IF(M737="yes","active",IF(M737="review","review_required","backlog")))</x:f>
        <x:v>backlog</x:v>
      </x:c>
      <x:c r="AF737" s="12" t="str">
        <x:f>IF(OR(AE737="active",AE737="review_required"),"yes","no")</x:f>
        <x:v>no</x:v>
      </x:c>
      <x:c r="AG737" s="12" t="str">
        <x:f>IF(AND(AE737="active",M737="yes",NOT(ISNUMBER(SEARCH("healthy",AB737)))),"yes","no")</x:f>
        <x:v>no</x:v>
      </x:c>
      <x:c r="AH737" s="12" t="str">
        <x:f>IF(OR(H737="contextual",H737="dialogue",H737="discourse",I737="claim+context",I737="discourse_segment"),"yes","no")</x:f>
        <x:v>yes</x:v>
      </x:c>
      <x:c r="AI737" s="12" t="str">
        <x:f>IF(OR(AH737="yes",AD737="debated",AC737="operational"),"yes","no")</x:f>
        <x:v>yes</x:v>
      </x:c>
      <x:c r="AJ737" s="12" t="str">
        <x:f>IF(OR(AH737="yes",AC737="operational",AD737="debated"),"high",IF(AND(AG737="yes",L737="P0"),"medium","low"))</x:f>
        <x:v>high</x:v>
      </x:c>
      <x:c r="AK737" s="12" t="str">
        <x:f>IF(ISNUMBER(SEARCH("healthy",AB737)),"yes","no")</x:f>
        <x:v>no</x:v>
      </x:c>
      <x:c r="AL737" s="12" t="str">
        <x:f>IF(AG737="yes","yes","candidate_only")</x:f>
        <x:v>candidate_only</x:v>
      </x:c>
      <x:c r="AM737" s="12" t="str">
        <x:f>IF(OR(AC737="canonical",AG737="yes"),"yes","recommended")</x:f>
        <x:v>recommended</x:v>
      </x:c>
      <x:c r="AN737" s="12" t="str">
        <x:f>IF(AC737="deprecated","exclude",IF(AND(AG737="yes",AJ737="high"),"import_but_human_review_required",IF(AG737="yes","import_as_active","import_as_backlog")))</x:f>
        <x:v>import_as_backlog</x:v>
      </x:c>
      <x:c r="AO737" s="12" t="str">
        <x:f>IF(AND(AG737="yes",OR(P737="",Q737="",R737="",S737="")),"missing_required_mvp_fields",IF(AND(AC737="canonical",Y737=""),"missing_source_ref","ok"))</x:f>
        <x:v>ok</x:v>
      </x:c>
      <x:c r="AP737" s="12" t="str">
        <x:f>IF(AO737="ok","ready_for_codex_import","needs_review")</x:f>
        <x:v>ready_for_codex_import</x:v>
      </x:c>
      <x:c r="AQ737" s="12"/>
      <x:c r="AR737" s="12" t="str">
        <x:v>Added v2 operational fields. Review before classification activation.</x:v>
      </x:c>
    </x:row>
    <x:row r="738">
      <x:c r="A738" s="13" t="str">
        <x:v>reciprocity_pressure_group_identity_variant</x:v>
      </x:c>
      <x:c r="B738" s="13" t="str">
        <x:v>reciprocity_pressure</x:v>
      </x:c>
      <x:c r="C738" s="13" t="str">
        <x:v>Reciprocity pressure</x:v>
      </x:c>
      <x:c r="D738" s="13" t="str">
        <x:v>فشار جبران متقابل</x:v>
      </x:c>
      <x:c r="E738" s="13" t="str">
        <x:v>Group-identity variant</x:v>
      </x:c>
      <x:c r="F738" s="13" t="str">
        <x:v>social_influence_patterns</x:v>
      </x:c>
      <x:c r="G738" s="13" t="str">
        <x:v>operational_variant</x:v>
      </x:c>
      <x:c r="H738" s="13" t="str">
        <x:v>discourse</x:v>
      </x:c>
      <x:c r="I738" s="13" t="str">
        <x:v>discourse_segment</x:v>
      </x:c>
      <x:c r="J738" s="13" t="str">
        <x:v>derived_operational_subtype</x:v>
      </x:c>
      <x:c r="K738" s="13" t="str">
        <x:v>derived_from_established_parent_review_required</x:v>
      </x:c>
      <x:c r="L738" s="13" t="str">
        <x:v>P3</x:v>
      </x:c>
      <x:c r="M738" s="13" t="str">
        <x:v>no</x:v>
      </x:c>
      <x:c r="N738" s="13" t="str">
        <x:v>Operational subtype under Reciprocity pressure: group membership or identity cues shape reasoning. Parent definition: Feeling obliged to comply because of a prior favor.</x:v>
      </x:c>
      <x:c r="O738" s="13" t="str">
        <x:v>Look for: explicit claim-level evidence; parent-family cues for Reciprocity pressure; variant cue: group membership or identity cues shape reasoning; avoid author-level inference.</x:v>
      </x:c>
      <x:c r="P738" s="13" t="str">
        <x:v>Exact evidence span in text plus claim-level reasoning link; for contextual/discourse entries, require surrounding context.</x:v>
      </x:c>
      <x:c r="Q738" s="13" t="str">
        <x:v>Do not label merely because topic is controversial, emotional, or wrong. Do not judge intent or personality. Require textual evidence and consider healthy-reasoning cues.</x:v>
      </x:c>
      <x:c r="R738" s="13" t="str">
        <x:v>Stub: A claim relies on group membership or identity cues shape reasoning to support a conclusion without adequate qualification.</x:v>
      </x:c>
      <x:c r="S738" s="13" t="str">
        <x:v>Stub: A claim discusses reciprocity pressure with caveats, balanced evidence, or no argumentative use of the pattern.</x:v>
      </x:c>
      <x:c r="T738" s="13" t="str">
        <x:v>Mild or ambiguous cue; do not classify without clear evidence span.</x:v>
      </x:c>
      <x:c r="U738" s="13" t="str">
        <x:v>Clear claim-level pattern with some argumentative impact.</x:v>
      </x:c>
      <x:c r="V738" s="13" t="str">
        <x:v>Strong pattern central to the conclusion and likely to materially distort reasoning.</x:v>
      </x:c>
      <x:c r="W738" s="13" t="str"/>
      <x:c r="X738" s="13" t="str">
        <x:v>cialdini_influence</x:v>
      </x:c>
      <x:c r="Y738" s="13" t="str">
        <x:v>https://www.pearson.com/en-us/subject-catalog/p/influence-science-and-practice/P200000003004</x:v>
      </x:c>
      <x:c r="Z738" s="13" t="str">
        <x:v>Review before enabling. This workbook is a living taxonomy scaffold, not a validated scientific benchmark.</x:v>
      </x:c>
      <x:c r="AA738" s="13" t="str">
        <x:v>0.1.0-draft</x:v>
      </x:c>
      <x:c r="AB738" s="12" t="str">
        <x:f>IF(ISNUMBER(SEARCH("healthy",F738)),"healthy_reasoning_patterns",IF(ISNUMBER(SEARCH("statistical",F738)),"statistical_reasoning",IF(ISNUMBER(SEARCH("causal",F738)),"causal_reasoning",IF(ISNUMBER(SEARCH("social",F738)),"social_influence",IF(ISNUMBER(SEARCH("rhetoric",F738)),"rhetoric_discourse",IF(ISNUMBER(SEARCH("behavior",F738)),"behavioural_economics",IF(ISNUMBER(SEARCH("cognitive",F738)),"cognitive_biases",IF(J738="protective_pattern","healthy_reasoning_patterns",IF(L738="P0","core_mvp","extended_fallacies")))))))))</x:f>
        <x:v>social_influence</x:v>
      </x:c>
      <x:c r="AC738" s="12" t="str">
        <x:f>IF(ISNUMBER(SEARCH("operational",J738)),"operational",IF(ISNUMBER(SEARCH("deprecated",J738)),"deprecated",IF(L738="P0","canonical","recognized_subtype")))</x:f>
        <x:v>operational</x:v>
      </x:c>
      <x:c r="AD738" s="12" t="str">
        <x:f>IF(AC738="canonical","high",IF(AC738="recognized_subtype","medium",IF(AC738="operational","operational_only","debated")))</x:f>
        <x:v>operational_only</x:v>
      </x:c>
      <x:c r="AE738" s="12" t="str">
        <x:f>IF(AC738="deprecated","deprecated",IF(M738="yes","active",IF(M738="review","review_required","backlog")))</x:f>
        <x:v>backlog</x:v>
      </x:c>
      <x:c r="AF738" s="12" t="str">
        <x:f>IF(OR(AE738="active",AE738="review_required"),"yes","no")</x:f>
        <x:v>no</x:v>
      </x:c>
      <x:c r="AG738" s="12" t="str">
        <x:f>IF(AND(AE738="active",M738="yes",NOT(ISNUMBER(SEARCH("healthy",AB738)))),"yes","no")</x:f>
        <x:v>no</x:v>
      </x:c>
      <x:c r="AH738" s="12" t="str">
        <x:f>IF(OR(H738="contextual",H738="dialogue",H738="discourse",I738="claim+context",I738="discourse_segment"),"yes","no")</x:f>
        <x:v>yes</x:v>
      </x:c>
      <x:c r="AI738" s="12" t="str">
        <x:f>IF(OR(AH738="yes",AD738="debated",AC738="operational"),"yes","no")</x:f>
        <x:v>yes</x:v>
      </x:c>
      <x:c r="AJ738" s="12" t="str">
        <x:f>IF(OR(AH738="yes",AC738="operational",AD738="debated"),"high",IF(AND(AG738="yes",L738="P0"),"medium","low"))</x:f>
        <x:v>high</x:v>
      </x:c>
      <x:c r="AK738" s="12" t="str">
        <x:f>IF(ISNUMBER(SEARCH("healthy",AB738)),"yes","no")</x:f>
        <x:v>no</x:v>
      </x:c>
      <x:c r="AL738" s="12" t="str">
        <x:f>IF(AG738="yes","yes","candidate_only")</x:f>
        <x:v>candidate_only</x:v>
      </x:c>
      <x:c r="AM738" s="12" t="str">
        <x:f>IF(OR(AC738="canonical",AG738="yes"),"yes","recommended")</x:f>
        <x:v>recommended</x:v>
      </x:c>
      <x:c r="AN738" s="12" t="str">
        <x:f>IF(AC738="deprecated","exclude",IF(AND(AG738="yes",AJ738="high"),"import_but_human_review_required",IF(AG738="yes","import_as_active","import_as_backlog")))</x:f>
        <x:v>import_as_backlog</x:v>
      </x:c>
      <x:c r="AO738" s="12" t="str">
        <x:f>IF(AND(AG738="yes",OR(P738="",Q738="",R738="",S738="")),"missing_required_mvp_fields",IF(AND(AC738="canonical",Y738=""),"missing_source_ref","ok"))</x:f>
        <x:v>ok</x:v>
      </x:c>
      <x:c r="AP738" s="12" t="str">
        <x:f>IF(AO738="ok","ready_for_codex_import","needs_review")</x:f>
        <x:v>ready_for_codex_import</x:v>
      </x:c>
      <x:c r="AQ738" s="12"/>
      <x:c r="AR738" s="12" t="str">
        <x:v>Added v2 operational fields. Review before classification activation.</x:v>
      </x:c>
    </x:row>
    <x:row r="739">
      <x:c r="A739" s="13" t="str">
        <x:v>commitment_consistency_pressure_group_identity_variant</x:v>
      </x:c>
      <x:c r="B739" s="13" t="str">
        <x:v>commitment_consistency_pressure</x:v>
      </x:c>
      <x:c r="C739" s="13" t="str">
        <x:v>Commitment-consistency pressure</x:v>
      </x:c>
      <x:c r="D739" s="13" t="str">
        <x:v>فشار ثبات تعهد</x:v>
      </x:c>
      <x:c r="E739" s="13" t="str">
        <x:v>Group-identity variant</x:v>
      </x:c>
      <x:c r="F739" s="13" t="str">
        <x:v>social_influence_patterns</x:v>
      </x:c>
      <x:c r="G739" s="13" t="str">
        <x:v>operational_variant</x:v>
      </x:c>
      <x:c r="H739" s="13" t="str">
        <x:v>discourse</x:v>
      </x:c>
      <x:c r="I739" s="13" t="str">
        <x:v>discourse_segment</x:v>
      </x:c>
      <x:c r="J739" s="13" t="str">
        <x:v>derived_operational_subtype</x:v>
      </x:c>
      <x:c r="K739" s="13" t="str">
        <x:v>derived_from_established_parent_review_required</x:v>
      </x:c>
      <x:c r="L739" s="13" t="str">
        <x:v>P3</x:v>
      </x:c>
      <x:c r="M739" s="13" t="str">
        <x:v>no</x:v>
      </x:c>
      <x:c r="N739" s="13" t="str">
        <x:v>Operational subtype under Commitment-consistency pressure: group membership or identity cues shape reasoning. Parent definition: Pressure to act consistently with a prior public commitment.</x:v>
      </x:c>
      <x:c r="O739" s="13" t="str">
        <x:v>Look for: explicit claim-level evidence; parent-family cues for Commitment-consistency pressure; variant cue: group membership or identity cues shape reasoning; avoid author-level inference.</x:v>
      </x:c>
      <x:c r="P739" s="13" t="str">
        <x:v>Exact evidence span in text plus claim-level reasoning link; for contextual/discourse entries, require surrounding context.</x:v>
      </x:c>
      <x:c r="Q739" s="13" t="str">
        <x:v>Do not label merely because topic is controversial, emotional, or wrong. Do not judge intent or personality. Require textual evidence and consider healthy-reasoning cues.</x:v>
      </x:c>
      <x:c r="R739" s="13" t="str">
        <x:v>Stub: A claim relies on group membership or identity cues shape reasoning to support a conclusion without adequate qualification.</x:v>
      </x:c>
      <x:c r="S739" s="13" t="str">
        <x:v>Stub: A claim discusses commitment-consistency pressure with caveats, balanced evidence, or no argumentative use of the pattern.</x:v>
      </x:c>
      <x:c r="T739" s="13" t="str">
        <x:v>Mild or ambiguous cue; do not classify without clear evidence span.</x:v>
      </x:c>
      <x:c r="U739" s="13" t="str">
        <x:v>Clear claim-level pattern with some argumentative impact.</x:v>
      </x:c>
      <x:c r="V739" s="13" t="str">
        <x:v>Strong pattern central to the conclusion and likely to materially distort reasoning.</x:v>
      </x:c>
      <x:c r="W739" s="13" t="str"/>
      <x:c r="X739" s="13" t="str">
        <x:v>cialdini_influence</x:v>
      </x:c>
      <x:c r="Y739" s="13" t="str">
        <x:v>https://www.pearson.com/en-us/subject-catalog/p/influence-science-and-practice/P200000003004</x:v>
      </x:c>
      <x:c r="Z739" s="13" t="str">
        <x:v>Review before enabling. This workbook is a living taxonomy scaffold, not a validated scientific benchmark.</x:v>
      </x:c>
      <x:c r="AA739" s="13" t="str">
        <x:v>0.1.0-draft</x:v>
      </x:c>
      <x:c r="AB739" s="12" t="str">
        <x:f>IF(ISNUMBER(SEARCH("healthy",F739)),"healthy_reasoning_patterns",IF(ISNUMBER(SEARCH("statistical",F739)),"statistical_reasoning",IF(ISNUMBER(SEARCH("causal",F739)),"causal_reasoning",IF(ISNUMBER(SEARCH("social",F739)),"social_influence",IF(ISNUMBER(SEARCH("rhetoric",F739)),"rhetoric_discourse",IF(ISNUMBER(SEARCH("behavior",F739)),"behavioural_economics",IF(ISNUMBER(SEARCH("cognitive",F739)),"cognitive_biases",IF(J739="protective_pattern","healthy_reasoning_patterns",IF(L739="P0","core_mvp","extended_fallacies")))))))))</x:f>
        <x:v>social_influence</x:v>
      </x:c>
      <x:c r="AC739" s="12" t="str">
        <x:f>IF(ISNUMBER(SEARCH("operational",J739)),"operational",IF(ISNUMBER(SEARCH("deprecated",J739)),"deprecated",IF(L739="P0","canonical","recognized_subtype")))</x:f>
        <x:v>operational</x:v>
      </x:c>
      <x:c r="AD739" s="12" t="str">
        <x:f>IF(AC739="canonical","high",IF(AC739="recognized_subtype","medium",IF(AC739="operational","operational_only","debated")))</x:f>
        <x:v>operational_only</x:v>
      </x:c>
      <x:c r="AE739" s="12" t="str">
        <x:f>IF(AC739="deprecated","deprecated",IF(M739="yes","active",IF(M739="review","review_required","backlog")))</x:f>
        <x:v>backlog</x:v>
      </x:c>
      <x:c r="AF739" s="12" t="str">
        <x:f>IF(OR(AE739="active",AE739="review_required"),"yes","no")</x:f>
        <x:v>no</x:v>
      </x:c>
      <x:c r="AG739" s="12" t="str">
        <x:f>IF(AND(AE739="active",M739="yes",NOT(ISNUMBER(SEARCH("healthy",AB739)))),"yes","no")</x:f>
        <x:v>no</x:v>
      </x:c>
      <x:c r="AH739" s="12" t="str">
        <x:f>IF(OR(H739="contextual",H739="dialogue",H739="discourse",I739="claim+context",I739="discourse_segment"),"yes","no")</x:f>
        <x:v>yes</x:v>
      </x:c>
      <x:c r="AI739" s="12" t="str">
        <x:f>IF(OR(AH739="yes",AD739="debated",AC739="operational"),"yes","no")</x:f>
        <x:v>yes</x:v>
      </x:c>
      <x:c r="AJ739" s="12" t="str">
        <x:f>IF(OR(AH739="yes",AC739="operational",AD739="debated"),"high",IF(AND(AG739="yes",L739="P0"),"medium","low"))</x:f>
        <x:v>high</x:v>
      </x:c>
      <x:c r="AK739" s="12" t="str">
        <x:f>IF(ISNUMBER(SEARCH("healthy",AB739)),"yes","no")</x:f>
        <x:v>no</x:v>
      </x:c>
      <x:c r="AL739" s="12" t="str">
        <x:f>IF(AG739="yes","yes","candidate_only")</x:f>
        <x:v>candidate_only</x:v>
      </x:c>
      <x:c r="AM739" s="12" t="str">
        <x:f>IF(OR(AC739="canonical",AG739="yes"),"yes","recommended")</x:f>
        <x:v>recommended</x:v>
      </x:c>
      <x:c r="AN739" s="12" t="str">
        <x:f>IF(AC739="deprecated","exclude",IF(AND(AG739="yes",AJ739="high"),"import_but_human_review_required",IF(AG739="yes","import_as_active","import_as_backlog")))</x:f>
        <x:v>import_as_backlog</x:v>
      </x:c>
      <x:c r="AO739" s="12" t="str">
        <x:f>IF(AND(AG739="yes",OR(P739="",Q739="",R739="",S739="")),"missing_required_mvp_fields",IF(AND(AC739="canonical",Y739=""),"missing_source_ref","ok"))</x:f>
        <x:v>ok</x:v>
      </x:c>
      <x:c r="AP739" s="12" t="str">
        <x:f>IF(AO739="ok","ready_for_codex_import","needs_review")</x:f>
        <x:v>ready_for_codex_import</x:v>
      </x:c>
      <x:c r="AQ739" s="12"/>
      <x:c r="AR739" s="12" t="str">
        <x:v>Added v2 operational fields. Review before classification activation.</x:v>
      </x:c>
    </x:row>
    <x:row r="740">
      <x:c r="A740" s="13" t="str">
        <x:v>liking_bias_group_identity_variant</x:v>
      </x:c>
      <x:c r="B740" s="13" t="str">
        <x:v>liking_bias</x:v>
      </x:c>
      <x:c r="C740" s="13" t="str">
        <x:v>Liking bias</x:v>
      </x:c>
      <x:c r="D740" s="13" t="str">
        <x:v>سوگیری علاقه‌مندی</x:v>
      </x:c>
      <x:c r="E740" s="13" t="str">
        <x:v>Group-identity variant</x:v>
      </x:c>
      <x:c r="F740" s="13" t="str">
        <x:v>social_influence_patterns</x:v>
      </x:c>
      <x:c r="G740" s="13" t="str">
        <x:v>operational_variant</x:v>
      </x:c>
      <x:c r="H740" s="13" t="str">
        <x:v>contextual</x:v>
      </x:c>
      <x:c r="I740" s="13" t="str">
        <x:v>claim+context</x:v>
      </x:c>
      <x:c r="J740" s="13" t="str">
        <x:v>derived_operational_subtype</x:v>
      </x:c>
      <x:c r="K740" s="13" t="str">
        <x:v>derived_from_established_parent_review_required</x:v>
      </x:c>
      <x:c r="L740" s="13" t="str">
        <x:v>P3</x:v>
      </x:c>
      <x:c r="M740" s="13" t="str">
        <x:v>no</x:v>
      </x:c>
      <x:c r="N740" s="13" t="str">
        <x:v>Operational subtype under Liking bias: group membership or identity cues shape reasoning. Parent definition: Accepting a claim more readily because the communicator is liked.</x:v>
      </x:c>
      <x:c r="O740" s="13" t="str">
        <x:v>Look for: explicit claim-level evidence; parent-family cues for Liking bias; variant cue: group membership or identity cues shape reasoning; avoid author-level inference.</x:v>
      </x:c>
      <x:c r="P740" s="13" t="str">
        <x:v>Exact evidence span in text plus claim-level reasoning link; for contextual/discourse entries, require surrounding context.</x:v>
      </x:c>
      <x:c r="Q740" s="13" t="str">
        <x:v>Do not label merely because topic is controversial, emotional, or wrong. Do not judge intent or personality. Require textual evidence and consider healthy-reasoning cues.</x:v>
      </x:c>
      <x:c r="R740" s="13" t="str">
        <x:v>Stub: A claim relies on group membership or identity cues shape reasoning to support a conclusion without adequate qualification.</x:v>
      </x:c>
      <x:c r="S740" s="13" t="str">
        <x:v>Stub: A claim discusses liking bias with caveats, balanced evidence, or no argumentative use of the pattern.</x:v>
      </x:c>
      <x:c r="T740" s="13" t="str">
        <x:v>Mild or ambiguous cue; do not classify without clear evidence span.</x:v>
      </x:c>
      <x:c r="U740" s="13" t="str">
        <x:v>Clear claim-level pattern with some argumentative impact.</x:v>
      </x:c>
      <x:c r="V740" s="13" t="str">
        <x:v>Strong pattern central to the conclusion and likely to materially distort reasoning.</x:v>
      </x:c>
      <x:c r="W740" s="13" t="str"/>
      <x:c r="X740" s="13" t="str">
        <x:v>cialdini_influence</x:v>
      </x:c>
      <x:c r="Y740" s="13" t="str">
        <x:v>https://www.pearson.com/en-us/subject-catalog/p/influence-science-and-practice/P200000003004</x:v>
      </x:c>
      <x:c r="Z740" s="13" t="str">
        <x:v>Review before enabling. This workbook is a living taxonomy scaffold, not a validated scientific benchmark.</x:v>
      </x:c>
      <x:c r="AA740" s="13" t="str">
        <x:v>0.1.0-draft</x:v>
      </x:c>
      <x:c r="AB740" s="12" t="str">
        <x:f>IF(ISNUMBER(SEARCH("healthy",F740)),"healthy_reasoning_patterns",IF(ISNUMBER(SEARCH("statistical",F740)),"statistical_reasoning",IF(ISNUMBER(SEARCH("causal",F740)),"causal_reasoning",IF(ISNUMBER(SEARCH("social",F740)),"social_influence",IF(ISNUMBER(SEARCH("rhetoric",F740)),"rhetoric_discourse",IF(ISNUMBER(SEARCH("behavior",F740)),"behavioural_economics",IF(ISNUMBER(SEARCH("cognitive",F740)),"cognitive_biases",IF(J740="protective_pattern","healthy_reasoning_patterns",IF(L740="P0","core_mvp","extended_fallacies")))))))))</x:f>
        <x:v>social_influence</x:v>
      </x:c>
      <x:c r="AC740" s="12" t="str">
        <x:f>IF(ISNUMBER(SEARCH("operational",J740)),"operational",IF(ISNUMBER(SEARCH("deprecated",J740)),"deprecated",IF(L740="P0","canonical","recognized_subtype")))</x:f>
        <x:v>operational</x:v>
      </x:c>
      <x:c r="AD740" s="12" t="str">
        <x:f>IF(AC740="canonical","high",IF(AC740="recognized_subtype","medium",IF(AC740="operational","operational_only","debated")))</x:f>
        <x:v>operational_only</x:v>
      </x:c>
      <x:c r="AE740" s="12" t="str">
        <x:f>IF(AC740="deprecated","deprecated",IF(M740="yes","active",IF(M740="review","review_required","backlog")))</x:f>
        <x:v>backlog</x:v>
      </x:c>
      <x:c r="AF740" s="12" t="str">
        <x:f>IF(OR(AE740="active",AE740="review_required"),"yes","no")</x:f>
        <x:v>no</x:v>
      </x:c>
      <x:c r="AG740" s="12" t="str">
        <x:f>IF(AND(AE740="active",M740="yes",NOT(ISNUMBER(SEARCH("healthy",AB740)))),"yes","no")</x:f>
        <x:v>no</x:v>
      </x:c>
      <x:c r="AH740" s="12" t="str">
        <x:f>IF(OR(H740="contextual",H740="dialogue",H740="discourse",I740="claim+context",I740="discourse_segment"),"yes","no")</x:f>
        <x:v>yes</x:v>
      </x:c>
      <x:c r="AI740" s="12" t="str">
        <x:f>IF(OR(AH740="yes",AD740="debated",AC740="operational"),"yes","no")</x:f>
        <x:v>yes</x:v>
      </x:c>
      <x:c r="AJ740" s="12" t="str">
        <x:f>IF(OR(AH740="yes",AC740="operational",AD740="debated"),"high",IF(AND(AG740="yes",L740="P0"),"medium","low"))</x:f>
        <x:v>high</x:v>
      </x:c>
      <x:c r="AK740" s="12" t="str">
        <x:f>IF(ISNUMBER(SEARCH("healthy",AB740)),"yes","no")</x:f>
        <x:v>no</x:v>
      </x:c>
      <x:c r="AL740" s="12" t="str">
        <x:f>IF(AG740="yes","yes","candidate_only")</x:f>
        <x:v>candidate_only</x:v>
      </x:c>
      <x:c r="AM740" s="12" t="str">
        <x:f>IF(OR(AC740="canonical",AG740="yes"),"yes","recommended")</x:f>
        <x:v>recommended</x:v>
      </x:c>
      <x:c r="AN740" s="12" t="str">
        <x:f>IF(AC740="deprecated","exclude",IF(AND(AG740="yes",AJ740="high"),"import_but_human_review_required",IF(AG740="yes","import_as_active","import_as_backlog")))</x:f>
        <x:v>import_as_backlog</x:v>
      </x:c>
      <x:c r="AO740" s="12" t="str">
        <x:f>IF(AND(AG740="yes",OR(P740="",Q740="",R740="",S740="")),"missing_required_mvp_fields",IF(AND(AC740="canonical",Y740=""),"missing_source_ref","ok"))</x:f>
        <x:v>ok</x:v>
      </x:c>
      <x:c r="AP740" s="12" t="str">
        <x:f>IF(AO740="ok","ready_for_codex_import","needs_review")</x:f>
        <x:v>ready_for_codex_import</x:v>
      </x:c>
      <x:c r="AQ740" s="12"/>
      <x:c r="AR740" s="12" t="str">
        <x:v>Added v2 operational fields. Review before classification activation.</x:v>
      </x:c>
    </x:row>
    <x:row r="741">
      <x:c r="A741" s="13" t="str">
        <x:v>halo_authority_blend_group_identity_variant</x:v>
      </x:c>
      <x:c r="B741" s="13" t="str">
        <x:v>halo_authority_blend</x:v>
      </x:c>
      <x:c r="C741" s="13" t="str">
        <x:v>Halo-authority blend</x:v>
      </x:c>
      <x:c r="D741" s="13" t="str">
        <x:v>ترکیب هاله و اقتدار</x:v>
      </x:c>
      <x:c r="E741" s="13" t="str">
        <x:v>Group-identity variant</x:v>
      </x:c>
      <x:c r="F741" s="13" t="str">
        <x:v>social_influence_patterns</x:v>
      </x:c>
      <x:c r="G741" s="13" t="str">
        <x:v>operational_variant</x:v>
      </x:c>
      <x:c r="H741" s="13" t="str">
        <x:v>contextual</x:v>
      </x:c>
      <x:c r="I741" s="13" t="str">
        <x:v>claim+context</x:v>
      </x:c>
      <x:c r="J741" s="13" t="str">
        <x:v>derived_operational_subtype</x:v>
      </x:c>
      <x:c r="K741" s="13" t="str">
        <x:v>derived_from_established_parent_review_required</x:v>
      </x:c>
      <x:c r="L741" s="13" t="str">
        <x:v>P3</x:v>
      </x:c>
      <x:c r="M741" s="13" t="str">
        <x:v>no</x:v>
      </x:c>
      <x:c r="N741" s="13" t="str">
        <x:v>Operational subtype under Halo-authority blend: group membership or identity cues shape reasoning. Parent definition: Positive global impressions amplify perceived authority.</x:v>
      </x:c>
      <x:c r="O741" s="13" t="str">
        <x:v>Look for: explicit claim-level evidence; parent-family cues for Halo-authority blend; variant cue: group membership or identity cues shape reasoning; avoid author-level inference.</x:v>
      </x:c>
      <x:c r="P741" s="13" t="str">
        <x:v>Exact evidence span in text plus claim-level reasoning link; for contextual/discourse entries, require surrounding context.</x:v>
      </x:c>
      <x:c r="Q741" s="13" t="str">
        <x:v>Do not label merely because topic is controversial, emotional, or wrong. Do not judge intent or personality. Require textual evidence and consider healthy-reasoning cues.</x:v>
      </x:c>
      <x:c r="R741" s="13" t="str">
        <x:v>Stub: A claim relies on group membership or identity cues shape reasoning to support a conclusion without adequate qualification.</x:v>
      </x:c>
      <x:c r="S741" s="13" t="str">
        <x:v>Stub: A claim discusses halo-authority blend with caveats, balanced evidence, or no argumentative use of the pattern.</x:v>
      </x:c>
      <x:c r="T741" s="13" t="str">
        <x:v>Mild or ambiguous cue; do not classify without clear evidence span.</x:v>
      </x:c>
      <x:c r="U741" s="13" t="str">
        <x:v>Clear claim-level pattern with some argumentative impact.</x:v>
      </x:c>
      <x:c r="V741" s="13" t="str">
        <x:v>Strong pattern central to the conclusion and likely to materially distort reasoning.</x:v>
      </x:c>
      <x:c r="W741" s="13" t="str">
        <x:v>authority_bias; appeal_to_authority_misuse; source_triangulation</x:v>
      </x:c>
      <x:c r="X741" s="13" t="str">
        <x:v>cialdini_influence</x:v>
      </x:c>
      <x:c r="Y741" s="13" t="str">
        <x:v>https://www.pearson.com/en-us/subject-catalog/p/influence-science-and-practice/P200000003004</x:v>
      </x:c>
      <x:c r="Z741" s="13" t="str">
        <x:v>Review before enabling. This workbook is a living taxonomy scaffold, not a validated scientific benchmark.</x:v>
      </x:c>
      <x:c r="AA741" s="13" t="str">
        <x:v>0.1.0-draft</x:v>
      </x:c>
      <x:c r="AB741" s="12" t="str">
        <x:f>IF(ISNUMBER(SEARCH("healthy",F741)),"healthy_reasoning_patterns",IF(ISNUMBER(SEARCH("statistical",F741)),"statistical_reasoning",IF(ISNUMBER(SEARCH("causal",F741)),"causal_reasoning",IF(ISNUMBER(SEARCH("social",F741)),"social_influence",IF(ISNUMBER(SEARCH("rhetoric",F741)),"rhetoric_discourse",IF(ISNUMBER(SEARCH("behavior",F741)),"behavioural_economics",IF(ISNUMBER(SEARCH("cognitive",F741)),"cognitive_biases",IF(J741="protective_pattern","healthy_reasoning_patterns",IF(L741="P0","core_mvp","extended_fallacies")))))))))</x:f>
        <x:v>social_influence</x:v>
      </x:c>
      <x:c r="AC741" s="12" t="str">
        <x:f>IF(ISNUMBER(SEARCH("operational",J741)),"operational",IF(ISNUMBER(SEARCH("deprecated",J741)),"deprecated",IF(L741="P0","canonical","recognized_subtype")))</x:f>
        <x:v>operational</x:v>
      </x:c>
      <x:c r="AD741" s="12" t="str">
        <x:f>IF(AC741="canonical","high",IF(AC741="recognized_subtype","medium",IF(AC741="operational","operational_only","debated")))</x:f>
        <x:v>operational_only</x:v>
      </x:c>
      <x:c r="AE741" s="12" t="str">
        <x:f>IF(AC741="deprecated","deprecated",IF(M741="yes","active",IF(M741="review","review_required","backlog")))</x:f>
        <x:v>backlog</x:v>
      </x:c>
      <x:c r="AF741" s="12" t="str">
        <x:f>IF(OR(AE741="active",AE741="review_required"),"yes","no")</x:f>
        <x:v>no</x:v>
      </x:c>
      <x:c r="AG741" s="12" t="str">
        <x:f>IF(AND(AE741="active",M741="yes",NOT(ISNUMBER(SEARCH("healthy",AB741)))),"yes","no")</x:f>
        <x:v>no</x:v>
      </x:c>
      <x:c r="AH741" s="12" t="str">
        <x:f>IF(OR(H741="contextual",H741="dialogue",H741="discourse",I741="claim+context",I741="discourse_segment"),"yes","no")</x:f>
        <x:v>yes</x:v>
      </x:c>
      <x:c r="AI741" s="12" t="str">
        <x:f>IF(OR(AH741="yes",AD741="debated",AC741="operational"),"yes","no")</x:f>
        <x:v>yes</x:v>
      </x:c>
      <x:c r="AJ741" s="12" t="str">
        <x:f>IF(OR(AH741="yes",AC741="operational",AD741="debated"),"high",IF(AND(AG741="yes",L741="P0"),"medium","low"))</x:f>
        <x:v>high</x:v>
      </x:c>
      <x:c r="AK741" s="12" t="str">
        <x:f>IF(ISNUMBER(SEARCH("healthy",AB741)),"yes","no")</x:f>
        <x:v>no</x:v>
      </x:c>
      <x:c r="AL741" s="12" t="str">
        <x:f>IF(AG741="yes","yes","candidate_only")</x:f>
        <x:v>candidate_only</x:v>
      </x:c>
      <x:c r="AM741" s="12" t="str">
        <x:f>IF(OR(AC741="canonical",AG741="yes"),"yes","recommended")</x:f>
        <x:v>recommended</x:v>
      </x:c>
      <x:c r="AN741" s="12" t="str">
        <x:f>IF(AC741="deprecated","exclude",IF(AND(AG741="yes",AJ741="high"),"import_but_human_review_required",IF(AG741="yes","import_as_active","import_as_backlog")))</x:f>
        <x:v>import_as_backlog</x:v>
      </x:c>
      <x:c r="AO741" s="12" t="str">
        <x:f>IF(AND(AG741="yes",OR(P741="",Q741="",R741="",S741="")),"missing_required_mvp_fields",IF(AND(AC741="canonical",Y741=""),"missing_source_ref","ok"))</x:f>
        <x:v>ok</x:v>
      </x:c>
      <x:c r="AP741" s="12" t="str">
        <x:f>IF(AO741="ok","ready_for_codex_import","needs_review")</x:f>
        <x:v>ready_for_codex_import</x:v>
      </x:c>
      <x:c r="AQ741" s="12"/>
      <x:c r="AR741" s="12" t="str">
        <x:v>Added v2 operational fields. Review before classification activation.</x:v>
      </x:c>
    </x:row>
    <x:row r="742">
      <x:c r="A742" s="13" t="str">
        <x:v>social_proof_reputation_pressure_variant</x:v>
      </x:c>
      <x:c r="B742" s="13" t="str">
        <x:v>social_proof</x:v>
      </x:c>
      <x:c r="C742" s="13" t="str">
        <x:v>Social proof</x:v>
      </x:c>
      <x:c r="D742" s="13" t="str">
        <x:v>اثبات اجتماعی</x:v>
      </x:c>
      <x:c r="E742" s="13" t="str">
        <x:v>Reputation-pressure variant</x:v>
      </x:c>
      <x:c r="F742" s="13" t="str">
        <x:v>social_influence_patterns</x:v>
      </x:c>
      <x:c r="G742" s="13" t="str">
        <x:v>operational_variant</x:v>
      </x:c>
      <x:c r="H742" s="13" t="str">
        <x:v>discourse</x:v>
      </x:c>
      <x:c r="I742" s="13" t="str">
        <x:v>discourse_segment</x:v>
      </x:c>
      <x:c r="J742" s="13" t="str">
        <x:v>derived_operational_subtype</x:v>
      </x:c>
      <x:c r="K742" s="13" t="str">
        <x:v>derived_from_established_parent_review_required</x:v>
      </x:c>
      <x:c r="L742" s="13" t="str">
        <x:v>P3</x:v>
      </x:c>
      <x:c r="M742" s="13" t="str">
        <x:v>no</x:v>
      </x:c>
      <x:c r="N742" s="13" t="str">
        <x:v>Operational subtype under Social proof: public reputation or conformity pressure is central. Parent definition: Treating others' behavior as evidence of correctness.</x:v>
      </x:c>
      <x:c r="O742" s="13" t="str">
        <x:v>Look for: explicit claim-level evidence; parent-family cues for Social proof; variant cue: public reputation or conformity pressure is central; avoid author-level inference.</x:v>
      </x:c>
      <x:c r="P742" s="13" t="str">
        <x:v>Exact evidence span in text plus claim-level reasoning link; for contextual/discourse entries, require surrounding context.</x:v>
      </x:c>
      <x:c r="Q742" s="13" t="str">
        <x:v>Do not label merely because topic is controversial, emotional, or wrong. Do not judge intent or personality. Require textual evidence and consider healthy-reasoning cues.</x:v>
      </x:c>
      <x:c r="R742" s="13" t="str">
        <x:v>Stub: A claim relies on public reputation or conformity pressure is central to support a conclusion without adequate qualification.</x:v>
      </x:c>
      <x:c r="S742" s="13" t="str">
        <x:v>Stub: A claim discusses social proof with caveats, balanced evidence, or no argumentative use of the pattern.</x:v>
      </x:c>
      <x:c r="T742" s="13" t="str">
        <x:v>Mild or ambiguous cue; do not classify without clear evidence span.</x:v>
      </x:c>
      <x:c r="U742" s="13" t="str">
        <x:v>Clear claim-level pattern with some argumentative impact.</x:v>
      </x:c>
      <x:c r="V742" s="13" t="str">
        <x:v>Strong pattern central to the conclusion and likely to materially distort reasoning.</x:v>
      </x:c>
      <x:c r="W742" s="13" t="str">
        <x:v>cherry_picking; missing_counterevidence; evidence_grading</x:v>
      </x:c>
      <x:c r="X742" s="13" t="str">
        <x:v>cialdini_influence</x:v>
      </x:c>
      <x:c r="Y742" s="13" t="str">
        <x:v>https://www.pearson.com/en-us/subject-catalog/p/influence-science-and-practice/P200000003004</x:v>
      </x:c>
      <x:c r="Z742" s="13" t="str">
        <x:v>Review before enabling. This workbook is a living taxonomy scaffold, not a validated scientific benchmark.</x:v>
      </x:c>
      <x:c r="AA742" s="13" t="str">
        <x:v>0.1.0-draft</x:v>
      </x:c>
      <x:c r="AB742" s="12" t="str">
        <x:f>IF(ISNUMBER(SEARCH("healthy",F742)),"healthy_reasoning_patterns",IF(ISNUMBER(SEARCH("statistical",F742)),"statistical_reasoning",IF(ISNUMBER(SEARCH("causal",F742)),"causal_reasoning",IF(ISNUMBER(SEARCH("social",F742)),"social_influence",IF(ISNUMBER(SEARCH("rhetoric",F742)),"rhetoric_discourse",IF(ISNUMBER(SEARCH("behavior",F742)),"behavioural_economics",IF(ISNUMBER(SEARCH("cognitive",F742)),"cognitive_biases",IF(J742="protective_pattern","healthy_reasoning_patterns",IF(L742="P0","core_mvp","extended_fallacies")))))))))</x:f>
        <x:v>social_influence</x:v>
      </x:c>
      <x:c r="AC742" s="12" t="str">
        <x:f>IF(ISNUMBER(SEARCH("operational",J742)),"operational",IF(ISNUMBER(SEARCH("deprecated",J742)),"deprecated",IF(L742="P0","canonical","recognized_subtype")))</x:f>
        <x:v>operational</x:v>
      </x:c>
      <x:c r="AD742" s="12" t="str">
        <x:f>IF(AC742="canonical","high",IF(AC742="recognized_subtype","medium",IF(AC742="operational","operational_only","debated")))</x:f>
        <x:v>operational_only</x:v>
      </x:c>
      <x:c r="AE742" s="12" t="str">
        <x:f>IF(AC742="deprecated","deprecated",IF(M742="yes","active",IF(M742="review","review_required","backlog")))</x:f>
        <x:v>backlog</x:v>
      </x:c>
      <x:c r="AF742" s="12" t="str">
        <x:f>IF(OR(AE742="active",AE742="review_required"),"yes","no")</x:f>
        <x:v>no</x:v>
      </x:c>
      <x:c r="AG742" s="12" t="str">
        <x:f>IF(AND(AE742="active",M742="yes",NOT(ISNUMBER(SEARCH("healthy",AB742)))),"yes","no")</x:f>
        <x:v>no</x:v>
      </x:c>
      <x:c r="AH742" s="12" t="str">
        <x:f>IF(OR(H742="contextual",H742="dialogue",H742="discourse",I742="claim+context",I742="discourse_segment"),"yes","no")</x:f>
        <x:v>yes</x:v>
      </x:c>
      <x:c r="AI742" s="12" t="str">
        <x:f>IF(OR(AH742="yes",AD742="debated",AC742="operational"),"yes","no")</x:f>
        <x:v>yes</x:v>
      </x:c>
      <x:c r="AJ742" s="12" t="str">
        <x:f>IF(OR(AH742="yes",AC742="operational",AD742="debated"),"high",IF(AND(AG742="yes",L742="P0"),"medium","low"))</x:f>
        <x:v>high</x:v>
      </x:c>
      <x:c r="AK742" s="12" t="str">
        <x:f>IF(ISNUMBER(SEARCH("healthy",AB742)),"yes","no")</x:f>
        <x:v>no</x:v>
      </x:c>
      <x:c r="AL742" s="12" t="str">
        <x:f>IF(AG742="yes","yes","candidate_only")</x:f>
        <x:v>candidate_only</x:v>
      </x:c>
      <x:c r="AM742" s="12" t="str">
        <x:f>IF(OR(AC742="canonical",AG742="yes"),"yes","recommended")</x:f>
        <x:v>recommended</x:v>
      </x:c>
      <x:c r="AN742" s="12" t="str">
        <x:f>IF(AC742="deprecated","exclude",IF(AND(AG742="yes",AJ742="high"),"import_but_human_review_required",IF(AG742="yes","import_as_active","import_as_backlog")))</x:f>
        <x:v>import_as_backlog</x:v>
      </x:c>
      <x:c r="AO742" s="12" t="str">
        <x:f>IF(AND(AG742="yes",OR(P742="",Q742="",R742="",S742="")),"missing_required_mvp_fields",IF(AND(AC742="canonical",Y742=""),"missing_source_ref","ok"))</x:f>
        <x:v>ok</x:v>
      </x:c>
      <x:c r="AP742" s="12" t="str">
        <x:f>IF(AO742="ok","ready_for_codex_import","needs_review")</x:f>
        <x:v>ready_for_codex_import</x:v>
      </x:c>
      <x:c r="AQ742" s="12"/>
      <x:c r="AR742" s="12" t="str">
        <x:v>Added v2 operational fields. Review before classification activation.</x:v>
      </x:c>
    </x:row>
    <x:row r="743">
      <x:c r="A743" s="13" t="str">
        <x:v>bandwagon_effect_reputation_pressure_variant</x:v>
      </x:c>
      <x:c r="B743" s="13" t="str">
        <x:v>bandwagon_effect</x:v>
      </x:c>
      <x:c r="C743" s="13" t="str">
        <x:v>Bandwagon effect</x:v>
      </x:c>
      <x:c r="D743" s="13" t="str">
        <x:v>اثر همراهی با جمع</x:v>
      </x:c>
      <x:c r="E743" s="13" t="str">
        <x:v>Reputation-pressure variant</x:v>
      </x:c>
      <x:c r="F743" s="13" t="str">
        <x:v>social_influence_patterns</x:v>
      </x:c>
      <x:c r="G743" s="13" t="str">
        <x:v>operational_variant</x:v>
      </x:c>
      <x:c r="H743" s="13" t="str">
        <x:v>discourse</x:v>
      </x:c>
      <x:c r="I743" s="13" t="str">
        <x:v>discourse_segment</x:v>
      </x:c>
      <x:c r="J743" s="13" t="str">
        <x:v>derived_operational_subtype</x:v>
      </x:c>
      <x:c r="K743" s="13" t="str">
        <x:v>derived_from_established_parent_review_required</x:v>
      </x:c>
      <x:c r="L743" s="13" t="str">
        <x:v>P3</x:v>
      </x:c>
      <x:c r="M743" s="13" t="str">
        <x:v>no</x:v>
      </x:c>
      <x:c r="N743" s="13" t="str">
        <x:v>Operational subtype under Bandwagon effect: public reputation or conformity pressure is central. Parent definition: Adopting beliefs or choices primarily because many others do.</x:v>
      </x:c>
      <x:c r="O743" s="13" t="str">
        <x:v>Look for: explicit claim-level evidence; parent-family cues for Bandwagon effect; variant cue: public reputation or conformity pressure is central; avoid author-level inference.</x:v>
      </x:c>
      <x:c r="P743" s="13" t="str">
        <x:v>Exact evidence span in text plus claim-level reasoning link; for contextual/discourse entries, require surrounding context.</x:v>
      </x:c>
      <x:c r="Q743" s="13" t="str">
        <x:v>Do not label merely because topic is controversial, emotional, or wrong. Do not judge intent or personality. Require textual evidence and consider healthy-reasoning cues.</x:v>
      </x:c>
      <x:c r="R743" s="13" t="str">
        <x:v>Stub: A claim relies on public reputation or conformity pressure is central to support a conclusion without adequate qualification.</x:v>
      </x:c>
      <x:c r="S743" s="13" t="str">
        <x:v>Stub: A claim discusses bandwagon effect with caveats, balanced evidence, or no argumentative use of the pattern.</x:v>
      </x:c>
      <x:c r="T743" s="13" t="str">
        <x:v>Mild or ambiguous cue; do not classify without clear evidence span.</x:v>
      </x:c>
      <x:c r="U743" s="13" t="str">
        <x:v>Clear claim-level pattern with some argumentative impact.</x:v>
      </x:c>
      <x:c r="V743" s="13" t="str">
        <x:v>Strong pattern central to the conclusion and likely to materially distort reasoning.</x:v>
      </x:c>
      <x:c r="W743" s="13" t="str"/>
      <x:c r="X743" s="13" t="str">
        <x:v>cialdini_influence</x:v>
      </x:c>
      <x:c r="Y743" s="13" t="str">
        <x:v>https://www.pearson.com/en-us/subject-catalog/p/influence-science-and-practice/P200000003004</x:v>
      </x:c>
      <x:c r="Z743" s="13" t="str">
        <x:v>Review before enabling. This workbook is a living taxonomy scaffold, not a validated scientific benchmark.</x:v>
      </x:c>
      <x:c r="AA743" s="13" t="str">
        <x:v>0.1.0-draft</x:v>
      </x:c>
      <x:c r="AB743" s="12" t="str">
        <x:f>IF(ISNUMBER(SEARCH("healthy",F743)),"healthy_reasoning_patterns",IF(ISNUMBER(SEARCH("statistical",F743)),"statistical_reasoning",IF(ISNUMBER(SEARCH("causal",F743)),"causal_reasoning",IF(ISNUMBER(SEARCH("social",F743)),"social_influence",IF(ISNUMBER(SEARCH("rhetoric",F743)),"rhetoric_discourse",IF(ISNUMBER(SEARCH("behavior",F743)),"behavioural_economics",IF(ISNUMBER(SEARCH("cognitive",F743)),"cognitive_biases",IF(J743="protective_pattern","healthy_reasoning_patterns",IF(L743="P0","core_mvp","extended_fallacies")))))))))</x:f>
        <x:v>social_influence</x:v>
      </x:c>
      <x:c r="AC743" s="12" t="str">
        <x:f>IF(ISNUMBER(SEARCH("operational",J743)),"operational",IF(ISNUMBER(SEARCH("deprecated",J743)),"deprecated",IF(L743="P0","canonical","recognized_subtype")))</x:f>
        <x:v>operational</x:v>
      </x:c>
      <x:c r="AD743" s="12" t="str">
        <x:f>IF(AC743="canonical","high",IF(AC743="recognized_subtype","medium",IF(AC743="operational","operational_only","debated")))</x:f>
        <x:v>operational_only</x:v>
      </x:c>
      <x:c r="AE743" s="12" t="str">
        <x:f>IF(AC743="deprecated","deprecated",IF(M743="yes","active",IF(M743="review","review_required","backlog")))</x:f>
        <x:v>backlog</x:v>
      </x:c>
      <x:c r="AF743" s="12" t="str">
        <x:f>IF(OR(AE743="active",AE743="review_required"),"yes","no")</x:f>
        <x:v>no</x:v>
      </x:c>
      <x:c r="AG743" s="12" t="str">
        <x:f>IF(AND(AE743="active",M743="yes",NOT(ISNUMBER(SEARCH("healthy",AB743)))),"yes","no")</x:f>
        <x:v>no</x:v>
      </x:c>
      <x:c r="AH743" s="12" t="str">
        <x:f>IF(OR(H743="contextual",H743="dialogue",H743="discourse",I743="claim+context",I743="discourse_segment"),"yes","no")</x:f>
        <x:v>yes</x:v>
      </x:c>
      <x:c r="AI743" s="12" t="str">
        <x:f>IF(OR(AH743="yes",AD743="debated",AC743="operational"),"yes","no")</x:f>
        <x:v>yes</x:v>
      </x:c>
      <x:c r="AJ743" s="12" t="str">
        <x:f>IF(OR(AH743="yes",AC743="operational",AD743="debated"),"high",IF(AND(AG743="yes",L743="P0"),"medium","low"))</x:f>
        <x:v>high</x:v>
      </x:c>
      <x:c r="AK743" s="12" t="str">
        <x:f>IF(ISNUMBER(SEARCH("healthy",AB743)),"yes","no")</x:f>
        <x:v>no</x:v>
      </x:c>
      <x:c r="AL743" s="12" t="str">
        <x:f>IF(AG743="yes","yes","candidate_only")</x:f>
        <x:v>candidate_only</x:v>
      </x:c>
      <x:c r="AM743" s="12" t="str">
        <x:f>IF(OR(AC743="canonical",AG743="yes"),"yes","recommended")</x:f>
        <x:v>recommended</x:v>
      </x:c>
      <x:c r="AN743" s="12" t="str">
        <x:f>IF(AC743="deprecated","exclude",IF(AND(AG743="yes",AJ743="high"),"import_but_human_review_required",IF(AG743="yes","import_as_active","import_as_backlog")))</x:f>
        <x:v>import_as_backlog</x:v>
      </x:c>
      <x:c r="AO743" s="12" t="str">
        <x:f>IF(AND(AG743="yes",OR(P743="",Q743="",R743="",S743="")),"missing_required_mvp_fields",IF(AND(AC743="canonical",Y743=""),"missing_source_ref","ok"))</x:f>
        <x:v>ok</x:v>
      </x:c>
      <x:c r="AP743" s="12" t="str">
        <x:f>IF(AO743="ok","ready_for_codex_import","needs_review")</x:f>
        <x:v>ready_for_codex_import</x:v>
      </x:c>
      <x:c r="AQ743" s="12"/>
      <x:c r="AR743" s="12" t="str">
        <x:v>Added v2 operational fields. Review before classification activation.</x:v>
      </x:c>
    </x:row>
    <x:row r="744">
      <x:c r="A744" s="13" t="str">
        <x:v>conformity_bias_reputation_pressure_variant</x:v>
      </x:c>
      <x:c r="B744" s="13" t="str">
        <x:v>conformity_bias</x:v>
      </x:c>
      <x:c r="C744" s="13" t="str">
        <x:v>Conformity bias</x:v>
      </x:c>
      <x:c r="D744" s="13" t="str">
        <x:v>سوگیری همرنگی</x:v>
      </x:c>
      <x:c r="E744" s="13" t="str">
        <x:v>Reputation-pressure variant</x:v>
      </x:c>
      <x:c r="F744" s="13" t="str">
        <x:v>social_influence_patterns</x:v>
      </x:c>
      <x:c r="G744" s="13" t="str">
        <x:v>operational_variant</x:v>
      </x:c>
      <x:c r="H744" s="13" t="str">
        <x:v>contextual</x:v>
      </x:c>
      <x:c r="I744" s="13" t="str">
        <x:v>claim+context</x:v>
      </x:c>
      <x:c r="J744" s="13" t="str">
        <x:v>derived_operational_subtype</x:v>
      </x:c>
      <x:c r="K744" s="13" t="str">
        <x:v>derived_from_established_parent_review_required</x:v>
      </x:c>
      <x:c r="L744" s="13" t="str">
        <x:v>P3</x:v>
      </x:c>
      <x:c r="M744" s="13" t="str">
        <x:v>no</x:v>
      </x:c>
      <x:c r="N744" s="13" t="str">
        <x:v>Operational subtype under Conformity bias: public reputation or conformity pressure is central. Parent definition: Aligning judgments with group norms despite weak evidence.</x:v>
      </x:c>
      <x:c r="O744" s="13" t="str">
        <x:v>Look for: explicit claim-level evidence; parent-family cues for Conformity bias; variant cue: public reputation or conformity pressure is central; avoid author-level inference.</x:v>
      </x:c>
      <x:c r="P744" s="13" t="str">
        <x:v>Exact evidence span in text plus claim-level reasoning link; for contextual/discourse entries, require surrounding context.</x:v>
      </x:c>
      <x:c r="Q744" s="13" t="str">
        <x:v>Do not label merely because topic is controversial, emotional, or wrong. Do not judge intent or personality. Require textual evidence and consider healthy-reasoning cues.</x:v>
      </x:c>
      <x:c r="R744" s="13" t="str">
        <x:v>Stub: A claim relies on public reputation or conformity pressure is central to support a conclusion without adequate qualification.</x:v>
      </x:c>
      <x:c r="S744" s="13" t="str">
        <x:v>Stub: A claim discusses conformity bias with caveats, balanced evidence, or no argumentative use of the pattern.</x:v>
      </x:c>
      <x:c r="T744" s="13" t="str">
        <x:v>Mild or ambiguous cue; do not classify without clear evidence span.</x:v>
      </x:c>
      <x:c r="U744" s="13" t="str">
        <x:v>Clear claim-level pattern with some argumentative impact.</x:v>
      </x:c>
      <x:c r="V744" s="13" t="str">
        <x:v>Strong pattern central to the conclusion and likely to materially distort reasoning.</x:v>
      </x:c>
      <x:c r="W744" s="13" t="str">
        <x:v>cherry_picking; missing_counterevidence; evidence_grading</x:v>
      </x:c>
      <x:c r="X744" s="13" t="str">
        <x:v>cialdini_influence</x:v>
      </x:c>
      <x:c r="Y744" s="13" t="str">
        <x:v>https://www.pearson.com/en-us/subject-catalog/p/influence-science-and-practice/P200000003004</x:v>
      </x:c>
      <x:c r="Z744" s="13" t="str">
        <x:v>Review before enabling. This workbook is a living taxonomy scaffold, not a validated scientific benchmark.</x:v>
      </x:c>
      <x:c r="AA744" s="13" t="str">
        <x:v>0.1.0-draft</x:v>
      </x:c>
      <x:c r="AB744" s="12" t="str">
        <x:f>IF(ISNUMBER(SEARCH("healthy",F744)),"healthy_reasoning_patterns",IF(ISNUMBER(SEARCH("statistical",F744)),"statistical_reasoning",IF(ISNUMBER(SEARCH("causal",F744)),"causal_reasoning",IF(ISNUMBER(SEARCH("social",F744)),"social_influence",IF(ISNUMBER(SEARCH("rhetoric",F744)),"rhetoric_discourse",IF(ISNUMBER(SEARCH("behavior",F744)),"behavioural_economics",IF(ISNUMBER(SEARCH("cognitive",F744)),"cognitive_biases",IF(J744="protective_pattern","healthy_reasoning_patterns",IF(L744="P0","core_mvp","extended_fallacies")))))))))</x:f>
        <x:v>social_influence</x:v>
      </x:c>
      <x:c r="AC744" s="12" t="str">
        <x:f>IF(ISNUMBER(SEARCH("operational",J744)),"operational",IF(ISNUMBER(SEARCH("deprecated",J744)),"deprecated",IF(L744="P0","canonical","recognized_subtype")))</x:f>
        <x:v>operational</x:v>
      </x:c>
      <x:c r="AD744" s="12" t="str">
        <x:f>IF(AC744="canonical","high",IF(AC744="recognized_subtype","medium",IF(AC744="operational","operational_only","debated")))</x:f>
        <x:v>operational_only</x:v>
      </x:c>
      <x:c r="AE744" s="12" t="str">
        <x:f>IF(AC744="deprecated","deprecated",IF(M744="yes","active",IF(M744="review","review_required","backlog")))</x:f>
        <x:v>backlog</x:v>
      </x:c>
      <x:c r="AF744" s="12" t="str">
        <x:f>IF(OR(AE744="active",AE744="review_required"),"yes","no")</x:f>
        <x:v>no</x:v>
      </x:c>
      <x:c r="AG744" s="12" t="str">
        <x:f>IF(AND(AE744="active",M744="yes",NOT(ISNUMBER(SEARCH("healthy",AB744)))),"yes","no")</x:f>
        <x:v>no</x:v>
      </x:c>
      <x:c r="AH744" s="12" t="str">
        <x:f>IF(OR(H744="contextual",H744="dialogue",H744="discourse",I744="claim+context",I744="discourse_segment"),"yes","no")</x:f>
        <x:v>yes</x:v>
      </x:c>
      <x:c r="AI744" s="12" t="str">
        <x:f>IF(OR(AH744="yes",AD744="debated",AC744="operational"),"yes","no")</x:f>
        <x:v>yes</x:v>
      </x:c>
      <x:c r="AJ744" s="12" t="str">
        <x:f>IF(OR(AH744="yes",AC744="operational",AD744="debated"),"high",IF(AND(AG744="yes",L744="P0"),"medium","low"))</x:f>
        <x:v>high</x:v>
      </x:c>
      <x:c r="AK744" s="12" t="str">
        <x:f>IF(ISNUMBER(SEARCH("healthy",AB744)),"yes","no")</x:f>
        <x:v>no</x:v>
      </x:c>
      <x:c r="AL744" s="12" t="str">
        <x:f>IF(AG744="yes","yes","candidate_only")</x:f>
        <x:v>candidate_only</x:v>
      </x:c>
      <x:c r="AM744" s="12" t="str">
        <x:f>IF(OR(AC744="canonical",AG744="yes"),"yes","recommended")</x:f>
        <x:v>recommended</x:v>
      </x:c>
      <x:c r="AN744" s="12" t="str">
        <x:f>IF(AC744="deprecated","exclude",IF(AND(AG744="yes",AJ744="high"),"import_but_human_review_required",IF(AG744="yes","import_as_active","import_as_backlog")))</x:f>
        <x:v>import_as_backlog</x:v>
      </x:c>
      <x:c r="AO744" s="12" t="str">
        <x:f>IF(AND(AG744="yes",OR(P744="",Q744="",R744="",S744="")),"missing_required_mvp_fields",IF(AND(AC744="canonical",Y744=""),"missing_source_ref","ok"))</x:f>
        <x:v>ok</x:v>
      </x:c>
      <x:c r="AP744" s="12" t="str">
        <x:f>IF(AO744="ok","ready_for_codex_import","needs_review")</x:f>
        <x:v>ready_for_codex_import</x:v>
      </x:c>
      <x:c r="AQ744" s="12"/>
      <x:c r="AR744" s="12" t="str">
        <x:v>Added v2 operational fields. Review before classification activation.</x:v>
      </x:c>
    </x:row>
    <x:row r="745">
      <x:c r="A745" s="13" t="str">
        <x:v>authority_bias_reputation_pressure_variant</x:v>
      </x:c>
      <x:c r="B745" s="13" t="str">
        <x:v>authority_bias</x:v>
      </x:c>
      <x:c r="C745" s="13" t="str">
        <x:v>Authority bias</x:v>
      </x:c>
      <x:c r="D745" s="13" t="str">
        <x:v>سوگیری اقتدار</x:v>
      </x:c>
      <x:c r="E745" s="13" t="str">
        <x:v>Reputation-pressure variant</x:v>
      </x:c>
      <x:c r="F745" s="13" t="str">
        <x:v>social_influence_patterns</x:v>
      </x:c>
      <x:c r="G745" s="13" t="str">
        <x:v>operational_variant</x:v>
      </x:c>
      <x:c r="H745" s="13" t="str">
        <x:v>contextual</x:v>
      </x:c>
      <x:c r="I745" s="13" t="str">
        <x:v>claim+context</x:v>
      </x:c>
      <x:c r="J745" s="13" t="str">
        <x:v>derived_operational_subtype</x:v>
      </x:c>
      <x:c r="K745" s="13" t="str">
        <x:v>derived_from_established_parent_review_required</x:v>
      </x:c>
      <x:c r="L745" s="13" t="str">
        <x:v>P3</x:v>
      </x:c>
      <x:c r="M745" s="13" t="str">
        <x:v>no</x:v>
      </x:c>
      <x:c r="N745" s="13" t="str">
        <x:v>Operational subtype under Authority bias: public reputation or conformity pressure is central. Parent definition: Giving excessive weight to authority cues.</x:v>
      </x:c>
      <x:c r="O745" s="13" t="str">
        <x:v>Look for: explicit claim-level evidence; parent-family cues for Authority bias; variant cue: public reputation or conformity pressure is central; avoid author-level inference.</x:v>
      </x:c>
      <x:c r="P745" s="13" t="str">
        <x:v>Exact evidence span in text plus claim-level reasoning link; for contextual/discourse entries, require surrounding context.</x:v>
      </x:c>
      <x:c r="Q745" s="13" t="str">
        <x:v>Do not label merely because topic is controversial, emotional, or wrong. Do not judge intent or personality. Require textual evidence and consider healthy-reasoning cues.</x:v>
      </x:c>
      <x:c r="R745" s="13" t="str">
        <x:v>Stub: A claim relies on public reputation or conformity pressure is central to support a conclusion without adequate qualification.</x:v>
      </x:c>
      <x:c r="S745" s="13" t="str">
        <x:v>Stub: A claim discusses authority bias with caveats, balanced evidence, or no argumentative use of the pattern.</x:v>
      </x:c>
      <x:c r="T745" s="13" t="str">
        <x:v>Mild or ambiguous cue; do not classify without clear evidence span.</x:v>
      </x:c>
      <x:c r="U745" s="13" t="str">
        <x:v>Clear claim-level pattern with some argumentative impact.</x:v>
      </x:c>
      <x:c r="V745" s="13" t="str">
        <x:v>Strong pattern central to the conclusion and likely to materially distort reasoning.</x:v>
      </x:c>
      <x:c r="W745" s="13" t="str">
        <x:v>authority_bias; appeal_to_authority_misuse; source_triangulation</x:v>
      </x:c>
      <x:c r="X745" s="13" t="str">
        <x:v>cialdini_influence</x:v>
      </x:c>
      <x:c r="Y745" s="13" t="str">
        <x:v>https://www.pearson.com/en-us/subject-catalog/p/influence-science-and-practice/P200000003004</x:v>
      </x:c>
      <x:c r="Z745" s="13" t="str">
        <x:v>Review before enabling. This workbook is a living taxonomy scaffold, not a validated scientific benchmark.</x:v>
      </x:c>
      <x:c r="AA745" s="13" t="str">
        <x:v>0.1.0-draft</x:v>
      </x:c>
      <x:c r="AB745" s="12" t="str">
        <x:f>IF(ISNUMBER(SEARCH("healthy",F745)),"healthy_reasoning_patterns",IF(ISNUMBER(SEARCH("statistical",F745)),"statistical_reasoning",IF(ISNUMBER(SEARCH("causal",F745)),"causal_reasoning",IF(ISNUMBER(SEARCH("social",F745)),"social_influence",IF(ISNUMBER(SEARCH("rhetoric",F745)),"rhetoric_discourse",IF(ISNUMBER(SEARCH("behavior",F745)),"behavioural_economics",IF(ISNUMBER(SEARCH("cognitive",F745)),"cognitive_biases",IF(J745="protective_pattern","healthy_reasoning_patterns",IF(L745="P0","core_mvp","extended_fallacies")))))))))</x:f>
        <x:v>social_influence</x:v>
      </x:c>
      <x:c r="AC745" s="12" t="str">
        <x:f>IF(ISNUMBER(SEARCH("operational",J745)),"operational",IF(ISNUMBER(SEARCH("deprecated",J745)),"deprecated",IF(L745="P0","canonical","recognized_subtype")))</x:f>
        <x:v>operational</x:v>
      </x:c>
      <x:c r="AD745" s="12" t="str">
        <x:f>IF(AC745="canonical","high",IF(AC745="recognized_subtype","medium",IF(AC745="operational","operational_only","debated")))</x:f>
        <x:v>operational_only</x:v>
      </x:c>
      <x:c r="AE745" s="12" t="str">
        <x:f>IF(AC745="deprecated","deprecated",IF(M745="yes","active",IF(M745="review","review_required","backlog")))</x:f>
        <x:v>backlog</x:v>
      </x:c>
      <x:c r="AF745" s="12" t="str">
        <x:f>IF(OR(AE745="active",AE745="review_required"),"yes","no")</x:f>
        <x:v>no</x:v>
      </x:c>
      <x:c r="AG745" s="12" t="str">
        <x:f>IF(AND(AE745="active",M745="yes",NOT(ISNUMBER(SEARCH("healthy",AB745)))),"yes","no")</x:f>
        <x:v>no</x:v>
      </x:c>
      <x:c r="AH745" s="12" t="str">
        <x:f>IF(OR(H745="contextual",H745="dialogue",H745="discourse",I745="claim+context",I745="discourse_segment"),"yes","no")</x:f>
        <x:v>yes</x:v>
      </x:c>
      <x:c r="AI745" s="12" t="str">
        <x:f>IF(OR(AH745="yes",AD745="debated",AC745="operational"),"yes","no")</x:f>
        <x:v>yes</x:v>
      </x:c>
      <x:c r="AJ745" s="12" t="str">
        <x:f>IF(OR(AH745="yes",AC745="operational",AD745="debated"),"high",IF(AND(AG745="yes",L745="P0"),"medium","low"))</x:f>
        <x:v>high</x:v>
      </x:c>
      <x:c r="AK745" s="12" t="str">
        <x:f>IF(ISNUMBER(SEARCH("healthy",AB745)),"yes","no")</x:f>
        <x:v>no</x:v>
      </x:c>
      <x:c r="AL745" s="12" t="str">
        <x:f>IF(AG745="yes","yes","candidate_only")</x:f>
        <x:v>candidate_only</x:v>
      </x:c>
      <x:c r="AM745" s="12" t="str">
        <x:f>IF(OR(AC745="canonical",AG745="yes"),"yes","recommended")</x:f>
        <x:v>recommended</x:v>
      </x:c>
      <x:c r="AN745" s="12" t="str">
        <x:f>IF(AC745="deprecated","exclude",IF(AND(AG745="yes",AJ745="high"),"import_but_human_review_required",IF(AG745="yes","import_as_active","import_as_backlog")))</x:f>
        <x:v>import_as_backlog</x:v>
      </x:c>
      <x:c r="AO745" s="12" t="str">
        <x:f>IF(AND(AG745="yes",OR(P745="",Q745="",R745="",S745="")),"missing_required_mvp_fields",IF(AND(AC745="canonical",Y745=""),"missing_source_ref","ok"))</x:f>
        <x:v>ok</x:v>
      </x:c>
      <x:c r="AP745" s="12" t="str">
        <x:f>IF(AO745="ok","ready_for_codex_import","needs_review")</x:f>
        <x:v>ready_for_codex_import</x:v>
      </x:c>
      <x:c r="AQ745" s="12"/>
      <x:c r="AR745" s="12" t="str">
        <x:v>Added v2 operational fields. Review before classification activation.</x:v>
      </x:c>
    </x:row>
    <x:row r="746">
      <x:c r="A746" s="13" t="str">
        <x:v>groupthink_reputation_pressure_variant</x:v>
      </x:c>
      <x:c r="B746" s="13" t="str">
        <x:v>groupthink</x:v>
      </x:c>
      <x:c r="C746" s="13" t="str">
        <x:v>Groupthink</x:v>
      </x:c>
      <x:c r="D746" s="13" t="str">
        <x:v>تفکر گروهی</x:v>
      </x:c>
      <x:c r="E746" s="13" t="str">
        <x:v>Reputation-pressure variant</x:v>
      </x:c>
      <x:c r="F746" s="13" t="str">
        <x:v>social_influence_patterns</x:v>
      </x:c>
      <x:c r="G746" s="13" t="str">
        <x:v>operational_variant</x:v>
      </x:c>
      <x:c r="H746" s="13" t="str">
        <x:v>discourse</x:v>
      </x:c>
      <x:c r="I746" s="13" t="str">
        <x:v>discourse_segment</x:v>
      </x:c>
      <x:c r="J746" s="13" t="str">
        <x:v>derived_operational_subtype</x:v>
      </x:c>
      <x:c r="K746" s="13" t="str">
        <x:v>derived_from_established_parent_review_required</x:v>
      </x:c>
      <x:c r="L746" s="13" t="str">
        <x:v>P3</x:v>
      </x:c>
      <x:c r="M746" s="13" t="str">
        <x:v>no</x:v>
      </x:c>
      <x:c r="N746" s="13" t="str">
        <x:v>Operational subtype under Groupthink: public reputation or conformity pressure is central. Parent definition: Group cohesion suppresses dissent and critical evaluation.</x:v>
      </x:c>
      <x:c r="O746" s="13" t="str">
        <x:v>Look for: explicit claim-level evidence; parent-family cues for Groupthink; variant cue: public reputation or conformity pressure is central; avoid author-level inference.</x:v>
      </x:c>
      <x:c r="P746" s="13" t="str">
        <x:v>Exact evidence span in text plus claim-level reasoning link; for contextual/discourse entries, require surrounding context.</x:v>
      </x:c>
      <x:c r="Q746" s="13" t="str">
        <x:v>Do not label merely because topic is controversial, emotional, or wrong. Do not judge intent or personality. Require textual evidence and consider healthy-reasoning cues.</x:v>
      </x:c>
      <x:c r="R746" s="13" t="str">
        <x:v>Stub: A claim relies on public reputation or conformity pressure is central to support a conclusion without adequate qualification.</x:v>
      </x:c>
      <x:c r="S746" s="13" t="str">
        <x:v>Stub: A claim discusses groupthink with caveats, balanced evidence, or no argumentative use of the pattern.</x:v>
      </x:c>
      <x:c r="T746" s="13" t="str">
        <x:v>Mild or ambiguous cue; do not classify without clear evidence span.</x:v>
      </x:c>
      <x:c r="U746" s="13" t="str">
        <x:v>Clear claim-level pattern with some argumentative impact.</x:v>
      </x:c>
      <x:c r="V746" s="13" t="str">
        <x:v>Strong pattern central to the conclusion and likely to materially distort reasoning.</x:v>
      </x:c>
      <x:c r="W746" s="13" t="str"/>
      <x:c r="X746" s="13" t="str">
        <x:v>cialdini_influence</x:v>
      </x:c>
      <x:c r="Y746" s="13" t="str">
        <x:v>https://www.pearson.com/en-us/subject-catalog/p/influence-science-and-practice/P200000003004</x:v>
      </x:c>
      <x:c r="Z746" s="13" t="str">
        <x:v>Review before enabling. This workbook is a living taxonomy scaffold, not a validated scientific benchmark.</x:v>
      </x:c>
      <x:c r="AA746" s="13" t="str">
        <x:v>0.1.0-draft</x:v>
      </x:c>
      <x:c r="AB746" s="12" t="str">
        <x:f>IF(ISNUMBER(SEARCH("healthy",F746)),"healthy_reasoning_patterns",IF(ISNUMBER(SEARCH("statistical",F746)),"statistical_reasoning",IF(ISNUMBER(SEARCH("causal",F746)),"causal_reasoning",IF(ISNUMBER(SEARCH("social",F746)),"social_influence",IF(ISNUMBER(SEARCH("rhetoric",F746)),"rhetoric_discourse",IF(ISNUMBER(SEARCH("behavior",F746)),"behavioural_economics",IF(ISNUMBER(SEARCH("cognitive",F746)),"cognitive_biases",IF(J746="protective_pattern","healthy_reasoning_patterns",IF(L746="P0","core_mvp","extended_fallacies")))))))))</x:f>
        <x:v>social_influence</x:v>
      </x:c>
      <x:c r="AC746" s="12" t="str">
        <x:f>IF(ISNUMBER(SEARCH("operational",J746)),"operational",IF(ISNUMBER(SEARCH("deprecated",J746)),"deprecated",IF(L746="P0","canonical","recognized_subtype")))</x:f>
        <x:v>operational</x:v>
      </x:c>
      <x:c r="AD746" s="12" t="str">
        <x:f>IF(AC746="canonical","high",IF(AC746="recognized_subtype","medium",IF(AC746="operational","operational_only","debated")))</x:f>
        <x:v>operational_only</x:v>
      </x:c>
      <x:c r="AE746" s="12" t="str">
        <x:f>IF(AC746="deprecated","deprecated",IF(M746="yes","active",IF(M746="review","review_required","backlog")))</x:f>
        <x:v>backlog</x:v>
      </x:c>
      <x:c r="AF746" s="12" t="str">
        <x:f>IF(OR(AE746="active",AE746="review_required"),"yes","no")</x:f>
        <x:v>no</x:v>
      </x:c>
      <x:c r="AG746" s="12" t="str">
        <x:f>IF(AND(AE746="active",M746="yes",NOT(ISNUMBER(SEARCH("healthy",AB746)))),"yes","no")</x:f>
        <x:v>no</x:v>
      </x:c>
      <x:c r="AH746" s="12" t="str">
        <x:f>IF(OR(H746="contextual",H746="dialogue",H746="discourse",I746="claim+context",I746="discourse_segment"),"yes","no")</x:f>
        <x:v>yes</x:v>
      </x:c>
      <x:c r="AI746" s="12" t="str">
        <x:f>IF(OR(AH746="yes",AD746="debated",AC746="operational"),"yes","no")</x:f>
        <x:v>yes</x:v>
      </x:c>
      <x:c r="AJ746" s="12" t="str">
        <x:f>IF(OR(AH746="yes",AC746="operational",AD746="debated"),"high",IF(AND(AG746="yes",L746="P0"),"medium","low"))</x:f>
        <x:v>high</x:v>
      </x:c>
      <x:c r="AK746" s="12" t="str">
        <x:f>IF(ISNUMBER(SEARCH("healthy",AB746)),"yes","no")</x:f>
        <x:v>no</x:v>
      </x:c>
      <x:c r="AL746" s="12" t="str">
        <x:f>IF(AG746="yes","yes","candidate_only")</x:f>
        <x:v>candidate_only</x:v>
      </x:c>
      <x:c r="AM746" s="12" t="str">
        <x:f>IF(OR(AC746="canonical",AG746="yes"),"yes","recommended")</x:f>
        <x:v>recommended</x:v>
      </x:c>
      <x:c r="AN746" s="12" t="str">
        <x:f>IF(AC746="deprecated","exclude",IF(AND(AG746="yes",AJ746="high"),"import_but_human_review_required",IF(AG746="yes","import_as_active","import_as_backlog")))</x:f>
        <x:v>import_as_backlog</x:v>
      </x:c>
      <x:c r="AO746" s="12" t="str">
        <x:f>IF(AND(AG746="yes",OR(P746="",Q746="",R746="",S746="")),"missing_required_mvp_fields",IF(AND(AC746="canonical",Y746=""),"missing_source_ref","ok"))</x:f>
        <x:v>ok</x:v>
      </x:c>
      <x:c r="AP746" s="12" t="str">
        <x:f>IF(AO746="ok","ready_for_codex_import","needs_review")</x:f>
        <x:v>ready_for_codex_import</x:v>
      </x:c>
      <x:c r="AQ746" s="12"/>
      <x:c r="AR746" s="12" t="str">
        <x:v>Added v2 operational fields. Review before classification activation.</x:v>
      </x:c>
    </x:row>
    <x:row r="747">
      <x:c r="A747" s="13" t="str">
        <x:v>group_polarization_reputation_pressure_variant</x:v>
      </x:c>
      <x:c r="B747" s="13" t="str">
        <x:v>group_polarization</x:v>
      </x:c>
      <x:c r="C747" s="13" t="str">
        <x:v>Group polarization</x:v>
      </x:c>
      <x:c r="D747" s="13" t="str">
        <x:v>قطبی‌شدن گروهی</x:v>
      </x:c>
      <x:c r="E747" s="13" t="str">
        <x:v>Reputation-pressure variant</x:v>
      </x:c>
      <x:c r="F747" s="13" t="str">
        <x:v>social_influence_patterns</x:v>
      </x:c>
      <x:c r="G747" s="13" t="str">
        <x:v>operational_variant</x:v>
      </x:c>
      <x:c r="H747" s="13" t="str">
        <x:v>discourse</x:v>
      </x:c>
      <x:c r="I747" s="13" t="str">
        <x:v>discourse_segment</x:v>
      </x:c>
      <x:c r="J747" s="13" t="str">
        <x:v>derived_operational_subtype</x:v>
      </x:c>
      <x:c r="K747" s="13" t="str">
        <x:v>derived_from_established_parent_review_required</x:v>
      </x:c>
      <x:c r="L747" s="13" t="str">
        <x:v>P3</x:v>
      </x:c>
      <x:c r="M747" s="13" t="str">
        <x:v>no</x:v>
      </x:c>
      <x:c r="N747" s="13" t="str">
        <x:v>Operational subtype under Group polarization: public reputation or conformity pressure is central. Parent definition: Discussion among similar views leads to more extreme positions.</x:v>
      </x:c>
      <x:c r="O747" s="13" t="str">
        <x:v>Look for: explicit claim-level evidence; parent-family cues for Group polarization; variant cue: public reputation or conformity pressure is central; avoid author-level inference.</x:v>
      </x:c>
      <x:c r="P747" s="13" t="str">
        <x:v>Exact evidence span in text plus claim-level reasoning link; for contextual/discourse entries, require surrounding context.</x:v>
      </x:c>
      <x:c r="Q747" s="13" t="str">
        <x:v>Do not label merely because topic is controversial, emotional, or wrong. Do not judge intent or personality. Require textual evidence and consider healthy-reasoning cues.</x:v>
      </x:c>
      <x:c r="R747" s="13" t="str">
        <x:v>Stub: A claim relies on public reputation or conformity pressure is central to support a conclusion without adequate qualification.</x:v>
      </x:c>
      <x:c r="S747" s="13" t="str">
        <x:v>Stub: A claim discusses group polarization with caveats, balanced evidence, or no argumentative use of the pattern.</x:v>
      </x:c>
      <x:c r="T747" s="13" t="str">
        <x:v>Mild or ambiguous cue; do not classify without clear evidence span.</x:v>
      </x:c>
      <x:c r="U747" s="13" t="str">
        <x:v>Clear claim-level pattern with some argumentative impact.</x:v>
      </x:c>
      <x:c r="V747" s="13" t="str">
        <x:v>Strong pattern central to the conclusion and likely to materially distort reasoning.</x:v>
      </x:c>
      <x:c r="W747" s="13" t="str"/>
      <x:c r="X747" s="13" t="str">
        <x:v>cialdini_influence</x:v>
      </x:c>
      <x:c r="Y747" s="13" t="str">
        <x:v>https://www.pearson.com/en-us/subject-catalog/p/influence-science-and-practice/P200000003004</x:v>
      </x:c>
      <x:c r="Z747" s="13" t="str">
        <x:v>Review before enabling. This workbook is a living taxonomy scaffold, not a validated scientific benchmark.</x:v>
      </x:c>
      <x:c r="AA747" s="13" t="str">
        <x:v>0.1.0-draft</x:v>
      </x:c>
      <x:c r="AB747" s="12" t="str">
        <x:f>IF(ISNUMBER(SEARCH("healthy",F747)),"healthy_reasoning_patterns",IF(ISNUMBER(SEARCH("statistical",F747)),"statistical_reasoning",IF(ISNUMBER(SEARCH("causal",F747)),"causal_reasoning",IF(ISNUMBER(SEARCH("social",F747)),"social_influence",IF(ISNUMBER(SEARCH("rhetoric",F747)),"rhetoric_discourse",IF(ISNUMBER(SEARCH("behavior",F747)),"behavioural_economics",IF(ISNUMBER(SEARCH("cognitive",F747)),"cognitive_biases",IF(J747="protective_pattern","healthy_reasoning_patterns",IF(L747="P0","core_mvp","extended_fallacies")))))))))</x:f>
        <x:v>social_influence</x:v>
      </x:c>
      <x:c r="AC747" s="12" t="str">
        <x:f>IF(ISNUMBER(SEARCH("operational",J747)),"operational",IF(ISNUMBER(SEARCH("deprecated",J747)),"deprecated",IF(L747="P0","canonical","recognized_subtype")))</x:f>
        <x:v>operational</x:v>
      </x:c>
      <x:c r="AD747" s="12" t="str">
        <x:f>IF(AC747="canonical","high",IF(AC747="recognized_subtype","medium",IF(AC747="operational","operational_only","debated")))</x:f>
        <x:v>operational_only</x:v>
      </x:c>
      <x:c r="AE747" s="12" t="str">
        <x:f>IF(AC747="deprecated","deprecated",IF(M747="yes","active",IF(M747="review","review_required","backlog")))</x:f>
        <x:v>backlog</x:v>
      </x:c>
      <x:c r="AF747" s="12" t="str">
        <x:f>IF(OR(AE747="active",AE747="review_required"),"yes","no")</x:f>
        <x:v>no</x:v>
      </x:c>
      <x:c r="AG747" s="12" t="str">
        <x:f>IF(AND(AE747="active",M747="yes",NOT(ISNUMBER(SEARCH("healthy",AB747)))),"yes","no")</x:f>
        <x:v>no</x:v>
      </x:c>
      <x:c r="AH747" s="12" t="str">
        <x:f>IF(OR(H747="contextual",H747="dialogue",H747="discourse",I747="claim+context",I747="discourse_segment"),"yes","no")</x:f>
        <x:v>yes</x:v>
      </x:c>
      <x:c r="AI747" s="12" t="str">
        <x:f>IF(OR(AH747="yes",AD747="debated",AC747="operational"),"yes","no")</x:f>
        <x:v>yes</x:v>
      </x:c>
      <x:c r="AJ747" s="12" t="str">
        <x:f>IF(OR(AH747="yes",AC747="operational",AD747="debated"),"high",IF(AND(AG747="yes",L747="P0"),"medium","low"))</x:f>
        <x:v>high</x:v>
      </x:c>
      <x:c r="AK747" s="12" t="str">
        <x:f>IF(ISNUMBER(SEARCH("healthy",AB747)),"yes","no")</x:f>
        <x:v>no</x:v>
      </x:c>
      <x:c r="AL747" s="12" t="str">
        <x:f>IF(AG747="yes","yes","candidate_only")</x:f>
        <x:v>candidate_only</x:v>
      </x:c>
      <x:c r="AM747" s="12" t="str">
        <x:f>IF(OR(AC747="canonical",AG747="yes"),"yes","recommended")</x:f>
        <x:v>recommended</x:v>
      </x:c>
      <x:c r="AN747" s="12" t="str">
        <x:f>IF(AC747="deprecated","exclude",IF(AND(AG747="yes",AJ747="high"),"import_but_human_review_required",IF(AG747="yes","import_as_active","import_as_backlog")))</x:f>
        <x:v>import_as_backlog</x:v>
      </x:c>
      <x:c r="AO747" s="12" t="str">
        <x:f>IF(AND(AG747="yes",OR(P747="",Q747="",R747="",S747="")),"missing_required_mvp_fields",IF(AND(AC747="canonical",Y747=""),"missing_source_ref","ok"))</x:f>
        <x:v>ok</x:v>
      </x:c>
      <x:c r="AP747" s="12" t="str">
        <x:f>IF(AO747="ok","ready_for_codex_import","needs_review")</x:f>
        <x:v>ready_for_codex_import</x:v>
      </x:c>
      <x:c r="AQ747" s="12"/>
      <x:c r="AR747" s="12" t="str">
        <x:v>Added v2 operational fields. Review before classification activation.</x:v>
      </x:c>
    </x:row>
    <x:row r="748">
      <x:c r="A748" s="13" t="str">
        <x:v>pluralistic_ignorance_reputation_pressure_variant</x:v>
      </x:c>
      <x:c r="B748" s="13" t="str">
        <x:v>pluralistic_ignorance</x:v>
      </x:c>
      <x:c r="C748" s="13" t="str">
        <x:v>Pluralistic ignorance</x:v>
      </x:c>
      <x:c r="D748" s="13" t="str">
        <x:v>نادانی جمعی</x:v>
      </x:c>
      <x:c r="E748" s="13" t="str">
        <x:v>Reputation-pressure variant</x:v>
      </x:c>
      <x:c r="F748" s="13" t="str">
        <x:v>social_influence_patterns</x:v>
      </x:c>
      <x:c r="G748" s="13" t="str">
        <x:v>operational_variant</x:v>
      </x:c>
      <x:c r="H748" s="13" t="str">
        <x:v>contextual</x:v>
      </x:c>
      <x:c r="I748" s="13" t="str">
        <x:v>claim+context</x:v>
      </x:c>
      <x:c r="J748" s="13" t="str">
        <x:v>derived_operational_subtype</x:v>
      </x:c>
      <x:c r="K748" s="13" t="str">
        <x:v>derived_from_established_parent_review_required</x:v>
      </x:c>
      <x:c r="L748" s="13" t="str">
        <x:v>P3</x:v>
      </x:c>
      <x:c r="M748" s="13" t="str">
        <x:v>no</x:v>
      </x:c>
      <x:c r="N748" s="13" t="str">
        <x:v>Operational subtype under Pluralistic ignorance: public reputation or conformity pressure is central. Parent definition: People privately reject a norm but assume others accept it.</x:v>
      </x:c>
      <x:c r="O748" s="13" t="str">
        <x:v>Look for: explicit claim-level evidence; parent-family cues for Pluralistic ignorance; variant cue: public reputation or conformity pressure is central; avoid author-level inference.</x:v>
      </x:c>
      <x:c r="P748" s="13" t="str">
        <x:v>Exact evidence span in text plus claim-level reasoning link; for contextual/discourse entries, require surrounding context.</x:v>
      </x:c>
      <x:c r="Q748" s="13" t="str">
        <x:v>Do not label merely because topic is controversial, emotional, or wrong. Do not judge intent or personality. Require textual evidence and consider healthy-reasoning cues.</x:v>
      </x:c>
      <x:c r="R748" s="13" t="str">
        <x:v>Stub: A claim relies on public reputation or conformity pressure is central to support a conclusion without adequate qualification.</x:v>
      </x:c>
      <x:c r="S748" s="13" t="str">
        <x:v>Stub: A claim discusses pluralistic ignorance with caveats, balanced evidence, or no argumentative use of the pattern.</x:v>
      </x:c>
      <x:c r="T748" s="13" t="str">
        <x:v>Mild or ambiguous cue; do not classify without clear evidence span.</x:v>
      </x:c>
      <x:c r="U748" s="13" t="str">
        <x:v>Clear claim-level pattern with some argumentative impact.</x:v>
      </x:c>
      <x:c r="V748" s="13" t="str">
        <x:v>Strong pattern central to the conclusion and likely to materially distort reasoning.</x:v>
      </x:c>
      <x:c r="W748" s="13" t="str"/>
      <x:c r="X748" s="13" t="str">
        <x:v>cialdini_influence</x:v>
      </x:c>
      <x:c r="Y748" s="13" t="str">
        <x:v>https://www.pearson.com/en-us/subject-catalog/p/influence-science-and-practice/P200000003004</x:v>
      </x:c>
      <x:c r="Z748" s="13" t="str">
        <x:v>Review before enabling. This workbook is a living taxonomy scaffold, not a validated scientific benchmark.</x:v>
      </x:c>
      <x:c r="AA748" s="13" t="str">
        <x:v>0.1.0-draft</x:v>
      </x:c>
      <x:c r="AB748" s="12" t="str">
        <x:f>IF(ISNUMBER(SEARCH("healthy",F748)),"healthy_reasoning_patterns",IF(ISNUMBER(SEARCH("statistical",F748)),"statistical_reasoning",IF(ISNUMBER(SEARCH("causal",F748)),"causal_reasoning",IF(ISNUMBER(SEARCH("social",F748)),"social_influence",IF(ISNUMBER(SEARCH("rhetoric",F748)),"rhetoric_discourse",IF(ISNUMBER(SEARCH("behavior",F748)),"behavioural_economics",IF(ISNUMBER(SEARCH("cognitive",F748)),"cognitive_biases",IF(J748="protective_pattern","healthy_reasoning_patterns",IF(L748="P0","core_mvp","extended_fallacies")))))))))</x:f>
        <x:v>social_influence</x:v>
      </x:c>
      <x:c r="AC748" s="12" t="str">
        <x:f>IF(ISNUMBER(SEARCH("operational",J748)),"operational",IF(ISNUMBER(SEARCH("deprecated",J748)),"deprecated",IF(L748="P0","canonical","recognized_subtype")))</x:f>
        <x:v>operational</x:v>
      </x:c>
      <x:c r="AD748" s="12" t="str">
        <x:f>IF(AC748="canonical","high",IF(AC748="recognized_subtype","medium",IF(AC748="operational","operational_only","debated")))</x:f>
        <x:v>operational_only</x:v>
      </x:c>
      <x:c r="AE748" s="12" t="str">
        <x:f>IF(AC748="deprecated","deprecated",IF(M748="yes","active",IF(M748="review","review_required","backlog")))</x:f>
        <x:v>backlog</x:v>
      </x:c>
      <x:c r="AF748" s="12" t="str">
        <x:f>IF(OR(AE748="active",AE748="review_required"),"yes","no")</x:f>
        <x:v>no</x:v>
      </x:c>
      <x:c r="AG748" s="12" t="str">
        <x:f>IF(AND(AE748="active",M748="yes",NOT(ISNUMBER(SEARCH("healthy",AB748)))),"yes","no")</x:f>
        <x:v>no</x:v>
      </x:c>
      <x:c r="AH748" s="12" t="str">
        <x:f>IF(OR(H748="contextual",H748="dialogue",H748="discourse",I748="claim+context",I748="discourse_segment"),"yes","no")</x:f>
        <x:v>yes</x:v>
      </x:c>
      <x:c r="AI748" s="12" t="str">
        <x:f>IF(OR(AH748="yes",AD748="debated",AC748="operational"),"yes","no")</x:f>
        <x:v>yes</x:v>
      </x:c>
      <x:c r="AJ748" s="12" t="str">
        <x:f>IF(OR(AH748="yes",AC748="operational",AD748="debated"),"high",IF(AND(AG748="yes",L748="P0"),"medium","low"))</x:f>
        <x:v>high</x:v>
      </x:c>
      <x:c r="AK748" s="12" t="str">
        <x:f>IF(ISNUMBER(SEARCH("healthy",AB748)),"yes","no")</x:f>
        <x:v>no</x:v>
      </x:c>
      <x:c r="AL748" s="12" t="str">
        <x:f>IF(AG748="yes","yes","candidate_only")</x:f>
        <x:v>candidate_only</x:v>
      </x:c>
      <x:c r="AM748" s="12" t="str">
        <x:f>IF(OR(AC748="canonical",AG748="yes"),"yes","recommended")</x:f>
        <x:v>recommended</x:v>
      </x:c>
      <x:c r="AN748" s="12" t="str">
        <x:f>IF(AC748="deprecated","exclude",IF(AND(AG748="yes",AJ748="high"),"import_but_human_review_required",IF(AG748="yes","import_as_active","import_as_backlog")))</x:f>
        <x:v>import_as_backlog</x:v>
      </x:c>
      <x:c r="AO748" s="12" t="str">
        <x:f>IF(AND(AG748="yes",OR(P748="",Q748="",R748="",S748="")),"missing_required_mvp_fields",IF(AND(AC748="canonical",Y748=""),"missing_source_ref","ok"))</x:f>
        <x:v>ok</x:v>
      </x:c>
      <x:c r="AP748" s="12" t="str">
        <x:f>IF(AO748="ok","ready_for_codex_import","needs_review")</x:f>
        <x:v>ready_for_codex_import</x:v>
      </x:c>
      <x:c r="AQ748" s="12"/>
      <x:c r="AR748" s="12" t="str">
        <x:v>Added v2 operational fields. Review before classification activation.</x:v>
      </x:c>
    </x:row>
    <x:row r="749">
      <x:c r="A749" s="13" t="str">
        <x:v>false_consensus_effect_reputation_pressure_variant</x:v>
      </x:c>
      <x:c r="B749" s="13" t="str">
        <x:v>false_consensus_effect</x:v>
      </x:c>
      <x:c r="C749" s="13" t="str">
        <x:v>False consensus effect</x:v>
      </x:c>
      <x:c r="D749" s="13" t="str">
        <x:v>اثر اجماع کاذب</x:v>
      </x:c>
      <x:c r="E749" s="13" t="str">
        <x:v>Reputation-pressure variant</x:v>
      </x:c>
      <x:c r="F749" s="13" t="str">
        <x:v>social_influence_patterns</x:v>
      </x:c>
      <x:c r="G749" s="13" t="str">
        <x:v>operational_variant</x:v>
      </x:c>
      <x:c r="H749" s="13" t="str">
        <x:v>contextual</x:v>
      </x:c>
      <x:c r="I749" s="13" t="str">
        <x:v>claim+context</x:v>
      </x:c>
      <x:c r="J749" s="13" t="str">
        <x:v>derived_operational_subtype</x:v>
      </x:c>
      <x:c r="K749" s="13" t="str">
        <x:v>derived_from_established_parent_review_required</x:v>
      </x:c>
      <x:c r="L749" s="13" t="str">
        <x:v>P3</x:v>
      </x:c>
      <x:c r="M749" s="13" t="str">
        <x:v>no</x:v>
      </x:c>
      <x:c r="N749" s="13" t="str">
        <x:v>Operational subtype under False consensus effect: public reputation or conformity pressure is central. Parent definition: Overestimating how many others share one's views.</x:v>
      </x:c>
      <x:c r="O749" s="13" t="str">
        <x:v>Look for: explicit claim-level evidence; parent-family cues for False consensus effect; variant cue: public reputation or conformity pressure is central; avoid author-level inference.</x:v>
      </x:c>
      <x:c r="P749" s="13" t="str">
        <x:v>Exact evidence span in text plus claim-level reasoning link; for contextual/discourse entries, require surrounding context.</x:v>
      </x:c>
      <x:c r="Q749" s="13" t="str">
        <x:v>Do not label merely because topic is controversial, emotional, or wrong. Do not judge intent or personality. Require textual evidence and consider healthy-reasoning cues.</x:v>
      </x:c>
      <x:c r="R749" s="13" t="str">
        <x:v>Stub: A claim relies on public reputation or conformity pressure is central to support a conclusion without adequate qualification.</x:v>
      </x:c>
      <x:c r="S749" s="13" t="str">
        <x:v>Stub: A claim discusses false consensus effect with caveats, balanced evidence, or no argumentative use of the pattern.</x:v>
      </x:c>
      <x:c r="T749" s="13" t="str">
        <x:v>Mild or ambiguous cue; do not classify without clear evidence span.</x:v>
      </x:c>
      <x:c r="U749" s="13" t="str">
        <x:v>Clear claim-level pattern with some argumentative impact.</x:v>
      </x:c>
      <x:c r="V749" s="13" t="str">
        <x:v>Strong pattern central to the conclusion and likely to materially distort reasoning.</x:v>
      </x:c>
      <x:c r="W749" s="13" t="str"/>
      <x:c r="X749" s="13" t="str">
        <x:v>gilovich_heuristics_biases</x:v>
      </x:c>
      <x:c r="Y749" s="13" t="str">
        <x:v>https://www.cambridge.org/core/books/heuristics-and-biases/3C30D3B05D2F190C3B8BE5E2531EFD24</x:v>
      </x:c>
      <x:c r="Z749" s="13" t="str">
        <x:v>Review before enabling. This workbook is a living taxonomy scaffold, not a validated scientific benchmark.</x:v>
      </x:c>
      <x:c r="AA749" s="13" t="str">
        <x:v>0.1.0-draft</x:v>
      </x:c>
      <x:c r="AB749" s="12" t="str">
        <x:f>IF(ISNUMBER(SEARCH("healthy",F749)),"healthy_reasoning_patterns",IF(ISNUMBER(SEARCH("statistical",F749)),"statistical_reasoning",IF(ISNUMBER(SEARCH("causal",F749)),"causal_reasoning",IF(ISNUMBER(SEARCH("social",F749)),"social_influence",IF(ISNUMBER(SEARCH("rhetoric",F749)),"rhetoric_discourse",IF(ISNUMBER(SEARCH("behavior",F749)),"behavioural_economics",IF(ISNUMBER(SEARCH("cognitive",F749)),"cognitive_biases",IF(J749="protective_pattern","healthy_reasoning_patterns",IF(L749="P0","core_mvp","extended_fallacies")))))))))</x:f>
        <x:v>social_influence</x:v>
      </x:c>
      <x:c r="AC749" s="12" t="str">
        <x:f>IF(ISNUMBER(SEARCH("operational",J749)),"operational",IF(ISNUMBER(SEARCH("deprecated",J749)),"deprecated",IF(L749="P0","canonical","recognized_subtype")))</x:f>
        <x:v>operational</x:v>
      </x:c>
      <x:c r="AD749" s="12" t="str">
        <x:f>IF(AC749="canonical","high",IF(AC749="recognized_subtype","medium",IF(AC749="operational","operational_only","debated")))</x:f>
        <x:v>operational_only</x:v>
      </x:c>
      <x:c r="AE749" s="12" t="str">
        <x:f>IF(AC749="deprecated","deprecated",IF(M749="yes","active",IF(M749="review","review_required","backlog")))</x:f>
        <x:v>backlog</x:v>
      </x:c>
      <x:c r="AF749" s="12" t="str">
        <x:f>IF(OR(AE749="active",AE749="review_required"),"yes","no")</x:f>
        <x:v>no</x:v>
      </x:c>
      <x:c r="AG749" s="12" t="str">
        <x:f>IF(AND(AE749="active",M749="yes",NOT(ISNUMBER(SEARCH("healthy",AB749)))),"yes","no")</x:f>
        <x:v>no</x:v>
      </x:c>
      <x:c r="AH749" s="12" t="str">
        <x:f>IF(OR(H749="contextual",H749="dialogue",H749="discourse",I749="claim+context",I749="discourse_segment"),"yes","no")</x:f>
        <x:v>yes</x:v>
      </x:c>
      <x:c r="AI749" s="12" t="str">
        <x:f>IF(OR(AH749="yes",AD749="debated",AC749="operational"),"yes","no")</x:f>
        <x:v>yes</x:v>
      </x:c>
      <x:c r="AJ749" s="12" t="str">
        <x:f>IF(OR(AH749="yes",AC749="operational",AD749="debated"),"high",IF(AND(AG749="yes",L749="P0"),"medium","low"))</x:f>
        <x:v>high</x:v>
      </x:c>
      <x:c r="AK749" s="12" t="str">
        <x:f>IF(ISNUMBER(SEARCH("healthy",AB749)),"yes","no")</x:f>
        <x:v>no</x:v>
      </x:c>
      <x:c r="AL749" s="12" t="str">
        <x:f>IF(AG749="yes","yes","candidate_only")</x:f>
        <x:v>candidate_only</x:v>
      </x:c>
      <x:c r="AM749" s="12" t="str">
        <x:f>IF(OR(AC749="canonical",AG749="yes"),"yes","recommended")</x:f>
        <x:v>recommended</x:v>
      </x:c>
      <x:c r="AN749" s="12" t="str">
        <x:f>IF(AC749="deprecated","exclude",IF(AND(AG749="yes",AJ749="high"),"import_but_human_review_required",IF(AG749="yes","import_as_active","import_as_backlog")))</x:f>
        <x:v>import_as_backlog</x:v>
      </x:c>
      <x:c r="AO749" s="12" t="str">
        <x:f>IF(AND(AG749="yes",OR(P749="",Q749="",R749="",S749="")),"missing_required_mvp_fields",IF(AND(AC749="canonical",Y749=""),"missing_source_ref","ok"))</x:f>
        <x:v>ok</x:v>
      </x:c>
      <x:c r="AP749" s="12" t="str">
        <x:f>IF(AO749="ok","ready_for_codex_import","needs_review")</x:f>
        <x:v>ready_for_codex_import</x:v>
      </x:c>
      <x:c r="AQ749" s="12"/>
      <x:c r="AR749" s="12" t="str">
        <x:v>Added v2 operational fields. Review before classification activation.</x:v>
      </x:c>
    </x:row>
    <x:row r="750">
      <x:c r="A750" s="13" t="str">
        <x:v>false_uniqueness_effect_reputation_pressure_variant</x:v>
      </x:c>
      <x:c r="B750" s="13" t="str">
        <x:v>false_uniqueness_effect</x:v>
      </x:c>
      <x:c r="C750" s="13" t="str">
        <x:v>False uniqueness effect</x:v>
      </x:c>
      <x:c r="D750" s="13" t="str">
        <x:v>اثر یکتایی کاذب</x:v>
      </x:c>
      <x:c r="E750" s="13" t="str">
        <x:v>Reputation-pressure variant</x:v>
      </x:c>
      <x:c r="F750" s="13" t="str">
        <x:v>social_influence_patterns</x:v>
      </x:c>
      <x:c r="G750" s="13" t="str">
        <x:v>operational_variant</x:v>
      </x:c>
      <x:c r="H750" s="13" t="str">
        <x:v>contextual</x:v>
      </x:c>
      <x:c r="I750" s="13" t="str">
        <x:v>claim+context</x:v>
      </x:c>
      <x:c r="J750" s="13" t="str">
        <x:v>derived_operational_subtype</x:v>
      </x:c>
      <x:c r="K750" s="13" t="str">
        <x:v>derived_from_established_parent_review_required</x:v>
      </x:c>
      <x:c r="L750" s="13" t="str">
        <x:v>P3</x:v>
      </x:c>
      <x:c r="M750" s="13" t="str">
        <x:v>no</x:v>
      </x:c>
      <x:c r="N750" s="13" t="str">
        <x:v>Operational subtype under False uniqueness effect: public reputation or conformity pressure is central. Parent definition: Underestimating how many others share one's desirable traits or views.</x:v>
      </x:c>
      <x:c r="O750" s="13" t="str">
        <x:v>Look for: explicit claim-level evidence; parent-family cues for False uniqueness effect; variant cue: public reputation or conformity pressure is central; avoid author-level inference.</x:v>
      </x:c>
      <x:c r="P750" s="13" t="str">
        <x:v>Exact evidence span in text plus claim-level reasoning link; for contextual/discourse entries, require surrounding context.</x:v>
      </x:c>
      <x:c r="Q750" s="13" t="str">
        <x:v>Do not label merely because topic is controversial, emotional, or wrong. Do not judge intent or personality. Require textual evidence and consider healthy-reasoning cues.</x:v>
      </x:c>
      <x:c r="R750" s="13" t="str">
        <x:v>Stub: A claim relies on public reputation or conformity pressure is central to support a conclusion without adequate qualification.</x:v>
      </x:c>
      <x:c r="S750" s="13" t="str">
        <x:v>Stub: A claim discusses false uniqueness effect with caveats, balanced evidence, or no argumentative use of the pattern.</x:v>
      </x:c>
      <x:c r="T750" s="13" t="str">
        <x:v>Mild or ambiguous cue; do not classify without clear evidence span.</x:v>
      </x:c>
      <x:c r="U750" s="13" t="str">
        <x:v>Clear claim-level pattern with some argumentative impact.</x:v>
      </x:c>
      <x:c r="V750" s="13" t="str">
        <x:v>Strong pattern central to the conclusion and likely to materially distort reasoning.</x:v>
      </x:c>
      <x:c r="W750" s="13" t="str"/>
      <x:c r="X750" s="13" t="str">
        <x:v>gilovich_heuristics_biases</x:v>
      </x:c>
      <x:c r="Y750" s="13" t="str">
        <x:v>https://www.cambridge.org/core/books/heuristics-and-biases/3C30D3B05D2F190C3B8BE5E2531EFD24</x:v>
      </x:c>
      <x:c r="Z750" s="13" t="str">
        <x:v>Review before enabling. This workbook is a living taxonomy scaffold, not a validated scientific benchmark.</x:v>
      </x:c>
      <x:c r="AA750" s="13" t="str">
        <x:v>0.1.0-draft</x:v>
      </x:c>
      <x:c r="AB750" s="12" t="str">
        <x:f>IF(ISNUMBER(SEARCH("healthy",F750)),"healthy_reasoning_patterns",IF(ISNUMBER(SEARCH("statistical",F750)),"statistical_reasoning",IF(ISNUMBER(SEARCH("causal",F750)),"causal_reasoning",IF(ISNUMBER(SEARCH("social",F750)),"social_influence",IF(ISNUMBER(SEARCH("rhetoric",F750)),"rhetoric_discourse",IF(ISNUMBER(SEARCH("behavior",F750)),"behavioural_economics",IF(ISNUMBER(SEARCH("cognitive",F750)),"cognitive_biases",IF(J750="protective_pattern","healthy_reasoning_patterns",IF(L750="P0","core_mvp","extended_fallacies")))))))))</x:f>
        <x:v>social_influence</x:v>
      </x:c>
      <x:c r="AC750" s="12" t="str">
        <x:f>IF(ISNUMBER(SEARCH("operational",J750)),"operational",IF(ISNUMBER(SEARCH("deprecated",J750)),"deprecated",IF(L750="P0","canonical","recognized_subtype")))</x:f>
        <x:v>operational</x:v>
      </x:c>
      <x:c r="AD750" s="12" t="str">
        <x:f>IF(AC750="canonical","high",IF(AC750="recognized_subtype","medium",IF(AC750="operational","operational_only","debated")))</x:f>
        <x:v>operational_only</x:v>
      </x:c>
      <x:c r="AE750" s="12" t="str">
        <x:f>IF(AC750="deprecated","deprecated",IF(M750="yes","active",IF(M750="review","review_required","backlog")))</x:f>
        <x:v>backlog</x:v>
      </x:c>
      <x:c r="AF750" s="12" t="str">
        <x:f>IF(OR(AE750="active",AE750="review_required"),"yes","no")</x:f>
        <x:v>no</x:v>
      </x:c>
      <x:c r="AG750" s="12" t="str">
        <x:f>IF(AND(AE750="active",M750="yes",NOT(ISNUMBER(SEARCH("healthy",AB750)))),"yes","no")</x:f>
        <x:v>no</x:v>
      </x:c>
      <x:c r="AH750" s="12" t="str">
        <x:f>IF(OR(H750="contextual",H750="dialogue",H750="discourse",I750="claim+context",I750="discourse_segment"),"yes","no")</x:f>
        <x:v>yes</x:v>
      </x:c>
      <x:c r="AI750" s="12" t="str">
        <x:f>IF(OR(AH750="yes",AD750="debated",AC750="operational"),"yes","no")</x:f>
        <x:v>yes</x:v>
      </x:c>
      <x:c r="AJ750" s="12" t="str">
        <x:f>IF(OR(AH750="yes",AC750="operational",AD750="debated"),"high",IF(AND(AG750="yes",L750="P0"),"medium","low"))</x:f>
        <x:v>high</x:v>
      </x:c>
      <x:c r="AK750" s="12" t="str">
        <x:f>IF(ISNUMBER(SEARCH("healthy",AB750)),"yes","no")</x:f>
        <x:v>no</x:v>
      </x:c>
      <x:c r="AL750" s="12" t="str">
        <x:f>IF(AG750="yes","yes","candidate_only")</x:f>
        <x:v>candidate_only</x:v>
      </x:c>
      <x:c r="AM750" s="12" t="str">
        <x:f>IF(OR(AC750="canonical",AG750="yes"),"yes","recommended")</x:f>
        <x:v>recommended</x:v>
      </x:c>
      <x:c r="AN750" s="12" t="str">
        <x:f>IF(AC750="deprecated","exclude",IF(AND(AG750="yes",AJ750="high"),"import_but_human_review_required",IF(AG750="yes","import_as_active","import_as_backlog")))</x:f>
        <x:v>import_as_backlog</x:v>
      </x:c>
      <x:c r="AO750" s="12" t="str">
        <x:f>IF(AND(AG750="yes",OR(P750="",Q750="",R750="",S750="")),"missing_required_mvp_fields",IF(AND(AC750="canonical",Y750=""),"missing_source_ref","ok"))</x:f>
        <x:v>ok</x:v>
      </x:c>
      <x:c r="AP750" s="12" t="str">
        <x:f>IF(AO750="ok","ready_for_codex_import","needs_review")</x:f>
        <x:v>ready_for_codex_import</x:v>
      </x:c>
      <x:c r="AQ750" s="12"/>
      <x:c r="AR750" s="12" t="str">
        <x:v>Added v2 operational fields. Review before classification activation.</x:v>
      </x:c>
    </x:row>
    <x:row r="751">
      <x:c r="A751" s="13" t="str">
        <x:v>information_cascade_reputation_pressure_variant</x:v>
      </x:c>
      <x:c r="B751" s="13" t="str">
        <x:v>information_cascade</x:v>
      </x:c>
      <x:c r="C751" s="13" t="str">
        <x:v>Information cascade</x:v>
      </x:c>
      <x:c r="D751" s="13" t="str">
        <x:v>آبشار اطلاعاتی</x:v>
      </x:c>
      <x:c r="E751" s="13" t="str">
        <x:v>Reputation-pressure variant</x:v>
      </x:c>
      <x:c r="F751" s="13" t="str">
        <x:v>social_influence_patterns</x:v>
      </x:c>
      <x:c r="G751" s="13" t="str">
        <x:v>operational_variant</x:v>
      </x:c>
      <x:c r="H751" s="13" t="str">
        <x:v>discourse</x:v>
      </x:c>
      <x:c r="I751" s="13" t="str">
        <x:v>discourse_segment</x:v>
      </x:c>
      <x:c r="J751" s="13" t="str">
        <x:v>derived_operational_subtype</x:v>
      </x:c>
      <x:c r="K751" s="13" t="str">
        <x:v>derived_from_established_parent_review_required</x:v>
      </x:c>
      <x:c r="L751" s="13" t="str">
        <x:v>P3</x:v>
      </x:c>
      <x:c r="M751" s="13" t="str">
        <x:v>no</x:v>
      </x:c>
      <x:c r="N751" s="13" t="str">
        <x:v>Operational subtype under Information cascade: public reputation or conformity pressure is central. Parent definition: Following earlier choices because they appear informative.</x:v>
      </x:c>
      <x:c r="O751" s="13" t="str">
        <x:v>Look for: explicit claim-level evidence; parent-family cues for Information cascade; variant cue: public reputation or conformity pressure is central; avoid author-level inference.</x:v>
      </x:c>
      <x:c r="P751" s="13" t="str">
        <x:v>Exact evidence span in text plus claim-level reasoning link; for contextual/discourse entries, require surrounding context.</x:v>
      </x:c>
      <x:c r="Q751" s="13" t="str">
        <x:v>Do not label merely because topic is controversial, emotional, or wrong. Do not judge intent or personality. Require textual evidence and consider healthy-reasoning cues.</x:v>
      </x:c>
      <x:c r="R751" s="13" t="str">
        <x:v>Stub: A claim relies on public reputation or conformity pressure is central to support a conclusion without adequate qualification.</x:v>
      </x:c>
      <x:c r="S751" s="13" t="str">
        <x:v>Stub: A claim discusses information cascade with caveats, balanced evidence, or no argumentative use of the pattern.</x:v>
      </x:c>
      <x:c r="T751" s="13" t="str">
        <x:v>Mild or ambiguous cue; do not classify without clear evidence span.</x:v>
      </x:c>
      <x:c r="U751" s="13" t="str">
        <x:v>Clear claim-level pattern with some argumentative impact.</x:v>
      </x:c>
      <x:c r="V751" s="13" t="str">
        <x:v>Strong pattern central to the conclusion and likely to materially distort reasoning.</x:v>
      </x:c>
      <x:c r="W751" s="13" t="str"/>
      <x:c r="X751" s="13" t="str">
        <x:v>cialdini_influence</x:v>
      </x:c>
      <x:c r="Y751" s="13" t="str">
        <x:v>https://www.pearson.com/en-us/subject-catalog/p/influence-science-and-practice/P200000003004</x:v>
      </x:c>
      <x:c r="Z751" s="13" t="str">
        <x:v>Review before enabling. This workbook is a living taxonomy scaffold, not a validated scientific benchmark.</x:v>
      </x:c>
      <x:c r="AA751" s="13" t="str">
        <x:v>0.1.0-draft</x:v>
      </x:c>
      <x:c r="AB751" s="12" t="str">
        <x:f>IF(ISNUMBER(SEARCH("healthy",F751)),"healthy_reasoning_patterns",IF(ISNUMBER(SEARCH("statistical",F751)),"statistical_reasoning",IF(ISNUMBER(SEARCH("causal",F751)),"causal_reasoning",IF(ISNUMBER(SEARCH("social",F751)),"social_influence",IF(ISNUMBER(SEARCH("rhetoric",F751)),"rhetoric_discourse",IF(ISNUMBER(SEARCH("behavior",F751)),"behavioural_economics",IF(ISNUMBER(SEARCH("cognitive",F751)),"cognitive_biases",IF(J751="protective_pattern","healthy_reasoning_patterns",IF(L751="P0","core_mvp","extended_fallacies")))))))))</x:f>
        <x:v>social_influence</x:v>
      </x:c>
      <x:c r="AC751" s="12" t="str">
        <x:f>IF(ISNUMBER(SEARCH("operational",J751)),"operational",IF(ISNUMBER(SEARCH("deprecated",J751)),"deprecated",IF(L751="P0","canonical","recognized_subtype")))</x:f>
        <x:v>operational</x:v>
      </x:c>
      <x:c r="AD751" s="12" t="str">
        <x:f>IF(AC751="canonical","high",IF(AC751="recognized_subtype","medium",IF(AC751="operational","operational_only","debated")))</x:f>
        <x:v>operational_only</x:v>
      </x:c>
      <x:c r="AE751" s="12" t="str">
        <x:f>IF(AC751="deprecated","deprecated",IF(M751="yes","active",IF(M751="review","review_required","backlog")))</x:f>
        <x:v>backlog</x:v>
      </x:c>
      <x:c r="AF751" s="12" t="str">
        <x:f>IF(OR(AE751="active",AE751="review_required"),"yes","no")</x:f>
        <x:v>no</x:v>
      </x:c>
      <x:c r="AG751" s="12" t="str">
        <x:f>IF(AND(AE751="active",M751="yes",NOT(ISNUMBER(SEARCH("healthy",AB751)))),"yes","no")</x:f>
        <x:v>no</x:v>
      </x:c>
      <x:c r="AH751" s="12" t="str">
        <x:f>IF(OR(H751="contextual",H751="dialogue",H751="discourse",I751="claim+context",I751="discourse_segment"),"yes","no")</x:f>
        <x:v>yes</x:v>
      </x:c>
      <x:c r="AI751" s="12" t="str">
        <x:f>IF(OR(AH751="yes",AD751="debated",AC751="operational"),"yes","no")</x:f>
        <x:v>yes</x:v>
      </x:c>
      <x:c r="AJ751" s="12" t="str">
        <x:f>IF(OR(AH751="yes",AC751="operational",AD751="debated"),"high",IF(AND(AG751="yes",L751="P0"),"medium","low"))</x:f>
        <x:v>high</x:v>
      </x:c>
      <x:c r="AK751" s="12" t="str">
        <x:f>IF(ISNUMBER(SEARCH("healthy",AB751)),"yes","no")</x:f>
        <x:v>no</x:v>
      </x:c>
      <x:c r="AL751" s="12" t="str">
        <x:f>IF(AG751="yes","yes","candidate_only")</x:f>
        <x:v>candidate_only</x:v>
      </x:c>
      <x:c r="AM751" s="12" t="str">
        <x:f>IF(OR(AC751="canonical",AG751="yes"),"yes","recommended")</x:f>
        <x:v>recommended</x:v>
      </x:c>
      <x:c r="AN751" s="12" t="str">
        <x:f>IF(AC751="deprecated","exclude",IF(AND(AG751="yes",AJ751="high"),"import_but_human_review_required",IF(AG751="yes","import_as_active","import_as_backlog")))</x:f>
        <x:v>import_as_backlog</x:v>
      </x:c>
      <x:c r="AO751" s="12" t="str">
        <x:f>IF(AND(AG751="yes",OR(P751="",Q751="",R751="",S751="")),"missing_required_mvp_fields",IF(AND(AC751="canonical",Y751=""),"missing_source_ref","ok"))</x:f>
        <x:v>ok</x:v>
      </x:c>
      <x:c r="AP751" s="12" t="str">
        <x:f>IF(AO751="ok","ready_for_codex_import","needs_review")</x:f>
        <x:v>ready_for_codex_import</x:v>
      </x:c>
      <x:c r="AQ751" s="12"/>
      <x:c r="AR751" s="12" t="str">
        <x:v>Added v2 operational fields. Review before classification activation.</x:v>
      </x:c>
    </x:row>
    <x:row r="752">
      <x:c r="A752" s="13" t="str">
        <x:v>loaded_language_canonical</x:v>
      </x:c>
      <x:c r="B752" s="13" t="str">
        <x:v>loaded_language</x:v>
      </x:c>
      <x:c r="C752" s="13" t="str">
        <x:v>Loaded language</x:v>
      </x:c>
      <x:c r="D752" s="13" t="str">
        <x:v>زبان بارگذاری‌شده</x:v>
      </x:c>
      <x:c r="E752" s="13" t="str">
        <x:v>Canonical form</x:v>
      </x:c>
      <x:c r="F752" s="13" t="str">
        <x:v>rhetorical_manipulation_patterns</x:v>
      </x:c>
      <x:c r="G752" s="13" t="str">
        <x:v>canonical</x:v>
      </x:c>
      <x:c r="H752" s="13" t="str">
        <x:v>lexical</x:v>
      </x:c>
      <x:c r="I752" s="13" t="str">
        <x:v>claim</x:v>
      </x:c>
      <x:c r="J752" s="13" t="str">
        <x:v>derived_operational_subtype</x:v>
      </x:c>
      <x:c r="K752" s="13" t="str">
        <x:v>derived_from_established_parent_review_required</x:v>
      </x:c>
      <x:c r="L752" s="13" t="str">
        <x:v>P2</x:v>
      </x:c>
      <x:c r="M752" s="13" t="str">
        <x:v>no</x:v>
      </x:c>
      <x:c r="N752" s="13" t="str">
        <x:v>Operational subtype under Loaded language: rhetorical presentation shapes interpretation. Parent definition: Using emotionally charged words to steer interpretation.</x:v>
      </x:c>
      <x:c r="O752" s="13" t="str">
        <x:v>Look for: explicit claim-level evidence; parent-family cues for Loaded language; variant cue: rhetorical presentation shapes interpretation; avoid author-level inference.</x:v>
      </x:c>
      <x:c r="P752" s="13" t="str">
        <x:v>Exact evidence span in text plus claim-level reasoning link; for contextual/discourse entries, require surrounding context.</x:v>
      </x:c>
      <x:c r="Q752" s="13" t="str">
        <x:v>Do not label merely because topic is controversial, emotional, or wrong. Do not judge intent or personality. Require textual evidence and consider healthy-reasoning cues.</x:v>
      </x:c>
      <x:c r="R752" s="13" t="str">
        <x:v>Stub: A claim relies on rhetorical presentation shapes interpretation to support a conclusion without adequate qualification.</x:v>
      </x:c>
      <x:c r="S752" s="13" t="str">
        <x:v>Stub: A claim discusses loaded language with caveats, balanced evidence, or no argumentative use of the pattern.</x:v>
      </x:c>
      <x:c r="T752" s="13" t="str">
        <x:v>Mild or ambiguous cue; do not classify without clear evidence span.</x:v>
      </x:c>
      <x:c r="U752" s="13" t="str">
        <x:v>Clear claim-level pattern with some argumentative impact.</x:v>
      </x:c>
      <x:c r="V752" s="13" t="str">
        <x:v>Strong pattern central to the conclusion and likely to materially distort reasoning.</x:v>
      </x:c>
      <x:c r="W752" s="13" t="str"/>
      <x:c r="X752" s="13" t="str">
        <x:v>grice_logic_conversation</x:v>
      </x:c>
      <x:c r="Y752" s="13" t="str">
        <x:v>https://doi.org/10.1163/9789004368811_003</x:v>
      </x:c>
      <x:c r="Z752" s="13" t="str">
        <x:v>Review before enabling. This workbook is a living taxonomy scaffold, not a validated scientific benchmark.</x:v>
      </x:c>
      <x:c r="AA752" s="13" t="str">
        <x:v>0.1.0-draft</x:v>
      </x:c>
      <x:c r="AB752" s="12" t="str">
        <x:f>IF(ISNUMBER(SEARCH("healthy",F752)),"healthy_reasoning_patterns",IF(ISNUMBER(SEARCH("statistical",F752)),"statistical_reasoning",IF(ISNUMBER(SEARCH("causal",F752)),"causal_reasoning",IF(ISNUMBER(SEARCH("social",F752)),"social_influence",IF(ISNUMBER(SEARCH("rhetoric",F752)),"rhetoric_discourse",IF(ISNUMBER(SEARCH("behavior",F752)),"behavioural_economics",IF(ISNUMBER(SEARCH("cognitive",F752)),"cognitive_biases",IF(J752="protective_pattern","healthy_reasoning_patterns",IF(L752="P0","core_mvp","extended_fallacies")))))))))</x:f>
        <x:v>rhetoric_discourse</x:v>
      </x:c>
      <x:c r="AC752" s="12" t="str">
        <x:f>IF(ISNUMBER(SEARCH("operational",J752)),"operational",IF(ISNUMBER(SEARCH("deprecated",J752)),"deprecated",IF(L752="P0","canonical","recognized_subtype")))</x:f>
        <x:v>operational</x:v>
      </x:c>
      <x:c r="AD752" s="12" t="str">
        <x:f>IF(AC752="canonical","high",IF(AC752="recognized_subtype","medium",IF(AC752="operational","operational_only","debated")))</x:f>
        <x:v>operational_only</x:v>
      </x:c>
      <x:c r="AE752" s="12" t="str">
        <x:f>IF(AC752="deprecated","deprecated",IF(M752="yes","active",IF(M752="review","review_required","backlog")))</x:f>
        <x:v>backlog</x:v>
      </x:c>
      <x:c r="AF752" s="12" t="str">
        <x:f>IF(OR(AE752="active",AE752="review_required"),"yes","no")</x:f>
        <x:v>no</x:v>
      </x:c>
      <x:c r="AG752" s="12" t="str">
        <x:f>IF(AND(AE752="active",M752="yes",NOT(ISNUMBER(SEARCH("healthy",AB752)))),"yes","no")</x:f>
        <x:v>no</x:v>
      </x:c>
      <x:c r="AH752" s="12" t="str">
        <x:f>IF(OR(H752="contextual",H752="dialogue",H752="discourse",I752="claim+context",I752="discourse_segment"),"yes","no")</x:f>
        <x:v>no</x:v>
      </x:c>
      <x:c r="AI752" s="12" t="str">
        <x:f>IF(OR(AH752="yes",AD752="debated",AC752="operational"),"yes","no")</x:f>
        <x:v>yes</x:v>
      </x:c>
      <x:c r="AJ752" s="12" t="str">
        <x:f>IF(OR(AH752="yes",AC752="operational",AD752="debated"),"high",IF(AND(AG752="yes",L752="P0"),"medium","low"))</x:f>
        <x:v>high</x:v>
      </x:c>
      <x:c r="AK752" s="12" t="str">
        <x:f>IF(ISNUMBER(SEARCH("healthy",AB752)),"yes","no")</x:f>
        <x:v>no</x:v>
      </x:c>
      <x:c r="AL752" s="12" t="str">
        <x:f>IF(AG752="yes","yes","candidate_only")</x:f>
        <x:v>candidate_only</x:v>
      </x:c>
      <x:c r="AM752" s="12" t="str">
        <x:f>IF(OR(AC752="canonical",AG752="yes"),"yes","recommended")</x:f>
        <x:v>recommended</x:v>
      </x:c>
      <x:c r="AN752" s="12" t="str">
        <x:f>IF(AC752="deprecated","exclude",IF(AND(AG752="yes",AJ752="high"),"import_but_human_review_required",IF(AG752="yes","import_as_active","import_as_backlog")))</x:f>
        <x:v>import_as_backlog</x:v>
      </x:c>
      <x:c r="AO752" s="12" t="str">
        <x:f>IF(AND(AG752="yes",OR(P752="",Q752="",R752="",S752="")),"missing_required_mvp_fields",IF(AND(AC752="canonical",Y752=""),"missing_source_ref","ok"))</x:f>
        <x:v>ok</x:v>
      </x:c>
      <x:c r="AP752" s="12" t="str">
        <x:f>IF(AO752="ok","ready_for_codex_import","needs_review")</x:f>
        <x:v>ready_for_codex_import</x:v>
      </x:c>
      <x:c r="AQ752" s="12"/>
      <x:c r="AR752" s="12" t="str">
        <x:v>Added v2 operational fields. Review before classification activation.</x:v>
      </x:c>
    </x:row>
    <x:row r="753">
      <x:c r="A753" s="13" t="str">
        <x:v>weasel_words_canonical</x:v>
      </x:c>
      <x:c r="B753" s="13" t="str">
        <x:v>weasel_words</x:v>
      </x:c>
      <x:c r="C753" s="13" t="str">
        <x:v>Weasel words</x:v>
      </x:c>
      <x:c r="D753" s="13" t="str">
        <x:v>واژه‌های گریز</x:v>
      </x:c>
      <x:c r="E753" s="13" t="str">
        <x:v>Canonical form</x:v>
      </x:c>
      <x:c r="F753" s="13" t="str">
        <x:v>rhetorical_manipulation_patterns</x:v>
      </x:c>
      <x:c r="G753" s="13" t="str">
        <x:v>canonical</x:v>
      </x:c>
      <x:c r="H753" s="13" t="str">
        <x:v>lexical</x:v>
      </x:c>
      <x:c r="I753" s="13" t="str">
        <x:v>claim</x:v>
      </x:c>
      <x:c r="J753" s="13" t="str">
        <x:v>derived_operational_subtype</x:v>
      </x:c>
      <x:c r="K753" s="13" t="str">
        <x:v>derived_from_established_parent_review_required</x:v>
      </x:c>
      <x:c r="L753" s="13" t="str">
        <x:v>P2</x:v>
      </x:c>
      <x:c r="M753" s="13" t="str">
        <x:v>no</x:v>
      </x:c>
      <x:c r="N753" s="13" t="str">
        <x:v>Operational subtype under Weasel words: rhetorical presentation shapes interpretation. Parent definition: Using vague qualifiers that create an impression without accountable evidence.</x:v>
      </x:c>
      <x:c r="O753" s="13" t="str">
        <x:v>Look for: explicit claim-level evidence; parent-family cues for Weasel words; variant cue: rhetorical presentation shapes interpretation; avoid author-level inference.</x:v>
      </x:c>
      <x:c r="P753" s="13" t="str">
        <x:v>Exact evidence span in text plus claim-level reasoning link; for contextual/discourse entries, require surrounding context.</x:v>
      </x:c>
      <x:c r="Q753" s="13" t="str">
        <x:v>Do not label merely because topic is controversial, emotional, or wrong. Do not judge intent or personality. Require textual evidence and consider healthy-reasoning cues.</x:v>
      </x:c>
      <x:c r="R753" s="13" t="str">
        <x:v>Stub: A claim relies on rhetorical presentation shapes interpretation to support a conclusion without adequate qualification.</x:v>
      </x:c>
      <x:c r="S753" s="13" t="str">
        <x:v>Stub: A claim discusses weasel words with caveats, balanced evidence, or no argumentative use of the pattern.</x:v>
      </x:c>
      <x:c r="T753" s="13" t="str">
        <x:v>Mild or ambiguous cue; do not classify without clear evidence span.</x:v>
      </x:c>
      <x:c r="U753" s="13" t="str">
        <x:v>Clear claim-level pattern with some argumentative impact.</x:v>
      </x:c>
      <x:c r="V753" s="13" t="str">
        <x:v>Strong pattern central to the conclusion and likely to materially distort reasoning.</x:v>
      </x:c>
      <x:c r="W753" s="13" t="str">
        <x:v>cherry_picking; missing_counterevidence; evidence_grading</x:v>
      </x:c>
      <x:c r="X753" s="13" t="str">
        <x:v>grice_logic_conversation</x:v>
      </x:c>
      <x:c r="Y753" s="13" t="str">
        <x:v>https://doi.org/10.1163/9789004368811_003</x:v>
      </x:c>
      <x:c r="Z753" s="13" t="str">
        <x:v>Review before enabling. This workbook is a living taxonomy scaffold, not a validated scientific benchmark.</x:v>
      </x:c>
      <x:c r="AA753" s="13" t="str">
        <x:v>0.1.0-draft</x:v>
      </x:c>
      <x:c r="AB753" s="12" t="str">
        <x:f>IF(ISNUMBER(SEARCH("healthy",F753)),"healthy_reasoning_patterns",IF(ISNUMBER(SEARCH("statistical",F753)),"statistical_reasoning",IF(ISNUMBER(SEARCH("causal",F753)),"causal_reasoning",IF(ISNUMBER(SEARCH("social",F753)),"social_influence",IF(ISNUMBER(SEARCH("rhetoric",F753)),"rhetoric_discourse",IF(ISNUMBER(SEARCH("behavior",F753)),"behavioural_economics",IF(ISNUMBER(SEARCH("cognitive",F753)),"cognitive_biases",IF(J753="protective_pattern","healthy_reasoning_patterns",IF(L753="P0","core_mvp","extended_fallacies")))))))))</x:f>
        <x:v>rhetoric_discourse</x:v>
      </x:c>
      <x:c r="AC753" s="12" t="str">
        <x:f>IF(ISNUMBER(SEARCH("operational",J753)),"operational",IF(ISNUMBER(SEARCH("deprecated",J753)),"deprecated",IF(L753="P0","canonical","recognized_subtype")))</x:f>
        <x:v>operational</x:v>
      </x:c>
      <x:c r="AD753" s="12" t="str">
        <x:f>IF(AC753="canonical","high",IF(AC753="recognized_subtype","medium",IF(AC753="operational","operational_only","debated")))</x:f>
        <x:v>operational_only</x:v>
      </x:c>
      <x:c r="AE753" s="12" t="str">
        <x:f>IF(AC753="deprecated","deprecated",IF(M753="yes","active",IF(M753="review","review_required","backlog")))</x:f>
        <x:v>backlog</x:v>
      </x:c>
      <x:c r="AF753" s="12" t="str">
        <x:f>IF(OR(AE753="active",AE753="review_required"),"yes","no")</x:f>
        <x:v>no</x:v>
      </x:c>
      <x:c r="AG753" s="12" t="str">
        <x:f>IF(AND(AE753="active",M753="yes",NOT(ISNUMBER(SEARCH("healthy",AB753)))),"yes","no")</x:f>
        <x:v>no</x:v>
      </x:c>
      <x:c r="AH753" s="12" t="str">
        <x:f>IF(OR(H753="contextual",H753="dialogue",H753="discourse",I753="claim+context",I753="discourse_segment"),"yes","no")</x:f>
        <x:v>no</x:v>
      </x:c>
      <x:c r="AI753" s="12" t="str">
        <x:f>IF(OR(AH753="yes",AD753="debated",AC753="operational"),"yes","no")</x:f>
        <x:v>yes</x:v>
      </x:c>
      <x:c r="AJ753" s="12" t="str">
        <x:f>IF(OR(AH753="yes",AC753="operational",AD753="debated"),"high",IF(AND(AG753="yes",L753="P0"),"medium","low"))</x:f>
        <x:v>high</x:v>
      </x:c>
      <x:c r="AK753" s="12" t="str">
        <x:f>IF(ISNUMBER(SEARCH("healthy",AB753)),"yes","no")</x:f>
        <x:v>no</x:v>
      </x:c>
      <x:c r="AL753" s="12" t="str">
        <x:f>IF(AG753="yes","yes","candidate_only")</x:f>
        <x:v>candidate_only</x:v>
      </x:c>
      <x:c r="AM753" s="12" t="str">
        <x:f>IF(OR(AC753="canonical",AG753="yes"),"yes","recommended")</x:f>
        <x:v>recommended</x:v>
      </x:c>
      <x:c r="AN753" s="12" t="str">
        <x:f>IF(AC753="deprecated","exclude",IF(AND(AG753="yes",AJ753="high"),"import_but_human_review_required",IF(AG753="yes","import_as_active","import_as_backlog")))</x:f>
        <x:v>import_as_backlog</x:v>
      </x:c>
      <x:c r="AO753" s="12" t="str">
        <x:f>IF(AND(AG753="yes",OR(P753="",Q753="",R753="",S753="")),"missing_required_mvp_fields",IF(AND(AC753="canonical",Y753=""),"missing_source_ref","ok"))</x:f>
        <x:v>ok</x:v>
      </x:c>
      <x:c r="AP753" s="12" t="str">
        <x:f>IF(AO753="ok","ready_for_codex_import","needs_review")</x:f>
        <x:v>ready_for_codex_import</x:v>
      </x:c>
      <x:c r="AQ753" s="12"/>
      <x:c r="AR753" s="12" t="str">
        <x:v>Added v2 operational fields. Review before classification activation.</x:v>
      </x:c>
    </x:row>
    <x:row r="754">
      <x:c r="A754" s="13" t="str">
        <x:v>vague_quantifier_canonical</x:v>
      </x:c>
      <x:c r="B754" s="13" t="str">
        <x:v>vague_quantifier</x:v>
      </x:c>
      <x:c r="C754" s="13" t="str">
        <x:v>Vague quantifier</x:v>
      </x:c>
      <x:c r="D754" s="13" t="str">
        <x:v>کمیت‌نمای مبهم</x:v>
      </x:c>
      <x:c r="E754" s="13" t="str">
        <x:v>Canonical form</x:v>
      </x:c>
      <x:c r="F754" s="13" t="str">
        <x:v>rhetorical_manipulation_patterns</x:v>
      </x:c>
      <x:c r="G754" s="13" t="str">
        <x:v>canonical</x:v>
      </x:c>
      <x:c r="H754" s="13" t="str">
        <x:v>lexical</x:v>
      </x:c>
      <x:c r="I754" s="13" t="str">
        <x:v>claim</x:v>
      </x:c>
      <x:c r="J754" s="13" t="str">
        <x:v>derived_operational_subtype</x:v>
      </x:c>
      <x:c r="K754" s="13" t="str">
        <x:v>derived_from_established_parent_review_required</x:v>
      </x:c>
      <x:c r="L754" s="13" t="str">
        <x:v>P2</x:v>
      </x:c>
      <x:c r="M754" s="13" t="str">
        <x:v>no</x:v>
      </x:c>
      <x:c r="N754" s="13" t="str">
        <x:v>Operational subtype under Vague quantifier: rhetorical presentation shapes interpretation. Parent definition: Using terms like many, experts, or people say without specification.</x:v>
      </x:c>
      <x:c r="O754" s="13" t="str">
        <x:v>Look for: explicit claim-level evidence; parent-family cues for Vague quantifier; variant cue: rhetorical presentation shapes interpretation; avoid author-level inference.</x:v>
      </x:c>
      <x:c r="P754" s="13" t="str">
        <x:v>Exact evidence span in text plus claim-level reasoning link; for contextual/discourse entries, require surrounding context.</x:v>
      </x:c>
      <x:c r="Q754" s="13" t="str">
        <x:v>Do not label merely because topic is controversial, emotional, or wrong. Do not judge intent or personality. Require textual evidence and consider healthy-reasoning cues.</x:v>
      </x:c>
      <x:c r="R754" s="13" t="str">
        <x:v>Stub: A claim relies on rhetorical presentation shapes interpretation to support a conclusion without adequate qualification.</x:v>
      </x:c>
      <x:c r="S754" s="13" t="str">
        <x:v>Stub: A claim discusses vague quantifier with caveats, balanced evidence, or no argumentative use of the pattern.</x:v>
      </x:c>
      <x:c r="T754" s="13" t="str">
        <x:v>Mild or ambiguous cue; do not classify without clear evidence span.</x:v>
      </x:c>
      <x:c r="U754" s="13" t="str">
        <x:v>Clear claim-level pattern with some argumentative impact.</x:v>
      </x:c>
      <x:c r="V754" s="13" t="str">
        <x:v>Strong pattern central to the conclusion and likely to materially distort reasoning.</x:v>
      </x:c>
      <x:c r="W754" s="13" t="str"/>
      <x:c r="X754" s="13" t="str">
        <x:v>grice_logic_conversation</x:v>
      </x:c>
      <x:c r="Y754" s="13" t="str">
        <x:v>https://doi.org/10.1163/9789004368811_003</x:v>
      </x:c>
      <x:c r="Z754" s="13" t="str">
        <x:v>Review before enabling. This workbook is a living taxonomy scaffold, not a validated scientific benchmark.</x:v>
      </x:c>
      <x:c r="AA754" s="13" t="str">
        <x:v>0.1.0-draft</x:v>
      </x:c>
      <x:c r="AB754" s="12" t="str">
        <x:f>IF(ISNUMBER(SEARCH("healthy",F754)),"healthy_reasoning_patterns",IF(ISNUMBER(SEARCH("statistical",F754)),"statistical_reasoning",IF(ISNUMBER(SEARCH("causal",F754)),"causal_reasoning",IF(ISNUMBER(SEARCH("social",F754)),"social_influence",IF(ISNUMBER(SEARCH("rhetoric",F754)),"rhetoric_discourse",IF(ISNUMBER(SEARCH("behavior",F754)),"behavioural_economics",IF(ISNUMBER(SEARCH("cognitive",F754)),"cognitive_biases",IF(J754="protective_pattern","healthy_reasoning_patterns",IF(L754="P0","core_mvp","extended_fallacies")))))))))</x:f>
        <x:v>rhetoric_discourse</x:v>
      </x:c>
      <x:c r="AC754" s="12" t="str">
        <x:f>IF(ISNUMBER(SEARCH("operational",J754)),"operational",IF(ISNUMBER(SEARCH("deprecated",J754)),"deprecated",IF(L754="P0","canonical","recognized_subtype")))</x:f>
        <x:v>operational</x:v>
      </x:c>
      <x:c r="AD754" s="12" t="str">
        <x:f>IF(AC754="canonical","high",IF(AC754="recognized_subtype","medium",IF(AC754="operational","operational_only","debated")))</x:f>
        <x:v>operational_only</x:v>
      </x:c>
      <x:c r="AE754" s="12" t="str">
        <x:f>IF(AC754="deprecated","deprecated",IF(M754="yes","active",IF(M754="review","review_required","backlog")))</x:f>
        <x:v>backlog</x:v>
      </x:c>
      <x:c r="AF754" s="12" t="str">
        <x:f>IF(OR(AE754="active",AE754="review_required"),"yes","no")</x:f>
        <x:v>no</x:v>
      </x:c>
      <x:c r="AG754" s="12" t="str">
        <x:f>IF(AND(AE754="active",M754="yes",NOT(ISNUMBER(SEARCH("healthy",AB754)))),"yes","no")</x:f>
        <x:v>no</x:v>
      </x:c>
      <x:c r="AH754" s="12" t="str">
        <x:f>IF(OR(H754="contextual",H754="dialogue",H754="discourse",I754="claim+context",I754="discourse_segment"),"yes","no")</x:f>
        <x:v>no</x:v>
      </x:c>
      <x:c r="AI754" s="12" t="str">
        <x:f>IF(OR(AH754="yes",AD754="debated",AC754="operational"),"yes","no")</x:f>
        <x:v>yes</x:v>
      </x:c>
      <x:c r="AJ754" s="12" t="str">
        <x:f>IF(OR(AH754="yes",AC754="operational",AD754="debated"),"high",IF(AND(AG754="yes",L754="P0"),"medium","low"))</x:f>
        <x:v>high</x:v>
      </x:c>
      <x:c r="AK754" s="12" t="str">
        <x:f>IF(ISNUMBER(SEARCH("healthy",AB754)),"yes","no")</x:f>
        <x:v>no</x:v>
      </x:c>
      <x:c r="AL754" s="12" t="str">
        <x:f>IF(AG754="yes","yes","candidate_only")</x:f>
        <x:v>candidate_only</x:v>
      </x:c>
      <x:c r="AM754" s="12" t="str">
        <x:f>IF(OR(AC754="canonical",AG754="yes"),"yes","recommended")</x:f>
        <x:v>recommended</x:v>
      </x:c>
      <x:c r="AN754" s="12" t="str">
        <x:f>IF(AC754="deprecated","exclude",IF(AND(AG754="yes",AJ754="high"),"import_but_human_review_required",IF(AG754="yes","import_as_active","import_as_backlog")))</x:f>
        <x:v>import_as_backlog</x:v>
      </x:c>
      <x:c r="AO754" s="12" t="str">
        <x:f>IF(AND(AG754="yes",OR(P754="",Q754="",R754="",S754="")),"missing_required_mvp_fields",IF(AND(AC754="canonical",Y754=""),"missing_source_ref","ok"))</x:f>
        <x:v>ok</x:v>
      </x:c>
      <x:c r="AP754" s="12" t="str">
        <x:f>IF(AO754="ok","ready_for_codex_import","needs_review")</x:f>
        <x:v>ready_for_codex_import</x:v>
      </x:c>
      <x:c r="AQ754" s="12"/>
      <x:c r="AR754" s="12" t="str">
        <x:v>Added v2 operational fields. Review before classification activation.</x:v>
      </x:c>
    </x:row>
    <x:row r="755">
      <x:c r="A755" s="13" t="str">
        <x:v>glittering_generalities_canonical</x:v>
      </x:c>
      <x:c r="B755" s="13" t="str">
        <x:v>glittering_generalities</x:v>
      </x:c>
      <x:c r="C755" s="13" t="str">
        <x:v>Glittering generalities</x:v>
      </x:c>
      <x:c r="D755" s="13" t="str">
        <x:v>کلی‌گویی درخشان</x:v>
      </x:c>
      <x:c r="E755" s="13" t="str">
        <x:v>Canonical form</x:v>
      </x:c>
      <x:c r="F755" s="13" t="str">
        <x:v>rhetorical_manipulation_patterns</x:v>
      </x:c>
      <x:c r="G755" s="13" t="str">
        <x:v>canonical</x:v>
      </x:c>
      <x:c r="H755" s="13" t="str">
        <x:v>lexical</x:v>
      </x:c>
      <x:c r="I755" s="13" t="str">
        <x:v>claim</x:v>
      </x:c>
      <x:c r="J755" s="13" t="str">
        <x:v>derived_operational_subtype</x:v>
      </x:c>
      <x:c r="K755" s="13" t="str">
        <x:v>derived_from_established_parent_review_required</x:v>
      </x:c>
      <x:c r="L755" s="13" t="str">
        <x:v>P2</x:v>
      </x:c>
      <x:c r="M755" s="13" t="str">
        <x:v>no</x:v>
      </x:c>
      <x:c r="N755" s="13" t="str">
        <x:v>Operational subtype under Glittering generalities: rhetorical presentation shapes interpretation. Parent definition: Using attractive but vague terms as persuasion instead of reasons.</x:v>
      </x:c>
      <x:c r="O755" s="13" t="str">
        <x:v>Look for: explicit claim-level evidence; parent-family cues for Glittering generalities; variant cue: rhetorical presentation shapes interpretation; avoid author-level inference.</x:v>
      </x:c>
      <x:c r="P755" s="13" t="str">
        <x:v>Exact evidence span in text plus claim-level reasoning link; for contextual/discourse entries, require surrounding context.</x:v>
      </x:c>
      <x:c r="Q755" s="13" t="str">
        <x:v>Do not label merely because topic is controversial, emotional, or wrong. Do not judge intent or personality. Require textual evidence and consider healthy-reasoning cues.</x:v>
      </x:c>
      <x:c r="R755" s="13" t="str">
        <x:v>Stub: A claim relies on rhetorical presentation shapes interpretation to support a conclusion without adequate qualification.</x:v>
      </x:c>
      <x:c r="S755" s="13" t="str">
        <x:v>Stub: A claim discusses glittering generalities with caveats, balanced evidence, or no argumentative use of the pattern.</x:v>
      </x:c>
      <x:c r="T755" s="13" t="str">
        <x:v>Mild or ambiguous cue; do not classify without clear evidence span.</x:v>
      </x:c>
      <x:c r="U755" s="13" t="str">
        <x:v>Clear claim-level pattern with some argumentative impact.</x:v>
      </x:c>
      <x:c r="V755" s="13" t="str">
        <x:v>Strong pattern central to the conclusion and likely to materially distort reasoning.</x:v>
      </x:c>
      <x:c r="W755" s="13" t="str"/>
      <x:c r="X755" s="13" t="str">
        <x:v>grice_logic_conversation</x:v>
      </x:c>
      <x:c r="Y755" s="13" t="str">
        <x:v>https://doi.org/10.1163/9789004368811_003</x:v>
      </x:c>
      <x:c r="Z755" s="13" t="str">
        <x:v>Review before enabling. This workbook is a living taxonomy scaffold, not a validated scientific benchmark.</x:v>
      </x:c>
      <x:c r="AA755" s="13" t="str">
        <x:v>0.1.0-draft</x:v>
      </x:c>
      <x:c r="AB755" s="12" t="str">
        <x:f>IF(ISNUMBER(SEARCH("healthy",F755)),"healthy_reasoning_patterns",IF(ISNUMBER(SEARCH("statistical",F755)),"statistical_reasoning",IF(ISNUMBER(SEARCH("causal",F755)),"causal_reasoning",IF(ISNUMBER(SEARCH("social",F755)),"social_influence",IF(ISNUMBER(SEARCH("rhetoric",F755)),"rhetoric_discourse",IF(ISNUMBER(SEARCH("behavior",F755)),"behavioural_economics",IF(ISNUMBER(SEARCH("cognitive",F755)),"cognitive_biases",IF(J755="protective_pattern","healthy_reasoning_patterns",IF(L755="P0","core_mvp","extended_fallacies")))))))))</x:f>
        <x:v>rhetoric_discourse</x:v>
      </x:c>
      <x:c r="AC755" s="12" t="str">
        <x:f>IF(ISNUMBER(SEARCH("operational",J755)),"operational",IF(ISNUMBER(SEARCH("deprecated",J755)),"deprecated",IF(L755="P0","canonical","recognized_subtype")))</x:f>
        <x:v>operational</x:v>
      </x:c>
      <x:c r="AD755" s="12" t="str">
        <x:f>IF(AC755="canonical","high",IF(AC755="recognized_subtype","medium",IF(AC755="operational","operational_only","debated")))</x:f>
        <x:v>operational_only</x:v>
      </x:c>
      <x:c r="AE755" s="12" t="str">
        <x:f>IF(AC755="deprecated","deprecated",IF(M755="yes","active",IF(M755="review","review_required","backlog")))</x:f>
        <x:v>backlog</x:v>
      </x:c>
      <x:c r="AF755" s="12" t="str">
        <x:f>IF(OR(AE755="active",AE755="review_required"),"yes","no")</x:f>
        <x:v>no</x:v>
      </x:c>
      <x:c r="AG755" s="12" t="str">
        <x:f>IF(AND(AE755="active",M755="yes",NOT(ISNUMBER(SEARCH("healthy",AB755)))),"yes","no")</x:f>
        <x:v>no</x:v>
      </x:c>
      <x:c r="AH755" s="12" t="str">
        <x:f>IF(OR(H755="contextual",H755="dialogue",H755="discourse",I755="claim+context",I755="discourse_segment"),"yes","no")</x:f>
        <x:v>no</x:v>
      </x:c>
      <x:c r="AI755" s="12" t="str">
        <x:f>IF(OR(AH755="yes",AD755="debated",AC755="operational"),"yes","no")</x:f>
        <x:v>yes</x:v>
      </x:c>
      <x:c r="AJ755" s="12" t="str">
        <x:f>IF(OR(AH755="yes",AC755="operational",AD755="debated"),"high",IF(AND(AG755="yes",L755="P0"),"medium","low"))</x:f>
        <x:v>high</x:v>
      </x:c>
      <x:c r="AK755" s="12" t="str">
        <x:f>IF(ISNUMBER(SEARCH("healthy",AB755)),"yes","no")</x:f>
        <x:v>no</x:v>
      </x:c>
      <x:c r="AL755" s="12" t="str">
        <x:f>IF(AG755="yes","yes","candidate_only")</x:f>
        <x:v>candidate_only</x:v>
      </x:c>
      <x:c r="AM755" s="12" t="str">
        <x:f>IF(OR(AC755="canonical",AG755="yes"),"yes","recommended")</x:f>
        <x:v>recommended</x:v>
      </x:c>
      <x:c r="AN755" s="12" t="str">
        <x:f>IF(AC755="deprecated","exclude",IF(AND(AG755="yes",AJ755="high"),"import_but_human_review_required",IF(AG755="yes","import_as_active","import_as_backlog")))</x:f>
        <x:v>import_as_backlog</x:v>
      </x:c>
      <x:c r="AO755" s="12" t="str">
        <x:f>IF(AND(AG755="yes",OR(P755="",Q755="",R755="",S755="")),"missing_required_mvp_fields",IF(AND(AC755="canonical",Y755=""),"missing_source_ref","ok"))</x:f>
        <x:v>ok</x:v>
      </x:c>
      <x:c r="AP755" s="12" t="str">
        <x:f>IF(AO755="ok","ready_for_codex_import","needs_review")</x:f>
        <x:v>ready_for_codex_import</x:v>
      </x:c>
      <x:c r="AQ755" s="12"/>
      <x:c r="AR755" s="12" t="str">
        <x:v>Added v2 operational fields. Review before classification activation.</x:v>
      </x:c>
    </x:row>
    <x:row r="756">
      <x:c r="A756" s="13" t="str">
        <x:v>name_calling_canonical</x:v>
      </x:c>
      <x:c r="B756" s="13" t="str">
        <x:v>name_calling</x:v>
      </x:c>
      <x:c r="C756" s="13" t="str">
        <x:v>Name calling</x:v>
      </x:c>
      <x:c r="D756" s="13" t="str">
        <x:v>برچسب‌زنی تحقیرآمیز</x:v>
      </x:c>
      <x:c r="E756" s="13" t="str">
        <x:v>Canonical form</x:v>
      </x:c>
      <x:c r="F756" s="13" t="str">
        <x:v>rhetorical_manipulation_patterns</x:v>
      </x:c>
      <x:c r="G756" s="13" t="str">
        <x:v>canonical</x:v>
      </x:c>
      <x:c r="H756" s="13" t="str">
        <x:v>lexical</x:v>
      </x:c>
      <x:c r="I756" s="13" t="str">
        <x:v>claim</x:v>
      </x:c>
      <x:c r="J756" s="13" t="str">
        <x:v>derived_operational_subtype</x:v>
      </x:c>
      <x:c r="K756" s="13" t="str">
        <x:v>derived_from_established_parent_review_required</x:v>
      </x:c>
      <x:c r="L756" s="13" t="str">
        <x:v>P2</x:v>
      </x:c>
      <x:c r="M756" s="13" t="str">
        <x:v>no</x:v>
      </x:c>
      <x:c r="N756" s="13" t="str">
        <x:v>Operational subtype under Name calling: rhetorical presentation shapes interpretation. Parent definition: Using negative labels as substitutes for argument.</x:v>
      </x:c>
      <x:c r="O756" s="13" t="str">
        <x:v>Look for: explicit claim-level evidence; parent-family cues for Name calling; variant cue: rhetorical presentation shapes interpretation; avoid author-level inference.</x:v>
      </x:c>
      <x:c r="P756" s="13" t="str">
        <x:v>Exact evidence span in text plus claim-level reasoning link; for contextual/discourse entries, require surrounding context.</x:v>
      </x:c>
      <x:c r="Q756" s="13" t="str">
        <x:v>Do not label merely because topic is controversial, emotional, or wrong. Do not judge intent or personality. Require textual evidence and consider healthy-reasoning cues.</x:v>
      </x:c>
      <x:c r="R756" s="13" t="str">
        <x:v>Stub: A claim relies on rhetorical presentation shapes interpretation to support a conclusion without adequate qualification.</x:v>
      </x:c>
      <x:c r="S756" s="13" t="str">
        <x:v>Stub: A claim discusses name calling with caveats, balanced evidence, or no argumentative use of the pattern.</x:v>
      </x:c>
      <x:c r="T756" s="13" t="str">
        <x:v>Mild or ambiguous cue; do not classify without clear evidence span.</x:v>
      </x:c>
      <x:c r="U756" s="13" t="str">
        <x:v>Clear claim-level pattern with some argumentative impact.</x:v>
      </x:c>
      <x:c r="V756" s="13" t="str">
        <x:v>Strong pattern central to the conclusion and likely to materially distort reasoning.</x:v>
      </x:c>
      <x:c r="W756" s="13" t="str"/>
      <x:c r="X756" s="13" t="str">
        <x:v>sep_fallacies</x:v>
      </x:c>
      <x:c r="Y756" s="13" t="str">
        <x:v>https://plato.stanford.edu/entries/fallacies/</x:v>
      </x:c>
      <x:c r="Z756" s="13" t="str">
        <x:v>Review before enabling. This workbook is a living taxonomy scaffold, not a validated scientific benchmark.</x:v>
      </x:c>
      <x:c r="AA756" s="13" t="str">
        <x:v>0.1.0-draft</x:v>
      </x:c>
      <x:c r="AB756" s="12" t="str">
        <x:f>IF(ISNUMBER(SEARCH("healthy",F756)),"healthy_reasoning_patterns",IF(ISNUMBER(SEARCH("statistical",F756)),"statistical_reasoning",IF(ISNUMBER(SEARCH("causal",F756)),"causal_reasoning",IF(ISNUMBER(SEARCH("social",F756)),"social_influence",IF(ISNUMBER(SEARCH("rhetoric",F756)),"rhetoric_discourse",IF(ISNUMBER(SEARCH("behavior",F756)),"behavioural_economics",IF(ISNUMBER(SEARCH("cognitive",F756)),"cognitive_biases",IF(J756="protective_pattern","healthy_reasoning_patterns",IF(L756="P0","core_mvp","extended_fallacies")))))))))</x:f>
        <x:v>rhetoric_discourse</x:v>
      </x:c>
      <x:c r="AC756" s="12" t="str">
        <x:f>IF(ISNUMBER(SEARCH("operational",J756)),"operational",IF(ISNUMBER(SEARCH("deprecated",J756)),"deprecated",IF(L756="P0","canonical","recognized_subtype")))</x:f>
        <x:v>operational</x:v>
      </x:c>
      <x:c r="AD756" s="12" t="str">
        <x:f>IF(AC756="canonical","high",IF(AC756="recognized_subtype","medium",IF(AC756="operational","operational_only","debated")))</x:f>
        <x:v>operational_only</x:v>
      </x:c>
      <x:c r="AE756" s="12" t="str">
        <x:f>IF(AC756="deprecated","deprecated",IF(M756="yes","active",IF(M756="review","review_required","backlog")))</x:f>
        <x:v>backlog</x:v>
      </x:c>
      <x:c r="AF756" s="12" t="str">
        <x:f>IF(OR(AE756="active",AE756="review_required"),"yes","no")</x:f>
        <x:v>no</x:v>
      </x:c>
      <x:c r="AG756" s="12" t="str">
        <x:f>IF(AND(AE756="active",M756="yes",NOT(ISNUMBER(SEARCH("healthy",AB756)))),"yes","no")</x:f>
        <x:v>no</x:v>
      </x:c>
      <x:c r="AH756" s="12" t="str">
        <x:f>IF(OR(H756="contextual",H756="dialogue",H756="discourse",I756="claim+context",I756="discourse_segment"),"yes","no")</x:f>
        <x:v>no</x:v>
      </x:c>
      <x:c r="AI756" s="12" t="str">
        <x:f>IF(OR(AH756="yes",AD756="debated",AC756="operational"),"yes","no")</x:f>
        <x:v>yes</x:v>
      </x:c>
      <x:c r="AJ756" s="12" t="str">
        <x:f>IF(OR(AH756="yes",AC756="operational",AD756="debated"),"high",IF(AND(AG756="yes",L756="P0"),"medium","low"))</x:f>
        <x:v>high</x:v>
      </x:c>
      <x:c r="AK756" s="12" t="str">
        <x:f>IF(ISNUMBER(SEARCH("healthy",AB756)),"yes","no")</x:f>
        <x:v>no</x:v>
      </x:c>
      <x:c r="AL756" s="12" t="str">
        <x:f>IF(AG756="yes","yes","candidate_only")</x:f>
        <x:v>candidate_only</x:v>
      </x:c>
      <x:c r="AM756" s="12" t="str">
        <x:f>IF(OR(AC756="canonical",AG756="yes"),"yes","recommended")</x:f>
        <x:v>recommended</x:v>
      </x:c>
      <x:c r="AN756" s="12" t="str">
        <x:f>IF(AC756="deprecated","exclude",IF(AND(AG756="yes",AJ756="high"),"import_but_human_review_required",IF(AG756="yes","import_as_active","import_as_backlog")))</x:f>
        <x:v>import_as_backlog</x:v>
      </x:c>
      <x:c r="AO756" s="12" t="str">
        <x:f>IF(AND(AG756="yes",OR(P756="",Q756="",R756="",S756="")),"missing_required_mvp_fields",IF(AND(AC756="canonical",Y756=""),"missing_source_ref","ok"))</x:f>
        <x:v>ok</x:v>
      </x:c>
      <x:c r="AP756" s="12" t="str">
        <x:f>IF(AO756="ok","ready_for_codex_import","needs_review")</x:f>
        <x:v>ready_for_codex_import</x:v>
      </x:c>
      <x:c r="AQ756" s="12"/>
      <x:c r="AR756" s="12" t="str">
        <x:v>Added v2 operational fields. Review before classification activation.</x:v>
      </x:c>
    </x:row>
    <x:row r="757">
      <x:c r="A757" s="13" t="str">
        <x:v>euphemism_framing_canonical</x:v>
      </x:c>
      <x:c r="B757" s="13" t="str">
        <x:v>euphemism_framing</x:v>
      </x:c>
      <x:c r="C757" s="13" t="str">
        <x:v>Euphemism framing</x:v>
      </x:c>
      <x:c r="D757" s="13" t="str">
        <x:v>قاب‌بندی تلطیفی</x:v>
      </x:c>
      <x:c r="E757" s="13" t="str">
        <x:v>Canonical form</x:v>
      </x:c>
      <x:c r="F757" s="13" t="str">
        <x:v>rhetorical_manipulation_patterns</x:v>
      </x:c>
      <x:c r="G757" s="13" t="str">
        <x:v>canonical</x:v>
      </x:c>
      <x:c r="H757" s="13" t="str">
        <x:v>lexical</x:v>
      </x:c>
      <x:c r="I757" s="13" t="str">
        <x:v>claim</x:v>
      </x:c>
      <x:c r="J757" s="13" t="str">
        <x:v>derived_operational_subtype</x:v>
      </x:c>
      <x:c r="K757" s="13" t="str">
        <x:v>derived_from_established_parent_review_required</x:v>
      </x:c>
      <x:c r="L757" s="13" t="str">
        <x:v>P2</x:v>
      </x:c>
      <x:c r="M757" s="13" t="str">
        <x:v>no</x:v>
      </x:c>
      <x:c r="N757" s="13" t="str">
        <x:v>Operational subtype under Euphemism framing: rhetorical presentation shapes interpretation. Parent definition: Softening language to reduce perceived seriousness.</x:v>
      </x:c>
      <x:c r="O757" s="13" t="str">
        <x:v>Look for: explicit claim-level evidence; parent-family cues for Euphemism framing; variant cue: rhetorical presentation shapes interpretation; avoid author-level inference.</x:v>
      </x:c>
      <x:c r="P757" s="13" t="str">
        <x:v>Exact evidence span in text plus claim-level reasoning link; for contextual/discourse entries, require surrounding context.</x:v>
      </x:c>
      <x:c r="Q757" s="13" t="str">
        <x:v>Do not label merely because topic is controversial, emotional, or wrong. Do not judge intent or personality. Require textual evidence and consider healthy-reasoning cues.</x:v>
      </x:c>
      <x:c r="R757" s="13" t="str">
        <x:v>Stub: A claim relies on rhetorical presentation shapes interpretation to support a conclusion without adequate qualification.</x:v>
      </x:c>
      <x:c r="S757" s="13" t="str">
        <x:v>Stub: A claim discusses euphemism framing with caveats, balanced evidence, or no argumentative use of the pattern.</x:v>
      </x:c>
      <x:c r="T757" s="13" t="str">
        <x:v>Mild or ambiguous cue; do not classify without clear evidence span.</x:v>
      </x:c>
      <x:c r="U757" s="13" t="str">
        <x:v>Clear claim-level pattern with some argumentative impact.</x:v>
      </x:c>
      <x:c r="V757" s="13" t="str">
        <x:v>Strong pattern central to the conclusion and likely to materially distort reasoning.</x:v>
      </x:c>
      <x:c r="W757" s="13" t="str"/>
      <x:c r="X757" s="13" t="str">
        <x:v>grice_logic_conversation</x:v>
      </x:c>
      <x:c r="Y757" s="13" t="str">
        <x:v>https://doi.org/10.1163/9789004368811_003</x:v>
      </x:c>
      <x:c r="Z757" s="13" t="str">
        <x:v>Review before enabling. This workbook is a living taxonomy scaffold, not a validated scientific benchmark.</x:v>
      </x:c>
      <x:c r="AA757" s="13" t="str">
        <x:v>0.1.0-draft</x:v>
      </x:c>
      <x:c r="AB757" s="12" t="str">
        <x:f>IF(ISNUMBER(SEARCH("healthy",F757)),"healthy_reasoning_patterns",IF(ISNUMBER(SEARCH("statistical",F757)),"statistical_reasoning",IF(ISNUMBER(SEARCH("causal",F757)),"causal_reasoning",IF(ISNUMBER(SEARCH("social",F757)),"social_influence",IF(ISNUMBER(SEARCH("rhetoric",F757)),"rhetoric_discourse",IF(ISNUMBER(SEARCH("behavior",F757)),"behavioural_economics",IF(ISNUMBER(SEARCH("cognitive",F757)),"cognitive_biases",IF(J757="protective_pattern","healthy_reasoning_patterns",IF(L757="P0","core_mvp","extended_fallacies")))))))))</x:f>
        <x:v>rhetoric_discourse</x:v>
      </x:c>
      <x:c r="AC757" s="12" t="str">
        <x:f>IF(ISNUMBER(SEARCH("operational",J757)),"operational",IF(ISNUMBER(SEARCH("deprecated",J757)),"deprecated",IF(L757="P0","canonical","recognized_subtype")))</x:f>
        <x:v>operational</x:v>
      </x:c>
      <x:c r="AD757" s="12" t="str">
        <x:f>IF(AC757="canonical","high",IF(AC757="recognized_subtype","medium",IF(AC757="operational","operational_only","debated")))</x:f>
        <x:v>operational_only</x:v>
      </x:c>
      <x:c r="AE757" s="12" t="str">
        <x:f>IF(AC757="deprecated","deprecated",IF(M757="yes","active",IF(M757="review","review_required","backlog")))</x:f>
        <x:v>backlog</x:v>
      </x:c>
      <x:c r="AF757" s="12" t="str">
        <x:f>IF(OR(AE757="active",AE757="review_required"),"yes","no")</x:f>
        <x:v>no</x:v>
      </x:c>
      <x:c r="AG757" s="12" t="str">
        <x:f>IF(AND(AE757="active",M757="yes",NOT(ISNUMBER(SEARCH("healthy",AB757)))),"yes","no")</x:f>
        <x:v>no</x:v>
      </x:c>
      <x:c r="AH757" s="12" t="str">
        <x:f>IF(OR(H757="contextual",H757="dialogue",H757="discourse",I757="claim+context",I757="discourse_segment"),"yes","no")</x:f>
        <x:v>no</x:v>
      </x:c>
      <x:c r="AI757" s="12" t="str">
        <x:f>IF(OR(AH757="yes",AD757="debated",AC757="operational"),"yes","no")</x:f>
        <x:v>yes</x:v>
      </x:c>
      <x:c r="AJ757" s="12" t="str">
        <x:f>IF(OR(AH757="yes",AC757="operational",AD757="debated"),"high",IF(AND(AG757="yes",L757="P0"),"medium","low"))</x:f>
        <x:v>high</x:v>
      </x:c>
      <x:c r="AK757" s="12" t="str">
        <x:f>IF(ISNUMBER(SEARCH("healthy",AB757)),"yes","no")</x:f>
        <x:v>no</x:v>
      </x:c>
      <x:c r="AL757" s="12" t="str">
        <x:f>IF(AG757="yes","yes","candidate_only")</x:f>
        <x:v>candidate_only</x:v>
      </x:c>
      <x:c r="AM757" s="12" t="str">
        <x:f>IF(OR(AC757="canonical",AG757="yes"),"yes","recommended")</x:f>
        <x:v>recommended</x:v>
      </x:c>
      <x:c r="AN757" s="12" t="str">
        <x:f>IF(AC757="deprecated","exclude",IF(AND(AG757="yes",AJ757="high"),"import_but_human_review_required",IF(AG757="yes","import_as_active","import_as_backlog")))</x:f>
        <x:v>import_as_backlog</x:v>
      </x:c>
      <x:c r="AO757" s="12" t="str">
        <x:f>IF(AND(AG757="yes",OR(P757="",Q757="",R757="",S757="")),"missing_required_mvp_fields",IF(AND(AC757="canonical",Y757=""),"missing_source_ref","ok"))</x:f>
        <x:v>ok</x:v>
      </x:c>
      <x:c r="AP757" s="12" t="str">
        <x:f>IF(AO757="ok","ready_for_codex_import","needs_review")</x:f>
        <x:v>ready_for_codex_import</x:v>
      </x:c>
      <x:c r="AQ757" s="12"/>
      <x:c r="AR757" s="12" t="str">
        <x:v>Added v2 operational fields. Review before classification activation.</x:v>
      </x:c>
    </x:row>
    <x:row r="758">
      <x:c r="A758" s="13" t="str">
        <x:v>dysphemism_framing_canonical</x:v>
      </x:c>
      <x:c r="B758" s="13" t="str">
        <x:v>dysphemism_framing</x:v>
      </x:c>
      <x:c r="C758" s="13" t="str">
        <x:v>Dysphemism framing</x:v>
      </x:c>
      <x:c r="D758" s="13" t="str">
        <x:v>قاب‌بندی تخریبی</x:v>
      </x:c>
      <x:c r="E758" s="13" t="str">
        <x:v>Canonical form</x:v>
      </x:c>
      <x:c r="F758" s="13" t="str">
        <x:v>rhetorical_manipulation_patterns</x:v>
      </x:c>
      <x:c r="G758" s="13" t="str">
        <x:v>canonical</x:v>
      </x:c>
      <x:c r="H758" s="13" t="str">
        <x:v>lexical</x:v>
      </x:c>
      <x:c r="I758" s="13" t="str">
        <x:v>claim</x:v>
      </x:c>
      <x:c r="J758" s="13" t="str">
        <x:v>derived_operational_subtype</x:v>
      </x:c>
      <x:c r="K758" s="13" t="str">
        <x:v>derived_from_established_parent_review_required</x:v>
      </x:c>
      <x:c r="L758" s="13" t="str">
        <x:v>P2</x:v>
      </x:c>
      <x:c r="M758" s="13" t="str">
        <x:v>no</x:v>
      </x:c>
      <x:c r="N758" s="13" t="str">
        <x:v>Operational subtype under Dysphemism framing: rhetorical presentation shapes interpretation. Parent definition: Using harsher wording to intensify perceived seriousness.</x:v>
      </x:c>
      <x:c r="O758" s="13" t="str">
        <x:v>Look for: explicit claim-level evidence; parent-family cues for Dysphemism framing; variant cue: rhetorical presentation shapes interpretation; avoid author-level inference.</x:v>
      </x:c>
      <x:c r="P758" s="13" t="str">
        <x:v>Exact evidence span in text plus claim-level reasoning link; for contextual/discourse entries, require surrounding context.</x:v>
      </x:c>
      <x:c r="Q758" s="13" t="str">
        <x:v>Do not label merely because topic is controversial, emotional, or wrong. Do not judge intent or personality. Require textual evidence and consider healthy-reasoning cues.</x:v>
      </x:c>
      <x:c r="R758" s="13" t="str">
        <x:v>Stub: A claim relies on rhetorical presentation shapes interpretation to support a conclusion without adequate qualification.</x:v>
      </x:c>
      <x:c r="S758" s="13" t="str">
        <x:v>Stub: A claim discusses dysphemism framing with caveats, balanced evidence, or no argumentative use of the pattern.</x:v>
      </x:c>
      <x:c r="T758" s="13" t="str">
        <x:v>Mild or ambiguous cue; do not classify without clear evidence span.</x:v>
      </x:c>
      <x:c r="U758" s="13" t="str">
        <x:v>Clear claim-level pattern with some argumentative impact.</x:v>
      </x:c>
      <x:c r="V758" s="13" t="str">
        <x:v>Strong pattern central to the conclusion and likely to materially distort reasoning.</x:v>
      </x:c>
      <x:c r="W758" s="13" t="str"/>
      <x:c r="X758" s="13" t="str">
        <x:v>grice_logic_conversation</x:v>
      </x:c>
      <x:c r="Y758" s="13" t="str">
        <x:v>https://doi.org/10.1163/9789004368811_003</x:v>
      </x:c>
      <x:c r="Z758" s="13" t="str">
        <x:v>Review before enabling. This workbook is a living taxonomy scaffold, not a validated scientific benchmark.</x:v>
      </x:c>
      <x:c r="AA758" s="13" t="str">
        <x:v>0.1.0-draft</x:v>
      </x:c>
      <x:c r="AB758" s="12" t="str">
        <x:f>IF(ISNUMBER(SEARCH("healthy",F758)),"healthy_reasoning_patterns",IF(ISNUMBER(SEARCH("statistical",F758)),"statistical_reasoning",IF(ISNUMBER(SEARCH("causal",F758)),"causal_reasoning",IF(ISNUMBER(SEARCH("social",F758)),"social_influence",IF(ISNUMBER(SEARCH("rhetoric",F758)),"rhetoric_discourse",IF(ISNUMBER(SEARCH("behavior",F758)),"behavioural_economics",IF(ISNUMBER(SEARCH("cognitive",F758)),"cognitive_biases",IF(J758="protective_pattern","healthy_reasoning_patterns",IF(L758="P0","core_mvp","extended_fallacies")))))))))</x:f>
        <x:v>rhetoric_discourse</x:v>
      </x:c>
      <x:c r="AC758" s="12" t="str">
        <x:f>IF(ISNUMBER(SEARCH("operational",J758)),"operational",IF(ISNUMBER(SEARCH("deprecated",J758)),"deprecated",IF(L758="P0","canonical","recognized_subtype")))</x:f>
        <x:v>operational</x:v>
      </x:c>
      <x:c r="AD758" s="12" t="str">
        <x:f>IF(AC758="canonical","high",IF(AC758="recognized_subtype","medium",IF(AC758="operational","operational_only","debated")))</x:f>
        <x:v>operational_only</x:v>
      </x:c>
      <x:c r="AE758" s="12" t="str">
        <x:f>IF(AC758="deprecated","deprecated",IF(M758="yes","active",IF(M758="review","review_required","backlog")))</x:f>
        <x:v>backlog</x:v>
      </x:c>
      <x:c r="AF758" s="12" t="str">
        <x:f>IF(OR(AE758="active",AE758="review_required"),"yes","no")</x:f>
        <x:v>no</x:v>
      </x:c>
      <x:c r="AG758" s="12" t="str">
        <x:f>IF(AND(AE758="active",M758="yes",NOT(ISNUMBER(SEARCH("healthy",AB758)))),"yes","no")</x:f>
        <x:v>no</x:v>
      </x:c>
      <x:c r="AH758" s="12" t="str">
        <x:f>IF(OR(H758="contextual",H758="dialogue",H758="discourse",I758="claim+context",I758="discourse_segment"),"yes","no")</x:f>
        <x:v>no</x:v>
      </x:c>
      <x:c r="AI758" s="12" t="str">
        <x:f>IF(OR(AH758="yes",AD758="debated",AC758="operational"),"yes","no")</x:f>
        <x:v>yes</x:v>
      </x:c>
      <x:c r="AJ758" s="12" t="str">
        <x:f>IF(OR(AH758="yes",AC758="operational",AD758="debated"),"high",IF(AND(AG758="yes",L758="P0"),"medium","low"))</x:f>
        <x:v>high</x:v>
      </x:c>
      <x:c r="AK758" s="12" t="str">
        <x:f>IF(ISNUMBER(SEARCH("healthy",AB758)),"yes","no")</x:f>
        <x:v>no</x:v>
      </x:c>
      <x:c r="AL758" s="12" t="str">
        <x:f>IF(AG758="yes","yes","candidate_only")</x:f>
        <x:v>candidate_only</x:v>
      </x:c>
      <x:c r="AM758" s="12" t="str">
        <x:f>IF(OR(AC758="canonical",AG758="yes"),"yes","recommended")</x:f>
        <x:v>recommended</x:v>
      </x:c>
      <x:c r="AN758" s="12" t="str">
        <x:f>IF(AC758="deprecated","exclude",IF(AND(AG758="yes",AJ758="high"),"import_but_human_review_required",IF(AG758="yes","import_as_active","import_as_backlog")))</x:f>
        <x:v>import_as_backlog</x:v>
      </x:c>
      <x:c r="AO758" s="12" t="str">
        <x:f>IF(AND(AG758="yes",OR(P758="",Q758="",R758="",S758="")),"missing_required_mvp_fields",IF(AND(AC758="canonical",Y758=""),"missing_source_ref","ok"))</x:f>
        <x:v>ok</x:v>
      </x:c>
      <x:c r="AP758" s="12" t="str">
        <x:f>IF(AO758="ok","ready_for_codex_import","needs_review")</x:f>
        <x:v>ready_for_codex_import</x:v>
      </x:c>
      <x:c r="AQ758" s="12"/>
      <x:c r="AR758" s="12" t="str">
        <x:v>Added v2 operational fields. Review before classification activation.</x:v>
      </x:c>
    </x:row>
    <x:row r="759">
      <x:c r="A759" s="13" t="str">
        <x:v>fear_mongering_canonical</x:v>
      </x:c>
      <x:c r="B759" s="13" t="str">
        <x:v>fear_mongering</x:v>
      </x:c>
      <x:c r="C759" s="13" t="str">
        <x:v>Fear mongering</x:v>
      </x:c>
      <x:c r="D759" s="13" t="str">
        <x:v>ترس‌افکنی</x:v>
      </x:c>
      <x:c r="E759" s="13" t="str">
        <x:v>Canonical form</x:v>
      </x:c>
      <x:c r="F759" s="13" t="str">
        <x:v>rhetorical_manipulation_patterns</x:v>
      </x:c>
      <x:c r="G759" s="13" t="str">
        <x:v>canonical</x:v>
      </x:c>
      <x:c r="H759" s="13" t="str">
        <x:v>discourse</x:v>
      </x:c>
      <x:c r="I759" s="13" t="str">
        <x:v>discourse_segment</x:v>
      </x:c>
      <x:c r="J759" s="13" t="str">
        <x:v>derived_operational_subtype</x:v>
      </x:c>
      <x:c r="K759" s="13" t="str">
        <x:v>derived_from_established_parent_review_required</x:v>
      </x:c>
      <x:c r="L759" s="13" t="str">
        <x:v>P2</x:v>
      </x:c>
      <x:c r="M759" s="13" t="str">
        <x:v>no</x:v>
      </x:c>
      <x:c r="N759" s="13" t="str">
        <x:v>Operational subtype under Fear mongering: rhetorical presentation shapes interpretation. Parent definition: Amplifying threats to push a conclusion or choice.</x:v>
      </x:c>
      <x:c r="O759" s="13" t="str">
        <x:v>Look for: explicit claim-level evidence; parent-family cues for Fear mongering; variant cue: rhetorical presentation shapes interpretation; avoid author-level inference.</x:v>
      </x:c>
      <x:c r="P759" s="13" t="str">
        <x:v>Exact evidence span in text plus claim-level reasoning link; for contextual/discourse entries, require surrounding context.</x:v>
      </x:c>
      <x:c r="Q759" s="13" t="str">
        <x:v>Do not label merely because topic is controversial, emotional, or wrong. Do not judge intent or personality. Require textual evidence and consider healthy-reasoning cues.</x:v>
      </x:c>
      <x:c r="R759" s="13" t="str">
        <x:v>Stub: A claim relies on rhetorical presentation shapes interpretation to support a conclusion without adequate qualification.</x:v>
      </x:c>
      <x:c r="S759" s="13" t="str">
        <x:v>Stub: A claim discusses fear mongering with caveats, balanced evidence, or no argumentative use of the pattern.</x:v>
      </x:c>
      <x:c r="T759" s="13" t="str">
        <x:v>Mild or ambiguous cue; do not classify without clear evidence span.</x:v>
      </x:c>
      <x:c r="U759" s="13" t="str">
        <x:v>Clear claim-level pattern with some argumentative impact.</x:v>
      </x:c>
      <x:c r="V759" s="13" t="str">
        <x:v>Strong pattern central to the conclusion and likely to materially distort reasoning.</x:v>
      </x:c>
      <x:c r="W759" s="13" t="str"/>
      <x:c r="X759" s="13" t="str">
        <x:v>sep_fallacies</x:v>
      </x:c>
      <x:c r="Y759" s="13" t="str">
        <x:v>https://plato.stanford.edu/entries/fallacies/</x:v>
      </x:c>
      <x:c r="Z759" s="13" t="str">
        <x:v>Review before enabling. This workbook is a living taxonomy scaffold, not a validated scientific benchmark.</x:v>
      </x:c>
      <x:c r="AA759" s="13" t="str">
        <x:v>0.1.0-draft</x:v>
      </x:c>
      <x:c r="AB759" s="12" t="str">
        <x:f>IF(ISNUMBER(SEARCH("healthy",F759)),"healthy_reasoning_patterns",IF(ISNUMBER(SEARCH("statistical",F759)),"statistical_reasoning",IF(ISNUMBER(SEARCH("causal",F759)),"causal_reasoning",IF(ISNUMBER(SEARCH("social",F759)),"social_influence",IF(ISNUMBER(SEARCH("rhetoric",F759)),"rhetoric_discourse",IF(ISNUMBER(SEARCH("behavior",F759)),"behavioural_economics",IF(ISNUMBER(SEARCH("cognitive",F759)),"cognitive_biases",IF(J759="protective_pattern","healthy_reasoning_patterns",IF(L759="P0","core_mvp","extended_fallacies")))))))))</x:f>
        <x:v>rhetoric_discourse</x:v>
      </x:c>
      <x:c r="AC759" s="12" t="str">
        <x:f>IF(ISNUMBER(SEARCH("operational",J759)),"operational",IF(ISNUMBER(SEARCH("deprecated",J759)),"deprecated",IF(L759="P0","canonical","recognized_subtype")))</x:f>
        <x:v>operational</x:v>
      </x:c>
      <x:c r="AD759" s="12" t="str">
        <x:f>IF(AC759="canonical","high",IF(AC759="recognized_subtype","medium",IF(AC759="operational","operational_only","debated")))</x:f>
        <x:v>operational_only</x:v>
      </x:c>
      <x:c r="AE759" s="12" t="str">
        <x:f>IF(AC759="deprecated","deprecated",IF(M759="yes","active",IF(M759="review","review_required","backlog")))</x:f>
        <x:v>backlog</x:v>
      </x:c>
      <x:c r="AF759" s="12" t="str">
        <x:f>IF(OR(AE759="active",AE759="review_required"),"yes","no")</x:f>
        <x:v>no</x:v>
      </x:c>
      <x:c r="AG759" s="12" t="str">
        <x:f>IF(AND(AE759="active",M759="yes",NOT(ISNUMBER(SEARCH("healthy",AB759)))),"yes","no")</x:f>
        <x:v>no</x:v>
      </x:c>
      <x:c r="AH759" s="12" t="str">
        <x:f>IF(OR(H759="contextual",H759="dialogue",H759="discourse",I759="claim+context",I759="discourse_segment"),"yes","no")</x:f>
        <x:v>yes</x:v>
      </x:c>
      <x:c r="AI759" s="12" t="str">
        <x:f>IF(OR(AH759="yes",AD759="debated",AC759="operational"),"yes","no")</x:f>
        <x:v>yes</x:v>
      </x:c>
      <x:c r="AJ759" s="12" t="str">
        <x:f>IF(OR(AH759="yes",AC759="operational",AD759="debated"),"high",IF(AND(AG759="yes",L759="P0"),"medium","low"))</x:f>
        <x:v>high</x:v>
      </x:c>
      <x:c r="AK759" s="12" t="str">
        <x:f>IF(ISNUMBER(SEARCH("healthy",AB759)),"yes","no")</x:f>
        <x:v>no</x:v>
      </x:c>
      <x:c r="AL759" s="12" t="str">
        <x:f>IF(AG759="yes","yes","candidate_only")</x:f>
        <x:v>candidate_only</x:v>
      </x:c>
      <x:c r="AM759" s="12" t="str">
        <x:f>IF(OR(AC759="canonical",AG759="yes"),"yes","recommended")</x:f>
        <x:v>recommended</x:v>
      </x:c>
      <x:c r="AN759" s="12" t="str">
        <x:f>IF(AC759="deprecated","exclude",IF(AND(AG759="yes",AJ759="high"),"import_but_human_review_required",IF(AG759="yes","import_as_active","import_as_backlog")))</x:f>
        <x:v>import_as_backlog</x:v>
      </x:c>
      <x:c r="AO759" s="12" t="str">
        <x:f>IF(AND(AG759="yes",OR(P759="",Q759="",R759="",S759="")),"missing_required_mvp_fields",IF(AND(AC759="canonical",Y759=""),"missing_source_ref","ok"))</x:f>
        <x:v>ok</x:v>
      </x:c>
      <x:c r="AP759" s="12" t="str">
        <x:f>IF(AO759="ok","ready_for_codex_import","needs_review")</x:f>
        <x:v>ready_for_codex_import</x:v>
      </x:c>
      <x:c r="AQ759" s="12"/>
      <x:c r="AR759" s="12" t="str">
        <x:v>Added v2 operational fields. Review before classification activation.</x:v>
      </x:c>
    </x:row>
    <x:row r="760">
      <x:c r="A760" s="13" t="str">
        <x:v>urgency_pressure_canonical</x:v>
      </x:c>
      <x:c r="B760" s="13" t="str">
        <x:v>urgency_pressure</x:v>
      </x:c>
      <x:c r="C760" s="13" t="str">
        <x:v>Urgency pressure</x:v>
      </x:c>
      <x:c r="D760" s="13" t="str">
        <x:v>فشار فوریت</x:v>
      </x:c>
      <x:c r="E760" s="13" t="str">
        <x:v>Canonical form</x:v>
      </x:c>
      <x:c r="F760" s="13" t="str">
        <x:v>rhetorical_manipulation_patterns</x:v>
      </x:c>
      <x:c r="G760" s="13" t="str">
        <x:v>canonical</x:v>
      </x:c>
      <x:c r="H760" s="13" t="str">
        <x:v>discourse</x:v>
      </x:c>
      <x:c r="I760" s="13" t="str">
        <x:v>discourse_segment</x:v>
      </x:c>
      <x:c r="J760" s="13" t="str">
        <x:v>derived_operational_subtype</x:v>
      </x:c>
      <x:c r="K760" s="13" t="str">
        <x:v>derived_from_established_parent_review_required</x:v>
      </x:c>
      <x:c r="L760" s="13" t="str">
        <x:v>P2</x:v>
      </x:c>
      <x:c r="M760" s="13" t="str">
        <x:v>no</x:v>
      </x:c>
      <x:c r="N760" s="13" t="str">
        <x:v>Operational subtype under Urgency pressure: rhetorical presentation shapes interpretation. Parent definition: Using artificial time pressure to suppress deliberation.</x:v>
      </x:c>
      <x:c r="O760" s="13" t="str">
        <x:v>Look for: explicit claim-level evidence; parent-family cues for Urgency pressure; variant cue: rhetorical presentation shapes interpretation; avoid author-level inference.</x:v>
      </x:c>
      <x:c r="P760" s="13" t="str">
        <x:v>Exact evidence span in text plus claim-level reasoning link; for contextual/discourse entries, require surrounding context.</x:v>
      </x:c>
      <x:c r="Q760" s="13" t="str">
        <x:v>Do not label merely because topic is controversial, emotional, or wrong. Do not judge intent or personality. Require textual evidence and consider healthy-reasoning cues.</x:v>
      </x:c>
      <x:c r="R760" s="13" t="str">
        <x:v>Stub: A claim relies on rhetorical presentation shapes interpretation to support a conclusion without adequate qualification.</x:v>
      </x:c>
      <x:c r="S760" s="13" t="str">
        <x:v>Stub: A claim discusses urgency pressure with caveats, balanced evidence, or no argumentative use of the pattern.</x:v>
      </x:c>
      <x:c r="T760" s="13" t="str">
        <x:v>Mild or ambiguous cue; do not classify without clear evidence span.</x:v>
      </x:c>
      <x:c r="U760" s="13" t="str">
        <x:v>Clear claim-level pattern with some argumentative impact.</x:v>
      </x:c>
      <x:c r="V760" s="13" t="str">
        <x:v>Strong pattern central to the conclusion and likely to materially distort reasoning.</x:v>
      </x:c>
      <x:c r="W760" s="13" t="str"/>
      <x:c r="X760" s="13" t="str">
        <x:v>cialdini_influence</x:v>
      </x:c>
      <x:c r="Y760" s="13" t="str">
        <x:v>https://www.pearson.com/en-us/subject-catalog/p/influence-science-and-practice/P200000003004</x:v>
      </x:c>
      <x:c r="Z760" s="13" t="str">
        <x:v>Review before enabling. This workbook is a living taxonomy scaffold, not a validated scientific benchmark.</x:v>
      </x:c>
      <x:c r="AA760" s="13" t="str">
        <x:v>0.1.0-draft</x:v>
      </x:c>
      <x:c r="AB760" s="12" t="str">
        <x:f>IF(ISNUMBER(SEARCH("healthy",F760)),"healthy_reasoning_patterns",IF(ISNUMBER(SEARCH("statistical",F760)),"statistical_reasoning",IF(ISNUMBER(SEARCH("causal",F760)),"causal_reasoning",IF(ISNUMBER(SEARCH("social",F760)),"social_influence",IF(ISNUMBER(SEARCH("rhetoric",F760)),"rhetoric_discourse",IF(ISNUMBER(SEARCH("behavior",F760)),"behavioural_economics",IF(ISNUMBER(SEARCH("cognitive",F760)),"cognitive_biases",IF(J760="protective_pattern","healthy_reasoning_patterns",IF(L760="P0","core_mvp","extended_fallacies")))))))))</x:f>
        <x:v>rhetoric_discourse</x:v>
      </x:c>
      <x:c r="AC760" s="12" t="str">
        <x:f>IF(ISNUMBER(SEARCH("operational",J760)),"operational",IF(ISNUMBER(SEARCH("deprecated",J760)),"deprecated",IF(L760="P0","canonical","recognized_subtype")))</x:f>
        <x:v>operational</x:v>
      </x:c>
      <x:c r="AD760" s="12" t="str">
        <x:f>IF(AC760="canonical","high",IF(AC760="recognized_subtype","medium",IF(AC760="operational","operational_only","debated")))</x:f>
        <x:v>operational_only</x:v>
      </x:c>
      <x:c r="AE760" s="12" t="str">
        <x:f>IF(AC760="deprecated","deprecated",IF(M760="yes","active",IF(M760="review","review_required","backlog")))</x:f>
        <x:v>backlog</x:v>
      </x:c>
      <x:c r="AF760" s="12" t="str">
        <x:f>IF(OR(AE760="active",AE760="review_required"),"yes","no")</x:f>
        <x:v>no</x:v>
      </x:c>
      <x:c r="AG760" s="12" t="str">
        <x:f>IF(AND(AE760="active",M760="yes",NOT(ISNUMBER(SEARCH("healthy",AB760)))),"yes","no")</x:f>
        <x:v>no</x:v>
      </x:c>
      <x:c r="AH760" s="12" t="str">
        <x:f>IF(OR(H760="contextual",H760="dialogue",H760="discourse",I760="claim+context",I760="discourse_segment"),"yes","no")</x:f>
        <x:v>yes</x:v>
      </x:c>
      <x:c r="AI760" s="12" t="str">
        <x:f>IF(OR(AH760="yes",AD760="debated",AC760="operational"),"yes","no")</x:f>
        <x:v>yes</x:v>
      </x:c>
      <x:c r="AJ760" s="12" t="str">
        <x:f>IF(OR(AH760="yes",AC760="operational",AD760="debated"),"high",IF(AND(AG760="yes",L760="P0"),"medium","low"))</x:f>
        <x:v>high</x:v>
      </x:c>
      <x:c r="AK760" s="12" t="str">
        <x:f>IF(ISNUMBER(SEARCH("healthy",AB760)),"yes","no")</x:f>
        <x:v>no</x:v>
      </x:c>
      <x:c r="AL760" s="12" t="str">
        <x:f>IF(AG760="yes","yes","candidate_only")</x:f>
        <x:v>candidate_only</x:v>
      </x:c>
      <x:c r="AM760" s="12" t="str">
        <x:f>IF(OR(AC760="canonical",AG760="yes"),"yes","recommended")</x:f>
        <x:v>recommended</x:v>
      </x:c>
      <x:c r="AN760" s="12" t="str">
        <x:f>IF(AC760="deprecated","exclude",IF(AND(AG760="yes",AJ760="high"),"import_but_human_review_required",IF(AG760="yes","import_as_active","import_as_backlog")))</x:f>
        <x:v>import_as_backlog</x:v>
      </x:c>
      <x:c r="AO760" s="12" t="str">
        <x:f>IF(AND(AG760="yes",OR(P760="",Q760="",R760="",S760="")),"missing_required_mvp_fields",IF(AND(AC760="canonical",Y760=""),"missing_source_ref","ok"))</x:f>
        <x:v>ok</x:v>
      </x:c>
      <x:c r="AP760" s="12" t="str">
        <x:f>IF(AO760="ok","ready_for_codex_import","needs_review")</x:f>
        <x:v>ready_for_codex_import</x:v>
      </x:c>
      <x:c r="AQ760" s="12"/>
      <x:c r="AR760" s="12" t="str">
        <x:v>Added v2 operational fields. Review before classification activation.</x:v>
      </x:c>
    </x:row>
    <x:row r="761">
      <x:c r="A761" s="13" t="str">
        <x:v>scarcity_pressure_canonical</x:v>
      </x:c>
      <x:c r="B761" s="13" t="str">
        <x:v>scarcity_pressure</x:v>
      </x:c>
      <x:c r="C761" s="13" t="str">
        <x:v>Scarcity pressure</x:v>
      </x:c>
      <x:c r="D761" s="13" t="str">
        <x:v>فشار کمیابی</x:v>
      </x:c>
      <x:c r="E761" s="13" t="str">
        <x:v>Canonical form</x:v>
      </x:c>
      <x:c r="F761" s="13" t="str">
        <x:v>rhetorical_manipulation_patterns</x:v>
      </x:c>
      <x:c r="G761" s="13" t="str">
        <x:v>canonical</x:v>
      </x:c>
      <x:c r="H761" s="13" t="str">
        <x:v>discourse</x:v>
      </x:c>
      <x:c r="I761" s="13" t="str">
        <x:v>discourse_segment</x:v>
      </x:c>
      <x:c r="J761" s="13" t="str">
        <x:v>derived_operational_subtype</x:v>
      </x:c>
      <x:c r="K761" s="13" t="str">
        <x:v>derived_from_established_parent_review_required</x:v>
      </x:c>
      <x:c r="L761" s="13" t="str">
        <x:v>P2</x:v>
      </x:c>
      <x:c r="M761" s="13" t="str">
        <x:v>no</x:v>
      </x:c>
      <x:c r="N761" s="13" t="str">
        <x:v>Operational subtype under Scarcity pressure: rhetorical presentation shapes interpretation. Parent definition: Using scarcity language to increase compliance.</x:v>
      </x:c>
      <x:c r="O761" s="13" t="str">
        <x:v>Look for: explicit claim-level evidence; parent-family cues for Scarcity pressure; variant cue: rhetorical presentation shapes interpretation; avoid author-level inference.</x:v>
      </x:c>
      <x:c r="P761" s="13" t="str">
        <x:v>Exact evidence span in text plus claim-level reasoning link; for contextual/discourse entries, require surrounding context.</x:v>
      </x:c>
      <x:c r="Q761" s="13" t="str">
        <x:v>Do not label merely because topic is controversial, emotional, or wrong. Do not judge intent or personality. Require textual evidence and consider healthy-reasoning cues.</x:v>
      </x:c>
      <x:c r="R761" s="13" t="str">
        <x:v>Stub: A claim relies on rhetorical presentation shapes interpretation to support a conclusion without adequate qualification.</x:v>
      </x:c>
      <x:c r="S761" s="13" t="str">
        <x:v>Stub: A claim discusses scarcity pressure with caveats, balanced evidence, or no argumentative use of the pattern.</x:v>
      </x:c>
      <x:c r="T761" s="13" t="str">
        <x:v>Mild or ambiguous cue; do not classify without clear evidence span.</x:v>
      </x:c>
      <x:c r="U761" s="13" t="str">
        <x:v>Clear claim-level pattern with some argumentative impact.</x:v>
      </x:c>
      <x:c r="V761" s="13" t="str">
        <x:v>Strong pattern central to the conclusion and likely to materially distort reasoning.</x:v>
      </x:c>
      <x:c r="W761" s="13" t="str"/>
      <x:c r="X761" s="13" t="str">
        <x:v>cialdini_influence</x:v>
      </x:c>
      <x:c r="Y761" s="13" t="str">
        <x:v>https://www.pearson.com/en-us/subject-catalog/p/influence-science-and-practice/P200000003004</x:v>
      </x:c>
      <x:c r="Z761" s="13" t="str">
        <x:v>Review before enabling. This workbook is a living taxonomy scaffold, not a validated scientific benchmark.</x:v>
      </x:c>
      <x:c r="AA761" s="13" t="str">
        <x:v>0.1.0-draft</x:v>
      </x:c>
      <x:c r="AB761" s="12" t="str">
        <x:f>IF(ISNUMBER(SEARCH("healthy",F761)),"healthy_reasoning_patterns",IF(ISNUMBER(SEARCH("statistical",F761)),"statistical_reasoning",IF(ISNUMBER(SEARCH("causal",F761)),"causal_reasoning",IF(ISNUMBER(SEARCH("social",F761)),"social_influence",IF(ISNUMBER(SEARCH("rhetoric",F761)),"rhetoric_discourse",IF(ISNUMBER(SEARCH("behavior",F761)),"behavioural_economics",IF(ISNUMBER(SEARCH("cognitive",F761)),"cognitive_biases",IF(J761="protective_pattern","healthy_reasoning_patterns",IF(L761="P0","core_mvp","extended_fallacies")))))))))</x:f>
        <x:v>rhetoric_discourse</x:v>
      </x:c>
      <x:c r="AC761" s="12" t="str">
        <x:f>IF(ISNUMBER(SEARCH("operational",J761)),"operational",IF(ISNUMBER(SEARCH("deprecated",J761)),"deprecated",IF(L761="P0","canonical","recognized_subtype")))</x:f>
        <x:v>operational</x:v>
      </x:c>
      <x:c r="AD761" s="12" t="str">
        <x:f>IF(AC761="canonical","high",IF(AC761="recognized_subtype","medium",IF(AC761="operational","operational_only","debated")))</x:f>
        <x:v>operational_only</x:v>
      </x:c>
      <x:c r="AE761" s="12" t="str">
        <x:f>IF(AC761="deprecated","deprecated",IF(M761="yes","active",IF(M761="review","review_required","backlog")))</x:f>
        <x:v>backlog</x:v>
      </x:c>
      <x:c r="AF761" s="12" t="str">
        <x:f>IF(OR(AE761="active",AE761="review_required"),"yes","no")</x:f>
        <x:v>no</x:v>
      </x:c>
      <x:c r="AG761" s="12" t="str">
        <x:f>IF(AND(AE761="active",M761="yes",NOT(ISNUMBER(SEARCH("healthy",AB761)))),"yes","no")</x:f>
        <x:v>no</x:v>
      </x:c>
      <x:c r="AH761" s="12" t="str">
        <x:f>IF(OR(H761="contextual",H761="dialogue",H761="discourse",I761="claim+context",I761="discourse_segment"),"yes","no")</x:f>
        <x:v>yes</x:v>
      </x:c>
      <x:c r="AI761" s="12" t="str">
        <x:f>IF(OR(AH761="yes",AD761="debated",AC761="operational"),"yes","no")</x:f>
        <x:v>yes</x:v>
      </x:c>
      <x:c r="AJ761" s="12" t="str">
        <x:f>IF(OR(AH761="yes",AC761="operational",AD761="debated"),"high",IF(AND(AG761="yes",L761="P0"),"medium","low"))</x:f>
        <x:v>high</x:v>
      </x:c>
      <x:c r="AK761" s="12" t="str">
        <x:f>IF(ISNUMBER(SEARCH("healthy",AB761)),"yes","no")</x:f>
        <x:v>no</x:v>
      </x:c>
      <x:c r="AL761" s="12" t="str">
        <x:f>IF(AG761="yes","yes","candidate_only")</x:f>
        <x:v>candidate_only</x:v>
      </x:c>
      <x:c r="AM761" s="12" t="str">
        <x:f>IF(OR(AC761="canonical",AG761="yes"),"yes","recommended")</x:f>
        <x:v>recommended</x:v>
      </x:c>
      <x:c r="AN761" s="12" t="str">
        <x:f>IF(AC761="deprecated","exclude",IF(AND(AG761="yes",AJ761="high"),"import_but_human_review_required",IF(AG761="yes","import_as_active","import_as_backlog")))</x:f>
        <x:v>import_as_backlog</x:v>
      </x:c>
      <x:c r="AO761" s="12" t="str">
        <x:f>IF(AND(AG761="yes",OR(P761="",Q761="",R761="",S761="")),"missing_required_mvp_fields",IF(AND(AC761="canonical",Y761=""),"missing_source_ref","ok"))</x:f>
        <x:v>ok</x:v>
      </x:c>
      <x:c r="AP761" s="12" t="str">
        <x:f>IF(AO761="ok","ready_for_codex_import","needs_review")</x:f>
        <x:v>ready_for_codex_import</x:v>
      </x:c>
      <x:c r="AQ761" s="12"/>
      <x:c r="AR761" s="12" t="str">
        <x:v>Added v2 operational fields. Review before classification activation.</x:v>
      </x:c>
    </x:row>
    <x:row r="762">
      <x:c r="A762" s="13" t="str">
        <x:v>motte_and_bailey_canonical</x:v>
      </x:c>
      <x:c r="B762" s="13" t="str">
        <x:v>motte_and_bailey</x:v>
      </x:c>
      <x:c r="C762" s="13" t="str">
        <x:v>Motte-and-bailey</x:v>
      </x:c>
      <x:c r="D762" s="13" t="str">
        <x:v>قلعه و حیاط</x:v>
      </x:c>
      <x:c r="E762" s="13" t="str">
        <x:v>Canonical form</x:v>
      </x:c>
      <x:c r="F762" s="13" t="str">
        <x:v>rhetorical_manipulation_patterns</x:v>
      </x:c>
      <x:c r="G762" s="13" t="str">
        <x:v>canonical</x:v>
      </x:c>
      <x:c r="H762" s="13" t="str">
        <x:v>dialogue</x:v>
      </x:c>
      <x:c r="I762" s="13" t="str">
        <x:v>discourse_segment</x:v>
      </x:c>
      <x:c r="J762" s="13" t="str">
        <x:v>derived_operational_subtype</x:v>
      </x:c>
      <x:c r="K762" s="13" t="str">
        <x:v>derived_from_established_parent_review_required</x:v>
      </x:c>
      <x:c r="L762" s="13" t="str">
        <x:v>P2</x:v>
      </x:c>
      <x:c r="M762" s="13" t="str">
        <x:v>no</x:v>
      </x:c>
      <x:c r="N762" s="13" t="str">
        <x:v>Operational subtype under Motte-and-bailey: rhetorical presentation shapes interpretation. Parent definition: Switching between a bold claim and a defensible weaker claim.</x:v>
      </x:c>
      <x:c r="O762" s="13" t="str">
        <x:v>Look for: explicit claim-level evidence; parent-family cues for Motte-and-bailey; variant cue: rhetorical presentation shapes interpretation; avoid author-level inference.</x:v>
      </x:c>
      <x:c r="P762" s="13" t="str">
        <x:v>Exact evidence span in text plus claim-level reasoning link; for contextual/discourse entries, require surrounding context.</x:v>
      </x:c>
      <x:c r="Q762" s="13" t="str">
        <x:v>Do not label merely because topic is controversial, emotional, or wrong. Do not judge intent or personality. Require textual evidence and consider healthy-reasoning cues.</x:v>
      </x:c>
      <x:c r="R762" s="13" t="str">
        <x:v>Stub: A claim relies on rhetorical presentation shapes interpretation to support a conclusion without adequate qualification.</x:v>
      </x:c>
      <x:c r="S762" s="13" t="str">
        <x:v>Stub: A claim discusses motte-and-bailey with caveats, balanced evidence, or no argumentative use of the pattern.</x:v>
      </x:c>
      <x:c r="T762" s="13" t="str">
        <x:v>Mild or ambiguous cue; do not classify without clear evidence span.</x:v>
      </x:c>
      <x:c r="U762" s="13" t="str">
        <x:v>Clear claim-level pattern with some argumentative impact.</x:v>
      </x:c>
      <x:c r="V762" s="13" t="str">
        <x:v>Strong pattern central to the conclusion and likely to materially distort reasoning.</x:v>
      </x:c>
      <x:c r="W762" s="13" t="str"/>
      <x:c r="X762" s="13" t="str">
        <x:v>pragmadialectics</x:v>
      </x:c>
      <x:c r="Y762" s="13" t="str">
        <x:v>https://doi.org/10.1017/CBO9780511616389</x:v>
      </x:c>
      <x:c r="Z762" s="13" t="str">
        <x:v>Review before enabling. This workbook is a living taxonomy scaffold, not a validated scientific benchmark.</x:v>
      </x:c>
      <x:c r="AA762" s="13" t="str">
        <x:v>0.1.0-draft</x:v>
      </x:c>
      <x:c r="AB762" s="12" t="str">
        <x:f>IF(ISNUMBER(SEARCH("healthy",F762)),"healthy_reasoning_patterns",IF(ISNUMBER(SEARCH("statistical",F762)),"statistical_reasoning",IF(ISNUMBER(SEARCH("causal",F762)),"causal_reasoning",IF(ISNUMBER(SEARCH("social",F762)),"social_influence",IF(ISNUMBER(SEARCH("rhetoric",F762)),"rhetoric_discourse",IF(ISNUMBER(SEARCH("behavior",F762)),"behavioural_economics",IF(ISNUMBER(SEARCH("cognitive",F762)),"cognitive_biases",IF(J762="protective_pattern","healthy_reasoning_patterns",IF(L762="P0","core_mvp","extended_fallacies")))))))))</x:f>
        <x:v>rhetoric_discourse</x:v>
      </x:c>
      <x:c r="AC762" s="12" t="str">
        <x:f>IF(ISNUMBER(SEARCH("operational",J762)),"operational",IF(ISNUMBER(SEARCH("deprecated",J762)),"deprecated",IF(L762="P0","canonical","recognized_subtype")))</x:f>
        <x:v>operational</x:v>
      </x:c>
      <x:c r="AD762" s="12" t="str">
        <x:f>IF(AC762="canonical","high",IF(AC762="recognized_subtype","medium",IF(AC762="operational","operational_only","debated")))</x:f>
        <x:v>operational_only</x:v>
      </x:c>
      <x:c r="AE762" s="12" t="str">
        <x:f>IF(AC762="deprecated","deprecated",IF(M762="yes","active",IF(M762="review","review_required","backlog")))</x:f>
        <x:v>backlog</x:v>
      </x:c>
      <x:c r="AF762" s="12" t="str">
        <x:f>IF(OR(AE762="active",AE762="review_required"),"yes","no")</x:f>
        <x:v>no</x:v>
      </x:c>
      <x:c r="AG762" s="12" t="str">
        <x:f>IF(AND(AE762="active",M762="yes",NOT(ISNUMBER(SEARCH("healthy",AB762)))),"yes","no")</x:f>
        <x:v>no</x:v>
      </x:c>
      <x:c r="AH762" s="12" t="str">
        <x:f>IF(OR(H762="contextual",H762="dialogue",H762="discourse",I762="claim+context",I762="discourse_segment"),"yes","no")</x:f>
        <x:v>yes</x:v>
      </x:c>
      <x:c r="AI762" s="12" t="str">
        <x:f>IF(OR(AH762="yes",AD762="debated",AC762="operational"),"yes","no")</x:f>
        <x:v>yes</x:v>
      </x:c>
      <x:c r="AJ762" s="12" t="str">
        <x:f>IF(OR(AH762="yes",AC762="operational",AD762="debated"),"high",IF(AND(AG762="yes",L762="P0"),"medium","low"))</x:f>
        <x:v>high</x:v>
      </x:c>
      <x:c r="AK762" s="12" t="str">
        <x:f>IF(ISNUMBER(SEARCH("healthy",AB762)),"yes","no")</x:f>
        <x:v>no</x:v>
      </x:c>
      <x:c r="AL762" s="12" t="str">
        <x:f>IF(AG762="yes","yes","candidate_only")</x:f>
        <x:v>candidate_only</x:v>
      </x:c>
      <x:c r="AM762" s="12" t="str">
        <x:f>IF(OR(AC762="canonical",AG762="yes"),"yes","recommended")</x:f>
        <x:v>recommended</x:v>
      </x:c>
      <x:c r="AN762" s="12" t="str">
        <x:f>IF(AC762="deprecated","exclude",IF(AND(AG762="yes",AJ762="high"),"import_but_human_review_required",IF(AG762="yes","import_as_active","import_as_backlog")))</x:f>
        <x:v>import_as_backlog</x:v>
      </x:c>
      <x:c r="AO762" s="12" t="str">
        <x:f>IF(AND(AG762="yes",OR(P762="",Q762="",R762="",S762="")),"missing_required_mvp_fields",IF(AND(AC762="canonical",Y762=""),"missing_source_ref","ok"))</x:f>
        <x:v>ok</x:v>
      </x:c>
      <x:c r="AP762" s="12" t="str">
        <x:f>IF(AO762="ok","ready_for_codex_import","needs_review")</x:f>
        <x:v>ready_for_codex_import</x:v>
      </x:c>
      <x:c r="AQ762" s="12"/>
      <x:c r="AR762" s="12" t="str">
        <x:v>Added v2 operational fields. Review before classification activation.</x:v>
      </x:c>
    </x:row>
    <x:row r="763">
      <x:c r="A763" s="13" t="str">
        <x:v>gish_gallop_canonical</x:v>
      </x:c>
      <x:c r="B763" s="13" t="str">
        <x:v>gish_gallop</x:v>
      </x:c>
      <x:c r="C763" s="13" t="str">
        <x:v>Gish gallop</x:v>
      </x:c>
      <x:c r="D763" s="13" t="str">
        <x:v>رگبار ادعا</x:v>
      </x:c>
      <x:c r="E763" s="13" t="str">
        <x:v>Canonical form</x:v>
      </x:c>
      <x:c r="F763" s="13" t="str">
        <x:v>rhetorical_manipulation_patterns</x:v>
      </x:c>
      <x:c r="G763" s="13" t="str">
        <x:v>canonical</x:v>
      </x:c>
      <x:c r="H763" s="13" t="str">
        <x:v>discourse</x:v>
      </x:c>
      <x:c r="I763" s="13" t="str">
        <x:v>discourse_segment</x:v>
      </x:c>
      <x:c r="J763" s="13" t="str">
        <x:v>derived_operational_subtype</x:v>
      </x:c>
      <x:c r="K763" s="13" t="str">
        <x:v>derived_from_established_parent_review_required</x:v>
      </x:c>
      <x:c r="L763" s="13" t="str">
        <x:v>P2</x:v>
      </x:c>
      <x:c r="M763" s="13" t="str">
        <x:v>no</x:v>
      </x:c>
      <x:c r="N763" s="13" t="str">
        <x:v>Operational subtype under Gish gallop: rhetorical presentation shapes interpretation. Parent definition: Overwhelming with many claims faster than they can be evaluated.</x:v>
      </x:c>
      <x:c r="O763" s="13" t="str">
        <x:v>Look for: explicit claim-level evidence; parent-family cues for Gish gallop; variant cue: rhetorical presentation shapes interpretation; avoid author-level inference.</x:v>
      </x:c>
      <x:c r="P763" s="13" t="str">
        <x:v>Exact evidence span in text plus claim-level reasoning link; for contextual/discourse entries, require surrounding context.</x:v>
      </x:c>
      <x:c r="Q763" s="13" t="str">
        <x:v>Do not label merely because topic is controversial, emotional, or wrong. Do not judge intent or personality. Require textual evidence and consider healthy-reasoning cues.</x:v>
      </x:c>
      <x:c r="R763" s="13" t="str">
        <x:v>Stub: A claim relies on rhetorical presentation shapes interpretation to support a conclusion without adequate qualification.</x:v>
      </x:c>
      <x:c r="S763" s="13" t="str">
        <x:v>Stub: A claim discusses gish gallop with caveats, balanced evidence, or no argumentative use of the pattern.</x:v>
      </x:c>
      <x:c r="T763" s="13" t="str">
        <x:v>Mild or ambiguous cue; do not classify without clear evidence span.</x:v>
      </x:c>
      <x:c r="U763" s="13" t="str">
        <x:v>Clear claim-level pattern with some argumentative impact.</x:v>
      </x:c>
      <x:c r="V763" s="13" t="str">
        <x:v>Strong pattern central to the conclusion and likely to materially distort reasoning.</x:v>
      </x:c>
      <x:c r="W763" s="13" t="str"/>
      <x:c r="X763" s="13" t="str">
        <x:v>pragmadialectics</x:v>
      </x:c>
      <x:c r="Y763" s="13" t="str">
        <x:v>https://doi.org/10.1017/CBO9780511616389</x:v>
      </x:c>
      <x:c r="Z763" s="13" t="str">
        <x:v>Review before enabling. This workbook is a living taxonomy scaffold, not a validated scientific benchmark.</x:v>
      </x:c>
      <x:c r="AA763" s="13" t="str">
        <x:v>0.1.0-draft</x:v>
      </x:c>
      <x:c r="AB763" s="12" t="str">
        <x:f>IF(ISNUMBER(SEARCH("healthy",F763)),"healthy_reasoning_patterns",IF(ISNUMBER(SEARCH("statistical",F763)),"statistical_reasoning",IF(ISNUMBER(SEARCH("causal",F763)),"causal_reasoning",IF(ISNUMBER(SEARCH("social",F763)),"social_influence",IF(ISNUMBER(SEARCH("rhetoric",F763)),"rhetoric_discourse",IF(ISNUMBER(SEARCH("behavior",F763)),"behavioural_economics",IF(ISNUMBER(SEARCH("cognitive",F763)),"cognitive_biases",IF(J763="protective_pattern","healthy_reasoning_patterns",IF(L763="P0","core_mvp","extended_fallacies")))))))))</x:f>
        <x:v>rhetoric_discourse</x:v>
      </x:c>
      <x:c r="AC763" s="12" t="str">
        <x:f>IF(ISNUMBER(SEARCH("operational",J763)),"operational",IF(ISNUMBER(SEARCH("deprecated",J763)),"deprecated",IF(L763="P0","canonical","recognized_subtype")))</x:f>
        <x:v>operational</x:v>
      </x:c>
      <x:c r="AD763" s="12" t="str">
        <x:f>IF(AC763="canonical","high",IF(AC763="recognized_subtype","medium",IF(AC763="operational","operational_only","debated")))</x:f>
        <x:v>operational_only</x:v>
      </x:c>
      <x:c r="AE763" s="12" t="str">
        <x:f>IF(AC763="deprecated","deprecated",IF(M763="yes","active",IF(M763="review","review_required","backlog")))</x:f>
        <x:v>backlog</x:v>
      </x:c>
      <x:c r="AF763" s="12" t="str">
        <x:f>IF(OR(AE763="active",AE763="review_required"),"yes","no")</x:f>
        <x:v>no</x:v>
      </x:c>
      <x:c r="AG763" s="12" t="str">
        <x:f>IF(AND(AE763="active",M763="yes",NOT(ISNUMBER(SEARCH("healthy",AB763)))),"yes","no")</x:f>
        <x:v>no</x:v>
      </x:c>
      <x:c r="AH763" s="12" t="str">
        <x:f>IF(OR(H763="contextual",H763="dialogue",H763="discourse",I763="claim+context",I763="discourse_segment"),"yes","no")</x:f>
        <x:v>yes</x:v>
      </x:c>
      <x:c r="AI763" s="12" t="str">
        <x:f>IF(OR(AH763="yes",AD763="debated",AC763="operational"),"yes","no")</x:f>
        <x:v>yes</x:v>
      </x:c>
      <x:c r="AJ763" s="12" t="str">
        <x:f>IF(OR(AH763="yes",AC763="operational",AD763="debated"),"high",IF(AND(AG763="yes",L763="P0"),"medium","low"))</x:f>
        <x:v>high</x:v>
      </x:c>
      <x:c r="AK763" s="12" t="str">
        <x:f>IF(ISNUMBER(SEARCH("healthy",AB763)),"yes","no")</x:f>
        <x:v>no</x:v>
      </x:c>
      <x:c r="AL763" s="12" t="str">
        <x:f>IF(AG763="yes","yes","candidate_only")</x:f>
        <x:v>candidate_only</x:v>
      </x:c>
      <x:c r="AM763" s="12" t="str">
        <x:f>IF(OR(AC763="canonical",AG763="yes"),"yes","recommended")</x:f>
        <x:v>recommended</x:v>
      </x:c>
      <x:c r="AN763" s="12" t="str">
        <x:f>IF(AC763="deprecated","exclude",IF(AND(AG763="yes",AJ763="high"),"import_but_human_review_required",IF(AG763="yes","import_as_active","import_as_backlog")))</x:f>
        <x:v>import_as_backlog</x:v>
      </x:c>
      <x:c r="AO763" s="12" t="str">
        <x:f>IF(AND(AG763="yes",OR(P763="",Q763="",R763="",S763="")),"missing_required_mvp_fields",IF(AND(AC763="canonical",Y763=""),"missing_source_ref","ok"))</x:f>
        <x:v>ok</x:v>
      </x:c>
      <x:c r="AP763" s="12" t="str">
        <x:f>IF(AO763="ok","ready_for_codex_import","needs_review")</x:f>
        <x:v>ready_for_codex_import</x:v>
      </x:c>
      <x:c r="AQ763" s="12"/>
      <x:c r="AR763" s="12" t="str">
        <x:v>Added v2 operational fields. Review before classification activation.</x:v>
      </x:c>
    </x:row>
    <x:row r="764">
      <x:c r="A764" s="13" t="str">
        <x:v>sealioning_canonical</x:v>
      </x:c>
      <x:c r="B764" s="13" t="str">
        <x:v>sealioning</x:v>
      </x:c>
      <x:c r="C764" s="13" t="str">
        <x:v>Sealioning</x:v>
      </x:c>
      <x:c r="D764" s="13" t="str">
        <x:v>پرسش‌گری فرسایشی</x:v>
      </x:c>
      <x:c r="E764" s="13" t="str">
        <x:v>Canonical form</x:v>
      </x:c>
      <x:c r="F764" s="13" t="str">
        <x:v>rhetorical_manipulation_patterns</x:v>
      </x:c>
      <x:c r="G764" s="13" t="str">
        <x:v>canonical</x:v>
      </x:c>
      <x:c r="H764" s="13" t="str">
        <x:v>dialogue</x:v>
      </x:c>
      <x:c r="I764" s="13" t="str">
        <x:v>discourse_segment</x:v>
      </x:c>
      <x:c r="J764" s="13" t="str">
        <x:v>derived_operational_subtype</x:v>
      </x:c>
      <x:c r="K764" s="13" t="str">
        <x:v>derived_from_established_parent_review_required</x:v>
      </x:c>
      <x:c r="L764" s="13" t="str">
        <x:v>P2</x:v>
      </x:c>
      <x:c r="M764" s="13" t="str">
        <x:v>no</x:v>
      </x:c>
      <x:c r="N764" s="13" t="str">
        <x:v>Operational subtype under Sealioning: rhetorical presentation shapes interpretation. Parent definition: Demanding excessive evidence in bad-faith dialogue while appearing civil.</x:v>
      </x:c>
      <x:c r="O764" s="13" t="str">
        <x:v>Look for: explicit claim-level evidence; parent-family cues for Sealioning; variant cue: rhetorical presentation shapes interpretation; avoid author-level inference.</x:v>
      </x:c>
      <x:c r="P764" s="13" t="str">
        <x:v>Exact evidence span in text plus claim-level reasoning link; for contextual/discourse entries, require surrounding context.</x:v>
      </x:c>
      <x:c r="Q764" s="13" t="str">
        <x:v>Do not label merely because topic is controversial, emotional, or wrong. Do not judge intent or personality. Require textual evidence and consider healthy-reasoning cues.</x:v>
      </x:c>
      <x:c r="R764" s="13" t="str">
        <x:v>Stub: A claim relies on rhetorical presentation shapes interpretation to support a conclusion without adequate qualification.</x:v>
      </x:c>
      <x:c r="S764" s="13" t="str">
        <x:v>Stub: A claim discusses sealioning with caveats, balanced evidence, or no argumentative use of the pattern.</x:v>
      </x:c>
      <x:c r="T764" s="13" t="str">
        <x:v>Mild or ambiguous cue; do not classify without clear evidence span.</x:v>
      </x:c>
      <x:c r="U764" s="13" t="str">
        <x:v>Clear claim-level pattern with some argumentative impact.</x:v>
      </x:c>
      <x:c r="V764" s="13" t="str">
        <x:v>Strong pattern central to the conclusion and likely to materially distort reasoning.</x:v>
      </x:c>
      <x:c r="W764" s="13" t="str">
        <x:v>cherry_picking; missing_counterevidence; evidence_grading</x:v>
      </x:c>
      <x:c r="X764" s="13" t="str">
        <x:v>pragmadialectics</x:v>
      </x:c>
      <x:c r="Y764" s="13" t="str">
        <x:v>https://doi.org/10.1017/CBO9780511616389</x:v>
      </x:c>
      <x:c r="Z764" s="13" t="str">
        <x:v>Review before enabling. This workbook is a living taxonomy scaffold, not a validated scientific benchmark.</x:v>
      </x:c>
      <x:c r="AA764" s="13" t="str">
        <x:v>0.1.0-draft</x:v>
      </x:c>
      <x:c r="AB764" s="12" t="str">
        <x:f>IF(ISNUMBER(SEARCH("healthy",F764)),"healthy_reasoning_patterns",IF(ISNUMBER(SEARCH("statistical",F764)),"statistical_reasoning",IF(ISNUMBER(SEARCH("causal",F764)),"causal_reasoning",IF(ISNUMBER(SEARCH("social",F764)),"social_influence",IF(ISNUMBER(SEARCH("rhetoric",F764)),"rhetoric_discourse",IF(ISNUMBER(SEARCH("behavior",F764)),"behavioural_economics",IF(ISNUMBER(SEARCH("cognitive",F764)),"cognitive_biases",IF(J764="protective_pattern","healthy_reasoning_patterns",IF(L764="P0","core_mvp","extended_fallacies")))))))))</x:f>
        <x:v>rhetoric_discourse</x:v>
      </x:c>
      <x:c r="AC764" s="12" t="str">
        <x:f>IF(ISNUMBER(SEARCH("operational",J764)),"operational",IF(ISNUMBER(SEARCH("deprecated",J764)),"deprecated",IF(L764="P0","canonical","recognized_subtype")))</x:f>
        <x:v>operational</x:v>
      </x:c>
      <x:c r="AD764" s="12" t="str">
        <x:f>IF(AC764="canonical","high",IF(AC764="recognized_subtype","medium",IF(AC764="operational","operational_only","debated")))</x:f>
        <x:v>operational_only</x:v>
      </x:c>
      <x:c r="AE764" s="12" t="str">
        <x:f>IF(AC764="deprecated","deprecated",IF(M764="yes","active",IF(M764="review","review_required","backlog")))</x:f>
        <x:v>backlog</x:v>
      </x:c>
      <x:c r="AF764" s="12" t="str">
        <x:f>IF(OR(AE764="active",AE764="review_required"),"yes","no")</x:f>
        <x:v>no</x:v>
      </x:c>
      <x:c r="AG764" s="12" t="str">
        <x:f>IF(AND(AE764="active",M764="yes",NOT(ISNUMBER(SEARCH("healthy",AB764)))),"yes","no")</x:f>
        <x:v>no</x:v>
      </x:c>
      <x:c r="AH764" s="12" t="str">
        <x:f>IF(OR(H764="contextual",H764="dialogue",H764="discourse",I764="claim+context",I764="discourse_segment"),"yes","no")</x:f>
        <x:v>yes</x:v>
      </x:c>
      <x:c r="AI764" s="12" t="str">
        <x:f>IF(OR(AH764="yes",AD764="debated",AC764="operational"),"yes","no")</x:f>
        <x:v>yes</x:v>
      </x:c>
      <x:c r="AJ764" s="12" t="str">
        <x:f>IF(OR(AH764="yes",AC764="operational",AD764="debated"),"high",IF(AND(AG764="yes",L764="P0"),"medium","low"))</x:f>
        <x:v>high</x:v>
      </x:c>
      <x:c r="AK764" s="12" t="str">
        <x:f>IF(ISNUMBER(SEARCH("healthy",AB764)),"yes","no")</x:f>
        <x:v>no</x:v>
      </x:c>
      <x:c r="AL764" s="12" t="str">
        <x:f>IF(AG764="yes","yes","candidate_only")</x:f>
        <x:v>candidate_only</x:v>
      </x:c>
      <x:c r="AM764" s="12" t="str">
        <x:f>IF(OR(AC764="canonical",AG764="yes"),"yes","recommended")</x:f>
        <x:v>recommended</x:v>
      </x:c>
      <x:c r="AN764" s="12" t="str">
        <x:f>IF(AC764="deprecated","exclude",IF(AND(AG764="yes",AJ764="high"),"import_but_human_review_required",IF(AG764="yes","import_as_active","import_as_backlog")))</x:f>
        <x:v>import_as_backlog</x:v>
      </x:c>
      <x:c r="AO764" s="12" t="str">
        <x:f>IF(AND(AG764="yes",OR(P764="",Q764="",R764="",S764="")),"missing_required_mvp_fields",IF(AND(AC764="canonical",Y764=""),"missing_source_ref","ok"))</x:f>
        <x:v>ok</x:v>
      </x:c>
      <x:c r="AP764" s="12" t="str">
        <x:f>IF(AO764="ok","ready_for_codex_import","needs_review")</x:f>
        <x:v>ready_for_codex_import</x:v>
      </x:c>
      <x:c r="AQ764" s="12"/>
      <x:c r="AR764" s="12" t="str">
        <x:v>Added v2 operational fields. Review before classification activation.</x:v>
      </x:c>
    </x:row>
    <x:row r="765">
      <x:c r="A765" s="13" t="str">
        <x:v>quote_mining_canonical</x:v>
      </x:c>
      <x:c r="B765" s="13" t="str">
        <x:v>quote_mining</x:v>
      </x:c>
      <x:c r="C765" s="13" t="str">
        <x:v>Quote mining</x:v>
      </x:c>
      <x:c r="D765" s="13" t="str">
        <x:v>نقل‌قول‌کاوی گزینشی</x:v>
      </x:c>
      <x:c r="E765" s="13" t="str">
        <x:v>Canonical form</x:v>
      </x:c>
      <x:c r="F765" s="13" t="str">
        <x:v>rhetorical_manipulation_patterns</x:v>
      </x:c>
      <x:c r="G765" s="13" t="str">
        <x:v>canonical</x:v>
      </x:c>
      <x:c r="H765" s="13" t="str">
        <x:v>contextual</x:v>
      </x:c>
      <x:c r="I765" s="13" t="str">
        <x:v>claim+context</x:v>
      </x:c>
      <x:c r="J765" s="13" t="str">
        <x:v>derived_operational_subtype</x:v>
      </x:c>
      <x:c r="K765" s="13" t="str">
        <x:v>derived_from_established_parent_review_required</x:v>
      </x:c>
      <x:c r="L765" s="13" t="str">
        <x:v>P2</x:v>
      </x:c>
      <x:c r="M765" s="13" t="str">
        <x:v>no</x:v>
      </x:c>
      <x:c r="N765" s="13" t="str">
        <x:v>Operational subtype under Quote mining: rhetorical presentation shapes interpretation. Parent definition: Using isolated quotes out of context.</x:v>
      </x:c>
      <x:c r="O765" s="13" t="str">
        <x:v>Look for: explicit claim-level evidence; parent-family cues for Quote mining; variant cue: rhetorical presentation shapes interpretation; avoid author-level inference.</x:v>
      </x:c>
      <x:c r="P765" s="13" t="str">
        <x:v>Exact evidence span in text plus claim-level reasoning link; for contextual/discourse entries, require surrounding context.</x:v>
      </x:c>
      <x:c r="Q765" s="13" t="str">
        <x:v>Do not label merely because topic is controversial, emotional, or wrong. Do not judge intent or personality. Require textual evidence and consider healthy-reasoning cues.</x:v>
      </x:c>
      <x:c r="R765" s="13" t="str">
        <x:v>Stub: A claim relies on rhetorical presentation shapes interpretation to support a conclusion without adequate qualification.</x:v>
      </x:c>
      <x:c r="S765" s="13" t="str">
        <x:v>Stub: A claim discusses quote mining with caveats, balanced evidence, or no argumentative use of the pattern.</x:v>
      </x:c>
      <x:c r="T765" s="13" t="str">
        <x:v>Mild or ambiguous cue; do not classify without clear evidence span.</x:v>
      </x:c>
      <x:c r="U765" s="13" t="str">
        <x:v>Clear claim-level pattern with some argumentative impact.</x:v>
      </x:c>
      <x:c r="V765" s="13" t="str">
        <x:v>Strong pattern central to the conclusion and likely to materially distort reasoning.</x:v>
      </x:c>
      <x:c r="W765" s="13" t="str"/>
      <x:c r="X765" s="13" t="str">
        <x:v>sep_informal_logic</x:v>
      </x:c>
      <x:c r="Y765" s="13" t="str">
        <x:v>https://plato.stanford.edu/entries/logic-informal/</x:v>
      </x:c>
      <x:c r="Z765" s="13" t="str">
        <x:v>Review before enabling. This workbook is a living taxonomy scaffold, not a validated scientific benchmark.</x:v>
      </x:c>
      <x:c r="AA765" s="13" t="str">
        <x:v>0.1.0-draft</x:v>
      </x:c>
      <x:c r="AB765" s="12" t="str">
        <x:f>IF(ISNUMBER(SEARCH("healthy",F765)),"healthy_reasoning_patterns",IF(ISNUMBER(SEARCH("statistical",F765)),"statistical_reasoning",IF(ISNUMBER(SEARCH("causal",F765)),"causal_reasoning",IF(ISNUMBER(SEARCH("social",F765)),"social_influence",IF(ISNUMBER(SEARCH("rhetoric",F765)),"rhetoric_discourse",IF(ISNUMBER(SEARCH("behavior",F765)),"behavioural_economics",IF(ISNUMBER(SEARCH("cognitive",F765)),"cognitive_biases",IF(J765="protective_pattern","healthy_reasoning_patterns",IF(L765="P0","core_mvp","extended_fallacies")))))))))</x:f>
        <x:v>rhetoric_discourse</x:v>
      </x:c>
      <x:c r="AC765" s="12" t="str">
        <x:f>IF(ISNUMBER(SEARCH("operational",J765)),"operational",IF(ISNUMBER(SEARCH("deprecated",J765)),"deprecated",IF(L765="P0","canonical","recognized_subtype")))</x:f>
        <x:v>operational</x:v>
      </x:c>
      <x:c r="AD765" s="12" t="str">
        <x:f>IF(AC765="canonical","high",IF(AC765="recognized_subtype","medium",IF(AC765="operational","operational_only","debated")))</x:f>
        <x:v>operational_only</x:v>
      </x:c>
      <x:c r="AE765" s="12" t="str">
        <x:f>IF(AC765="deprecated","deprecated",IF(M765="yes","active",IF(M765="review","review_required","backlog")))</x:f>
        <x:v>backlog</x:v>
      </x:c>
      <x:c r="AF765" s="12" t="str">
        <x:f>IF(OR(AE765="active",AE765="review_required"),"yes","no")</x:f>
        <x:v>no</x:v>
      </x:c>
      <x:c r="AG765" s="12" t="str">
        <x:f>IF(AND(AE765="active",M765="yes",NOT(ISNUMBER(SEARCH("healthy",AB765)))),"yes","no")</x:f>
        <x:v>no</x:v>
      </x:c>
      <x:c r="AH765" s="12" t="str">
        <x:f>IF(OR(H765="contextual",H765="dialogue",H765="discourse",I765="claim+context",I765="discourse_segment"),"yes","no")</x:f>
        <x:v>yes</x:v>
      </x:c>
      <x:c r="AI765" s="12" t="str">
        <x:f>IF(OR(AH765="yes",AD765="debated",AC765="operational"),"yes","no")</x:f>
        <x:v>yes</x:v>
      </x:c>
      <x:c r="AJ765" s="12" t="str">
        <x:f>IF(OR(AH765="yes",AC765="operational",AD765="debated"),"high",IF(AND(AG765="yes",L765="P0"),"medium","low"))</x:f>
        <x:v>high</x:v>
      </x:c>
      <x:c r="AK765" s="12" t="str">
        <x:f>IF(ISNUMBER(SEARCH("healthy",AB765)),"yes","no")</x:f>
        <x:v>no</x:v>
      </x:c>
      <x:c r="AL765" s="12" t="str">
        <x:f>IF(AG765="yes","yes","candidate_only")</x:f>
        <x:v>candidate_only</x:v>
      </x:c>
      <x:c r="AM765" s="12" t="str">
        <x:f>IF(OR(AC765="canonical",AG765="yes"),"yes","recommended")</x:f>
        <x:v>recommended</x:v>
      </x:c>
      <x:c r="AN765" s="12" t="str">
        <x:f>IF(AC765="deprecated","exclude",IF(AND(AG765="yes",AJ765="high"),"import_but_human_review_required",IF(AG765="yes","import_as_active","import_as_backlog")))</x:f>
        <x:v>import_as_backlog</x:v>
      </x:c>
      <x:c r="AO765" s="12" t="str">
        <x:f>IF(AND(AG765="yes",OR(P765="",Q765="",R765="",S765="")),"missing_required_mvp_fields",IF(AND(AC765="canonical",Y765=""),"missing_source_ref","ok"))</x:f>
        <x:v>ok</x:v>
      </x:c>
      <x:c r="AP765" s="12" t="str">
        <x:f>IF(AO765="ok","ready_for_codex_import","needs_review")</x:f>
        <x:v>ready_for_codex_import</x:v>
      </x:c>
      <x:c r="AQ765" s="12"/>
      <x:c r="AR765" s="12" t="str">
        <x:v>Added v2 operational fields. Review before classification activation.</x:v>
      </x:c>
    </x:row>
    <x:row r="766">
      <x:c r="A766" s="13" t="str">
        <x:v>framing_by_omission_canonical</x:v>
      </x:c>
      <x:c r="B766" s="13" t="str">
        <x:v>framing_by_omission</x:v>
      </x:c>
      <x:c r="C766" s="13" t="str">
        <x:v>Framing by omission</x:v>
      </x:c>
      <x:c r="D766" s="13" t="str">
        <x:v>قاب‌بندی با حذف</x:v>
      </x:c>
      <x:c r="E766" s="13" t="str">
        <x:v>Canonical form</x:v>
      </x:c>
      <x:c r="F766" s="13" t="str">
        <x:v>rhetorical_manipulation_patterns</x:v>
      </x:c>
      <x:c r="G766" s="13" t="str">
        <x:v>canonical</x:v>
      </x:c>
      <x:c r="H766" s="13" t="str">
        <x:v>contextual</x:v>
      </x:c>
      <x:c r="I766" s="13" t="str">
        <x:v>claim+context</x:v>
      </x:c>
      <x:c r="J766" s="13" t="str">
        <x:v>derived_operational_subtype</x:v>
      </x:c>
      <x:c r="K766" s="13" t="str">
        <x:v>derived_from_established_parent_review_required</x:v>
      </x:c>
      <x:c r="L766" s="13" t="str">
        <x:v>P2</x:v>
      </x:c>
      <x:c r="M766" s="13" t="str">
        <x:v>no</x:v>
      </x:c>
      <x:c r="N766" s="13" t="str">
        <x:v>Operational subtype under Framing by omission: rhetorical presentation shapes interpretation. Parent definition: Shaping interpretation by omitting relevant context.</x:v>
      </x:c>
      <x:c r="O766" s="13" t="str">
        <x:v>Look for: explicit claim-level evidence; parent-family cues for Framing by omission; variant cue: rhetorical presentation shapes interpretation; avoid author-level inference.</x:v>
      </x:c>
      <x:c r="P766" s="13" t="str">
        <x:v>Exact evidence span in text plus claim-level reasoning link; for contextual/discourse entries, require surrounding context.</x:v>
      </x:c>
      <x:c r="Q766" s="13" t="str">
        <x:v>Do not label merely because topic is controversial, emotional, or wrong. Do not judge intent or personality. Require textual evidence and consider healthy-reasoning cues.</x:v>
      </x:c>
      <x:c r="R766" s="13" t="str">
        <x:v>Stub: A claim relies on rhetorical presentation shapes interpretation to support a conclusion without adequate qualification.</x:v>
      </x:c>
      <x:c r="S766" s="13" t="str">
        <x:v>Stub: A claim discusses framing by omission with caveats, balanced evidence, or no argumentative use of the pattern.</x:v>
      </x:c>
      <x:c r="T766" s="13" t="str">
        <x:v>Mild or ambiguous cue; do not classify without clear evidence span.</x:v>
      </x:c>
      <x:c r="U766" s="13" t="str">
        <x:v>Clear claim-level pattern with some argumentative impact.</x:v>
      </x:c>
      <x:c r="V766" s="13" t="str">
        <x:v>Strong pattern central to the conclusion and likely to materially distort reasoning.</x:v>
      </x:c>
      <x:c r="W766" s="13" t="str"/>
      <x:c r="X766" s="13" t="str">
        <x:v>grice_logic_conversation</x:v>
      </x:c>
      <x:c r="Y766" s="13" t="str">
        <x:v>https://doi.org/10.1163/9789004368811_003</x:v>
      </x:c>
      <x:c r="Z766" s="13" t="str">
        <x:v>Review before enabling. This workbook is a living taxonomy scaffold, not a validated scientific benchmark.</x:v>
      </x:c>
      <x:c r="AA766" s="13" t="str">
        <x:v>0.1.0-draft</x:v>
      </x:c>
      <x:c r="AB766" s="12" t="str">
        <x:f>IF(ISNUMBER(SEARCH("healthy",F766)),"healthy_reasoning_patterns",IF(ISNUMBER(SEARCH("statistical",F766)),"statistical_reasoning",IF(ISNUMBER(SEARCH("causal",F766)),"causal_reasoning",IF(ISNUMBER(SEARCH("social",F766)),"social_influence",IF(ISNUMBER(SEARCH("rhetoric",F766)),"rhetoric_discourse",IF(ISNUMBER(SEARCH("behavior",F766)),"behavioural_economics",IF(ISNUMBER(SEARCH("cognitive",F766)),"cognitive_biases",IF(J766="protective_pattern","healthy_reasoning_patterns",IF(L766="P0","core_mvp","extended_fallacies")))))))))</x:f>
        <x:v>rhetoric_discourse</x:v>
      </x:c>
      <x:c r="AC766" s="12" t="str">
        <x:f>IF(ISNUMBER(SEARCH("operational",J766)),"operational",IF(ISNUMBER(SEARCH("deprecated",J766)),"deprecated",IF(L766="P0","canonical","recognized_subtype")))</x:f>
        <x:v>operational</x:v>
      </x:c>
      <x:c r="AD766" s="12" t="str">
        <x:f>IF(AC766="canonical","high",IF(AC766="recognized_subtype","medium",IF(AC766="operational","operational_only","debated")))</x:f>
        <x:v>operational_only</x:v>
      </x:c>
      <x:c r="AE766" s="12" t="str">
        <x:f>IF(AC766="deprecated","deprecated",IF(M766="yes","active",IF(M766="review","review_required","backlog")))</x:f>
        <x:v>backlog</x:v>
      </x:c>
      <x:c r="AF766" s="12" t="str">
        <x:f>IF(OR(AE766="active",AE766="review_required"),"yes","no")</x:f>
        <x:v>no</x:v>
      </x:c>
      <x:c r="AG766" s="12" t="str">
        <x:f>IF(AND(AE766="active",M766="yes",NOT(ISNUMBER(SEARCH("healthy",AB766)))),"yes","no")</x:f>
        <x:v>no</x:v>
      </x:c>
      <x:c r="AH766" s="12" t="str">
        <x:f>IF(OR(H766="contextual",H766="dialogue",H766="discourse",I766="claim+context",I766="discourse_segment"),"yes","no")</x:f>
        <x:v>yes</x:v>
      </x:c>
      <x:c r="AI766" s="12" t="str">
        <x:f>IF(OR(AH766="yes",AD766="debated",AC766="operational"),"yes","no")</x:f>
        <x:v>yes</x:v>
      </x:c>
      <x:c r="AJ766" s="12" t="str">
        <x:f>IF(OR(AH766="yes",AC766="operational",AD766="debated"),"high",IF(AND(AG766="yes",L766="P0"),"medium","low"))</x:f>
        <x:v>high</x:v>
      </x:c>
      <x:c r="AK766" s="12" t="str">
        <x:f>IF(ISNUMBER(SEARCH("healthy",AB766)),"yes","no")</x:f>
        <x:v>no</x:v>
      </x:c>
      <x:c r="AL766" s="12" t="str">
        <x:f>IF(AG766="yes","yes","candidate_only")</x:f>
        <x:v>candidate_only</x:v>
      </x:c>
      <x:c r="AM766" s="12" t="str">
        <x:f>IF(OR(AC766="canonical",AG766="yes"),"yes","recommended")</x:f>
        <x:v>recommended</x:v>
      </x:c>
      <x:c r="AN766" s="12" t="str">
        <x:f>IF(AC766="deprecated","exclude",IF(AND(AG766="yes",AJ766="high"),"import_but_human_review_required",IF(AG766="yes","import_as_active","import_as_backlog")))</x:f>
        <x:v>import_as_backlog</x:v>
      </x:c>
      <x:c r="AO766" s="12" t="str">
        <x:f>IF(AND(AG766="yes",OR(P766="",Q766="",R766="",S766="")),"missing_required_mvp_fields",IF(AND(AC766="canonical",Y766=""),"missing_source_ref","ok"))</x:f>
        <x:v>ok</x:v>
      </x:c>
      <x:c r="AP766" s="12" t="str">
        <x:f>IF(AO766="ok","ready_for_codex_import","needs_review")</x:f>
        <x:v>ready_for_codex_import</x:v>
      </x:c>
      <x:c r="AQ766" s="12"/>
      <x:c r="AR766" s="12" t="str">
        <x:v>Added v2 operational fields. Review before classification activation.</x:v>
      </x:c>
    </x:row>
    <x:row r="767">
      <x:c r="A767" s="13" t="str">
        <x:v>framing_by_emphasis_canonical</x:v>
      </x:c>
      <x:c r="B767" s="13" t="str">
        <x:v>framing_by_emphasis</x:v>
      </x:c>
      <x:c r="C767" s="13" t="str">
        <x:v>Framing by emphasis</x:v>
      </x:c>
      <x:c r="D767" s="13" t="str">
        <x:v>قاب‌بندی با تأکید</x:v>
      </x:c>
      <x:c r="E767" s="13" t="str">
        <x:v>Canonical form</x:v>
      </x:c>
      <x:c r="F767" s="13" t="str">
        <x:v>rhetorical_manipulation_patterns</x:v>
      </x:c>
      <x:c r="G767" s="13" t="str">
        <x:v>canonical</x:v>
      </x:c>
      <x:c r="H767" s="13" t="str">
        <x:v>discourse</x:v>
      </x:c>
      <x:c r="I767" s="13" t="str">
        <x:v>discourse_segment</x:v>
      </x:c>
      <x:c r="J767" s="13" t="str">
        <x:v>derived_operational_subtype</x:v>
      </x:c>
      <x:c r="K767" s="13" t="str">
        <x:v>derived_from_established_parent_review_required</x:v>
      </x:c>
      <x:c r="L767" s="13" t="str">
        <x:v>P2</x:v>
      </x:c>
      <x:c r="M767" s="13" t="str">
        <x:v>no</x:v>
      </x:c>
      <x:c r="N767" s="13" t="str">
        <x:v>Operational subtype under Framing by emphasis: rhetorical presentation shapes interpretation. Parent definition: Shaping interpretation by disproportionate emphasis.</x:v>
      </x:c>
      <x:c r="O767" s="13" t="str">
        <x:v>Look for: explicit claim-level evidence; parent-family cues for Framing by emphasis; variant cue: rhetorical presentation shapes interpretation; avoid author-level inference.</x:v>
      </x:c>
      <x:c r="P767" s="13" t="str">
        <x:v>Exact evidence span in text plus claim-level reasoning link; for contextual/discourse entries, require surrounding context.</x:v>
      </x:c>
      <x:c r="Q767" s="13" t="str">
        <x:v>Do not label merely because topic is controversial, emotional, or wrong. Do not judge intent or personality. Require textual evidence and consider healthy-reasoning cues.</x:v>
      </x:c>
      <x:c r="R767" s="13" t="str">
        <x:v>Stub: A claim relies on rhetorical presentation shapes interpretation to support a conclusion without adequate qualification.</x:v>
      </x:c>
      <x:c r="S767" s="13" t="str">
        <x:v>Stub: A claim discusses framing by emphasis with caveats, balanced evidence, or no argumentative use of the pattern.</x:v>
      </x:c>
      <x:c r="T767" s="13" t="str">
        <x:v>Mild or ambiguous cue; do not classify without clear evidence span.</x:v>
      </x:c>
      <x:c r="U767" s="13" t="str">
        <x:v>Clear claim-level pattern with some argumentative impact.</x:v>
      </x:c>
      <x:c r="V767" s="13" t="str">
        <x:v>Strong pattern central to the conclusion and likely to materially distort reasoning.</x:v>
      </x:c>
      <x:c r="W767" s="13" t="str"/>
      <x:c r="X767" s="13" t="str">
        <x:v>grice_logic_conversation</x:v>
      </x:c>
      <x:c r="Y767" s="13" t="str">
        <x:v>https://doi.org/10.1163/9789004368811_003</x:v>
      </x:c>
      <x:c r="Z767" s="13" t="str">
        <x:v>Review before enabling. This workbook is a living taxonomy scaffold, not a validated scientific benchmark.</x:v>
      </x:c>
      <x:c r="AA767" s="13" t="str">
        <x:v>0.1.0-draft</x:v>
      </x:c>
      <x:c r="AB767" s="12" t="str">
        <x:f>IF(ISNUMBER(SEARCH("healthy",F767)),"healthy_reasoning_patterns",IF(ISNUMBER(SEARCH("statistical",F767)),"statistical_reasoning",IF(ISNUMBER(SEARCH("causal",F767)),"causal_reasoning",IF(ISNUMBER(SEARCH("social",F767)),"social_influence",IF(ISNUMBER(SEARCH("rhetoric",F767)),"rhetoric_discourse",IF(ISNUMBER(SEARCH("behavior",F767)),"behavioural_economics",IF(ISNUMBER(SEARCH("cognitive",F767)),"cognitive_biases",IF(J767="protective_pattern","healthy_reasoning_patterns",IF(L767="P0","core_mvp","extended_fallacies")))))))))</x:f>
        <x:v>rhetoric_discourse</x:v>
      </x:c>
      <x:c r="AC767" s="12" t="str">
        <x:f>IF(ISNUMBER(SEARCH("operational",J767)),"operational",IF(ISNUMBER(SEARCH("deprecated",J767)),"deprecated",IF(L767="P0","canonical","recognized_subtype")))</x:f>
        <x:v>operational</x:v>
      </x:c>
      <x:c r="AD767" s="12" t="str">
        <x:f>IF(AC767="canonical","high",IF(AC767="recognized_subtype","medium",IF(AC767="operational","operational_only","debated")))</x:f>
        <x:v>operational_only</x:v>
      </x:c>
      <x:c r="AE767" s="12" t="str">
        <x:f>IF(AC767="deprecated","deprecated",IF(M767="yes","active",IF(M767="review","review_required","backlog")))</x:f>
        <x:v>backlog</x:v>
      </x:c>
      <x:c r="AF767" s="12" t="str">
        <x:f>IF(OR(AE767="active",AE767="review_required"),"yes","no")</x:f>
        <x:v>no</x:v>
      </x:c>
      <x:c r="AG767" s="12" t="str">
        <x:f>IF(AND(AE767="active",M767="yes",NOT(ISNUMBER(SEARCH("healthy",AB767)))),"yes","no")</x:f>
        <x:v>no</x:v>
      </x:c>
      <x:c r="AH767" s="12" t="str">
        <x:f>IF(OR(H767="contextual",H767="dialogue",H767="discourse",I767="claim+context",I767="discourse_segment"),"yes","no")</x:f>
        <x:v>yes</x:v>
      </x:c>
      <x:c r="AI767" s="12" t="str">
        <x:f>IF(OR(AH767="yes",AD767="debated",AC767="operational"),"yes","no")</x:f>
        <x:v>yes</x:v>
      </x:c>
      <x:c r="AJ767" s="12" t="str">
        <x:f>IF(OR(AH767="yes",AC767="operational",AD767="debated"),"high",IF(AND(AG767="yes",L767="P0"),"medium","low"))</x:f>
        <x:v>high</x:v>
      </x:c>
      <x:c r="AK767" s="12" t="str">
        <x:f>IF(ISNUMBER(SEARCH("healthy",AB767)),"yes","no")</x:f>
        <x:v>no</x:v>
      </x:c>
      <x:c r="AL767" s="12" t="str">
        <x:f>IF(AG767="yes","yes","candidate_only")</x:f>
        <x:v>candidate_only</x:v>
      </x:c>
      <x:c r="AM767" s="12" t="str">
        <x:f>IF(OR(AC767="canonical",AG767="yes"),"yes","recommended")</x:f>
        <x:v>recommended</x:v>
      </x:c>
      <x:c r="AN767" s="12" t="str">
        <x:f>IF(AC767="deprecated","exclude",IF(AND(AG767="yes",AJ767="high"),"import_but_human_review_required",IF(AG767="yes","import_as_active","import_as_backlog")))</x:f>
        <x:v>import_as_backlog</x:v>
      </x:c>
      <x:c r="AO767" s="12" t="str">
        <x:f>IF(AND(AG767="yes",OR(P767="",Q767="",R767="",S767="")),"missing_required_mvp_fields",IF(AND(AC767="canonical",Y767=""),"missing_source_ref","ok"))</x:f>
        <x:v>ok</x:v>
      </x:c>
      <x:c r="AP767" s="12" t="str">
        <x:f>IF(AO767="ok","ready_for_codex_import","needs_review")</x:f>
        <x:v>ready_for_codex_import</x:v>
      </x:c>
      <x:c r="AQ767" s="12"/>
      <x:c r="AR767" s="12" t="str">
        <x:v>Added v2 operational fields. Review before classification activation.</x:v>
      </x:c>
    </x:row>
    <x:row r="768">
      <x:c r="A768" s="13" t="str">
        <x:v>leading_question_canonical</x:v>
      </x:c>
      <x:c r="B768" s="13" t="str">
        <x:v>leading_question</x:v>
      </x:c>
      <x:c r="C768" s="13" t="str">
        <x:v>Leading question</x:v>
      </x:c>
      <x:c r="D768" s="13" t="str">
        <x:v>سؤال هدایت‌کننده</x:v>
      </x:c>
      <x:c r="E768" s="13" t="str">
        <x:v>Canonical form</x:v>
      </x:c>
      <x:c r="F768" s="13" t="str">
        <x:v>rhetorical_manipulation_patterns</x:v>
      </x:c>
      <x:c r="G768" s="13" t="str">
        <x:v>canonical</x:v>
      </x:c>
      <x:c r="H768" s="13" t="str">
        <x:v>structural</x:v>
      </x:c>
      <x:c r="I768" s="13" t="str">
        <x:v>claim</x:v>
      </x:c>
      <x:c r="J768" s="13" t="str">
        <x:v>derived_operational_subtype</x:v>
      </x:c>
      <x:c r="K768" s="13" t="str">
        <x:v>derived_from_established_parent_review_required</x:v>
      </x:c>
      <x:c r="L768" s="13" t="str">
        <x:v>P2</x:v>
      </x:c>
      <x:c r="M768" s="13" t="str">
        <x:v>no</x:v>
      </x:c>
      <x:c r="N768" s="13" t="str">
        <x:v>Operational subtype under Leading question: rhetorical presentation shapes interpretation. Parent definition: Question wording nudges a desired answer.</x:v>
      </x:c>
      <x:c r="O768" s="13" t="str">
        <x:v>Look for: explicit claim-level evidence; parent-family cues for Leading question; variant cue: rhetorical presentation shapes interpretation; avoid author-level inference.</x:v>
      </x:c>
      <x:c r="P768" s="13" t="str">
        <x:v>Exact evidence span in text plus claim-level reasoning link; for contextual/discourse entries, require surrounding context.</x:v>
      </x:c>
      <x:c r="Q768" s="13" t="str">
        <x:v>Do not label merely because topic is controversial, emotional, or wrong. Do not judge intent or personality. Require textual evidence and consider healthy-reasoning cues.</x:v>
      </x:c>
      <x:c r="R768" s="13" t="str">
        <x:v>Stub: A claim relies on rhetorical presentation shapes interpretation to support a conclusion without adequate qualification.</x:v>
      </x:c>
      <x:c r="S768" s="13" t="str">
        <x:v>Stub: A claim discusses leading question with caveats, balanced evidence, or no argumentative use of the pattern.</x:v>
      </x:c>
      <x:c r="T768" s="13" t="str">
        <x:v>Mild or ambiguous cue; do not classify without clear evidence span.</x:v>
      </x:c>
      <x:c r="U768" s="13" t="str">
        <x:v>Clear claim-level pattern with some argumentative impact.</x:v>
      </x:c>
      <x:c r="V768" s="13" t="str">
        <x:v>Strong pattern central to the conclusion and likely to materially distort reasoning.</x:v>
      </x:c>
      <x:c r="W768" s="13" t="str"/>
      <x:c r="X768" s="13" t="str">
        <x:v>grice_logic_conversation</x:v>
      </x:c>
      <x:c r="Y768" s="13" t="str">
        <x:v>https://doi.org/10.1163/9789004368811_003</x:v>
      </x:c>
      <x:c r="Z768" s="13" t="str">
        <x:v>Review before enabling. This workbook is a living taxonomy scaffold, not a validated scientific benchmark.</x:v>
      </x:c>
      <x:c r="AA768" s="13" t="str">
        <x:v>0.1.0-draft</x:v>
      </x:c>
      <x:c r="AB768" s="12" t="str">
        <x:f>IF(ISNUMBER(SEARCH("healthy",F768)),"healthy_reasoning_patterns",IF(ISNUMBER(SEARCH("statistical",F768)),"statistical_reasoning",IF(ISNUMBER(SEARCH("causal",F768)),"causal_reasoning",IF(ISNUMBER(SEARCH("social",F768)),"social_influence",IF(ISNUMBER(SEARCH("rhetoric",F768)),"rhetoric_discourse",IF(ISNUMBER(SEARCH("behavior",F768)),"behavioural_economics",IF(ISNUMBER(SEARCH("cognitive",F768)),"cognitive_biases",IF(J768="protective_pattern","healthy_reasoning_patterns",IF(L768="P0","core_mvp","extended_fallacies")))))))))</x:f>
        <x:v>rhetoric_discourse</x:v>
      </x:c>
      <x:c r="AC768" s="12" t="str">
        <x:f>IF(ISNUMBER(SEARCH("operational",J768)),"operational",IF(ISNUMBER(SEARCH("deprecated",J768)),"deprecated",IF(L768="P0","canonical","recognized_subtype")))</x:f>
        <x:v>operational</x:v>
      </x:c>
      <x:c r="AD768" s="12" t="str">
        <x:f>IF(AC768="canonical","high",IF(AC768="recognized_subtype","medium",IF(AC768="operational","operational_only","debated")))</x:f>
        <x:v>operational_only</x:v>
      </x:c>
      <x:c r="AE768" s="12" t="str">
        <x:f>IF(AC768="deprecated","deprecated",IF(M768="yes","active",IF(M768="review","review_required","backlog")))</x:f>
        <x:v>backlog</x:v>
      </x:c>
      <x:c r="AF768" s="12" t="str">
        <x:f>IF(OR(AE768="active",AE768="review_required"),"yes","no")</x:f>
        <x:v>no</x:v>
      </x:c>
      <x:c r="AG768" s="12" t="str">
        <x:f>IF(AND(AE768="active",M768="yes",NOT(ISNUMBER(SEARCH("healthy",AB768)))),"yes","no")</x:f>
        <x:v>no</x:v>
      </x:c>
      <x:c r="AH768" s="12" t="str">
        <x:f>IF(OR(H768="contextual",H768="dialogue",H768="discourse",I768="claim+context",I768="discourse_segment"),"yes","no")</x:f>
        <x:v>no</x:v>
      </x:c>
      <x:c r="AI768" s="12" t="str">
        <x:f>IF(OR(AH768="yes",AD768="debated",AC768="operational"),"yes","no")</x:f>
        <x:v>yes</x:v>
      </x:c>
      <x:c r="AJ768" s="12" t="str">
        <x:f>IF(OR(AH768="yes",AC768="operational",AD768="debated"),"high",IF(AND(AG768="yes",L768="P0"),"medium","low"))</x:f>
        <x:v>high</x:v>
      </x:c>
      <x:c r="AK768" s="12" t="str">
        <x:f>IF(ISNUMBER(SEARCH("healthy",AB768)),"yes","no")</x:f>
        <x:v>no</x:v>
      </x:c>
      <x:c r="AL768" s="12" t="str">
        <x:f>IF(AG768="yes","yes","candidate_only")</x:f>
        <x:v>candidate_only</x:v>
      </x:c>
      <x:c r="AM768" s="12" t="str">
        <x:f>IF(OR(AC768="canonical",AG768="yes"),"yes","recommended")</x:f>
        <x:v>recommended</x:v>
      </x:c>
      <x:c r="AN768" s="12" t="str">
        <x:f>IF(AC768="deprecated","exclude",IF(AND(AG768="yes",AJ768="high"),"import_but_human_review_required",IF(AG768="yes","import_as_active","import_as_backlog")))</x:f>
        <x:v>import_as_backlog</x:v>
      </x:c>
      <x:c r="AO768" s="12" t="str">
        <x:f>IF(AND(AG768="yes",OR(P768="",Q768="",R768="",S768="")),"missing_required_mvp_fields",IF(AND(AC768="canonical",Y768=""),"missing_source_ref","ok"))</x:f>
        <x:v>ok</x:v>
      </x:c>
      <x:c r="AP768" s="12" t="str">
        <x:f>IF(AO768="ok","ready_for_codex_import","needs_review")</x:f>
        <x:v>ready_for_codex_import</x:v>
      </x:c>
      <x:c r="AQ768" s="12"/>
      <x:c r="AR768" s="12" t="str">
        <x:v>Added v2 operational fields. Review before classification activation.</x:v>
      </x:c>
    </x:row>
    <x:row r="769">
      <x:c r="A769" s="13" t="str">
        <x:v>presupposition_trigger_canonical</x:v>
      </x:c>
      <x:c r="B769" s="13" t="str">
        <x:v>presupposition_trigger</x:v>
      </x:c>
      <x:c r="C769" s="13" t="str">
        <x:v>Presupposition trigger</x:v>
      </x:c>
      <x:c r="D769" s="13" t="str">
        <x:v>برانگیزاننده پیش‌فرض</x:v>
      </x:c>
      <x:c r="E769" s="13" t="str">
        <x:v>Canonical form</x:v>
      </x:c>
      <x:c r="F769" s="13" t="str">
        <x:v>rhetorical_manipulation_patterns</x:v>
      </x:c>
      <x:c r="G769" s="13" t="str">
        <x:v>canonical</x:v>
      </x:c>
      <x:c r="H769" s="13" t="str">
        <x:v>lexical</x:v>
      </x:c>
      <x:c r="I769" s="13" t="str">
        <x:v>claim</x:v>
      </x:c>
      <x:c r="J769" s="13" t="str">
        <x:v>derived_operational_subtype</x:v>
      </x:c>
      <x:c r="K769" s="13" t="str">
        <x:v>derived_from_established_parent_review_required</x:v>
      </x:c>
      <x:c r="L769" s="13" t="str">
        <x:v>P2</x:v>
      </x:c>
      <x:c r="M769" s="13" t="str">
        <x:v>no</x:v>
      </x:c>
      <x:c r="N769" s="13" t="str">
        <x:v>Operational subtype under Presupposition trigger: rhetorical presentation shapes interpretation. Parent definition: Embedding assumptions through phrasing that treats them as given.</x:v>
      </x:c>
      <x:c r="O769" s="13" t="str">
        <x:v>Look for: explicit claim-level evidence; parent-family cues for Presupposition trigger; variant cue: rhetorical presentation shapes interpretation; avoid author-level inference.</x:v>
      </x:c>
      <x:c r="P769" s="13" t="str">
        <x:v>Exact evidence span in text plus claim-level reasoning link; for contextual/discourse entries, require surrounding context.</x:v>
      </x:c>
      <x:c r="Q769" s="13" t="str">
        <x:v>Do not label merely because topic is controversial, emotional, or wrong. Do not judge intent or personality. Require textual evidence and consider healthy-reasoning cues.</x:v>
      </x:c>
      <x:c r="R769" s="13" t="str">
        <x:v>Stub: A claim relies on rhetorical presentation shapes interpretation to support a conclusion without adequate qualification.</x:v>
      </x:c>
      <x:c r="S769" s="13" t="str">
        <x:v>Stub: A claim discusses presupposition trigger with caveats, balanced evidence, or no argumentative use of the pattern.</x:v>
      </x:c>
      <x:c r="T769" s="13" t="str">
        <x:v>Mild or ambiguous cue; do not classify without clear evidence span.</x:v>
      </x:c>
      <x:c r="U769" s="13" t="str">
        <x:v>Clear claim-level pattern with some argumentative impact.</x:v>
      </x:c>
      <x:c r="V769" s="13" t="str">
        <x:v>Strong pattern central to the conclusion and likely to materially distort reasoning.</x:v>
      </x:c>
      <x:c r="W769" s="13" t="str"/>
      <x:c r="X769" s="13" t="str">
        <x:v>grice_logic_conversation</x:v>
      </x:c>
      <x:c r="Y769" s="13" t="str">
        <x:v>https://doi.org/10.1163/9789004368811_003</x:v>
      </x:c>
      <x:c r="Z769" s="13" t="str">
        <x:v>Review before enabling. This workbook is a living taxonomy scaffold, not a validated scientific benchmark.</x:v>
      </x:c>
      <x:c r="AA769" s="13" t="str">
        <x:v>0.1.0-draft</x:v>
      </x:c>
      <x:c r="AB769" s="12" t="str">
        <x:f>IF(ISNUMBER(SEARCH("healthy",F769)),"healthy_reasoning_patterns",IF(ISNUMBER(SEARCH("statistical",F769)),"statistical_reasoning",IF(ISNUMBER(SEARCH("causal",F769)),"causal_reasoning",IF(ISNUMBER(SEARCH("social",F769)),"social_influence",IF(ISNUMBER(SEARCH("rhetoric",F769)),"rhetoric_discourse",IF(ISNUMBER(SEARCH("behavior",F769)),"behavioural_economics",IF(ISNUMBER(SEARCH("cognitive",F769)),"cognitive_biases",IF(J769="protective_pattern","healthy_reasoning_patterns",IF(L769="P0","core_mvp","extended_fallacies")))))))))</x:f>
        <x:v>rhetoric_discourse</x:v>
      </x:c>
      <x:c r="AC769" s="12" t="str">
        <x:f>IF(ISNUMBER(SEARCH("operational",J769)),"operational",IF(ISNUMBER(SEARCH("deprecated",J769)),"deprecated",IF(L769="P0","canonical","recognized_subtype")))</x:f>
        <x:v>operational</x:v>
      </x:c>
      <x:c r="AD769" s="12" t="str">
        <x:f>IF(AC769="canonical","high",IF(AC769="recognized_subtype","medium",IF(AC769="operational","operational_only","debated")))</x:f>
        <x:v>operational_only</x:v>
      </x:c>
      <x:c r="AE769" s="12" t="str">
        <x:f>IF(AC769="deprecated","deprecated",IF(M769="yes","active",IF(M769="review","review_required","backlog")))</x:f>
        <x:v>backlog</x:v>
      </x:c>
      <x:c r="AF769" s="12" t="str">
        <x:f>IF(OR(AE769="active",AE769="review_required"),"yes","no")</x:f>
        <x:v>no</x:v>
      </x:c>
      <x:c r="AG769" s="12" t="str">
        <x:f>IF(AND(AE769="active",M769="yes",NOT(ISNUMBER(SEARCH("healthy",AB769)))),"yes","no")</x:f>
        <x:v>no</x:v>
      </x:c>
      <x:c r="AH769" s="12" t="str">
        <x:f>IF(OR(H769="contextual",H769="dialogue",H769="discourse",I769="claim+context",I769="discourse_segment"),"yes","no")</x:f>
        <x:v>no</x:v>
      </x:c>
      <x:c r="AI769" s="12" t="str">
        <x:f>IF(OR(AH769="yes",AD769="debated",AC769="operational"),"yes","no")</x:f>
        <x:v>yes</x:v>
      </x:c>
      <x:c r="AJ769" s="12" t="str">
        <x:f>IF(OR(AH769="yes",AC769="operational",AD769="debated"),"high",IF(AND(AG769="yes",L769="P0"),"medium","low"))</x:f>
        <x:v>high</x:v>
      </x:c>
      <x:c r="AK769" s="12" t="str">
        <x:f>IF(ISNUMBER(SEARCH("healthy",AB769)),"yes","no")</x:f>
        <x:v>no</x:v>
      </x:c>
      <x:c r="AL769" s="12" t="str">
        <x:f>IF(AG769="yes","yes","candidate_only")</x:f>
        <x:v>candidate_only</x:v>
      </x:c>
      <x:c r="AM769" s="12" t="str">
        <x:f>IF(OR(AC769="canonical",AG769="yes"),"yes","recommended")</x:f>
        <x:v>recommended</x:v>
      </x:c>
      <x:c r="AN769" s="12" t="str">
        <x:f>IF(AC769="deprecated","exclude",IF(AND(AG769="yes",AJ769="high"),"import_but_human_review_required",IF(AG769="yes","import_as_active","import_as_backlog")))</x:f>
        <x:v>import_as_backlog</x:v>
      </x:c>
      <x:c r="AO769" s="12" t="str">
        <x:f>IF(AND(AG769="yes",OR(P769="",Q769="",R769="",S769="")),"missing_required_mvp_fields",IF(AND(AC769="canonical",Y769=""),"missing_source_ref","ok"))</x:f>
        <x:v>ok</x:v>
      </x:c>
      <x:c r="AP769" s="12" t="str">
        <x:f>IF(AO769="ok","ready_for_codex_import","needs_review")</x:f>
        <x:v>ready_for_codex_import</x:v>
      </x:c>
      <x:c r="AQ769" s="12"/>
      <x:c r="AR769" s="12" t="str">
        <x:v>Added v2 operational fields. Review before classification activation.</x:v>
      </x:c>
    </x:row>
    <x:row r="770">
      <x:c r="A770" s="13" t="str">
        <x:v>card_stacking_canonical</x:v>
      </x:c>
      <x:c r="B770" s="13" t="str">
        <x:v>card_stacking</x:v>
      </x:c>
      <x:c r="C770" s="13" t="str">
        <x:v>Card stacking</x:v>
      </x:c>
      <x:c r="D770" s="13" t="str">
        <x:v>چیدن یک‌طرفه کارت‌ها</x:v>
      </x:c>
      <x:c r="E770" s="13" t="str">
        <x:v>Canonical form</x:v>
      </x:c>
      <x:c r="F770" s="13" t="str">
        <x:v>rhetorical_manipulation_patterns</x:v>
      </x:c>
      <x:c r="G770" s="13" t="str">
        <x:v>canonical</x:v>
      </x:c>
      <x:c r="H770" s="13" t="str">
        <x:v>contextual</x:v>
      </x:c>
      <x:c r="I770" s="13" t="str">
        <x:v>claim+context</x:v>
      </x:c>
      <x:c r="J770" s="13" t="str">
        <x:v>derived_operational_subtype</x:v>
      </x:c>
      <x:c r="K770" s="13" t="str">
        <x:v>derived_from_established_parent_review_required</x:v>
      </x:c>
      <x:c r="L770" s="13" t="str">
        <x:v>P2</x:v>
      </x:c>
      <x:c r="M770" s="13" t="str">
        <x:v>no</x:v>
      </x:c>
      <x:c r="N770" s="13" t="str">
        <x:v>Operational subtype under Card stacking: rhetorical presentation shapes interpretation. Parent definition: Arranging only favorable points while suppressing unfavorable ones.</x:v>
      </x:c>
      <x:c r="O770" s="13" t="str">
        <x:v>Look for: explicit claim-level evidence; parent-family cues for Card stacking; variant cue: rhetorical presentation shapes interpretation; avoid author-level inference.</x:v>
      </x:c>
      <x:c r="P770" s="13" t="str">
        <x:v>Exact evidence span in text plus claim-level reasoning link; for contextual/discourse entries, require surrounding context.</x:v>
      </x:c>
      <x:c r="Q770" s="13" t="str">
        <x:v>Do not label merely because topic is controversial, emotional, or wrong. Do not judge intent or personality. Require textual evidence and consider healthy-reasoning cues.</x:v>
      </x:c>
      <x:c r="R770" s="13" t="str">
        <x:v>Stub: A claim relies on rhetorical presentation shapes interpretation to support a conclusion without adequate qualification.</x:v>
      </x:c>
      <x:c r="S770" s="13" t="str">
        <x:v>Stub: A claim discusses card stacking with caveats, balanced evidence, or no argumentative use of the pattern.</x:v>
      </x:c>
      <x:c r="T770" s="13" t="str">
        <x:v>Mild or ambiguous cue; do not classify without clear evidence span.</x:v>
      </x:c>
      <x:c r="U770" s="13" t="str">
        <x:v>Clear claim-level pattern with some argumentative impact.</x:v>
      </x:c>
      <x:c r="V770" s="13" t="str">
        <x:v>Strong pattern central to the conclusion and likely to materially distort reasoning.</x:v>
      </x:c>
      <x:c r="W770" s="13" t="str"/>
      <x:c r="X770" s="13" t="str">
        <x:v>sep_informal_logic</x:v>
      </x:c>
      <x:c r="Y770" s="13" t="str">
        <x:v>https://plato.stanford.edu/entries/logic-informal/</x:v>
      </x:c>
      <x:c r="Z770" s="13" t="str">
        <x:v>Review before enabling. This workbook is a living taxonomy scaffold, not a validated scientific benchmark.</x:v>
      </x:c>
      <x:c r="AA770" s="13" t="str">
        <x:v>0.1.0-draft</x:v>
      </x:c>
      <x:c r="AB770" s="12" t="str">
        <x:f>IF(ISNUMBER(SEARCH("healthy",F770)),"healthy_reasoning_patterns",IF(ISNUMBER(SEARCH("statistical",F770)),"statistical_reasoning",IF(ISNUMBER(SEARCH("causal",F770)),"causal_reasoning",IF(ISNUMBER(SEARCH("social",F770)),"social_influence",IF(ISNUMBER(SEARCH("rhetoric",F770)),"rhetoric_discourse",IF(ISNUMBER(SEARCH("behavior",F770)),"behavioural_economics",IF(ISNUMBER(SEARCH("cognitive",F770)),"cognitive_biases",IF(J770="protective_pattern","healthy_reasoning_patterns",IF(L770="P0","core_mvp","extended_fallacies")))))))))</x:f>
        <x:v>rhetoric_discourse</x:v>
      </x:c>
      <x:c r="AC770" s="12" t="str">
        <x:f>IF(ISNUMBER(SEARCH("operational",J770)),"operational",IF(ISNUMBER(SEARCH("deprecated",J770)),"deprecated",IF(L770="P0","canonical","recognized_subtype")))</x:f>
        <x:v>operational</x:v>
      </x:c>
      <x:c r="AD770" s="12" t="str">
        <x:f>IF(AC770="canonical","high",IF(AC770="recognized_subtype","medium",IF(AC770="operational","operational_only","debated")))</x:f>
        <x:v>operational_only</x:v>
      </x:c>
      <x:c r="AE770" s="12" t="str">
        <x:f>IF(AC770="deprecated","deprecated",IF(M770="yes","active",IF(M770="review","review_required","backlog")))</x:f>
        <x:v>backlog</x:v>
      </x:c>
      <x:c r="AF770" s="12" t="str">
        <x:f>IF(OR(AE770="active",AE770="review_required"),"yes","no")</x:f>
        <x:v>no</x:v>
      </x:c>
      <x:c r="AG770" s="12" t="str">
        <x:f>IF(AND(AE770="active",M770="yes",NOT(ISNUMBER(SEARCH("healthy",AB770)))),"yes","no")</x:f>
        <x:v>no</x:v>
      </x:c>
      <x:c r="AH770" s="12" t="str">
        <x:f>IF(OR(H770="contextual",H770="dialogue",H770="discourse",I770="claim+context",I770="discourse_segment"),"yes","no")</x:f>
        <x:v>yes</x:v>
      </x:c>
      <x:c r="AI770" s="12" t="str">
        <x:f>IF(OR(AH770="yes",AD770="debated",AC770="operational"),"yes","no")</x:f>
        <x:v>yes</x:v>
      </x:c>
      <x:c r="AJ770" s="12" t="str">
        <x:f>IF(OR(AH770="yes",AC770="operational",AD770="debated"),"high",IF(AND(AG770="yes",L770="P0"),"medium","low"))</x:f>
        <x:v>high</x:v>
      </x:c>
      <x:c r="AK770" s="12" t="str">
        <x:f>IF(ISNUMBER(SEARCH("healthy",AB770)),"yes","no")</x:f>
        <x:v>no</x:v>
      </x:c>
      <x:c r="AL770" s="12" t="str">
        <x:f>IF(AG770="yes","yes","candidate_only")</x:f>
        <x:v>candidate_only</x:v>
      </x:c>
      <x:c r="AM770" s="12" t="str">
        <x:f>IF(OR(AC770="canonical",AG770="yes"),"yes","recommended")</x:f>
        <x:v>recommended</x:v>
      </x:c>
      <x:c r="AN770" s="12" t="str">
        <x:f>IF(AC770="deprecated","exclude",IF(AND(AG770="yes",AJ770="high"),"import_but_human_review_required",IF(AG770="yes","import_as_active","import_as_backlog")))</x:f>
        <x:v>import_as_backlog</x:v>
      </x:c>
      <x:c r="AO770" s="12" t="str">
        <x:f>IF(AND(AG770="yes",OR(P770="",Q770="",R770="",S770="")),"missing_required_mvp_fields",IF(AND(AC770="canonical",Y770=""),"missing_source_ref","ok"))</x:f>
        <x:v>ok</x:v>
      </x:c>
      <x:c r="AP770" s="12" t="str">
        <x:f>IF(AO770="ok","ready_for_codex_import","needs_review")</x:f>
        <x:v>ready_for_codex_import</x:v>
      </x:c>
      <x:c r="AQ770" s="12"/>
      <x:c r="AR770" s="12" t="str">
        <x:v>Added v2 operational fields. Review before classification activation.</x:v>
      </x:c>
    </x:row>
    <x:row r="771">
      <x:c r="A771" s="13" t="str">
        <x:v>slogan_substitution_canonical</x:v>
      </x:c>
      <x:c r="B771" s="13" t="str">
        <x:v>slogan_substitution</x:v>
      </x:c>
      <x:c r="C771" s="13" t="str">
        <x:v>Slogan substitution</x:v>
      </x:c>
      <x:c r="D771" s="13" t="str">
        <x:v>جایگزینی شعار به جای دلیل</x:v>
      </x:c>
      <x:c r="E771" s="13" t="str">
        <x:v>Canonical form</x:v>
      </x:c>
      <x:c r="F771" s="13" t="str">
        <x:v>rhetorical_manipulation_patterns</x:v>
      </x:c>
      <x:c r="G771" s="13" t="str">
        <x:v>canonical</x:v>
      </x:c>
      <x:c r="H771" s="13" t="str">
        <x:v>discourse</x:v>
      </x:c>
      <x:c r="I771" s="13" t="str">
        <x:v>discourse_segment</x:v>
      </x:c>
      <x:c r="J771" s="13" t="str">
        <x:v>derived_operational_subtype</x:v>
      </x:c>
      <x:c r="K771" s="13" t="str">
        <x:v>derived_from_established_parent_review_required</x:v>
      </x:c>
      <x:c r="L771" s="13" t="str">
        <x:v>P2</x:v>
      </x:c>
      <x:c r="M771" s="13" t="str">
        <x:v>no</x:v>
      </x:c>
      <x:c r="N771" s="13" t="str">
        <x:v>Operational subtype under Slogan substitution: rhetorical presentation shapes interpretation. Parent definition: Replacing argument with a memorable phrase.</x:v>
      </x:c>
      <x:c r="O771" s="13" t="str">
        <x:v>Look for: explicit claim-level evidence; parent-family cues for Slogan substitution; variant cue: rhetorical presentation shapes interpretation; avoid author-level inference.</x:v>
      </x:c>
      <x:c r="P771" s="13" t="str">
        <x:v>Exact evidence span in text plus claim-level reasoning link; for contextual/discourse entries, require surrounding context.</x:v>
      </x:c>
      <x:c r="Q771" s="13" t="str">
        <x:v>Do not label merely because topic is controversial, emotional, or wrong. Do not judge intent or personality. Require textual evidence and consider healthy-reasoning cues.</x:v>
      </x:c>
      <x:c r="R771" s="13" t="str">
        <x:v>Stub: A claim relies on rhetorical presentation shapes interpretation to support a conclusion without adequate qualification.</x:v>
      </x:c>
      <x:c r="S771" s="13" t="str">
        <x:v>Stub: A claim discusses slogan substitution with caveats, balanced evidence, or no argumentative use of the pattern.</x:v>
      </x:c>
      <x:c r="T771" s="13" t="str">
        <x:v>Mild or ambiguous cue; do not classify without clear evidence span.</x:v>
      </x:c>
      <x:c r="U771" s="13" t="str">
        <x:v>Clear claim-level pattern with some argumentative impact.</x:v>
      </x:c>
      <x:c r="V771" s="13" t="str">
        <x:v>Strong pattern central to the conclusion and likely to materially distort reasoning.</x:v>
      </x:c>
      <x:c r="W771" s="13" t="str"/>
      <x:c r="X771" s="13" t="str">
        <x:v>grice_logic_conversation</x:v>
      </x:c>
      <x:c r="Y771" s="13" t="str">
        <x:v>https://doi.org/10.1163/9789004368811_003</x:v>
      </x:c>
      <x:c r="Z771" s="13" t="str">
        <x:v>Review before enabling. This workbook is a living taxonomy scaffold, not a validated scientific benchmark.</x:v>
      </x:c>
      <x:c r="AA771" s="13" t="str">
        <x:v>0.1.0-draft</x:v>
      </x:c>
      <x:c r="AB771" s="12" t="str">
        <x:f>IF(ISNUMBER(SEARCH("healthy",F771)),"healthy_reasoning_patterns",IF(ISNUMBER(SEARCH("statistical",F771)),"statistical_reasoning",IF(ISNUMBER(SEARCH("causal",F771)),"causal_reasoning",IF(ISNUMBER(SEARCH("social",F771)),"social_influence",IF(ISNUMBER(SEARCH("rhetoric",F771)),"rhetoric_discourse",IF(ISNUMBER(SEARCH("behavior",F771)),"behavioural_economics",IF(ISNUMBER(SEARCH("cognitive",F771)),"cognitive_biases",IF(J771="protective_pattern","healthy_reasoning_patterns",IF(L771="P0","core_mvp","extended_fallacies")))))))))</x:f>
        <x:v>rhetoric_discourse</x:v>
      </x:c>
      <x:c r="AC771" s="12" t="str">
        <x:f>IF(ISNUMBER(SEARCH("operational",J771)),"operational",IF(ISNUMBER(SEARCH("deprecated",J771)),"deprecated",IF(L771="P0","canonical","recognized_subtype")))</x:f>
        <x:v>operational</x:v>
      </x:c>
      <x:c r="AD771" s="12" t="str">
        <x:f>IF(AC771="canonical","high",IF(AC771="recognized_subtype","medium",IF(AC771="operational","operational_only","debated")))</x:f>
        <x:v>operational_only</x:v>
      </x:c>
      <x:c r="AE771" s="12" t="str">
        <x:f>IF(AC771="deprecated","deprecated",IF(M771="yes","active",IF(M771="review","review_required","backlog")))</x:f>
        <x:v>backlog</x:v>
      </x:c>
      <x:c r="AF771" s="12" t="str">
        <x:f>IF(OR(AE771="active",AE771="review_required"),"yes","no")</x:f>
        <x:v>no</x:v>
      </x:c>
      <x:c r="AG771" s="12" t="str">
        <x:f>IF(AND(AE771="active",M771="yes",NOT(ISNUMBER(SEARCH("healthy",AB771)))),"yes","no")</x:f>
        <x:v>no</x:v>
      </x:c>
      <x:c r="AH771" s="12" t="str">
        <x:f>IF(OR(H771="contextual",H771="dialogue",H771="discourse",I771="claim+context",I771="discourse_segment"),"yes","no")</x:f>
        <x:v>yes</x:v>
      </x:c>
      <x:c r="AI771" s="12" t="str">
        <x:f>IF(OR(AH771="yes",AD771="debated",AC771="operational"),"yes","no")</x:f>
        <x:v>yes</x:v>
      </x:c>
      <x:c r="AJ771" s="12" t="str">
        <x:f>IF(OR(AH771="yes",AC771="operational",AD771="debated"),"high",IF(AND(AG771="yes",L771="P0"),"medium","low"))</x:f>
        <x:v>high</x:v>
      </x:c>
      <x:c r="AK771" s="12" t="str">
        <x:f>IF(ISNUMBER(SEARCH("healthy",AB771)),"yes","no")</x:f>
        <x:v>no</x:v>
      </x:c>
      <x:c r="AL771" s="12" t="str">
        <x:f>IF(AG771="yes","yes","candidate_only")</x:f>
        <x:v>candidate_only</x:v>
      </x:c>
      <x:c r="AM771" s="12" t="str">
        <x:f>IF(OR(AC771="canonical",AG771="yes"),"yes","recommended")</x:f>
        <x:v>recommended</x:v>
      </x:c>
      <x:c r="AN771" s="12" t="str">
        <x:f>IF(AC771="deprecated","exclude",IF(AND(AG771="yes",AJ771="high"),"import_but_human_review_required",IF(AG771="yes","import_as_active","import_as_backlog")))</x:f>
        <x:v>import_as_backlog</x:v>
      </x:c>
      <x:c r="AO771" s="12" t="str">
        <x:f>IF(AND(AG771="yes",OR(P771="",Q771="",R771="",S771="")),"missing_required_mvp_fields",IF(AND(AC771="canonical",Y771=""),"missing_source_ref","ok"))</x:f>
        <x:v>ok</x:v>
      </x:c>
      <x:c r="AP771" s="12" t="str">
        <x:f>IF(AO771="ok","ready_for_codex_import","needs_review")</x:f>
        <x:v>ready_for_codex_import</x:v>
      </x:c>
      <x:c r="AQ771" s="12"/>
      <x:c r="AR771" s="12" t="str">
        <x:v>Added v2 operational fields. Review before classification activation.</x:v>
      </x:c>
    </x:row>
    <x:row r="772">
      <x:c r="A772" s="13" t="str">
        <x:v>repetition_effect_argument_canonical</x:v>
      </x:c>
      <x:c r="B772" s="13" t="str">
        <x:v>repetition_effect_argument</x:v>
      </x:c>
      <x:c r="C772" s="13" t="str">
        <x:v>Repetition-as-evidence</x:v>
      </x:c>
      <x:c r="D772" s="13" t="str">
        <x:v>تکرار به جای دلیل</x:v>
      </x:c>
      <x:c r="E772" s="13" t="str">
        <x:v>Canonical form</x:v>
      </x:c>
      <x:c r="F772" s="13" t="str">
        <x:v>rhetorical_manipulation_patterns</x:v>
      </x:c>
      <x:c r="G772" s="13" t="str">
        <x:v>canonical</x:v>
      </x:c>
      <x:c r="H772" s="13" t="str">
        <x:v>discourse</x:v>
      </x:c>
      <x:c r="I772" s="13" t="str">
        <x:v>discourse_segment</x:v>
      </x:c>
      <x:c r="J772" s="13" t="str">
        <x:v>derived_operational_subtype</x:v>
      </x:c>
      <x:c r="K772" s="13" t="str">
        <x:v>derived_from_established_parent_review_required</x:v>
      </x:c>
      <x:c r="L772" s="13" t="str">
        <x:v>P2</x:v>
      </x:c>
      <x:c r="M772" s="13" t="str">
        <x:v>no</x:v>
      </x:c>
      <x:c r="N772" s="13" t="str">
        <x:v>Operational subtype under Repetition-as-evidence: rhetorical presentation shapes interpretation. Parent definition: Repeating a claim as if repetition increases its evidential support.</x:v>
      </x:c>
      <x:c r="O772" s="13" t="str">
        <x:v>Look for: explicit claim-level evidence; parent-family cues for Repetition-as-evidence; variant cue: rhetorical presentation shapes interpretation; avoid author-level inference.</x:v>
      </x:c>
      <x:c r="P772" s="13" t="str">
        <x:v>Exact evidence span in text plus claim-level reasoning link; for contextual/discourse entries, require surrounding context.</x:v>
      </x:c>
      <x:c r="Q772" s="13" t="str">
        <x:v>Do not label merely because topic is controversial, emotional, or wrong. Do not judge intent or personality. Require textual evidence and consider healthy-reasoning cues.</x:v>
      </x:c>
      <x:c r="R772" s="13" t="str">
        <x:v>Stub: A claim relies on rhetorical presentation shapes interpretation to support a conclusion without adequate qualification.</x:v>
      </x:c>
      <x:c r="S772" s="13" t="str">
        <x:v>Stub: A claim discusses repetition-as-evidence with caveats, balanced evidence, or no argumentative use of the pattern.</x:v>
      </x:c>
      <x:c r="T772" s="13" t="str">
        <x:v>Mild or ambiguous cue; do not classify without clear evidence span.</x:v>
      </x:c>
      <x:c r="U772" s="13" t="str">
        <x:v>Clear claim-level pattern with some argumentative impact.</x:v>
      </x:c>
      <x:c r="V772" s="13" t="str">
        <x:v>Strong pattern central to the conclusion and likely to materially distort reasoning.</x:v>
      </x:c>
      <x:c r="W772" s="13" t="str"/>
      <x:c r="X772" s="13" t="str">
        <x:v>grice_logic_conversation</x:v>
      </x:c>
      <x:c r="Y772" s="13" t="str">
        <x:v>https://doi.org/10.1163/9789004368811_003</x:v>
      </x:c>
      <x:c r="Z772" s="13" t="str">
        <x:v>Review before enabling. This workbook is a living taxonomy scaffold, not a validated scientific benchmark.</x:v>
      </x:c>
      <x:c r="AA772" s="13" t="str">
        <x:v>0.1.0-draft</x:v>
      </x:c>
      <x:c r="AB772" s="12" t="str">
        <x:f>IF(ISNUMBER(SEARCH("healthy",F772)),"healthy_reasoning_patterns",IF(ISNUMBER(SEARCH("statistical",F772)),"statistical_reasoning",IF(ISNUMBER(SEARCH("causal",F772)),"causal_reasoning",IF(ISNUMBER(SEARCH("social",F772)),"social_influence",IF(ISNUMBER(SEARCH("rhetoric",F772)),"rhetoric_discourse",IF(ISNUMBER(SEARCH("behavior",F772)),"behavioural_economics",IF(ISNUMBER(SEARCH("cognitive",F772)),"cognitive_biases",IF(J772="protective_pattern","healthy_reasoning_patterns",IF(L772="P0","core_mvp","extended_fallacies")))))))))</x:f>
        <x:v>rhetoric_discourse</x:v>
      </x:c>
      <x:c r="AC772" s="12" t="str">
        <x:f>IF(ISNUMBER(SEARCH("operational",J772)),"operational",IF(ISNUMBER(SEARCH("deprecated",J772)),"deprecated",IF(L772="P0","canonical","recognized_subtype")))</x:f>
        <x:v>operational</x:v>
      </x:c>
      <x:c r="AD772" s="12" t="str">
        <x:f>IF(AC772="canonical","high",IF(AC772="recognized_subtype","medium",IF(AC772="operational","operational_only","debated")))</x:f>
        <x:v>operational_only</x:v>
      </x:c>
      <x:c r="AE772" s="12" t="str">
        <x:f>IF(AC772="deprecated","deprecated",IF(M772="yes","active",IF(M772="review","review_required","backlog")))</x:f>
        <x:v>backlog</x:v>
      </x:c>
      <x:c r="AF772" s="12" t="str">
        <x:f>IF(OR(AE772="active",AE772="review_required"),"yes","no")</x:f>
        <x:v>no</x:v>
      </x:c>
      <x:c r="AG772" s="12" t="str">
        <x:f>IF(AND(AE772="active",M772="yes",NOT(ISNUMBER(SEARCH("healthy",AB772)))),"yes","no")</x:f>
        <x:v>no</x:v>
      </x:c>
      <x:c r="AH772" s="12" t="str">
        <x:f>IF(OR(H772="contextual",H772="dialogue",H772="discourse",I772="claim+context",I772="discourse_segment"),"yes","no")</x:f>
        <x:v>yes</x:v>
      </x:c>
      <x:c r="AI772" s="12" t="str">
        <x:f>IF(OR(AH772="yes",AD772="debated",AC772="operational"),"yes","no")</x:f>
        <x:v>yes</x:v>
      </x:c>
      <x:c r="AJ772" s="12" t="str">
        <x:f>IF(OR(AH772="yes",AC772="operational",AD772="debated"),"high",IF(AND(AG772="yes",L772="P0"),"medium","low"))</x:f>
        <x:v>high</x:v>
      </x:c>
      <x:c r="AK772" s="12" t="str">
        <x:f>IF(ISNUMBER(SEARCH("healthy",AB772)),"yes","no")</x:f>
        <x:v>no</x:v>
      </x:c>
      <x:c r="AL772" s="12" t="str">
        <x:f>IF(AG772="yes","yes","candidate_only")</x:f>
        <x:v>candidate_only</x:v>
      </x:c>
      <x:c r="AM772" s="12" t="str">
        <x:f>IF(OR(AC772="canonical",AG772="yes"),"yes","recommended")</x:f>
        <x:v>recommended</x:v>
      </x:c>
      <x:c r="AN772" s="12" t="str">
        <x:f>IF(AC772="deprecated","exclude",IF(AND(AG772="yes",AJ772="high"),"import_but_human_review_required",IF(AG772="yes","import_as_active","import_as_backlog")))</x:f>
        <x:v>import_as_backlog</x:v>
      </x:c>
      <x:c r="AO772" s="12" t="str">
        <x:f>IF(AND(AG772="yes",OR(P772="",Q772="",R772="",S772="")),"missing_required_mvp_fields",IF(AND(AC772="canonical",Y772=""),"missing_source_ref","ok"))</x:f>
        <x:v>ok</x:v>
      </x:c>
      <x:c r="AP772" s="12" t="str">
        <x:f>IF(AO772="ok","ready_for_codex_import","needs_review")</x:f>
        <x:v>ready_for_codex_import</x:v>
      </x:c>
      <x:c r="AQ772" s="12"/>
      <x:c r="AR772" s="12" t="str">
        <x:v>Added v2 operational fields. Review before classification activation.</x:v>
      </x:c>
    </x:row>
    <x:row r="773">
      <x:c r="A773" s="13" t="str">
        <x:v>false_balance_rhetoric_canonical</x:v>
      </x:c>
      <x:c r="B773" s="13" t="str">
        <x:v>false_balance_rhetoric</x:v>
      </x:c>
      <x:c r="C773" s="13" t="str">
        <x:v>False balance</x:v>
      </x:c>
      <x:c r="D773" s="13" t="str">
        <x:v>توازن کاذب</x:v>
      </x:c>
      <x:c r="E773" s="13" t="str">
        <x:v>Canonical form</x:v>
      </x:c>
      <x:c r="F773" s="13" t="str">
        <x:v>rhetorical_manipulation_patterns</x:v>
      </x:c>
      <x:c r="G773" s="13" t="str">
        <x:v>canonical</x:v>
      </x:c>
      <x:c r="H773" s="13" t="str">
        <x:v>contextual</x:v>
      </x:c>
      <x:c r="I773" s="13" t="str">
        <x:v>claim+context</x:v>
      </x:c>
      <x:c r="J773" s="13" t="str">
        <x:v>derived_operational_subtype</x:v>
      </x:c>
      <x:c r="K773" s="13" t="str">
        <x:v>derived_from_established_parent_review_required</x:v>
      </x:c>
      <x:c r="L773" s="13" t="str">
        <x:v>P2</x:v>
      </x:c>
      <x:c r="M773" s="13" t="str">
        <x:v>no</x:v>
      </x:c>
      <x:c r="N773" s="13" t="str">
        <x:v>Operational subtype under False balance: rhetorical presentation shapes interpretation. Parent definition: Presenting unequal evidence positions as equally supported.</x:v>
      </x:c>
      <x:c r="O773" s="13" t="str">
        <x:v>Look for: explicit claim-level evidence; parent-family cues for False balance; variant cue: rhetorical presentation shapes interpretation; avoid author-level inference.</x:v>
      </x:c>
      <x:c r="P773" s="13" t="str">
        <x:v>Exact evidence span in text plus claim-level reasoning link; for contextual/discourse entries, require surrounding context.</x:v>
      </x:c>
      <x:c r="Q773" s="13" t="str">
        <x:v>Do not label merely because topic is controversial, emotional, or wrong. Do not judge intent or personality. Require textual evidence and consider healthy-reasoning cues.</x:v>
      </x:c>
      <x:c r="R773" s="13" t="str">
        <x:v>Stub: A claim relies on rhetorical presentation shapes interpretation to support a conclusion without adequate qualification.</x:v>
      </x:c>
      <x:c r="S773" s="13" t="str">
        <x:v>Stub: A claim discusses false balance with caveats, balanced evidence, or no argumentative use of the pattern.</x:v>
      </x:c>
      <x:c r="T773" s="13" t="str">
        <x:v>Mild or ambiguous cue; do not classify without clear evidence span.</x:v>
      </x:c>
      <x:c r="U773" s="13" t="str">
        <x:v>Clear claim-level pattern with some argumentative impact.</x:v>
      </x:c>
      <x:c r="V773" s="13" t="str">
        <x:v>Strong pattern central to the conclusion and likely to materially distort reasoning.</x:v>
      </x:c>
      <x:c r="W773" s="13" t="str">
        <x:v>cherry_picking; missing_counterevidence; evidence_grading</x:v>
      </x:c>
      <x:c r="X773" s="13" t="str">
        <x:v>sep_informal_logic</x:v>
      </x:c>
      <x:c r="Y773" s="13" t="str">
        <x:v>https://plato.stanford.edu/entries/logic-informal/</x:v>
      </x:c>
      <x:c r="Z773" s="13" t="str">
        <x:v>Review before enabling. This workbook is a living taxonomy scaffold, not a validated scientific benchmark.</x:v>
      </x:c>
      <x:c r="AA773" s="13" t="str">
        <x:v>0.1.0-draft</x:v>
      </x:c>
      <x:c r="AB773" s="12" t="str">
        <x:f>IF(ISNUMBER(SEARCH("healthy",F773)),"healthy_reasoning_patterns",IF(ISNUMBER(SEARCH("statistical",F773)),"statistical_reasoning",IF(ISNUMBER(SEARCH("causal",F773)),"causal_reasoning",IF(ISNUMBER(SEARCH("social",F773)),"social_influence",IF(ISNUMBER(SEARCH("rhetoric",F773)),"rhetoric_discourse",IF(ISNUMBER(SEARCH("behavior",F773)),"behavioural_economics",IF(ISNUMBER(SEARCH("cognitive",F773)),"cognitive_biases",IF(J773="protective_pattern","healthy_reasoning_patterns",IF(L773="P0","core_mvp","extended_fallacies")))))))))</x:f>
        <x:v>rhetoric_discourse</x:v>
      </x:c>
      <x:c r="AC773" s="12" t="str">
        <x:f>IF(ISNUMBER(SEARCH("operational",J773)),"operational",IF(ISNUMBER(SEARCH("deprecated",J773)),"deprecated",IF(L773="P0","canonical","recognized_subtype")))</x:f>
        <x:v>operational</x:v>
      </x:c>
      <x:c r="AD773" s="12" t="str">
        <x:f>IF(AC773="canonical","high",IF(AC773="recognized_subtype","medium",IF(AC773="operational","operational_only","debated")))</x:f>
        <x:v>operational_only</x:v>
      </x:c>
      <x:c r="AE773" s="12" t="str">
        <x:f>IF(AC773="deprecated","deprecated",IF(M773="yes","active",IF(M773="review","review_required","backlog")))</x:f>
        <x:v>backlog</x:v>
      </x:c>
      <x:c r="AF773" s="12" t="str">
        <x:f>IF(OR(AE773="active",AE773="review_required"),"yes","no")</x:f>
        <x:v>no</x:v>
      </x:c>
      <x:c r="AG773" s="12" t="str">
        <x:f>IF(AND(AE773="active",M773="yes",NOT(ISNUMBER(SEARCH("healthy",AB773)))),"yes","no")</x:f>
        <x:v>no</x:v>
      </x:c>
      <x:c r="AH773" s="12" t="str">
        <x:f>IF(OR(H773="contextual",H773="dialogue",H773="discourse",I773="claim+context",I773="discourse_segment"),"yes","no")</x:f>
        <x:v>yes</x:v>
      </x:c>
      <x:c r="AI773" s="12" t="str">
        <x:f>IF(OR(AH773="yes",AD773="debated",AC773="operational"),"yes","no")</x:f>
        <x:v>yes</x:v>
      </x:c>
      <x:c r="AJ773" s="12" t="str">
        <x:f>IF(OR(AH773="yes",AC773="operational",AD773="debated"),"high",IF(AND(AG773="yes",L773="P0"),"medium","low"))</x:f>
        <x:v>high</x:v>
      </x:c>
      <x:c r="AK773" s="12" t="str">
        <x:f>IF(ISNUMBER(SEARCH("healthy",AB773)),"yes","no")</x:f>
        <x:v>no</x:v>
      </x:c>
      <x:c r="AL773" s="12" t="str">
        <x:f>IF(AG773="yes","yes","candidate_only")</x:f>
        <x:v>candidate_only</x:v>
      </x:c>
      <x:c r="AM773" s="12" t="str">
        <x:f>IF(OR(AC773="canonical",AG773="yes"),"yes","recommended")</x:f>
        <x:v>recommended</x:v>
      </x:c>
      <x:c r="AN773" s="12" t="str">
        <x:f>IF(AC773="deprecated","exclude",IF(AND(AG773="yes",AJ773="high"),"import_but_human_review_required",IF(AG773="yes","import_as_active","import_as_backlog")))</x:f>
        <x:v>import_as_backlog</x:v>
      </x:c>
      <x:c r="AO773" s="12" t="str">
        <x:f>IF(AND(AG773="yes",OR(P773="",Q773="",R773="",S773="")),"missing_required_mvp_fields",IF(AND(AC773="canonical",Y773=""),"missing_source_ref","ok"))</x:f>
        <x:v>ok</x:v>
      </x:c>
      <x:c r="AP773" s="12" t="str">
        <x:f>IF(AO773="ok","ready_for_codex_import","needs_review")</x:f>
        <x:v>ready_for_codex_import</x:v>
      </x:c>
      <x:c r="AQ773" s="12"/>
      <x:c r="AR773" s="12" t="str">
        <x:v>Added v2 operational fields. Review before classification activation.</x:v>
      </x:c>
    </x:row>
    <x:row r="774">
      <x:c r="A774" s="13" t="str">
        <x:v>loaded_language_emotional_language_variant</x:v>
      </x:c>
      <x:c r="B774" s="13" t="str">
        <x:v>loaded_language</x:v>
      </x:c>
      <x:c r="C774" s="13" t="str">
        <x:v>Loaded language</x:v>
      </x:c>
      <x:c r="D774" s="13" t="str">
        <x:v>زبان بارگذاری‌شده</x:v>
      </x:c>
      <x:c r="E774" s="13" t="str">
        <x:v>Emotional-language variant</x:v>
      </x:c>
      <x:c r="F774" s="13" t="str">
        <x:v>rhetorical_manipulation_patterns</x:v>
      </x:c>
      <x:c r="G774" s="13" t="str">
        <x:v>operational_variant</x:v>
      </x:c>
      <x:c r="H774" s="13" t="str">
        <x:v>lexical</x:v>
      </x:c>
      <x:c r="I774" s="13" t="str">
        <x:v>claim</x:v>
      </x:c>
      <x:c r="J774" s="13" t="str">
        <x:v>derived_operational_subtype</x:v>
      </x:c>
      <x:c r="K774" s="13" t="str">
        <x:v>derived_from_established_parent_review_required</x:v>
      </x:c>
      <x:c r="L774" s="13" t="str">
        <x:v>P2</x:v>
      </x:c>
      <x:c r="M774" s="13" t="str">
        <x:v>no</x:v>
      </x:c>
      <x:c r="N774" s="13" t="str">
        <x:v>Operational subtype under Loaded language: emotion-laden wording carries argumentative weight. Parent definition: Using emotionally charged words to steer interpretation.</x:v>
      </x:c>
      <x:c r="O774" s="13" t="str">
        <x:v>Look for: explicit claim-level evidence; parent-family cues for Loaded language; variant cue: emotion-laden wording carries argumentative weight; avoid author-level inference.</x:v>
      </x:c>
      <x:c r="P774" s="13" t="str">
        <x:v>Exact evidence span in text plus claim-level reasoning link; for contextual/discourse entries, require surrounding context.</x:v>
      </x:c>
      <x:c r="Q774" s="13" t="str">
        <x:v>Do not label merely because topic is controversial, emotional, or wrong. Do not judge intent or personality. Require textual evidence and consider healthy-reasoning cues.</x:v>
      </x:c>
      <x:c r="R774" s="13" t="str">
        <x:v>Stub: A claim relies on emotion-laden wording carries argumentative weight to support a conclusion without adequate qualification.</x:v>
      </x:c>
      <x:c r="S774" s="13" t="str">
        <x:v>Stub: A claim discusses loaded language with caveats, balanced evidence, or no argumentative use of the pattern.</x:v>
      </x:c>
      <x:c r="T774" s="13" t="str">
        <x:v>Mild or ambiguous cue; do not classify without clear evidence span.</x:v>
      </x:c>
      <x:c r="U774" s="13" t="str">
        <x:v>Clear claim-level pattern with some argumentative impact.</x:v>
      </x:c>
      <x:c r="V774" s="13" t="str">
        <x:v>Strong pattern central to the conclusion and likely to materially distort reasoning.</x:v>
      </x:c>
      <x:c r="W774" s="13" t="str"/>
      <x:c r="X774" s="13" t="str">
        <x:v>grice_logic_conversation</x:v>
      </x:c>
      <x:c r="Y774" s="13" t="str">
        <x:v>https://doi.org/10.1163/9789004368811_003</x:v>
      </x:c>
      <x:c r="Z774" s="13" t="str">
        <x:v>Review before enabling. This workbook is a living taxonomy scaffold, not a validated scientific benchmark.</x:v>
      </x:c>
      <x:c r="AA774" s="13" t="str">
        <x:v>0.1.0-draft</x:v>
      </x:c>
      <x:c r="AB774" s="12" t="str">
        <x:f>IF(ISNUMBER(SEARCH("healthy",F774)),"healthy_reasoning_patterns",IF(ISNUMBER(SEARCH("statistical",F774)),"statistical_reasoning",IF(ISNUMBER(SEARCH("causal",F774)),"causal_reasoning",IF(ISNUMBER(SEARCH("social",F774)),"social_influence",IF(ISNUMBER(SEARCH("rhetoric",F774)),"rhetoric_discourse",IF(ISNUMBER(SEARCH("behavior",F774)),"behavioural_economics",IF(ISNUMBER(SEARCH("cognitive",F774)),"cognitive_biases",IF(J774="protective_pattern","healthy_reasoning_patterns",IF(L774="P0","core_mvp","extended_fallacies")))))))))</x:f>
        <x:v>rhetoric_discourse</x:v>
      </x:c>
      <x:c r="AC774" s="12" t="str">
        <x:f>IF(ISNUMBER(SEARCH("operational",J774)),"operational",IF(ISNUMBER(SEARCH("deprecated",J774)),"deprecated",IF(L774="P0","canonical","recognized_subtype")))</x:f>
        <x:v>operational</x:v>
      </x:c>
      <x:c r="AD774" s="12" t="str">
        <x:f>IF(AC774="canonical","high",IF(AC774="recognized_subtype","medium",IF(AC774="operational","operational_only","debated")))</x:f>
        <x:v>operational_only</x:v>
      </x:c>
      <x:c r="AE774" s="12" t="str">
        <x:f>IF(AC774="deprecated","deprecated",IF(M774="yes","active",IF(M774="review","review_required","backlog")))</x:f>
        <x:v>backlog</x:v>
      </x:c>
      <x:c r="AF774" s="12" t="str">
        <x:f>IF(OR(AE774="active",AE774="review_required"),"yes","no")</x:f>
        <x:v>no</x:v>
      </x:c>
      <x:c r="AG774" s="12" t="str">
        <x:f>IF(AND(AE774="active",M774="yes",NOT(ISNUMBER(SEARCH("healthy",AB774)))),"yes","no")</x:f>
        <x:v>no</x:v>
      </x:c>
      <x:c r="AH774" s="12" t="str">
        <x:f>IF(OR(H774="contextual",H774="dialogue",H774="discourse",I774="claim+context",I774="discourse_segment"),"yes","no")</x:f>
        <x:v>no</x:v>
      </x:c>
      <x:c r="AI774" s="12" t="str">
        <x:f>IF(OR(AH774="yes",AD774="debated",AC774="operational"),"yes","no")</x:f>
        <x:v>yes</x:v>
      </x:c>
      <x:c r="AJ774" s="12" t="str">
        <x:f>IF(OR(AH774="yes",AC774="operational",AD774="debated"),"high",IF(AND(AG774="yes",L774="P0"),"medium","low"))</x:f>
        <x:v>high</x:v>
      </x:c>
      <x:c r="AK774" s="12" t="str">
        <x:f>IF(ISNUMBER(SEARCH("healthy",AB774)),"yes","no")</x:f>
        <x:v>no</x:v>
      </x:c>
      <x:c r="AL774" s="12" t="str">
        <x:f>IF(AG774="yes","yes","candidate_only")</x:f>
        <x:v>candidate_only</x:v>
      </x:c>
      <x:c r="AM774" s="12" t="str">
        <x:f>IF(OR(AC774="canonical",AG774="yes"),"yes","recommended")</x:f>
        <x:v>recommended</x:v>
      </x:c>
      <x:c r="AN774" s="12" t="str">
        <x:f>IF(AC774="deprecated","exclude",IF(AND(AG774="yes",AJ774="high"),"import_but_human_review_required",IF(AG774="yes","import_as_active","import_as_backlog")))</x:f>
        <x:v>import_as_backlog</x:v>
      </x:c>
      <x:c r="AO774" s="12" t="str">
        <x:f>IF(AND(AG774="yes",OR(P774="",Q774="",R774="",S774="")),"missing_required_mvp_fields",IF(AND(AC774="canonical",Y774=""),"missing_source_ref","ok"))</x:f>
        <x:v>ok</x:v>
      </x:c>
      <x:c r="AP774" s="12" t="str">
        <x:f>IF(AO774="ok","ready_for_codex_import","needs_review")</x:f>
        <x:v>ready_for_codex_import</x:v>
      </x:c>
      <x:c r="AQ774" s="12"/>
      <x:c r="AR774" s="12" t="str">
        <x:v>Added v2 operational fields. Review before classification activation.</x:v>
      </x:c>
    </x:row>
    <x:row r="775">
      <x:c r="A775" s="13" t="str">
        <x:v>weasel_words_emotional_language_variant</x:v>
      </x:c>
      <x:c r="B775" s="13" t="str">
        <x:v>weasel_words</x:v>
      </x:c>
      <x:c r="C775" s="13" t="str">
        <x:v>Weasel words</x:v>
      </x:c>
      <x:c r="D775" s="13" t="str">
        <x:v>واژه‌های گریز</x:v>
      </x:c>
      <x:c r="E775" s="13" t="str">
        <x:v>Emotional-language variant</x:v>
      </x:c>
      <x:c r="F775" s="13" t="str">
        <x:v>rhetorical_manipulation_patterns</x:v>
      </x:c>
      <x:c r="G775" s="13" t="str">
        <x:v>operational_variant</x:v>
      </x:c>
      <x:c r="H775" s="13" t="str">
        <x:v>lexical</x:v>
      </x:c>
      <x:c r="I775" s="13" t="str">
        <x:v>claim</x:v>
      </x:c>
      <x:c r="J775" s="13" t="str">
        <x:v>derived_operational_subtype</x:v>
      </x:c>
      <x:c r="K775" s="13" t="str">
        <x:v>derived_from_established_parent_review_required</x:v>
      </x:c>
      <x:c r="L775" s="13" t="str">
        <x:v>P2</x:v>
      </x:c>
      <x:c r="M775" s="13" t="str">
        <x:v>no</x:v>
      </x:c>
      <x:c r="N775" s="13" t="str">
        <x:v>Operational subtype under Weasel words: emotion-laden wording carries argumentative weight. Parent definition: Using vague qualifiers that create an impression without accountable evidence.</x:v>
      </x:c>
      <x:c r="O775" s="13" t="str">
        <x:v>Look for: explicit claim-level evidence; parent-family cues for Weasel words; variant cue: emotion-laden wording carries argumentative weight; avoid author-level inference.</x:v>
      </x:c>
      <x:c r="P775" s="13" t="str">
        <x:v>Exact evidence span in text plus claim-level reasoning link; for contextual/discourse entries, require surrounding context.</x:v>
      </x:c>
      <x:c r="Q775" s="13" t="str">
        <x:v>Do not label merely because topic is controversial, emotional, or wrong. Do not judge intent or personality. Require textual evidence and consider healthy-reasoning cues.</x:v>
      </x:c>
      <x:c r="R775" s="13" t="str">
        <x:v>Stub: A claim relies on emotion-laden wording carries argumentative weight to support a conclusion without adequate qualification.</x:v>
      </x:c>
      <x:c r="S775" s="13" t="str">
        <x:v>Stub: A claim discusses weasel words with caveats, balanced evidence, or no argumentative use of the pattern.</x:v>
      </x:c>
      <x:c r="T775" s="13" t="str">
        <x:v>Mild or ambiguous cue; do not classify without clear evidence span.</x:v>
      </x:c>
      <x:c r="U775" s="13" t="str">
        <x:v>Clear claim-level pattern with some argumentative impact.</x:v>
      </x:c>
      <x:c r="V775" s="13" t="str">
        <x:v>Strong pattern central to the conclusion and likely to materially distort reasoning.</x:v>
      </x:c>
      <x:c r="W775" s="13" t="str">
        <x:v>cherry_picking; missing_counterevidence; evidence_grading</x:v>
      </x:c>
      <x:c r="X775" s="13" t="str">
        <x:v>grice_logic_conversation</x:v>
      </x:c>
      <x:c r="Y775" s="13" t="str">
        <x:v>https://doi.org/10.1163/9789004368811_003</x:v>
      </x:c>
      <x:c r="Z775" s="13" t="str">
        <x:v>Review before enabling. This workbook is a living taxonomy scaffold, not a validated scientific benchmark.</x:v>
      </x:c>
      <x:c r="AA775" s="13" t="str">
        <x:v>0.1.0-draft</x:v>
      </x:c>
      <x:c r="AB775" s="12" t="str">
        <x:f>IF(ISNUMBER(SEARCH("healthy",F775)),"healthy_reasoning_patterns",IF(ISNUMBER(SEARCH("statistical",F775)),"statistical_reasoning",IF(ISNUMBER(SEARCH("causal",F775)),"causal_reasoning",IF(ISNUMBER(SEARCH("social",F775)),"social_influence",IF(ISNUMBER(SEARCH("rhetoric",F775)),"rhetoric_discourse",IF(ISNUMBER(SEARCH("behavior",F775)),"behavioural_economics",IF(ISNUMBER(SEARCH("cognitive",F775)),"cognitive_biases",IF(J775="protective_pattern","healthy_reasoning_patterns",IF(L775="P0","core_mvp","extended_fallacies")))))))))</x:f>
        <x:v>rhetoric_discourse</x:v>
      </x:c>
      <x:c r="AC775" s="12" t="str">
        <x:f>IF(ISNUMBER(SEARCH("operational",J775)),"operational",IF(ISNUMBER(SEARCH("deprecated",J775)),"deprecated",IF(L775="P0","canonical","recognized_subtype")))</x:f>
        <x:v>operational</x:v>
      </x:c>
      <x:c r="AD775" s="12" t="str">
        <x:f>IF(AC775="canonical","high",IF(AC775="recognized_subtype","medium",IF(AC775="operational","operational_only","debated")))</x:f>
        <x:v>operational_only</x:v>
      </x:c>
      <x:c r="AE775" s="12" t="str">
        <x:f>IF(AC775="deprecated","deprecated",IF(M775="yes","active",IF(M775="review","review_required","backlog")))</x:f>
        <x:v>backlog</x:v>
      </x:c>
      <x:c r="AF775" s="12" t="str">
        <x:f>IF(OR(AE775="active",AE775="review_required"),"yes","no")</x:f>
        <x:v>no</x:v>
      </x:c>
      <x:c r="AG775" s="12" t="str">
        <x:f>IF(AND(AE775="active",M775="yes",NOT(ISNUMBER(SEARCH("healthy",AB775)))),"yes","no")</x:f>
        <x:v>no</x:v>
      </x:c>
      <x:c r="AH775" s="12" t="str">
        <x:f>IF(OR(H775="contextual",H775="dialogue",H775="discourse",I775="claim+context",I775="discourse_segment"),"yes","no")</x:f>
        <x:v>no</x:v>
      </x:c>
      <x:c r="AI775" s="12" t="str">
        <x:f>IF(OR(AH775="yes",AD775="debated",AC775="operational"),"yes","no")</x:f>
        <x:v>yes</x:v>
      </x:c>
      <x:c r="AJ775" s="12" t="str">
        <x:f>IF(OR(AH775="yes",AC775="operational",AD775="debated"),"high",IF(AND(AG775="yes",L775="P0"),"medium","low"))</x:f>
        <x:v>high</x:v>
      </x:c>
      <x:c r="AK775" s="12" t="str">
        <x:f>IF(ISNUMBER(SEARCH("healthy",AB775)),"yes","no")</x:f>
        <x:v>no</x:v>
      </x:c>
      <x:c r="AL775" s="12" t="str">
        <x:f>IF(AG775="yes","yes","candidate_only")</x:f>
        <x:v>candidate_only</x:v>
      </x:c>
      <x:c r="AM775" s="12" t="str">
        <x:f>IF(OR(AC775="canonical",AG775="yes"),"yes","recommended")</x:f>
        <x:v>recommended</x:v>
      </x:c>
      <x:c r="AN775" s="12" t="str">
        <x:f>IF(AC775="deprecated","exclude",IF(AND(AG775="yes",AJ775="high"),"import_but_human_review_required",IF(AG775="yes","import_as_active","import_as_backlog")))</x:f>
        <x:v>import_as_backlog</x:v>
      </x:c>
      <x:c r="AO775" s="12" t="str">
        <x:f>IF(AND(AG775="yes",OR(P775="",Q775="",R775="",S775="")),"missing_required_mvp_fields",IF(AND(AC775="canonical",Y775=""),"missing_source_ref","ok"))</x:f>
        <x:v>ok</x:v>
      </x:c>
      <x:c r="AP775" s="12" t="str">
        <x:f>IF(AO775="ok","ready_for_codex_import","needs_review")</x:f>
        <x:v>ready_for_codex_import</x:v>
      </x:c>
      <x:c r="AQ775" s="12"/>
      <x:c r="AR775" s="12" t="str">
        <x:v>Added v2 operational fields. Review before classification activation.</x:v>
      </x:c>
    </x:row>
    <x:row r="776">
      <x:c r="A776" s="13" t="str">
        <x:v>vague_quantifier_emotional_language_variant</x:v>
      </x:c>
      <x:c r="B776" s="13" t="str">
        <x:v>vague_quantifier</x:v>
      </x:c>
      <x:c r="C776" s="13" t="str">
        <x:v>Vague quantifier</x:v>
      </x:c>
      <x:c r="D776" s="13" t="str">
        <x:v>کمیت‌نمای مبهم</x:v>
      </x:c>
      <x:c r="E776" s="13" t="str">
        <x:v>Emotional-language variant</x:v>
      </x:c>
      <x:c r="F776" s="13" t="str">
        <x:v>rhetorical_manipulation_patterns</x:v>
      </x:c>
      <x:c r="G776" s="13" t="str">
        <x:v>operational_variant</x:v>
      </x:c>
      <x:c r="H776" s="13" t="str">
        <x:v>lexical</x:v>
      </x:c>
      <x:c r="I776" s="13" t="str">
        <x:v>claim</x:v>
      </x:c>
      <x:c r="J776" s="13" t="str">
        <x:v>derived_operational_subtype</x:v>
      </x:c>
      <x:c r="K776" s="13" t="str">
        <x:v>derived_from_established_parent_review_required</x:v>
      </x:c>
      <x:c r="L776" s="13" t="str">
        <x:v>P2</x:v>
      </x:c>
      <x:c r="M776" s="13" t="str">
        <x:v>no</x:v>
      </x:c>
      <x:c r="N776" s="13" t="str">
        <x:v>Operational subtype under Vague quantifier: emotion-laden wording carries argumentative weight. Parent definition: Using terms like many, experts, or people say without specification.</x:v>
      </x:c>
      <x:c r="O776" s="13" t="str">
        <x:v>Look for: explicit claim-level evidence; parent-family cues for Vague quantifier; variant cue: emotion-laden wording carries argumentative weight; avoid author-level inference.</x:v>
      </x:c>
      <x:c r="P776" s="13" t="str">
        <x:v>Exact evidence span in text plus claim-level reasoning link; for contextual/discourse entries, require surrounding context.</x:v>
      </x:c>
      <x:c r="Q776" s="13" t="str">
        <x:v>Do not label merely because topic is controversial, emotional, or wrong. Do not judge intent or personality. Require textual evidence and consider healthy-reasoning cues.</x:v>
      </x:c>
      <x:c r="R776" s="13" t="str">
        <x:v>Stub: A claim relies on emotion-laden wording carries argumentative weight to support a conclusion without adequate qualification.</x:v>
      </x:c>
      <x:c r="S776" s="13" t="str">
        <x:v>Stub: A claim discusses vague quantifier with caveats, balanced evidence, or no argumentative use of the pattern.</x:v>
      </x:c>
      <x:c r="T776" s="13" t="str">
        <x:v>Mild or ambiguous cue; do not classify without clear evidence span.</x:v>
      </x:c>
      <x:c r="U776" s="13" t="str">
        <x:v>Clear claim-level pattern with some argumentative impact.</x:v>
      </x:c>
      <x:c r="V776" s="13" t="str">
        <x:v>Strong pattern central to the conclusion and likely to materially distort reasoning.</x:v>
      </x:c>
      <x:c r="W776" s="13" t="str"/>
      <x:c r="X776" s="13" t="str">
        <x:v>grice_logic_conversation</x:v>
      </x:c>
      <x:c r="Y776" s="13" t="str">
        <x:v>https://doi.org/10.1163/9789004368811_003</x:v>
      </x:c>
      <x:c r="Z776" s="13" t="str">
        <x:v>Review before enabling. This workbook is a living taxonomy scaffold, not a validated scientific benchmark.</x:v>
      </x:c>
      <x:c r="AA776" s="13" t="str">
        <x:v>0.1.0-draft</x:v>
      </x:c>
      <x:c r="AB776" s="12" t="str">
        <x:f>IF(ISNUMBER(SEARCH("healthy",F776)),"healthy_reasoning_patterns",IF(ISNUMBER(SEARCH("statistical",F776)),"statistical_reasoning",IF(ISNUMBER(SEARCH("causal",F776)),"causal_reasoning",IF(ISNUMBER(SEARCH("social",F776)),"social_influence",IF(ISNUMBER(SEARCH("rhetoric",F776)),"rhetoric_discourse",IF(ISNUMBER(SEARCH("behavior",F776)),"behavioural_economics",IF(ISNUMBER(SEARCH("cognitive",F776)),"cognitive_biases",IF(J776="protective_pattern","healthy_reasoning_patterns",IF(L776="P0","core_mvp","extended_fallacies")))))))))</x:f>
        <x:v>rhetoric_discourse</x:v>
      </x:c>
      <x:c r="AC776" s="12" t="str">
        <x:f>IF(ISNUMBER(SEARCH("operational",J776)),"operational",IF(ISNUMBER(SEARCH("deprecated",J776)),"deprecated",IF(L776="P0","canonical","recognized_subtype")))</x:f>
        <x:v>operational</x:v>
      </x:c>
      <x:c r="AD776" s="12" t="str">
        <x:f>IF(AC776="canonical","high",IF(AC776="recognized_subtype","medium",IF(AC776="operational","operational_only","debated")))</x:f>
        <x:v>operational_only</x:v>
      </x:c>
      <x:c r="AE776" s="12" t="str">
        <x:f>IF(AC776="deprecated","deprecated",IF(M776="yes","active",IF(M776="review","review_required","backlog")))</x:f>
        <x:v>backlog</x:v>
      </x:c>
      <x:c r="AF776" s="12" t="str">
        <x:f>IF(OR(AE776="active",AE776="review_required"),"yes","no")</x:f>
        <x:v>no</x:v>
      </x:c>
      <x:c r="AG776" s="12" t="str">
        <x:f>IF(AND(AE776="active",M776="yes",NOT(ISNUMBER(SEARCH("healthy",AB776)))),"yes","no")</x:f>
        <x:v>no</x:v>
      </x:c>
      <x:c r="AH776" s="12" t="str">
        <x:f>IF(OR(H776="contextual",H776="dialogue",H776="discourse",I776="claim+context",I776="discourse_segment"),"yes","no")</x:f>
        <x:v>no</x:v>
      </x:c>
      <x:c r="AI776" s="12" t="str">
        <x:f>IF(OR(AH776="yes",AD776="debated",AC776="operational"),"yes","no")</x:f>
        <x:v>yes</x:v>
      </x:c>
      <x:c r="AJ776" s="12" t="str">
        <x:f>IF(OR(AH776="yes",AC776="operational",AD776="debated"),"high",IF(AND(AG776="yes",L776="P0"),"medium","low"))</x:f>
        <x:v>high</x:v>
      </x:c>
      <x:c r="AK776" s="12" t="str">
        <x:f>IF(ISNUMBER(SEARCH("healthy",AB776)),"yes","no")</x:f>
        <x:v>no</x:v>
      </x:c>
      <x:c r="AL776" s="12" t="str">
        <x:f>IF(AG776="yes","yes","candidate_only")</x:f>
        <x:v>candidate_only</x:v>
      </x:c>
      <x:c r="AM776" s="12" t="str">
        <x:f>IF(OR(AC776="canonical",AG776="yes"),"yes","recommended")</x:f>
        <x:v>recommended</x:v>
      </x:c>
      <x:c r="AN776" s="12" t="str">
        <x:f>IF(AC776="deprecated","exclude",IF(AND(AG776="yes",AJ776="high"),"import_but_human_review_required",IF(AG776="yes","import_as_active","import_as_backlog")))</x:f>
        <x:v>import_as_backlog</x:v>
      </x:c>
      <x:c r="AO776" s="12" t="str">
        <x:f>IF(AND(AG776="yes",OR(P776="",Q776="",R776="",S776="")),"missing_required_mvp_fields",IF(AND(AC776="canonical",Y776=""),"missing_source_ref","ok"))</x:f>
        <x:v>ok</x:v>
      </x:c>
      <x:c r="AP776" s="12" t="str">
        <x:f>IF(AO776="ok","ready_for_codex_import","needs_review")</x:f>
        <x:v>ready_for_codex_import</x:v>
      </x:c>
      <x:c r="AQ776" s="12"/>
      <x:c r="AR776" s="12" t="str">
        <x:v>Added v2 operational fields. Review before classification activation.</x:v>
      </x:c>
    </x:row>
    <x:row r="777">
      <x:c r="A777" s="13" t="str">
        <x:v>glittering_generalities_emotional_language_variant</x:v>
      </x:c>
      <x:c r="B777" s="13" t="str">
        <x:v>glittering_generalities</x:v>
      </x:c>
      <x:c r="C777" s="13" t="str">
        <x:v>Glittering generalities</x:v>
      </x:c>
      <x:c r="D777" s="13" t="str">
        <x:v>کلی‌گویی درخشان</x:v>
      </x:c>
      <x:c r="E777" s="13" t="str">
        <x:v>Emotional-language variant</x:v>
      </x:c>
      <x:c r="F777" s="13" t="str">
        <x:v>rhetorical_manipulation_patterns</x:v>
      </x:c>
      <x:c r="G777" s="13" t="str">
        <x:v>operational_variant</x:v>
      </x:c>
      <x:c r="H777" s="13" t="str">
        <x:v>lexical</x:v>
      </x:c>
      <x:c r="I777" s="13" t="str">
        <x:v>claim</x:v>
      </x:c>
      <x:c r="J777" s="13" t="str">
        <x:v>derived_operational_subtype</x:v>
      </x:c>
      <x:c r="K777" s="13" t="str">
        <x:v>derived_from_established_parent_review_required</x:v>
      </x:c>
      <x:c r="L777" s="13" t="str">
        <x:v>P2</x:v>
      </x:c>
      <x:c r="M777" s="13" t="str">
        <x:v>no</x:v>
      </x:c>
      <x:c r="N777" s="13" t="str">
        <x:v>Operational subtype under Glittering generalities: emotion-laden wording carries argumentative weight. Parent definition: Using attractive but vague terms as persuasion instead of reasons.</x:v>
      </x:c>
      <x:c r="O777" s="13" t="str">
        <x:v>Look for: explicit claim-level evidence; parent-family cues for Glittering generalities; variant cue: emotion-laden wording carries argumentative weight; avoid author-level inference.</x:v>
      </x:c>
      <x:c r="P777" s="13" t="str">
        <x:v>Exact evidence span in text plus claim-level reasoning link; for contextual/discourse entries, require surrounding context.</x:v>
      </x:c>
      <x:c r="Q777" s="13" t="str">
        <x:v>Do not label merely because topic is controversial, emotional, or wrong. Do not judge intent or personality. Require textual evidence and consider healthy-reasoning cues.</x:v>
      </x:c>
      <x:c r="R777" s="13" t="str">
        <x:v>Stub: A claim relies on emotion-laden wording carries argumentative weight to support a conclusion without adequate qualification.</x:v>
      </x:c>
      <x:c r="S777" s="13" t="str">
        <x:v>Stub: A claim discusses glittering generalities with caveats, balanced evidence, or no argumentative use of the pattern.</x:v>
      </x:c>
      <x:c r="T777" s="13" t="str">
        <x:v>Mild or ambiguous cue; do not classify without clear evidence span.</x:v>
      </x:c>
      <x:c r="U777" s="13" t="str">
        <x:v>Clear claim-level pattern with some argumentative impact.</x:v>
      </x:c>
      <x:c r="V777" s="13" t="str">
        <x:v>Strong pattern central to the conclusion and likely to materially distort reasoning.</x:v>
      </x:c>
      <x:c r="W777" s="13" t="str"/>
      <x:c r="X777" s="13" t="str">
        <x:v>grice_logic_conversation</x:v>
      </x:c>
      <x:c r="Y777" s="13" t="str">
        <x:v>https://doi.org/10.1163/9789004368811_003</x:v>
      </x:c>
      <x:c r="Z777" s="13" t="str">
        <x:v>Review before enabling. This workbook is a living taxonomy scaffold, not a validated scientific benchmark.</x:v>
      </x:c>
      <x:c r="AA777" s="13" t="str">
        <x:v>0.1.0-draft</x:v>
      </x:c>
      <x:c r="AB777" s="12" t="str">
        <x:f>IF(ISNUMBER(SEARCH("healthy",F777)),"healthy_reasoning_patterns",IF(ISNUMBER(SEARCH("statistical",F777)),"statistical_reasoning",IF(ISNUMBER(SEARCH("causal",F777)),"causal_reasoning",IF(ISNUMBER(SEARCH("social",F777)),"social_influence",IF(ISNUMBER(SEARCH("rhetoric",F777)),"rhetoric_discourse",IF(ISNUMBER(SEARCH("behavior",F777)),"behavioural_economics",IF(ISNUMBER(SEARCH("cognitive",F777)),"cognitive_biases",IF(J777="protective_pattern","healthy_reasoning_patterns",IF(L777="P0","core_mvp","extended_fallacies")))))))))</x:f>
        <x:v>rhetoric_discourse</x:v>
      </x:c>
      <x:c r="AC777" s="12" t="str">
        <x:f>IF(ISNUMBER(SEARCH("operational",J777)),"operational",IF(ISNUMBER(SEARCH("deprecated",J777)),"deprecated",IF(L777="P0","canonical","recognized_subtype")))</x:f>
        <x:v>operational</x:v>
      </x:c>
      <x:c r="AD777" s="12" t="str">
        <x:f>IF(AC777="canonical","high",IF(AC777="recognized_subtype","medium",IF(AC777="operational","operational_only","debated")))</x:f>
        <x:v>operational_only</x:v>
      </x:c>
      <x:c r="AE777" s="12" t="str">
        <x:f>IF(AC777="deprecated","deprecated",IF(M777="yes","active",IF(M777="review","review_required","backlog")))</x:f>
        <x:v>backlog</x:v>
      </x:c>
      <x:c r="AF777" s="12" t="str">
        <x:f>IF(OR(AE777="active",AE777="review_required"),"yes","no")</x:f>
        <x:v>no</x:v>
      </x:c>
      <x:c r="AG777" s="12" t="str">
        <x:f>IF(AND(AE777="active",M777="yes",NOT(ISNUMBER(SEARCH("healthy",AB777)))),"yes","no")</x:f>
        <x:v>no</x:v>
      </x:c>
      <x:c r="AH777" s="12" t="str">
        <x:f>IF(OR(H777="contextual",H777="dialogue",H777="discourse",I777="claim+context",I777="discourse_segment"),"yes","no")</x:f>
        <x:v>no</x:v>
      </x:c>
      <x:c r="AI777" s="12" t="str">
        <x:f>IF(OR(AH777="yes",AD777="debated",AC777="operational"),"yes","no")</x:f>
        <x:v>yes</x:v>
      </x:c>
      <x:c r="AJ777" s="12" t="str">
        <x:f>IF(OR(AH777="yes",AC777="operational",AD777="debated"),"high",IF(AND(AG777="yes",L777="P0"),"medium","low"))</x:f>
        <x:v>high</x:v>
      </x:c>
      <x:c r="AK777" s="12" t="str">
        <x:f>IF(ISNUMBER(SEARCH("healthy",AB777)),"yes","no")</x:f>
        <x:v>no</x:v>
      </x:c>
      <x:c r="AL777" s="12" t="str">
        <x:f>IF(AG777="yes","yes","candidate_only")</x:f>
        <x:v>candidate_only</x:v>
      </x:c>
      <x:c r="AM777" s="12" t="str">
        <x:f>IF(OR(AC777="canonical",AG777="yes"),"yes","recommended")</x:f>
        <x:v>recommended</x:v>
      </x:c>
      <x:c r="AN777" s="12" t="str">
        <x:f>IF(AC777="deprecated","exclude",IF(AND(AG777="yes",AJ777="high"),"import_but_human_review_required",IF(AG777="yes","import_as_active","import_as_backlog")))</x:f>
        <x:v>import_as_backlog</x:v>
      </x:c>
      <x:c r="AO777" s="12" t="str">
        <x:f>IF(AND(AG777="yes",OR(P777="",Q777="",R777="",S777="")),"missing_required_mvp_fields",IF(AND(AC777="canonical",Y777=""),"missing_source_ref","ok"))</x:f>
        <x:v>ok</x:v>
      </x:c>
      <x:c r="AP777" s="12" t="str">
        <x:f>IF(AO777="ok","ready_for_codex_import","needs_review")</x:f>
        <x:v>ready_for_codex_import</x:v>
      </x:c>
      <x:c r="AQ777" s="12"/>
      <x:c r="AR777" s="12" t="str">
        <x:v>Added v2 operational fields. Review before classification activation.</x:v>
      </x:c>
    </x:row>
    <x:row r="778">
      <x:c r="A778" s="13" t="str">
        <x:v>name_calling_emotional_language_variant</x:v>
      </x:c>
      <x:c r="B778" s="13" t="str">
        <x:v>name_calling</x:v>
      </x:c>
      <x:c r="C778" s="13" t="str">
        <x:v>Name calling</x:v>
      </x:c>
      <x:c r="D778" s="13" t="str">
        <x:v>برچسب‌زنی تحقیرآمیز</x:v>
      </x:c>
      <x:c r="E778" s="13" t="str">
        <x:v>Emotional-language variant</x:v>
      </x:c>
      <x:c r="F778" s="13" t="str">
        <x:v>rhetorical_manipulation_patterns</x:v>
      </x:c>
      <x:c r="G778" s="13" t="str">
        <x:v>operational_variant</x:v>
      </x:c>
      <x:c r="H778" s="13" t="str">
        <x:v>lexical</x:v>
      </x:c>
      <x:c r="I778" s="13" t="str">
        <x:v>claim</x:v>
      </x:c>
      <x:c r="J778" s="13" t="str">
        <x:v>derived_operational_subtype</x:v>
      </x:c>
      <x:c r="K778" s="13" t="str">
        <x:v>derived_from_established_parent_review_required</x:v>
      </x:c>
      <x:c r="L778" s="13" t="str">
        <x:v>P2</x:v>
      </x:c>
      <x:c r="M778" s="13" t="str">
        <x:v>no</x:v>
      </x:c>
      <x:c r="N778" s="13" t="str">
        <x:v>Operational subtype under Name calling: emotion-laden wording carries argumentative weight. Parent definition: Using negative labels as substitutes for argument.</x:v>
      </x:c>
      <x:c r="O778" s="13" t="str">
        <x:v>Look for: explicit claim-level evidence; parent-family cues for Name calling; variant cue: emotion-laden wording carries argumentative weight; avoid author-level inference.</x:v>
      </x:c>
      <x:c r="P778" s="13" t="str">
        <x:v>Exact evidence span in text plus claim-level reasoning link; for contextual/discourse entries, require surrounding context.</x:v>
      </x:c>
      <x:c r="Q778" s="13" t="str">
        <x:v>Do not label merely because topic is controversial, emotional, or wrong. Do not judge intent or personality. Require textual evidence and consider healthy-reasoning cues.</x:v>
      </x:c>
      <x:c r="R778" s="13" t="str">
        <x:v>Stub: A claim relies on emotion-laden wording carries argumentative weight to support a conclusion without adequate qualification.</x:v>
      </x:c>
      <x:c r="S778" s="13" t="str">
        <x:v>Stub: A claim discusses name calling with caveats, balanced evidence, or no argumentative use of the pattern.</x:v>
      </x:c>
      <x:c r="T778" s="13" t="str">
        <x:v>Mild or ambiguous cue; do not classify without clear evidence span.</x:v>
      </x:c>
      <x:c r="U778" s="13" t="str">
        <x:v>Clear claim-level pattern with some argumentative impact.</x:v>
      </x:c>
      <x:c r="V778" s="13" t="str">
        <x:v>Strong pattern central to the conclusion and likely to materially distort reasoning.</x:v>
      </x:c>
      <x:c r="W778" s="13" t="str"/>
      <x:c r="X778" s="13" t="str">
        <x:v>sep_fallacies</x:v>
      </x:c>
      <x:c r="Y778" s="13" t="str">
        <x:v>https://plato.stanford.edu/entries/fallacies/</x:v>
      </x:c>
      <x:c r="Z778" s="13" t="str">
        <x:v>Review before enabling. This workbook is a living taxonomy scaffold, not a validated scientific benchmark.</x:v>
      </x:c>
      <x:c r="AA778" s="13" t="str">
        <x:v>0.1.0-draft</x:v>
      </x:c>
      <x:c r="AB778" s="12" t="str">
        <x:f>IF(ISNUMBER(SEARCH("healthy",F778)),"healthy_reasoning_patterns",IF(ISNUMBER(SEARCH("statistical",F778)),"statistical_reasoning",IF(ISNUMBER(SEARCH("causal",F778)),"causal_reasoning",IF(ISNUMBER(SEARCH("social",F778)),"social_influence",IF(ISNUMBER(SEARCH("rhetoric",F778)),"rhetoric_discourse",IF(ISNUMBER(SEARCH("behavior",F778)),"behavioural_economics",IF(ISNUMBER(SEARCH("cognitive",F778)),"cognitive_biases",IF(J778="protective_pattern","healthy_reasoning_patterns",IF(L778="P0","core_mvp","extended_fallacies")))))))))</x:f>
        <x:v>rhetoric_discourse</x:v>
      </x:c>
      <x:c r="AC778" s="12" t="str">
        <x:f>IF(ISNUMBER(SEARCH("operational",J778)),"operational",IF(ISNUMBER(SEARCH("deprecated",J778)),"deprecated",IF(L778="P0","canonical","recognized_subtype")))</x:f>
        <x:v>operational</x:v>
      </x:c>
      <x:c r="AD778" s="12" t="str">
        <x:f>IF(AC778="canonical","high",IF(AC778="recognized_subtype","medium",IF(AC778="operational","operational_only","debated")))</x:f>
        <x:v>operational_only</x:v>
      </x:c>
      <x:c r="AE778" s="12" t="str">
        <x:f>IF(AC778="deprecated","deprecated",IF(M778="yes","active",IF(M778="review","review_required","backlog")))</x:f>
        <x:v>backlog</x:v>
      </x:c>
      <x:c r="AF778" s="12" t="str">
        <x:f>IF(OR(AE778="active",AE778="review_required"),"yes","no")</x:f>
        <x:v>no</x:v>
      </x:c>
      <x:c r="AG778" s="12" t="str">
        <x:f>IF(AND(AE778="active",M778="yes",NOT(ISNUMBER(SEARCH("healthy",AB778)))),"yes","no")</x:f>
        <x:v>no</x:v>
      </x:c>
      <x:c r="AH778" s="12" t="str">
        <x:f>IF(OR(H778="contextual",H778="dialogue",H778="discourse",I778="claim+context",I778="discourse_segment"),"yes","no")</x:f>
        <x:v>no</x:v>
      </x:c>
      <x:c r="AI778" s="12" t="str">
        <x:f>IF(OR(AH778="yes",AD778="debated",AC778="operational"),"yes","no")</x:f>
        <x:v>yes</x:v>
      </x:c>
      <x:c r="AJ778" s="12" t="str">
        <x:f>IF(OR(AH778="yes",AC778="operational",AD778="debated"),"high",IF(AND(AG778="yes",L778="P0"),"medium","low"))</x:f>
        <x:v>high</x:v>
      </x:c>
      <x:c r="AK778" s="12" t="str">
        <x:f>IF(ISNUMBER(SEARCH("healthy",AB778)),"yes","no")</x:f>
        <x:v>no</x:v>
      </x:c>
      <x:c r="AL778" s="12" t="str">
        <x:f>IF(AG778="yes","yes","candidate_only")</x:f>
        <x:v>candidate_only</x:v>
      </x:c>
      <x:c r="AM778" s="12" t="str">
        <x:f>IF(OR(AC778="canonical",AG778="yes"),"yes","recommended")</x:f>
        <x:v>recommended</x:v>
      </x:c>
      <x:c r="AN778" s="12" t="str">
        <x:f>IF(AC778="deprecated","exclude",IF(AND(AG778="yes",AJ778="high"),"import_but_human_review_required",IF(AG778="yes","import_as_active","import_as_backlog")))</x:f>
        <x:v>import_as_backlog</x:v>
      </x:c>
      <x:c r="AO778" s="12" t="str">
        <x:f>IF(AND(AG778="yes",OR(P778="",Q778="",R778="",S778="")),"missing_required_mvp_fields",IF(AND(AC778="canonical",Y778=""),"missing_source_ref","ok"))</x:f>
        <x:v>ok</x:v>
      </x:c>
      <x:c r="AP778" s="12" t="str">
        <x:f>IF(AO778="ok","ready_for_codex_import","needs_review")</x:f>
        <x:v>ready_for_codex_import</x:v>
      </x:c>
      <x:c r="AQ778" s="12"/>
      <x:c r="AR778" s="12" t="str">
        <x:v>Added v2 operational fields. Review before classification activation.</x:v>
      </x:c>
    </x:row>
    <x:row r="779">
      <x:c r="A779" s="13" t="str">
        <x:v>euphemism_framing_emotional_language_variant</x:v>
      </x:c>
      <x:c r="B779" s="13" t="str">
        <x:v>euphemism_framing</x:v>
      </x:c>
      <x:c r="C779" s="13" t="str">
        <x:v>Euphemism framing</x:v>
      </x:c>
      <x:c r="D779" s="13" t="str">
        <x:v>قاب‌بندی تلطیفی</x:v>
      </x:c>
      <x:c r="E779" s="13" t="str">
        <x:v>Emotional-language variant</x:v>
      </x:c>
      <x:c r="F779" s="13" t="str">
        <x:v>rhetorical_manipulation_patterns</x:v>
      </x:c>
      <x:c r="G779" s="13" t="str">
        <x:v>operational_variant</x:v>
      </x:c>
      <x:c r="H779" s="13" t="str">
        <x:v>lexical</x:v>
      </x:c>
      <x:c r="I779" s="13" t="str">
        <x:v>claim</x:v>
      </x:c>
      <x:c r="J779" s="13" t="str">
        <x:v>derived_operational_subtype</x:v>
      </x:c>
      <x:c r="K779" s="13" t="str">
        <x:v>derived_from_established_parent_review_required</x:v>
      </x:c>
      <x:c r="L779" s="13" t="str">
        <x:v>P2</x:v>
      </x:c>
      <x:c r="M779" s="13" t="str">
        <x:v>no</x:v>
      </x:c>
      <x:c r="N779" s="13" t="str">
        <x:v>Operational subtype under Euphemism framing: emotion-laden wording carries argumentative weight. Parent definition: Softening language to reduce perceived seriousness.</x:v>
      </x:c>
      <x:c r="O779" s="13" t="str">
        <x:v>Look for: explicit claim-level evidence; parent-family cues for Euphemism framing; variant cue: emotion-laden wording carries argumentative weight; avoid author-level inference.</x:v>
      </x:c>
      <x:c r="P779" s="13" t="str">
        <x:v>Exact evidence span in text plus claim-level reasoning link; for contextual/discourse entries, require surrounding context.</x:v>
      </x:c>
      <x:c r="Q779" s="13" t="str">
        <x:v>Do not label merely because topic is controversial, emotional, or wrong. Do not judge intent or personality. Require textual evidence and consider healthy-reasoning cues.</x:v>
      </x:c>
      <x:c r="R779" s="13" t="str">
        <x:v>Stub: A claim relies on emotion-laden wording carries argumentative weight to support a conclusion without adequate qualification.</x:v>
      </x:c>
      <x:c r="S779" s="13" t="str">
        <x:v>Stub: A claim discusses euphemism framing with caveats, balanced evidence, or no argumentative use of the pattern.</x:v>
      </x:c>
      <x:c r="T779" s="13" t="str">
        <x:v>Mild or ambiguous cue; do not classify without clear evidence span.</x:v>
      </x:c>
      <x:c r="U779" s="13" t="str">
        <x:v>Clear claim-level pattern with some argumentative impact.</x:v>
      </x:c>
      <x:c r="V779" s="13" t="str">
        <x:v>Strong pattern central to the conclusion and likely to materially distort reasoning.</x:v>
      </x:c>
      <x:c r="W779" s="13" t="str"/>
      <x:c r="X779" s="13" t="str">
        <x:v>grice_logic_conversation</x:v>
      </x:c>
      <x:c r="Y779" s="13" t="str">
        <x:v>https://doi.org/10.1163/9789004368811_003</x:v>
      </x:c>
      <x:c r="Z779" s="13" t="str">
        <x:v>Review before enabling. This workbook is a living taxonomy scaffold, not a validated scientific benchmark.</x:v>
      </x:c>
      <x:c r="AA779" s="13" t="str">
        <x:v>0.1.0-draft</x:v>
      </x:c>
      <x:c r="AB779" s="12" t="str">
        <x:f>IF(ISNUMBER(SEARCH("healthy",F779)),"healthy_reasoning_patterns",IF(ISNUMBER(SEARCH("statistical",F779)),"statistical_reasoning",IF(ISNUMBER(SEARCH("causal",F779)),"causal_reasoning",IF(ISNUMBER(SEARCH("social",F779)),"social_influence",IF(ISNUMBER(SEARCH("rhetoric",F779)),"rhetoric_discourse",IF(ISNUMBER(SEARCH("behavior",F779)),"behavioural_economics",IF(ISNUMBER(SEARCH("cognitive",F779)),"cognitive_biases",IF(J779="protective_pattern","healthy_reasoning_patterns",IF(L779="P0","core_mvp","extended_fallacies")))))))))</x:f>
        <x:v>rhetoric_discourse</x:v>
      </x:c>
      <x:c r="AC779" s="12" t="str">
        <x:f>IF(ISNUMBER(SEARCH("operational",J779)),"operational",IF(ISNUMBER(SEARCH("deprecated",J779)),"deprecated",IF(L779="P0","canonical","recognized_subtype")))</x:f>
        <x:v>operational</x:v>
      </x:c>
      <x:c r="AD779" s="12" t="str">
        <x:f>IF(AC779="canonical","high",IF(AC779="recognized_subtype","medium",IF(AC779="operational","operational_only","debated")))</x:f>
        <x:v>operational_only</x:v>
      </x:c>
      <x:c r="AE779" s="12" t="str">
        <x:f>IF(AC779="deprecated","deprecated",IF(M779="yes","active",IF(M779="review","review_required","backlog")))</x:f>
        <x:v>backlog</x:v>
      </x:c>
      <x:c r="AF779" s="12" t="str">
        <x:f>IF(OR(AE779="active",AE779="review_required"),"yes","no")</x:f>
        <x:v>no</x:v>
      </x:c>
      <x:c r="AG779" s="12" t="str">
        <x:f>IF(AND(AE779="active",M779="yes",NOT(ISNUMBER(SEARCH("healthy",AB779)))),"yes","no")</x:f>
        <x:v>no</x:v>
      </x:c>
      <x:c r="AH779" s="12" t="str">
        <x:f>IF(OR(H779="contextual",H779="dialogue",H779="discourse",I779="claim+context",I779="discourse_segment"),"yes","no")</x:f>
        <x:v>no</x:v>
      </x:c>
      <x:c r="AI779" s="12" t="str">
        <x:f>IF(OR(AH779="yes",AD779="debated",AC779="operational"),"yes","no")</x:f>
        <x:v>yes</x:v>
      </x:c>
      <x:c r="AJ779" s="12" t="str">
        <x:f>IF(OR(AH779="yes",AC779="operational",AD779="debated"),"high",IF(AND(AG779="yes",L779="P0"),"medium","low"))</x:f>
        <x:v>high</x:v>
      </x:c>
      <x:c r="AK779" s="12" t="str">
        <x:f>IF(ISNUMBER(SEARCH("healthy",AB779)),"yes","no")</x:f>
        <x:v>no</x:v>
      </x:c>
      <x:c r="AL779" s="12" t="str">
        <x:f>IF(AG779="yes","yes","candidate_only")</x:f>
        <x:v>candidate_only</x:v>
      </x:c>
      <x:c r="AM779" s="12" t="str">
        <x:f>IF(OR(AC779="canonical",AG779="yes"),"yes","recommended")</x:f>
        <x:v>recommended</x:v>
      </x:c>
      <x:c r="AN779" s="12" t="str">
        <x:f>IF(AC779="deprecated","exclude",IF(AND(AG779="yes",AJ779="high"),"import_but_human_review_required",IF(AG779="yes","import_as_active","import_as_backlog")))</x:f>
        <x:v>import_as_backlog</x:v>
      </x:c>
      <x:c r="AO779" s="12" t="str">
        <x:f>IF(AND(AG779="yes",OR(P779="",Q779="",R779="",S779="")),"missing_required_mvp_fields",IF(AND(AC779="canonical",Y779=""),"missing_source_ref","ok"))</x:f>
        <x:v>ok</x:v>
      </x:c>
      <x:c r="AP779" s="12" t="str">
        <x:f>IF(AO779="ok","ready_for_codex_import","needs_review")</x:f>
        <x:v>ready_for_codex_import</x:v>
      </x:c>
      <x:c r="AQ779" s="12"/>
      <x:c r="AR779" s="12" t="str">
        <x:v>Added v2 operational fields. Review before classification activation.</x:v>
      </x:c>
    </x:row>
    <x:row r="780">
      <x:c r="A780" s="13" t="str">
        <x:v>dysphemism_framing_emotional_language_variant</x:v>
      </x:c>
      <x:c r="B780" s="13" t="str">
        <x:v>dysphemism_framing</x:v>
      </x:c>
      <x:c r="C780" s="13" t="str">
        <x:v>Dysphemism framing</x:v>
      </x:c>
      <x:c r="D780" s="13" t="str">
        <x:v>قاب‌بندی تخریبی</x:v>
      </x:c>
      <x:c r="E780" s="13" t="str">
        <x:v>Emotional-language variant</x:v>
      </x:c>
      <x:c r="F780" s="13" t="str">
        <x:v>rhetorical_manipulation_patterns</x:v>
      </x:c>
      <x:c r="G780" s="13" t="str">
        <x:v>operational_variant</x:v>
      </x:c>
      <x:c r="H780" s="13" t="str">
        <x:v>lexical</x:v>
      </x:c>
      <x:c r="I780" s="13" t="str">
        <x:v>claim</x:v>
      </x:c>
      <x:c r="J780" s="13" t="str">
        <x:v>derived_operational_subtype</x:v>
      </x:c>
      <x:c r="K780" s="13" t="str">
        <x:v>derived_from_established_parent_review_required</x:v>
      </x:c>
      <x:c r="L780" s="13" t="str">
        <x:v>P2</x:v>
      </x:c>
      <x:c r="M780" s="13" t="str">
        <x:v>no</x:v>
      </x:c>
      <x:c r="N780" s="13" t="str">
        <x:v>Operational subtype under Dysphemism framing: emotion-laden wording carries argumentative weight. Parent definition: Using harsher wording to intensify perceived seriousness.</x:v>
      </x:c>
      <x:c r="O780" s="13" t="str">
        <x:v>Look for: explicit claim-level evidence; parent-family cues for Dysphemism framing; variant cue: emotion-laden wording carries argumentative weight; avoid author-level inference.</x:v>
      </x:c>
      <x:c r="P780" s="13" t="str">
        <x:v>Exact evidence span in text plus claim-level reasoning link; for contextual/discourse entries, require surrounding context.</x:v>
      </x:c>
      <x:c r="Q780" s="13" t="str">
        <x:v>Do not label merely because topic is controversial, emotional, or wrong. Do not judge intent or personality. Require textual evidence and consider healthy-reasoning cues.</x:v>
      </x:c>
      <x:c r="R780" s="13" t="str">
        <x:v>Stub: A claim relies on emotion-laden wording carries argumentative weight to support a conclusion without adequate qualification.</x:v>
      </x:c>
      <x:c r="S780" s="13" t="str">
        <x:v>Stub: A claim discusses dysphemism framing with caveats, balanced evidence, or no argumentative use of the pattern.</x:v>
      </x:c>
      <x:c r="T780" s="13" t="str">
        <x:v>Mild or ambiguous cue; do not classify without clear evidence span.</x:v>
      </x:c>
      <x:c r="U780" s="13" t="str">
        <x:v>Clear claim-level pattern with some argumentative impact.</x:v>
      </x:c>
      <x:c r="V780" s="13" t="str">
        <x:v>Strong pattern central to the conclusion and likely to materially distort reasoning.</x:v>
      </x:c>
      <x:c r="W780" s="13" t="str"/>
      <x:c r="X780" s="13" t="str">
        <x:v>grice_logic_conversation</x:v>
      </x:c>
      <x:c r="Y780" s="13" t="str">
        <x:v>https://doi.org/10.1163/9789004368811_003</x:v>
      </x:c>
      <x:c r="Z780" s="13" t="str">
        <x:v>Review before enabling. This workbook is a living taxonomy scaffold, not a validated scientific benchmark.</x:v>
      </x:c>
      <x:c r="AA780" s="13" t="str">
        <x:v>0.1.0-draft</x:v>
      </x:c>
      <x:c r="AB780" s="12" t="str">
        <x:f>IF(ISNUMBER(SEARCH("healthy",F780)),"healthy_reasoning_patterns",IF(ISNUMBER(SEARCH("statistical",F780)),"statistical_reasoning",IF(ISNUMBER(SEARCH("causal",F780)),"causal_reasoning",IF(ISNUMBER(SEARCH("social",F780)),"social_influence",IF(ISNUMBER(SEARCH("rhetoric",F780)),"rhetoric_discourse",IF(ISNUMBER(SEARCH("behavior",F780)),"behavioural_economics",IF(ISNUMBER(SEARCH("cognitive",F780)),"cognitive_biases",IF(J780="protective_pattern","healthy_reasoning_patterns",IF(L780="P0","core_mvp","extended_fallacies")))))))))</x:f>
        <x:v>rhetoric_discourse</x:v>
      </x:c>
      <x:c r="AC780" s="12" t="str">
        <x:f>IF(ISNUMBER(SEARCH("operational",J780)),"operational",IF(ISNUMBER(SEARCH("deprecated",J780)),"deprecated",IF(L780="P0","canonical","recognized_subtype")))</x:f>
        <x:v>operational</x:v>
      </x:c>
      <x:c r="AD780" s="12" t="str">
        <x:f>IF(AC780="canonical","high",IF(AC780="recognized_subtype","medium",IF(AC780="operational","operational_only","debated")))</x:f>
        <x:v>operational_only</x:v>
      </x:c>
      <x:c r="AE780" s="12" t="str">
        <x:f>IF(AC780="deprecated","deprecated",IF(M780="yes","active",IF(M780="review","review_required","backlog")))</x:f>
        <x:v>backlog</x:v>
      </x:c>
      <x:c r="AF780" s="12" t="str">
        <x:f>IF(OR(AE780="active",AE780="review_required"),"yes","no")</x:f>
        <x:v>no</x:v>
      </x:c>
      <x:c r="AG780" s="12" t="str">
        <x:f>IF(AND(AE780="active",M780="yes",NOT(ISNUMBER(SEARCH("healthy",AB780)))),"yes","no")</x:f>
        <x:v>no</x:v>
      </x:c>
      <x:c r="AH780" s="12" t="str">
        <x:f>IF(OR(H780="contextual",H780="dialogue",H780="discourse",I780="claim+context",I780="discourse_segment"),"yes","no")</x:f>
        <x:v>no</x:v>
      </x:c>
      <x:c r="AI780" s="12" t="str">
        <x:f>IF(OR(AH780="yes",AD780="debated",AC780="operational"),"yes","no")</x:f>
        <x:v>yes</x:v>
      </x:c>
      <x:c r="AJ780" s="12" t="str">
        <x:f>IF(OR(AH780="yes",AC780="operational",AD780="debated"),"high",IF(AND(AG780="yes",L780="P0"),"medium","low"))</x:f>
        <x:v>high</x:v>
      </x:c>
      <x:c r="AK780" s="12" t="str">
        <x:f>IF(ISNUMBER(SEARCH("healthy",AB780)),"yes","no")</x:f>
        <x:v>no</x:v>
      </x:c>
      <x:c r="AL780" s="12" t="str">
        <x:f>IF(AG780="yes","yes","candidate_only")</x:f>
        <x:v>candidate_only</x:v>
      </x:c>
      <x:c r="AM780" s="12" t="str">
        <x:f>IF(OR(AC780="canonical",AG780="yes"),"yes","recommended")</x:f>
        <x:v>recommended</x:v>
      </x:c>
      <x:c r="AN780" s="12" t="str">
        <x:f>IF(AC780="deprecated","exclude",IF(AND(AG780="yes",AJ780="high"),"import_but_human_review_required",IF(AG780="yes","import_as_active","import_as_backlog")))</x:f>
        <x:v>import_as_backlog</x:v>
      </x:c>
      <x:c r="AO780" s="12" t="str">
        <x:f>IF(AND(AG780="yes",OR(P780="",Q780="",R780="",S780="")),"missing_required_mvp_fields",IF(AND(AC780="canonical",Y780=""),"missing_source_ref","ok"))</x:f>
        <x:v>ok</x:v>
      </x:c>
      <x:c r="AP780" s="12" t="str">
        <x:f>IF(AO780="ok","ready_for_codex_import","needs_review")</x:f>
        <x:v>ready_for_codex_import</x:v>
      </x:c>
      <x:c r="AQ780" s="12"/>
      <x:c r="AR780" s="12" t="str">
        <x:v>Added v2 operational fields. Review before classification activation.</x:v>
      </x:c>
    </x:row>
    <x:row r="781">
      <x:c r="A781" s="13" t="str">
        <x:v>fear_mongering_emotional_language_variant</x:v>
      </x:c>
      <x:c r="B781" s="13" t="str">
        <x:v>fear_mongering</x:v>
      </x:c>
      <x:c r="C781" s="13" t="str">
        <x:v>Fear mongering</x:v>
      </x:c>
      <x:c r="D781" s="13" t="str">
        <x:v>ترس‌افکنی</x:v>
      </x:c>
      <x:c r="E781" s="13" t="str">
        <x:v>Emotional-language variant</x:v>
      </x:c>
      <x:c r="F781" s="13" t="str">
        <x:v>rhetorical_manipulation_patterns</x:v>
      </x:c>
      <x:c r="G781" s="13" t="str">
        <x:v>operational_variant</x:v>
      </x:c>
      <x:c r="H781" s="13" t="str">
        <x:v>discourse</x:v>
      </x:c>
      <x:c r="I781" s="13" t="str">
        <x:v>discourse_segment</x:v>
      </x:c>
      <x:c r="J781" s="13" t="str">
        <x:v>derived_operational_subtype</x:v>
      </x:c>
      <x:c r="K781" s="13" t="str">
        <x:v>derived_from_established_parent_review_required</x:v>
      </x:c>
      <x:c r="L781" s="13" t="str">
        <x:v>P2</x:v>
      </x:c>
      <x:c r="M781" s="13" t="str">
        <x:v>no</x:v>
      </x:c>
      <x:c r="N781" s="13" t="str">
        <x:v>Operational subtype under Fear mongering: emotion-laden wording carries argumentative weight. Parent definition: Amplifying threats to push a conclusion or choice.</x:v>
      </x:c>
      <x:c r="O781" s="13" t="str">
        <x:v>Look for: explicit claim-level evidence; parent-family cues for Fear mongering; variant cue: emotion-laden wording carries argumentative weight; avoid author-level inference.</x:v>
      </x:c>
      <x:c r="P781" s="13" t="str">
        <x:v>Exact evidence span in text plus claim-level reasoning link; for contextual/discourse entries, require surrounding context.</x:v>
      </x:c>
      <x:c r="Q781" s="13" t="str">
        <x:v>Do not label merely because topic is controversial, emotional, or wrong. Do not judge intent or personality. Require textual evidence and consider healthy-reasoning cues.</x:v>
      </x:c>
      <x:c r="R781" s="13" t="str">
        <x:v>Stub: A claim relies on emotion-laden wording carries argumentative weight to support a conclusion without adequate qualification.</x:v>
      </x:c>
      <x:c r="S781" s="13" t="str">
        <x:v>Stub: A claim discusses fear mongering with caveats, balanced evidence, or no argumentative use of the pattern.</x:v>
      </x:c>
      <x:c r="T781" s="13" t="str">
        <x:v>Mild or ambiguous cue; do not classify without clear evidence span.</x:v>
      </x:c>
      <x:c r="U781" s="13" t="str">
        <x:v>Clear claim-level pattern with some argumentative impact.</x:v>
      </x:c>
      <x:c r="V781" s="13" t="str">
        <x:v>Strong pattern central to the conclusion and likely to materially distort reasoning.</x:v>
      </x:c>
      <x:c r="W781" s="13" t="str"/>
      <x:c r="X781" s="13" t="str">
        <x:v>sep_fallacies</x:v>
      </x:c>
      <x:c r="Y781" s="13" t="str">
        <x:v>https://plato.stanford.edu/entries/fallacies/</x:v>
      </x:c>
      <x:c r="Z781" s="13" t="str">
        <x:v>Review before enabling. This workbook is a living taxonomy scaffold, not a validated scientific benchmark.</x:v>
      </x:c>
      <x:c r="AA781" s="13" t="str">
        <x:v>0.1.0-draft</x:v>
      </x:c>
      <x:c r="AB781" s="12" t="str">
        <x:f>IF(ISNUMBER(SEARCH("healthy",F781)),"healthy_reasoning_patterns",IF(ISNUMBER(SEARCH("statistical",F781)),"statistical_reasoning",IF(ISNUMBER(SEARCH("causal",F781)),"causal_reasoning",IF(ISNUMBER(SEARCH("social",F781)),"social_influence",IF(ISNUMBER(SEARCH("rhetoric",F781)),"rhetoric_discourse",IF(ISNUMBER(SEARCH("behavior",F781)),"behavioural_economics",IF(ISNUMBER(SEARCH("cognitive",F781)),"cognitive_biases",IF(J781="protective_pattern","healthy_reasoning_patterns",IF(L781="P0","core_mvp","extended_fallacies")))))))))</x:f>
        <x:v>rhetoric_discourse</x:v>
      </x:c>
      <x:c r="AC781" s="12" t="str">
        <x:f>IF(ISNUMBER(SEARCH("operational",J781)),"operational",IF(ISNUMBER(SEARCH("deprecated",J781)),"deprecated",IF(L781="P0","canonical","recognized_subtype")))</x:f>
        <x:v>operational</x:v>
      </x:c>
      <x:c r="AD781" s="12" t="str">
        <x:f>IF(AC781="canonical","high",IF(AC781="recognized_subtype","medium",IF(AC781="operational","operational_only","debated")))</x:f>
        <x:v>operational_only</x:v>
      </x:c>
      <x:c r="AE781" s="12" t="str">
        <x:f>IF(AC781="deprecated","deprecated",IF(M781="yes","active",IF(M781="review","review_required","backlog")))</x:f>
        <x:v>backlog</x:v>
      </x:c>
      <x:c r="AF781" s="12" t="str">
        <x:f>IF(OR(AE781="active",AE781="review_required"),"yes","no")</x:f>
        <x:v>no</x:v>
      </x:c>
      <x:c r="AG781" s="12" t="str">
        <x:f>IF(AND(AE781="active",M781="yes",NOT(ISNUMBER(SEARCH("healthy",AB781)))),"yes","no")</x:f>
        <x:v>no</x:v>
      </x:c>
      <x:c r="AH781" s="12" t="str">
        <x:f>IF(OR(H781="contextual",H781="dialogue",H781="discourse",I781="claim+context",I781="discourse_segment"),"yes","no")</x:f>
        <x:v>yes</x:v>
      </x:c>
      <x:c r="AI781" s="12" t="str">
        <x:f>IF(OR(AH781="yes",AD781="debated",AC781="operational"),"yes","no")</x:f>
        <x:v>yes</x:v>
      </x:c>
      <x:c r="AJ781" s="12" t="str">
        <x:f>IF(OR(AH781="yes",AC781="operational",AD781="debated"),"high",IF(AND(AG781="yes",L781="P0"),"medium","low"))</x:f>
        <x:v>high</x:v>
      </x:c>
      <x:c r="AK781" s="12" t="str">
        <x:f>IF(ISNUMBER(SEARCH("healthy",AB781)),"yes","no")</x:f>
        <x:v>no</x:v>
      </x:c>
      <x:c r="AL781" s="12" t="str">
        <x:f>IF(AG781="yes","yes","candidate_only")</x:f>
        <x:v>candidate_only</x:v>
      </x:c>
      <x:c r="AM781" s="12" t="str">
        <x:f>IF(OR(AC781="canonical",AG781="yes"),"yes","recommended")</x:f>
        <x:v>recommended</x:v>
      </x:c>
      <x:c r="AN781" s="12" t="str">
        <x:f>IF(AC781="deprecated","exclude",IF(AND(AG781="yes",AJ781="high"),"import_but_human_review_required",IF(AG781="yes","import_as_active","import_as_backlog")))</x:f>
        <x:v>import_as_backlog</x:v>
      </x:c>
      <x:c r="AO781" s="12" t="str">
        <x:f>IF(AND(AG781="yes",OR(P781="",Q781="",R781="",S781="")),"missing_required_mvp_fields",IF(AND(AC781="canonical",Y781=""),"missing_source_ref","ok"))</x:f>
        <x:v>ok</x:v>
      </x:c>
      <x:c r="AP781" s="12" t="str">
        <x:f>IF(AO781="ok","ready_for_codex_import","needs_review")</x:f>
        <x:v>ready_for_codex_import</x:v>
      </x:c>
      <x:c r="AQ781" s="12"/>
      <x:c r="AR781" s="12" t="str">
        <x:v>Added v2 operational fields. Review before classification activation.</x:v>
      </x:c>
    </x:row>
    <x:row r="782">
      <x:c r="A782" s="13" t="str">
        <x:v>urgency_pressure_emotional_language_variant</x:v>
      </x:c>
      <x:c r="B782" s="13" t="str">
        <x:v>urgency_pressure</x:v>
      </x:c>
      <x:c r="C782" s="13" t="str">
        <x:v>Urgency pressure</x:v>
      </x:c>
      <x:c r="D782" s="13" t="str">
        <x:v>فشار فوریت</x:v>
      </x:c>
      <x:c r="E782" s="13" t="str">
        <x:v>Emotional-language variant</x:v>
      </x:c>
      <x:c r="F782" s="13" t="str">
        <x:v>rhetorical_manipulation_patterns</x:v>
      </x:c>
      <x:c r="G782" s="13" t="str">
        <x:v>operational_variant</x:v>
      </x:c>
      <x:c r="H782" s="13" t="str">
        <x:v>discourse</x:v>
      </x:c>
      <x:c r="I782" s="13" t="str">
        <x:v>discourse_segment</x:v>
      </x:c>
      <x:c r="J782" s="13" t="str">
        <x:v>derived_operational_subtype</x:v>
      </x:c>
      <x:c r="K782" s="13" t="str">
        <x:v>derived_from_established_parent_review_required</x:v>
      </x:c>
      <x:c r="L782" s="13" t="str">
        <x:v>P2</x:v>
      </x:c>
      <x:c r="M782" s="13" t="str">
        <x:v>no</x:v>
      </x:c>
      <x:c r="N782" s="13" t="str">
        <x:v>Operational subtype under Urgency pressure: emotion-laden wording carries argumentative weight. Parent definition: Using artificial time pressure to suppress deliberation.</x:v>
      </x:c>
      <x:c r="O782" s="13" t="str">
        <x:v>Look for: explicit claim-level evidence; parent-family cues for Urgency pressure; variant cue: emotion-laden wording carries argumentative weight; avoid author-level inference.</x:v>
      </x:c>
      <x:c r="P782" s="13" t="str">
        <x:v>Exact evidence span in text plus claim-level reasoning link; for contextual/discourse entries, require surrounding context.</x:v>
      </x:c>
      <x:c r="Q782" s="13" t="str">
        <x:v>Do not label merely because topic is controversial, emotional, or wrong. Do not judge intent or personality. Require textual evidence and consider healthy-reasoning cues.</x:v>
      </x:c>
      <x:c r="R782" s="13" t="str">
        <x:v>Stub: A claim relies on emotion-laden wording carries argumentative weight to support a conclusion without adequate qualification.</x:v>
      </x:c>
      <x:c r="S782" s="13" t="str">
        <x:v>Stub: A claim discusses urgency pressure with caveats, balanced evidence, or no argumentative use of the pattern.</x:v>
      </x:c>
      <x:c r="T782" s="13" t="str">
        <x:v>Mild or ambiguous cue; do not classify without clear evidence span.</x:v>
      </x:c>
      <x:c r="U782" s="13" t="str">
        <x:v>Clear claim-level pattern with some argumentative impact.</x:v>
      </x:c>
      <x:c r="V782" s="13" t="str">
        <x:v>Strong pattern central to the conclusion and likely to materially distort reasoning.</x:v>
      </x:c>
      <x:c r="W782" s="13" t="str"/>
      <x:c r="X782" s="13" t="str">
        <x:v>cialdini_influence</x:v>
      </x:c>
      <x:c r="Y782" s="13" t="str">
        <x:v>https://www.pearson.com/en-us/subject-catalog/p/influence-science-and-practice/P200000003004</x:v>
      </x:c>
      <x:c r="Z782" s="13" t="str">
        <x:v>Review before enabling. This workbook is a living taxonomy scaffold, not a validated scientific benchmark.</x:v>
      </x:c>
      <x:c r="AA782" s="13" t="str">
        <x:v>0.1.0-draft</x:v>
      </x:c>
      <x:c r="AB782" s="12" t="str">
        <x:f>IF(ISNUMBER(SEARCH("healthy",F782)),"healthy_reasoning_patterns",IF(ISNUMBER(SEARCH("statistical",F782)),"statistical_reasoning",IF(ISNUMBER(SEARCH("causal",F782)),"causal_reasoning",IF(ISNUMBER(SEARCH("social",F782)),"social_influence",IF(ISNUMBER(SEARCH("rhetoric",F782)),"rhetoric_discourse",IF(ISNUMBER(SEARCH("behavior",F782)),"behavioural_economics",IF(ISNUMBER(SEARCH("cognitive",F782)),"cognitive_biases",IF(J782="protective_pattern","healthy_reasoning_patterns",IF(L782="P0","core_mvp","extended_fallacies")))))))))</x:f>
        <x:v>rhetoric_discourse</x:v>
      </x:c>
      <x:c r="AC782" s="12" t="str">
        <x:f>IF(ISNUMBER(SEARCH("operational",J782)),"operational",IF(ISNUMBER(SEARCH("deprecated",J782)),"deprecated",IF(L782="P0","canonical","recognized_subtype")))</x:f>
        <x:v>operational</x:v>
      </x:c>
      <x:c r="AD782" s="12" t="str">
        <x:f>IF(AC782="canonical","high",IF(AC782="recognized_subtype","medium",IF(AC782="operational","operational_only","debated")))</x:f>
        <x:v>operational_only</x:v>
      </x:c>
      <x:c r="AE782" s="12" t="str">
        <x:f>IF(AC782="deprecated","deprecated",IF(M782="yes","active",IF(M782="review","review_required","backlog")))</x:f>
        <x:v>backlog</x:v>
      </x:c>
      <x:c r="AF782" s="12" t="str">
        <x:f>IF(OR(AE782="active",AE782="review_required"),"yes","no")</x:f>
        <x:v>no</x:v>
      </x:c>
      <x:c r="AG782" s="12" t="str">
        <x:f>IF(AND(AE782="active",M782="yes",NOT(ISNUMBER(SEARCH("healthy",AB782)))),"yes","no")</x:f>
        <x:v>no</x:v>
      </x:c>
      <x:c r="AH782" s="12" t="str">
        <x:f>IF(OR(H782="contextual",H782="dialogue",H782="discourse",I782="claim+context",I782="discourse_segment"),"yes","no")</x:f>
        <x:v>yes</x:v>
      </x:c>
      <x:c r="AI782" s="12" t="str">
        <x:f>IF(OR(AH782="yes",AD782="debated",AC782="operational"),"yes","no")</x:f>
        <x:v>yes</x:v>
      </x:c>
      <x:c r="AJ782" s="12" t="str">
        <x:f>IF(OR(AH782="yes",AC782="operational",AD782="debated"),"high",IF(AND(AG782="yes",L782="P0"),"medium","low"))</x:f>
        <x:v>high</x:v>
      </x:c>
      <x:c r="AK782" s="12" t="str">
        <x:f>IF(ISNUMBER(SEARCH("healthy",AB782)),"yes","no")</x:f>
        <x:v>no</x:v>
      </x:c>
      <x:c r="AL782" s="12" t="str">
        <x:f>IF(AG782="yes","yes","candidate_only")</x:f>
        <x:v>candidate_only</x:v>
      </x:c>
      <x:c r="AM782" s="12" t="str">
        <x:f>IF(OR(AC782="canonical",AG782="yes"),"yes","recommended")</x:f>
        <x:v>recommended</x:v>
      </x:c>
      <x:c r="AN782" s="12" t="str">
        <x:f>IF(AC782="deprecated","exclude",IF(AND(AG782="yes",AJ782="high"),"import_but_human_review_required",IF(AG782="yes","import_as_active","import_as_backlog")))</x:f>
        <x:v>import_as_backlog</x:v>
      </x:c>
      <x:c r="AO782" s="12" t="str">
        <x:f>IF(AND(AG782="yes",OR(P782="",Q782="",R782="",S782="")),"missing_required_mvp_fields",IF(AND(AC782="canonical",Y782=""),"missing_source_ref","ok"))</x:f>
        <x:v>ok</x:v>
      </x:c>
      <x:c r="AP782" s="12" t="str">
        <x:f>IF(AO782="ok","ready_for_codex_import","needs_review")</x:f>
        <x:v>ready_for_codex_import</x:v>
      </x:c>
      <x:c r="AQ782" s="12"/>
      <x:c r="AR782" s="12" t="str">
        <x:v>Added v2 operational fields. Review before classification activation.</x:v>
      </x:c>
    </x:row>
    <x:row r="783">
      <x:c r="A783" s="13" t="str">
        <x:v>scarcity_pressure_emotional_language_variant</x:v>
      </x:c>
      <x:c r="B783" s="13" t="str">
        <x:v>scarcity_pressure</x:v>
      </x:c>
      <x:c r="C783" s="13" t="str">
        <x:v>Scarcity pressure</x:v>
      </x:c>
      <x:c r="D783" s="13" t="str">
        <x:v>فشار کمیابی</x:v>
      </x:c>
      <x:c r="E783" s="13" t="str">
        <x:v>Emotional-language variant</x:v>
      </x:c>
      <x:c r="F783" s="13" t="str">
        <x:v>rhetorical_manipulation_patterns</x:v>
      </x:c>
      <x:c r="G783" s="13" t="str">
        <x:v>operational_variant</x:v>
      </x:c>
      <x:c r="H783" s="13" t="str">
        <x:v>discourse</x:v>
      </x:c>
      <x:c r="I783" s="13" t="str">
        <x:v>discourse_segment</x:v>
      </x:c>
      <x:c r="J783" s="13" t="str">
        <x:v>derived_operational_subtype</x:v>
      </x:c>
      <x:c r="K783" s="13" t="str">
        <x:v>derived_from_established_parent_review_required</x:v>
      </x:c>
      <x:c r="L783" s="13" t="str">
        <x:v>P2</x:v>
      </x:c>
      <x:c r="M783" s="13" t="str">
        <x:v>no</x:v>
      </x:c>
      <x:c r="N783" s="13" t="str">
        <x:v>Operational subtype under Scarcity pressure: emotion-laden wording carries argumentative weight. Parent definition: Using scarcity language to increase compliance.</x:v>
      </x:c>
      <x:c r="O783" s="13" t="str">
        <x:v>Look for: explicit claim-level evidence; parent-family cues for Scarcity pressure; variant cue: emotion-laden wording carries argumentative weight; avoid author-level inference.</x:v>
      </x:c>
      <x:c r="P783" s="13" t="str">
        <x:v>Exact evidence span in text plus claim-level reasoning link; for contextual/discourse entries, require surrounding context.</x:v>
      </x:c>
      <x:c r="Q783" s="13" t="str">
        <x:v>Do not label merely because topic is controversial, emotional, or wrong. Do not judge intent or personality. Require textual evidence and consider healthy-reasoning cues.</x:v>
      </x:c>
      <x:c r="R783" s="13" t="str">
        <x:v>Stub: A claim relies on emotion-laden wording carries argumentative weight to support a conclusion without adequate qualification.</x:v>
      </x:c>
      <x:c r="S783" s="13" t="str">
        <x:v>Stub: A claim discusses scarcity pressure with caveats, balanced evidence, or no argumentative use of the pattern.</x:v>
      </x:c>
      <x:c r="T783" s="13" t="str">
        <x:v>Mild or ambiguous cue; do not classify without clear evidence span.</x:v>
      </x:c>
      <x:c r="U783" s="13" t="str">
        <x:v>Clear claim-level pattern with some argumentative impact.</x:v>
      </x:c>
      <x:c r="V783" s="13" t="str">
        <x:v>Strong pattern central to the conclusion and likely to materially distort reasoning.</x:v>
      </x:c>
      <x:c r="W783" s="13" t="str"/>
      <x:c r="X783" s="13" t="str">
        <x:v>cialdini_influence</x:v>
      </x:c>
      <x:c r="Y783" s="13" t="str">
        <x:v>https://www.pearson.com/en-us/subject-catalog/p/influence-science-and-practice/P200000003004</x:v>
      </x:c>
      <x:c r="Z783" s="13" t="str">
        <x:v>Review before enabling. This workbook is a living taxonomy scaffold, not a validated scientific benchmark.</x:v>
      </x:c>
      <x:c r="AA783" s="13" t="str">
        <x:v>0.1.0-draft</x:v>
      </x:c>
      <x:c r="AB783" s="12" t="str">
        <x:f>IF(ISNUMBER(SEARCH("healthy",F783)),"healthy_reasoning_patterns",IF(ISNUMBER(SEARCH("statistical",F783)),"statistical_reasoning",IF(ISNUMBER(SEARCH("causal",F783)),"causal_reasoning",IF(ISNUMBER(SEARCH("social",F783)),"social_influence",IF(ISNUMBER(SEARCH("rhetoric",F783)),"rhetoric_discourse",IF(ISNUMBER(SEARCH("behavior",F783)),"behavioural_economics",IF(ISNUMBER(SEARCH("cognitive",F783)),"cognitive_biases",IF(J783="protective_pattern","healthy_reasoning_patterns",IF(L783="P0","core_mvp","extended_fallacies")))))))))</x:f>
        <x:v>rhetoric_discourse</x:v>
      </x:c>
      <x:c r="AC783" s="12" t="str">
        <x:f>IF(ISNUMBER(SEARCH("operational",J783)),"operational",IF(ISNUMBER(SEARCH("deprecated",J783)),"deprecated",IF(L783="P0","canonical","recognized_subtype")))</x:f>
        <x:v>operational</x:v>
      </x:c>
      <x:c r="AD783" s="12" t="str">
        <x:f>IF(AC783="canonical","high",IF(AC783="recognized_subtype","medium",IF(AC783="operational","operational_only","debated")))</x:f>
        <x:v>operational_only</x:v>
      </x:c>
      <x:c r="AE783" s="12" t="str">
        <x:f>IF(AC783="deprecated","deprecated",IF(M783="yes","active",IF(M783="review","review_required","backlog")))</x:f>
        <x:v>backlog</x:v>
      </x:c>
      <x:c r="AF783" s="12" t="str">
        <x:f>IF(OR(AE783="active",AE783="review_required"),"yes","no")</x:f>
        <x:v>no</x:v>
      </x:c>
      <x:c r="AG783" s="12" t="str">
        <x:f>IF(AND(AE783="active",M783="yes",NOT(ISNUMBER(SEARCH("healthy",AB783)))),"yes","no")</x:f>
        <x:v>no</x:v>
      </x:c>
      <x:c r="AH783" s="12" t="str">
        <x:f>IF(OR(H783="contextual",H783="dialogue",H783="discourse",I783="claim+context",I783="discourse_segment"),"yes","no")</x:f>
        <x:v>yes</x:v>
      </x:c>
      <x:c r="AI783" s="12" t="str">
        <x:f>IF(OR(AH783="yes",AD783="debated",AC783="operational"),"yes","no")</x:f>
        <x:v>yes</x:v>
      </x:c>
      <x:c r="AJ783" s="12" t="str">
        <x:f>IF(OR(AH783="yes",AC783="operational",AD783="debated"),"high",IF(AND(AG783="yes",L783="P0"),"medium","low"))</x:f>
        <x:v>high</x:v>
      </x:c>
      <x:c r="AK783" s="12" t="str">
        <x:f>IF(ISNUMBER(SEARCH("healthy",AB783)),"yes","no")</x:f>
        <x:v>no</x:v>
      </x:c>
      <x:c r="AL783" s="12" t="str">
        <x:f>IF(AG783="yes","yes","candidate_only")</x:f>
        <x:v>candidate_only</x:v>
      </x:c>
      <x:c r="AM783" s="12" t="str">
        <x:f>IF(OR(AC783="canonical",AG783="yes"),"yes","recommended")</x:f>
        <x:v>recommended</x:v>
      </x:c>
      <x:c r="AN783" s="12" t="str">
        <x:f>IF(AC783="deprecated","exclude",IF(AND(AG783="yes",AJ783="high"),"import_but_human_review_required",IF(AG783="yes","import_as_active","import_as_backlog")))</x:f>
        <x:v>import_as_backlog</x:v>
      </x:c>
      <x:c r="AO783" s="12" t="str">
        <x:f>IF(AND(AG783="yes",OR(P783="",Q783="",R783="",S783="")),"missing_required_mvp_fields",IF(AND(AC783="canonical",Y783=""),"missing_source_ref","ok"))</x:f>
        <x:v>ok</x:v>
      </x:c>
      <x:c r="AP783" s="12" t="str">
        <x:f>IF(AO783="ok","ready_for_codex_import","needs_review")</x:f>
        <x:v>ready_for_codex_import</x:v>
      </x:c>
      <x:c r="AQ783" s="12"/>
      <x:c r="AR783" s="12" t="str">
        <x:v>Added v2 operational fields. Review before classification activation.</x:v>
      </x:c>
    </x:row>
    <x:row r="784">
      <x:c r="A784" s="13" t="str">
        <x:v>motte_and_bailey_emotional_language_variant</x:v>
      </x:c>
      <x:c r="B784" s="13" t="str">
        <x:v>motte_and_bailey</x:v>
      </x:c>
      <x:c r="C784" s="13" t="str">
        <x:v>Motte-and-bailey</x:v>
      </x:c>
      <x:c r="D784" s="13" t="str">
        <x:v>قلعه و حیاط</x:v>
      </x:c>
      <x:c r="E784" s="13" t="str">
        <x:v>Emotional-language variant</x:v>
      </x:c>
      <x:c r="F784" s="13" t="str">
        <x:v>rhetorical_manipulation_patterns</x:v>
      </x:c>
      <x:c r="G784" s="13" t="str">
        <x:v>operational_variant</x:v>
      </x:c>
      <x:c r="H784" s="13" t="str">
        <x:v>dialogue</x:v>
      </x:c>
      <x:c r="I784" s="13" t="str">
        <x:v>discourse_segment</x:v>
      </x:c>
      <x:c r="J784" s="13" t="str">
        <x:v>derived_operational_subtype</x:v>
      </x:c>
      <x:c r="K784" s="13" t="str">
        <x:v>derived_from_established_parent_review_required</x:v>
      </x:c>
      <x:c r="L784" s="13" t="str">
        <x:v>P2</x:v>
      </x:c>
      <x:c r="M784" s="13" t="str">
        <x:v>no</x:v>
      </x:c>
      <x:c r="N784" s="13" t="str">
        <x:v>Operational subtype under Motte-and-bailey: emotion-laden wording carries argumentative weight. Parent definition: Switching between a bold claim and a defensible weaker claim.</x:v>
      </x:c>
      <x:c r="O784" s="13" t="str">
        <x:v>Look for: explicit claim-level evidence; parent-family cues for Motte-and-bailey; variant cue: emotion-laden wording carries argumentative weight; avoid author-level inference.</x:v>
      </x:c>
      <x:c r="P784" s="13" t="str">
        <x:v>Exact evidence span in text plus claim-level reasoning link; for contextual/discourse entries, require surrounding context.</x:v>
      </x:c>
      <x:c r="Q784" s="13" t="str">
        <x:v>Do not label merely because topic is controversial, emotional, or wrong. Do not judge intent or personality. Require textual evidence and consider healthy-reasoning cues.</x:v>
      </x:c>
      <x:c r="R784" s="13" t="str">
        <x:v>Stub: A claim relies on emotion-laden wording carries argumentative weight to support a conclusion without adequate qualification.</x:v>
      </x:c>
      <x:c r="S784" s="13" t="str">
        <x:v>Stub: A claim discusses motte-and-bailey with caveats, balanced evidence, or no argumentative use of the pattern.</x:v>
      </x:c>
      <x:c r="T784" s="13" t="str">
        <x:v>Mild or ambiguous cue; do not classify without clear evidence span.</x:v>
      </x:c>
      <x:c r="U784" s="13" t="str">
        <x:v>Clear claim-level pattern with some argumentative impact.</x:v>
      </x:c>
      <x:c r="V784" s="13" t="str">
        <x:v>Strong pattern central to the conclusion and likely to materially distort reasoning.</x:v>
      </x:c>
      <x:c r="W784" s="13" t="str"/>
      <x:c r="X784" s="13" t="str">
        <x:v>pragmadialectics</x:v>
      </x:c>
      <x:c r="Y784" s="13" t="str">
        <x:v>https://doi.org/10.1017/CBO9780511616389</x:v>
      </x:c>
      <x:c r="Z784" s="13" t="str">
        <x:v>Review before enabling. This workbook is a living taxonomy scaffold, not a validated scientific benchmark.</x:v>
      </x:c>
      <x:c r="AA784" s="13" t="str">
        <x:v>0.1.0-draft</x:v>
      </x:c>
      <x:c r="AB784" s="12" t="str">
        <x:f>IF(ISNUMBER(SEARCH("healthy",F784)),"healthy_reasoning_patterns",IF(ISNUMBER(SEARCH("statistical",F784)),"statistical_reasoning",IF(ISNUMBER(SEARCH("causal",F784)),"causal_reasoning",IF(ISNUMBER(SEARCH("social",F784)),"social_influence",IF(ISNUMBER(SEARCH("rhetoric",F784)),"rhetoric_discourse",IF(ISNUMBER(SEARCH("behavior",F784)),"behavioural_economics",IF(ISNUMBER(SEARCH("cognitive",F784)),"cognitive_biases",IF(J784="protective_pattern","healthy_reasoning_patterns",IF(L784="P0","core_mvp","extended_fallacies")))))))))</x:f>
        <x:v>rhetoric_discourse</x:v>
      </x:c>
      <x:c r="AC784" s="12" t="str">
        <x:f>IF(ISNUMBER(SEARCH("operational",J784)),"operational",IF(ISNUMBER(SEARCH("deprecated",J784)),"deprecated",IF(L784="P0","canonical","recognized_subtype")))</x:f>
        <x:v>operational</x:v>
      </x:c>
      <x:c r="AD784" s="12" t="str">
        <x:f>IF(AC784="canonical","high",IF(AC784="recognized_subtype","medium",IF(AC784="operational","operational_only","debated")))</x:f>
        <x:v>operational_only</x:v>
      </x:c>
      <x:c r="AE784" s="12" t="str">
        <x:f>IF(AC784="deprecated","deprecated",IF(M784="yes","active",IF(M784="review","review_required","backlog")))</x:f>
        <x:v>backlog</x:v>
      </x:c>
      <x:c r="AF784" s="12" t="str">
        <x:f>IF(OR(AE784="active",AE784="review_required"),"yes","no")</x:f>
        <x:v>no</x:v>
      </x:c>
      <x:c r="AG784" s="12" t="str">
        <x:f>IF(AND(AE784="active",M784="yes",NOT(ISNUMBER(SEARCH("healthy",AB784)))),"yes","no")</x:f>
        <x:v>no</x:v>
      </x:c>
      <x:c r="AH784" s="12" t="str">
        <x:f>IF(OR(H784="contextual",H784="dialogue",H784="discourse",I784="claim+context",I784="discourse_segment"),"yes","no")</x:f>
        <x:v>yes</x:v>
      </x:c>
      <x:c r="AI784" s="12" t="str">
        <x:f>IF(OR(AH784="yes",AD784="debated",AC784="operational"),"yes","no")</x:f>
        <x:v>yes</x:v>
      </x:c>
      <x:c r="AJ784" s="12" t="str">
        <x:f>IF(OR(AH784="yes",AC784="operational",AD784="debated"),"high",IF(AND(AG784="yes",L784="P0"),"medium","low"))</x:f>
        <x:v>high</x:v>
      </x:c>
      <x:c r="AK784" s="12" t="str">
        <x:f>IF(ISNUMBER(SEARCH("healthy",AB784)),"yes","no")</x:f>
        <x:v>no</x:v>
      </x:c>
      <x:c r="AL784" s="12" t="str">
        <x:f>IF(AG784="yes","yes","candidate_only")</x:f>
        <x:v>candidate_only</x:v>
      </x:c>
      <x:c r="AM784" s="12" t="str">
        <x:f>IF(OR(AC784="canonical",AG784="yes"),"yes","recommended")</x:f>
        <x:v>recommended</x:v>
      </x:c>
      <x:c r="AN784" s="12" t="str">
        <x:f>IF(AC784="deprecated","exclude",IF(AND(AG784="yes",AJ784="high"),"import_but_human_review_required",IF(AG784="yes","import_as_active","import_as_backlog")))</x:f>
        <x:v>import_as_backlog</x:v>
      </x:c>
      <x:c r="AO784" s="12" t="str">
        <x:f>IF(AND(AG784="yes",OR(P784="",Q784="",R784="",S784="")),"missing_required_mvp_fields",IF(AND(AC784="canonical",Y784=""),"missing_source_ref","ok"))</x:f>
        <x:v>ok</x:v>
      </x:c>
      <x:c r="AP784" s="12" t="str">
        <x:f>IF(AO784="ok","ready_for_codex_import","needs_review")</x:f>
        <x:v>ready_for_codex_import</x:v>
      </x:c>
      <x:c r="AQ784" s="12"/>
      <x:c r="AR784" s="12" t="str">
        <x:v>Added v2 operational fields. Review before classification activation.</x:v>
      </x:c>
    </x:row>
    <x:row r="785">
      <x:c r="A785" s="13" t="str">
        <x:v>gish_gallop_emotional_language_variant</x:v>
      </x:c>
      <x:c r="B785" s="13" t="str">
        <x:v>gish_gallop</x:v>
      </x:c>
      <x:c r="C785" s="13" t="str">
        <x:v>Gish gallop</x:v>
      </x:c>
      <x:c r="D785" s="13" t="str">
        <x:v>رگبار ادعا</x:v>
      </x:c>
      <x:c r="E785" s="13" t="str">
        <x:v>Emotional-language variant</x:v>
      </x:c>
      <x:c r="F785" s="13" t="str">
        <x:v>rhetorical_manipulation_patterns</x:v>
      </x:c>
      <x:c r="G785" s="13" t="str">
        <x:v>operational_variant</x:v>
      </x:c>
      <x:c r="H785" s="13" t="str">
        <x:v>discourse</x:v>
      </x:c>
      <x:c r="I785" s="13" t="str">
        <x:v>discourse_segment</x:v>
      </x:c>
      <x:c r="J785" s="13" t="str">
        <x:v>derived_operational_subtype</x:v>
      </x:c>
      <x:c r="K785" s="13" t="str">
        <x:v>derived_from_established_parent_review_required</x:v>
      </x:c>
      <x:c r="L785" s="13" t="str">
        <x:v>P2</x:v>
      </x:c>
      <x:c r="M785" s="13" t="str">
        <x:v>no</x:v>
      </x:c>
      <x:c r="N785" s="13" t="str">
        <x:v>Operational subtype under Gish gallop: emotion-laden wording carries argumentative weight. Parent definition: Overwhelming with many claims faster than they can be evaluated.</x:v>
      </x:c>
      <x:c r="O785" s="13" t="str">
        <x:v>Look for: explicit claim-level evidence; parent-family cues for Gish gallop; variant cue: emotion-laden wording carries argumentative weight; avoid author-level inference.</x:v>
      </x:c>
      <x:c r="P785" s="13" t="str">
        <x:v>Exact evidence span in text plus claim-level reasoning link; for contextual/discourse entries, require surrounding context.</x:v>
      </x:c>
      <x:c r="Q785" s="13" t="str">
        <x:v>Do not label merely because topic is controversial, emotional, or wrong. Do not judge intent or personality. Require textual evidence and consider healthy-reasoning cues.</x:v>
      </x:c>
      <x:c r="R785" s="13" t="str">
        <x:v>Stub: A claim relies on emotion-laden wording carries argumentative weight to support a conclusion without adequate qualification.</x:v>
      </x:c>
      <x:c r="S785" s="13" t="str">
        <x:v>Stub: A claim discusses gish gallop with caveats, balanced evidence, or no argumentative use of the pattern.</x:v>
      </x:c>
      <x:c r="T785" s="13" t="str">
        <x:v>Mild or ambiguous cue; do not classify without clear evidence span.</x:v>
      </x:c>
      <x:c r="U785" s="13" t="str">
        <x:v>Clear claim-level pattern with some argumentative impact.</x:v>
      </x:c>
      <x:c r="V785" s="13" t="str">
        <x:v>Strong pattern central to the conclusion and likely to materially distort reasoning.</x:v>
      </x:c>
      <x:c r="W785" s="13" t="str"/>
      <x:c r="X785" s="13" t="str">
        <x:v>pragmadialectics</x:v>
      </x:c>
      <x:c r="Y785" s="13" t="str">
        <x:v>https://doi.org/10.1017/CBO9780511616389</x:v>
      </x:c>
      <x:c r="Z785" s="13" t="str">
        <x:v>Review before enabling. This workbook is a living taxonomy scaffold, not a validated scientific benchmark.</x:v>
      </x:c>
      <x:c r="AA785" s="13" t="str">
        <x:v>0.1.0-draft</x:v>
      </x:c>
      <x:c r="AB785" s="12" t="str">
        <x:f>IF(ISNUMBER(SEARCH("healthy",F785)),"healthy_reasoning_patterns",IF(ISNUMBER(SEARCH("statistical",F785)),"statistical_reasoning",IF(ISNUMBER(SEARCH("causal",F785)),"causal_reasoning",IF(ISNUMBER(SEARCH("social",F785)),"social_influence",IF(ISNUMBER(SEARCH("rhetoric",F785)),"rhetoric_discourse",IF(ISNUMBER(SEARCH("behavior",F785)),"behavioural_economics",IF(ISNUMBER(SEARCH("cognitive",F785)),"cognitive_biases",IF(J785="protective_pattern","healthy_reasoning_patterns",IF(L785="P0","core_mvp","extended_fallacies")))))))))</x:f>
        <x:v>rhetoric_discourse</x:v>
      </x:c>
      <x:c r="AC785" s="12" t="str">
        <x:f>IF(ISNUMBER(SEARCH("operational",J785)),"operational",IF(ISNUMBER(SEARCH("deprecated",J785)),"deprecated",IF(L785="P0","canonical","recognized_subtype")))</x:f>
        <x:v>operational</x:v>
      </x:c>
      <x:c r="AD785" s="12" t="str">
        <x:f>IF(AC785="canonical","high",IF(AC785="recognized_subtype","medium",IF(AC785="operational","operational_only","debated")))</x:f>
        <x:v>operational_only</x:v>
      </x:c>
      <x:c r="AE785" s="12" t="str">
        <x:f>IF(AC785="deprecated","deprecated",IF(M785="yes","active",IF(M785="review","review_required","backlog")))</x:f>
        <x:v>backlog</x:v>
      </x:c>
      <x:c r="AF785" s="12" t="str">
        <x:f>IF(OR(AE785="active",AE785="review_required"),"yes","no")</x:f>
        <x:v>no</x:v>
      </x:c>
      <x:c r="AG785" s="12" t="str">
        <x:f>IF(AND(AE785="active",M785="yes",NOT(ISNUMBER(SEARCH("healthy",AB785)))),"yes","no")</x:f>
        <x:v>no</x:v>
      </x:c>
      <x:c r="AH785" s="12" t="str">
        <x:f>IF(OR(H785="contextual",H785="dialogue",H785="discourse",I785="claim+context",I785="discourse_segment"),"yes","no")</x:f>
        <x:v>yes</x:v>
      </x:c>
      <x:c r="AI785" s="12" t="str">
        <x:f>IF(OR(AH785="yes",AD785="debated",AC785="operational"),"yes","no")</x:f>
        <x:v>yes</x:v>
      </x:c>
      <x:c r="AJ785" s="12" t="str">
        <x:f>IF(OR(AH785="yes",AC785="operational",AD785="debated"),"high",IF(AND(AG785="yes",L785="P0"),"medium","low"))</x:f>
        <x:v>high</x:v>
      </x:c>
      <x:c r="AK785" s="12" t="str">
        <x:f>IF(ISNUMBER(SEARCH("healthy",AB785)),"yes","no")</x:f>
        <x:v>no</x:v>
      </x:c>
      <x:c r="AL785" s="12" t="str">
        <x:f>IF(AG785="yes","yes","candidate_only")</x:f>
        <x:v>candidate_only</x:v>
      </x:c>
      <x:c r="AM785" s="12" t="str">
        <x:f>IF(OR(AC785="canonical",AG785="yes"),"yes","recommended")</x:f>
        <x:v>recommended</x:v>
      </x:c>
      <x:c r="AN785" s="12" t="str">
        <x:f>IF(AC785="deprecated","exclude",IF(AND(AG785="yes",AJ785="high"),"import_but_human_review_required",IF(AG785="yes","import_as_active","import_as_backlog")))</x:f>
        <x:v>import_as_backlog</x:v>
      </x:c>
      <x:c r="AO785" s="12" t="str">
        <x:f>IF(AND(AG785="yes",OR(P785="",Q785="",R785="",S785="")),"missing_required_mvp_fields",IF(AND(AC785="canonical",Y785=""),"missing_source_ref","ok"))</x:f>
        <x:v>ok</x:v>
      </x:c>
      <x:c r="AP785" s="12" t="str">
        <x:f>IF(AO785="ok","ready_for_codex_import","needs_review")</x:f>
        <x:v>ready_for_codex_import</x:v>
      </x:c>
      <x:c r="AQ785" s="12"/>
      <x:c r="AR785" s="12" t="str">
        <x:v>Added v2 operational fields. Review before classification activation.</x:v>
      </x:c>
    </x:row>
    <x:row r="786">
      <x:c r="A786" s="13" t="str">
        <x:v>sealioning_emotional_language_variant</x:v>
      </x:c>
      <x:c r="B786" s="13" t="str">
        <x:v>sealioning</x:v>
      </x:c>
      <x:c r="C786" s="13" t="str">
        <x:v>Sealioning</x:v>
      </x:c>
      <x:c r="D786" s="13" t="str">
        <x:v>پرسش‌گری فرسایشی</x:v>
      </x:c>
      <x:c r="E786" s="13" t="str">
        <x:v>Emotional-language variant</x:v>
      </x:c>
      <x:c r="F786" s="13" t="str">
        <x:v>rhetorical_manipulation_patterns</x:v>
      </x:c>
      <x:c r="G786" s="13" t="str">
        <x:v>operational_variant</x:v>
      </x:c>
      <x:c r="H786" s="13" t="str">
        <x:v>dialogue</x:v>
      </x:c>
      <x:c r="I786" s="13" t="str">
        <x:v>discourse_segment</x:v>
      </x:c>
      <x:c r="J786" s="13" t="str">
        <x:v>derived_operational_subtype</x:v>
      </x:c>
      <x:c r="K786" s="13" t="str">
        <x:v>derived_from_established_parent_review_required</x:v>
      </x:c>
      <x:c r="L786" s="13" t="str">
        <x:v>P2</x:v>
      </x:c>
      <x:c r="M786" s="13" t="str">
        <x:v>no</x:v>
      </x:c>
      <x:c r="N786" s="13" t="str">
        <x:v>Operational subtype under Sealioning: emotion-laden wording carries argumentative weight. Parent definition: Demanding excessive evidence in bad-faith dialogue while appearing civil.</x:v>
      </x:c>
      <x:c r="O786" s="13" t="str">
        <x:v>Look for: explicit claim-level evidence; parent-family cues for Sealioning; variant cue: emotion-laden wording carries argumentative weight; avoid author-level inference.</x:v>
      </x:c>
      <x:c r="P786" s="13" t="str">
        <x:v>Exact evidence span in text plus claim-level reasoning link; for contextual/discourse entries, require surrounding context.</x:v>
      </x:c>
      <x:c r="Q786" s="13" t="str">
        <x:v>Do not label merely because topic is controversial, emotional, or wrong. Do not judge intent or personality. Require textual evidence and consider healthy-reasoning cues.</x:v>
      </x:c>
      <x:c r="R786" s="13" t="str">
        <x:v>Stub: A claim relies on emotion-laden wording carries argumentative weight to support a conclusion without adequate qualification.</x:v>
      </x:c>
      <x:c r="S786" s="13" t="str">
        <x:v>Stub: A claim discusses sealioning with caveats, balanced evidence, or no argumentative use of the pattern.</x:v>
      </x:c>
      <x:c r="T786" s="13" t="str">
        <x:v>Mild or ambiguous cue; do not classify without clear evidence span.</x:v>
      </x:c>
      <x:c r="U786" s="13" t="str">
        <x:v>Clear claim-level pattern with some argumentative impact.</x:v>
      </x:c>
      <x:c r="V786" s="13" t="str">
        <x:v>Strong pattern central to the conclusion and likely to materially distort reasoning.</x:v>
      </x:c>
      <x:c r="W786" s="13" t="str">
        <x:v>cherry_picking; missing_counterevidence; evidence_grading</x:v>
      </x:c>
      <x:c r="X786" s="13" t="str">
        <x:v>pragmadialectics</x:v>
      </x:c>
      <x:c r="Y786" s="13" t="str">
        <x:v>https://doi.org/10.1017/CBO9780511616389</x:v>
      </x:c>
      <x:c r="Z786" s="13" t="str">
        <x:v>Review before enabling. This workbook is a living taxonomy scaffold, not a validated scientific benchmark.</x:v>
      </x:c>
      <x:c r="AA786" s="13" t="str">
        <x:v>0.1.0-draft</x:v>
      </x:c>
      <x:c r="AB786" s="12" t="str">
        <x:f>IF(ISNUMBER(SEARCH("healthy",F786)),"healthy_reasoning_patterns",IF(ISNUMBER(SEARCH("statistical",F786)),"statistical_reasoning",IF(ISNUMBER(SEARCH("causal",F786)),"causal_reasoning",IF(ISNUMBER(SEARCH("social",F786)),"social_influence",IF(ISNUMBER(SEARCH("rhetoric",F786)),"rhetoric_discourse",IF(ISNUMBER(SEARCH("behavior",F786)),"behavioural_economics",IF(ISNUMBER(SEARCH("cognitive",F786)),"cognitive_biases",IF(J786="protective_pattern","healthy_reasoning_patterns",IF(L786="P0","core_mvp","extended_fallacies")))))))))</x:f>
        <x:v>rhetoric_discourse</x:v>
      </x:c>
      <x:c r="AC786" s="12" t="str">
        <x:f>IF(ISNUMBER(SEARCH("operational",J786)),"operational",IF(ISNUMBER(SEARCH("deprecated",J786)),"deprecated",IF(L786="P0","canonical","recognized_subtype")))</x:f>
        <x:v>operational</x:v>
      </x:c>
      <x:c r="AD786" s="12" t="str">
        <x:f>IF(AC786="canonical","high",IF(AC786="recognized_subtype","medium",IF(AC786="operational","operational_only","debated")))</x:f>
        <x:v>operational_only</x:v>
      </x:c>
      <x:c r="AE786" s="12" t="str">
        <x:f>IF(AC786="deprecated","deprecated",IF(M786="yes","active",IF(M786="review","review_required","backlog")))</x:f>
        <x:v>backlog</x:v>
      </x:c>
      <x:c r="AF786" s="12" t="str">
        <x:f>IF(OR(AE786="active",AE786="review_required"),"yes","no")</x:f>
        <x:v>no</x:v>
      </x:c>
      <x:c r="AG786" s="12" t="str">
        <x:f>IF(AND(AE786="active",M786="yes",NOT(ISNUMBER(SEARCH("healthy",AB786)))),"yes","no")</x:f>
        <x:v>no</x:v>
      </x:c>
      <x:c r="AH786" s="12" t="str">
        <x:f>IF(OR(H786="contextual",H786="dialogue",H786="discourse",I786="claim+context",I786="discourse_segment"),"yes","no")</x:f>
        <x:v>yes</x:v>
      </x:c>
      <x:c r="AI786" s="12" t="str">
        <x:f>IF(OR(AH786="yes",AD786="debated",AC786="operational"),"yes","no")</x:f>
        <x:v>yes</x:v>
      </x:c>
      <x:c r="AJ786" s="12" t="str">
        <x:f>IF(OR(AH786="yes",AC786="operational",AD786="debated"),"high",IF(AND(AG786="yes",L786="P0"),"medium","low"))</x:f>
        <x:v>high</x:v>
      </x:c>
      <x:c r="AK786" s="12" t="str">
        <x:f>IF(ISNUMBER(SEARCH("healthy",AB786)),"yes","no")</x:f>
        <x:v>no</x:v>
      </x:c>
      <x:c r="AL786" s="12" t="str">
        <x:f>IF(AG786="yes","yes","candidate_only")</x:f>
        <x:v>candidate_only</x:v>
      </x:c>
      <x:c r="AM786" s="12" t="str">
        <x:f>IF(OR(AC786="canonical",AG786="yes"),"yes","recommended")</x:f>
        <x:v>recommended</x:v>
      </x:c>
      <x:c r="AN786" s="12" t="str">
        <x:f>IF(AC786="deprecated","exclude",IF(AND(AG786="yes",AJ786="high"),"import_but_human_review_required",IF(AG786="yes","import_as_active","import_as_backlog")))</x:f>
        <x:v>import_as_backlog</x:v>
      </x:c>
      <x:c r="AO786" s="12" t="str">
        <x:f>IF(AND(AG786="yes",OR(P786="",Q786="",R786="",S786="")),"missing_required_mvp_fields",IF(AND(AC786="canonical",Y786=""),"missing_source_ref","ok"))</x:f>
        <x:v>ok</x:v>
      </x:c>
      <x:c r="AP786" s="12" t="str">
        <x:f>IF(AO786="ok","ready_for_codex_import","needs_review")</x:f>
        <x:v>ready_for_codex_import</x:v>
      </x:c>
      <x:c r="AQ786" s="12"/>
      <x:c r="AR786" s="12" t="str">
        <x:v>Added v2 operational fields. Review before classification activation.</x:v>
      </x:c>
    </x:row>
    <x:row r="787">
      <x:c r="A787" s="13" t="str">
        <x:v>quote_mining_emotional_language_variant</x:v>
      </x:c>
      <x:c r="B787" s="13" t="str">
        <x:v>quote_mining</x:v>
      </x:c>
      <x:c r="C787" s="13" t="str">
        <x:v>Quote mining</x:v>
      </x:c>
      <x:c r="D787" s="13" t="str">
        <x:v>نقل‌قول‌کاوی گزینشی</x:v>
      </x:c>
      <x:c r="E787" s="13" t="str">
        <x:v>Emotional-language variant</x:v>
      </x:c>
      <x:c r="F787" s="13" t="str">
        <x:v>rhetorical_manipulation_patterns</x:v>
      </x:c>
      <x:c r="G787" s="13" t="str">
        <x:v>operational_variant</x:v>
      </x:c>
      <x:c r="H787" s="13" t="str">
        <x:v>contextual</x:v>
      </x:c>
      <x:c r="I787" s="13" t="str">
        <x:v>claim+context</x:v>
      </x:c>
      <x:c r="J787" s="13" t="str">
        <x:v>derived_operational_subtype</x:v>
      </x:c>
      <x:c r="K787" s="13" t="str">
        <x:v>derived_from_established_parent_review_required</x:v>
      </x:c>
      <x:c r="L787" s="13" t="str">
        <x:v>P2</x:v>
      </x:c>
      <x:c r="M787" s="13" t="str">
        <x:v>no</x:v>
      </x:c>
      <x:c r="N787" s="13" t="str">
        <x:v>Operational subtype under Quote mining: emotion-laden wording carries argumentative weight. Parent definition: Using isolated quotes out of context.</x:v>
      </x:c>
      <x:c r="O787" s="13" t="str">
        <x:v>Look for: explicit claim-level evidence; parent-family cues for Quote mining; variant cue: emotion-laden wording carries argumentative weight; avoid author-level inference.</x:v>
      </x:c>
      <x:c r="P787" s="13" t="str">
        <x:v>Exact evidence span in text plus claim-level reasoning link; for contextual/discourse entries, require surrounding context.</x:v>
      </x:c>
      <x:c r="Q787" s="13" t="str">
        <x:v>Do not label merely because topic is controversial, emotional, or wrong. Do not judge intent or personality. Require textual evidence and consider healthy-reasoning cues.</x:v>
      </x:c>
      <x:c r="R787" s="13" t="str">
        <x:v>Stub: A claim relies on emotion-laden wording carries argumentative weight to support a conclusion without adequate qualification.</x:v>
      </x:c>
      <x:c r="S787" s="13" t="str">
        <x:v>Stub: A claim discusses quote mining with caveats, balanced evidence, or no argumentative use of the pattern.</x:v>
      </x:c>
      <x:c r="T787" s="13" t="str">
        <x:v>Mild or ambiguous cue; do not classify without clear evidence span.</x:v>
      </x:c>
      <x:c r="U787" s="13" t="str">
        <x:v>Clear claim-level pattern with some argumentative impact.</x:v>
      </x:c>
      <x:c r="V787" s="13" t="str">
        <x:v>Strong pattern central to the conclusion and likely to materially distort reasoning.</x:v>
      </x:c>
      <x:c r="W787" s="13" t="str"/>
      <x:c r="X787" s="13" t="str">
        <x:v>sep_informal_logic</x:v>
      </x:c>
      <x:c r="Y787" s="13" t="str">
        <x:v>https://plato.stanford.edu/entries/logic-informal/</x:v>
      </x:c>
      <x:c r="Z787" s="13" t="str">
        <x:v>Review before enabling. This workbook is a living taxonomy scaffold, not a validated scientific benchmark.</x:v>
      </x:c>
      <x:c r="AA787" s="13" t="str">
        <x:v>0.1.0-draft</x:v>
      </x:c>
      <x:c r="AB787" s="12" t="str">
        <x:f>IF(ISNUMBER(SEARCH("healthy",F787)),"healthy_reasoning_patterns",IF(ISNUMBER(SEARCH("statistical",F787)),"statistical_reasoning",IF(ISNUMBER(SEARCH("causal",F787)),"causal_reasoning",IF(ISNUMBER(SEARCH("social",F787)),"social_influence",IF(ISNUMBER(SEARCH("rhetoric",F787)),"rhetoric_discourse",IF(ISNUMBER(SEARCH("behavior",F787)),"behavioural_economics",IF(ISNUMBER(SEARCH("cognitive",F787)),"cognitive_biases",IF(J787="protective_pattern","healthy_reasoning_patterns",IF(L787="P0","core_mvp","extended_fallacies")))))))))</x:f>
        <x:v>rhetoric_discourse</x:v>
      </x:c>
      <x:c r="AC787" s="12" t="str">
        <x:f>IF(ISNUMBER(SEARCH("operational",J787)),"operational",IF(ISNUMBER(SEARCH("deprecated",J787)),"deprecated",IF(L787="P0","canonical","recognized_subtype")))</x:f>
        <x:v>operational</x:v>
      </x:c>
      <x:c r="AD787" s="12" t="str">
        <x:f>IF(AC787="canonical","high",IF(AC787="recognized_subtype","medium",IF(AC787="operational","operational_only","debated")))</x:f>
        <x:v>operational_only</x:v>
      </x:c>
      <x:c r="AE787" s="12" t="str">
        <x:f>IF(AC787="deprecated","deprecated",IF(M787="yes","active",IF(M787="review","review_required","backlog")))</x:f>
        <x:v>backlog</x:v>
      </x:c>
      <x:c r="AF787" s="12" t="str">
        <x:f>IF(OR(AE787="active",AE787="review_required"),"yes","no")</x:f>
        <x:v>no</x:v>
      </x:c>
      <x:c r="AG787" s="12" t="str">
        <x:f>IF(AND(AE787="active",M787="yes",NOT(ISNUMBER(SEARCH("healthy",AB787)))),"yes","no")</x:f>
        <x:v>no</x:v>
      </x:c>
      <x:c r="AH787" s="12" t="str">
        <x:f>IF(OR(H787="contextual",H787="dialogue",H787="discourse",I787="claim+context",I787="discourse_segment"),"yes","no")</x:f>
        <x:v>yes</x:v>
      </x:c>
      <x:c r="AI787" s="12" t="str">
        <x:f>IF(OR(AH787="yes",AD787="debated",AC787="operational"),"yes","no")</x:f>
        <x:v>yes</x:v>
      </x:c>
      <x:c r="AJ787" s="12" t="str">
        <x:f>IF(OR(AH787="yes",AC787="operational",AD787="debated"),"high",IF(AND(AG787="yes",L787="P0"),"medium","low"))</x:f>
        <x:v>high</x:v>
      </x:c>
      <x:c r="AK787" s="12" t="str">
        <x:f>IF(ISNUMBER(SEARCH("healthy",AB787)),"yes","no")</x:f>
        <x:v>no</x:v>
      </x:c>
      <x:c r="AL787" s="12" t="str">
        <x:f>IF(AG787="yes","yes","candidate_only")</x:f>
        <x:v>candidate_only</x:v>
      </x:c>
      <x:c r="AM787" s="12" t="str">
        <x:f>IF(OR(AC787="canonical",AG787="yes"),"yes","recommended")</x:f>
        <x:v>recommended</x:v>
      </x:c>
      <x:c r="AN787" s="12" t="str">
        <x:f>IF(AC787="deprecated","exclude",IF(AND(AG787="yes",AJ787="high"),"import_but_human_review_required",IF(AG787="yes","import_as_active","import_as_backlog")))</x:f>
        <x:v>import_as_backlog</x:v>
      </x:c>
      <x:c r="AO787" s="12" t="str">
        <x:f>IF(AND(AG787="yes",OR(P787="",Q787="",R787="",S787="")),"missing_required_mvp_fields",IF(AND(AC787="canonical",Y787=""),"missing_source_ref","ok"))</x:f>
        <x:v>ok</x:v>
      </x:c>
      <x:c r="AP787" s="12" t="str">
        <x:f>IF(AO787="ok","ready_for_codex_import","needs_review")</x:f>
        <x:v>ready_for_codex_import</x:v>
      </x:c>
      <x:c r="AQ787" s="12"/>
      <x:c r="AR787" s="12" t="str">
        <x:v>Added v2 operational fields. Review before classification activation.</x:v>
      </x:c>
    </x:row>
    <x:row r="788">
      <x:c r="A788" s="13" t="str">
        <x:v>framing_by_omission_emotional_language_variant</x:v>
      </x:c>
      <x:c r="B788" s="13" t="str">
        <x:v>framing_by_omission</x:v>
      </x:c>
      <x:c r="C788" s="13" t="str">
        <x:v>Framing by omission</x:v>
      </x:c>
      <x:c r="D788" s="13" t="str">
        <x:v>قاب‌بندی با حذف</x:v>
      </x:c>
      <x:c r="E788" s="13" t="str">
        <x:v>Emotional-language variant</x:v>
      </x:c>
      <x:c r="F788" s="13" t="str">
        <x:v>rhetorical_manipulation_patterns</x:v>
      </x:c>
      <x:c r="G788" s="13" t="str">
        <x:v>operational_variant</x:v>
      </x:c>
      <x:c r="H788" s="13" t="str">
        <x:v>contextual</x:v>
      </x:c>
      <x:c r="I788" s="13" t="str">
        <x:v>claim+context</x:v>
      </x:c>
      <x:c r="J788" s="13" t="str">
        <x:v>derived_operational_subtype</x:v>
      </x:c>
      <x:c r="K788" s="13" t="str">
        <x:v>derived_from_established_parent_review_required</x:v>
      </x:c>
      <x:c r="L788" s="13" t="str">
        <x:v>P2</x:v>
      </x:c>
      <x:c r="M788" s="13" t="str">
        <x:v>no</x:v>
      </x:c>
      <x:c r="N788" s="13" t="str">
        <x:v>Operational subtype under Framing by omission: emotion-laden wording carries argumentative weight. Parent definition: Shaping interpretation by omitting relevant context.</x:v>
      </x:c>
      <x:c r="O788" s="13" t="str">
        <x:v>Look for: explicit claim-level evidence; parent-family cues for Framing by omission; variant cue: emotion-laden wording carries argumentative weight; avoid author-level inference.</x:v>
      </x:c>
      <x:c r="P788" s="13" t="str">
        <x:v>Exact evidence span in text plus claim-level reasoning link; for contextual/discourse entries, require surrounding context.</x:v>
      </x:c>
      <x:c r="Q788" s="13" t="str">
        <x:v>Do not label merely because topic is controversial, emotional, or wrong. Do not judge intent or personality. Require textual evidence and consider healthy-reasoning cues.</x:v>
      </x:c>
      <x:c r="R788" s="13" t="str">
        <x:v>Stub: A claim relies on emotion-laden wording carries argumentative weight to support a conclusion without adequate qualification.</x:v>
      </x:c>
      <x:c r="S788" s="13" t="str">
        <x:v>Stub: A claim discusses framing by omission with caveats, balanced evidence, or no argumentative use of the pattern.</x:v>
      </x:c>
      <x:c r="T788" s="13" t="str">
        <x:v>Mild or ambiguous cue; do not classify without clear evidence span.</x:v>
      </x:c>
      <x:c r="U788" s="13" t="str">
        <x:v>Clear claim-level pattern with some argumentative impact.</x:v>
      </x:c>
      <x:c r="V788" s="13" t="str">
        <x:v>Strong pattern central to the conclusion and likely to materially distort reasoning.</x:v>
      </x:c>
      <x:c r="W788" s="13" t="str"/>
      <x:c r="X788" s="13" t="str">
        <x:v>grice_logic_conversation</x:v>
      </x:c>
      <x:c r="Y788" s="13" t="str">
        <x:v>https://doi.org/10.1163/9789004368811_003</x:v>
      </x:c>
      <x:c r="Z788" s="13" t="str">
        <x:v>Review before enabling. This workbook is a living taxonomy scaffold, not a validated scientific benchmark.</x:v>
      </x:c>
      <x:c r="AA788" s="13" t="str">
        <x:v>0.1.0-draft</x:v>
      </x:c>
      <x:c r="AB788" s="12" t="str">
        <x:f>IF(ISNUMBER(SEARCH("healthy",F788)),"healthy_reasoning_patterns",IF(ISNUMBER(SEARCH("statistical",F788)),"statistical_reasoning",IF(ISNUMBER(SEARCH("causal",F788)),"causal_reasoning",IF(ISNUMBER(SEARCH("social",F788)),"social_influence",IF(ISNUMBER(SEARCH("rhetoric",F788)),"rhetoric_discourse",IF(ISNUMBER(SEARCH("behavior",F788)),"behavioural_economics",IF(ISNUMBER(SEARCH("cognitive",F788)),"cognitive_biases",IF(J788="protective_pattern","healthy_reasoning_patterns",IF(L788="P0","core_mvp","extended_fallacies")))))))))</x:f>
        <x:v>rhetoric_discourse</x:v>
      </x:c>
      <x:c r="AC788" s="12" t="str">
        <x:f>IF(ISNUMBER(SEARCH("operational",J788)),"operational",IF(ISNUMBER(SEARCH("deprecated",J788)),"deprecated",IF(L788="P0","canonical","recognized_subtype")))</x:f>
        <x:v>operational</x:v>
      </x:c>
      <x:c r="AD788" s="12" t="str">
        <x:f>IF(AC788="canonical","high",IF(AC788="recognized_subtype","medium",IF(AC788="operational","operational_only","debated")))</x:f>
        <x:v>operational_only</x:v>
      </x:c>
      <x:c r="AE788" s="12" t="str">
        <x:f>IF(AC788="deprecated","deprecated",IF(M788="yes","active",IF(M788="review","review_required","backlog")))</x:f>
        <x:v>backlog</x:v>
      </x:c>
      <x:c r="AF788" s="12" t="str">
        <x:f>IF(OR(AE788="active",AE788="review_required"),"yes","no")</x:f>
        <x:v>no</x:v>
      </x:c>
      <x:c r="AG788" s="12" t="str">
        <x:f>IF(AND(AE788="active",M788="yes",NOT(ISNUMBER(SEARCH("healthy",AB788)))),"yes","no")</x:f>
        <x:v>no</x:v>
      </x:c>
      <x:c r="AH788" s="12" t="str">
        <x:f>IF(OR(H788="contextual",H788="dialogue",H788="discourse",I788="claim+context",I788="discourse_segment"),"yes","no")</x:f>
        <x:v>yes</x:v>
      </x:c>
      <x:c r="AI788" s="12" t="str">
        <x:f>IF(OR(AH788="yes",AD788="debated",AC788="operational"),"yes","no")</x:f>
        <x:v>yes</x:v>
      </x:c>
      <x:c r="AJ788" s="12" t="str">
        <x:f>IF(OR(AH788="yes",AC788="operational",AD788="debated"),"high",IF(AND(AG788="yes",L788="P0"),"medium","low"))</x:f>
        <x:v>high</x:v>
      </x:c>
      <x:c r="AK788" s="12" t="str">
        <x:f>IF(ISNUMBER(SEARCH("healthy",AB788)),"yes","no")</x:f>
        <x:v>no</x:v>
      </x:c>
      <x:c r="AL788" s="12" t="str">
        <x:f>IF(AG788="yes","yes","candidate_only")</x:f>
        <x:v>candidate_only</x:v>
      </x:c>
      <x:c r="AM788" s="12" t="str">
        <x:f>IF(OR(AC788="canonical",AG788="yes"),"yes","recommended")</x:f>
        <x:v>recommended</x:v>
      </x:c>
      <x:c r="AN788" s="12" t="str">
        <x:f>IF(AC788="deprecated","exclude",IF(AND(AG788="yes",AJ788="high"),"import_but_human_review_required",IF(AG788="yes","import_as_active","import_as_backlog")))</x:f>
        <x:v>import_as_backlog</x:v>
      </x:c>
      <x:c r="AO788" s="12" t="str">
        <x:f>IF(AND(AG788="yes",OR(P788="",Q788="",R788="",S788="")),"missing_required_mvp_fields",IF(AND(AC788="canonical",Y788=""),"missing_source_ref","ok"))</x:f>
        <x:v>ok</x:v>
      </x:c>
      <x:c r="AP788" s="12" t="str">
        <x:f>IF(AO788="ok","ready_for_codex_import","needs_review")</x:f>
        <x:v>ready_for_codex_import</x:v>
      </x:c>
      <x:c r="AQ788" s="12"/>
      <x:c r="AR788" s="12" t="str">
        <x:v>Added v2 operational fields. Review before classification activation.</x:v>
      </x:c>
    </x:row>
    <x:row r="789">
      <x:c r="A789" s="13" t="str">
        <x:v>framing_by_emphasis_emotional_language_variant</x:v>
      </x:c>
      <x:c r="B789" s="13" t="str">
        <x:v>framing_by_emphasis</x:v>
      </x:c>
      <x:c r="C789" s="13" t="str">
        <x:v>Framing by emphasis</x:v>
      </x:c>
      <x:c r="D789" s="13" t="str">
        <x:v>قاب‌بندی با تأکید</x:v>
      </x:c>
      <x:c r="E789" s="13" t="str">
        <x:v>Emotional-language variant</x:v>
      </x:c>
      <x:c r="F789" s="13" t="str">
        <x:v>rhetorical_manipulation_patterns</x:v>
      </x:c>
      <x:c r="G789" s="13" t="str">
        <x:v>operational_variant</x:v>
      </x:c>
      <x:c r="H789" s="13" t="str">
        <x:v>discourse</x:v>
      </x:c>
      <x:c r="I789" s="13" t="str">
        <x:v>discourse_segment</x:v>
      </x:c>
      <x:c r="J789" s="13" t="str">
        <x:v>derived_operational_subtype</x:v>
      </x:c>
      <x:c r="K789" s="13" t="str">
        <x:v>derived_from_established_parent_review_required</x:v>
      </x:c>
      <x:c r="L789" s="13" t="str">
        <x:v>P2</x:v>
      </x:c>
      <x:c r="M789" s="13" t="str">
        <x:v>no</x:v>
      </x:c>
      <x:c r="N789" s="13" t="str">
        <x:v>Operational subtype under Framing by emphasis: emotion-laden wording carries argumentative weight. Parent definition: Shaping interpretation by disproportionate emphasis.</x:v>
      </x:c>
      <x:c r="O789" s="13" t="str">
        <x:v>Look for: explicit claim-level evidence; parent-family cues for Framing by emphasis; variant cue: emotion-laden wording carries argumentative weight; avoid author-level inference.</x:v>
      </x:c>
      <x:c r="P789" s="13" t="str">
        <x:v>Exact evidence span in text plus claim-level reasoning link; for contextual/discourse entries, require surrounding context.</x:v>
      </x:c>
      <x:c r="Q789" s="13" t="str">
        <x:v>Do not label merely because topic is controversial, emotional, or wrong. Do not judge intent or personality. Require textual evidence and consider healthy-reasoning cues.</x:v>
      </x:c>
      <x:c r="R789" s="13" t="str">
        <x:v>Stub: A claim relies on emotion-laden wording carries argumentative weight to support a conclusion without adequate qualification.</x:v>
      </x:c>
      <x:c r="S789" s="13" t="str">
        <x:v>Stub: A claim discusses framing by emphasis with caveats, balanced evidence, or no argumentative use of the pattern.</x:v>
      </x:c>
      <x:c r="T789" s="13" t="str">
        <x:v>Mild or ambiguous cue; do not classify without clear evidence span.</x:v>
      </x:c>
      <x:c r="U789" s="13" t="str">
        <x:v>Clear claim-level pattern with some argumentative impact.</x:v>
      </x:c>
      <x:c r="V789" s="13" t="str">
        <x:v>Strong pattern central to the conclusion and likely to materially distort reasoning.</x:v>
      </x:c>
      <x:c r="W789" s="13" t="str"/>
      <x:c r="X789" s="13" t="str">
        <x:v>grice_logic_conversation</x:v>
      </x:c>
      <x:c r="Y789" s="13" t="str">
        <x:v>https://doi.org/10.1163/9789004368811_003</x:v>
      </x:c>
      <x:c r="Z789" s="13" t="str">
        <x:v>Review before enabling. This workbook is a living taxonomy scaffold, not a validated scientific benchmark.</x:v>
      </x:c>
      <x:c r="AA789" s="13" t="str">
        <x:v>0.1.0-draft</x:v>
      </x:c>
      <x:c r="AB789" s="12" t="str">
        <x:f>IF(ISNUMBER(SEARCH("healthy",F789)),"healthy_reasoning_patterns",IF(ISNUMBER(SEARCH("statistical",F789)),"statistical_reasoning",IF(ISNUMBER(SEARCH("causal",F789)),"causal_reasoning",IF(ISNUMBER(SEARCH("social",F789)),"social_influence",IF(ISNUMBER(SEARCH("rhetoric",F789)),"rhetoric_discourse",IF(ISNUMBER(SEARCH("behavior",F789)),"behavioural_economics",IF(ISNUMBER(SEARCH("cognitive",F789)),"cognitive_biases",IF(J789="protective_pattern","healthy_reasoning_patterns",IF(L789="P0","core_mvp","extended_fallacies")))))))))</x:f>
        <x:v>rhetoric_discourse</x:v>
      </x:c>
      <x:c r="AC789" s="12" t="str">
        <x:f>IF(ISNUMBER(SEARCH("operational",J789)),"operational",IF(ISNUMBER(SEARCH("deprecated",J789)),"deprecated",IF(L789="P0","canonical","recognized_subtype")))</x:f>
        <x:v>operational</x:v>
      </x:c>
      <x:c r="AD789" s="12" t="str">
        <x:f>IF(AC789="canonical","high",IF(AC789="recognized_subtype","medium",IF(AC789="operational","operational_only","debated")))</x:f>
        <x:v>operational_only</x:v>
      </x:c>
      <x:c r="AE789" s="12" t="str">
        <x:f>IF(AC789="deprecated","deprecated",IF(M789="yes","active",IF(M789="review","review_required","backlog")))</x:f>
        <x:v>backlog</x:v>
      </x:c>
      <x:c r="AF789" s="12" t="str">
        <x:f>IF(OR(AE789="active",AE789="review_required"),"yes","no")</x:f>
        <x:v>no</x:v>
      </x:c>
      <x:c r="AG789" s="12" t="str">
        <x:f>IF(AND(AE789="active",M789="yes",NOT(ISNUMBER(SEARCH("healthy",AB789)))),"yes","no")</x:f>
        <x:v>no</x:v>
      </x:c>
      <x:c r="AH789" s="12" t="str">
        <x:f>IF(OR(H789="contextual",H789="dialogue",H789="discourse",I789="claim+context",I789="discourse_segment"),"yes","no")</x:f>
        <x:v>yes</x:v>
      </x:c>
      <x:c r="AI789" s="12" t="str">
        <x:f>IF(OR(AH789="yes",AD789="debated",AC789="operational"),"yes","no")</x:f>
        <x:v>yes</x:v>
      </x:c>
      <x:c r="AJ789" s="12" t="str">
        <x:f>IF(OR(AH789="yes",AC789="operational",AD789="debated"),"high",IF(AND(AG789="yes",L789="P0"),"medium","low"))</x:f>
        <x:v>high</x:v>
      </x:c>
      <x:c r="AK789" s="12" t="str">
        <x:f>IF(ISNUMBER(SEARCH("healthy",AB789)),"yes","no")</x:f>
        <x:v>no</x:v>
      </x:c>
      <x:c r="AL789" s="12" t="str">
        <x:f>IF(AG789="yes","yes","candidate_only")</x:f>
        <x:v>candidate_only</x:v>
      </x:c>
      <x:c r="AM789" s="12" t="str">
        <x:f>IF(OR(AC789="canonical",AG789="yes"),"yes","recommended")</x:f>
        <x:v>recommended</x:v>
      </x:c>
      <x:c r="AN789" s="12" t="str">
        <x:f>IF(AC789="deprecated","exclude",IF(AND(AG789="yes",AJ789="high"),"import_but_human_review_required",IF(AG789="yes","import_as_active","import_as_backlog")))</x:f>
        <x:v>import_as_backlog</x:v>
      </x:c>
      <x:c r="AO789" s="12" t="str">
        <x:f>IF(AND(AG789="yes",OR(P789="",Q789="",R789="",S789="")),"missing_required_mvp_fields",IF(AND(AC789="canonical",Y789=""),"missing_source_ref","ok"))</x:f>
        <x:v>ok</x:v>
      </x:c>
      <x:c r="AP789" s="12" t="str">
        <x:f>IF(AO789="ok","ready_for_codex_import","needs_review")</x:f>
        <x:v>ready_for_codex_import</x:v>
      </x:c>
      <x:c r="AQ789" s="12"/>
      <x:c r="AR789" s="12" t="str">
        <x:v>Added v2 operational fields. Review before classification activation.</x:v>
      </x:c>
    </x:row>
    <x:row r="790">
      <x:c r="A790" s="13" t="str">
        <x:v>leading_question_emotional_language_variant</x:v>
      </x:c>
      <x:c r="B790" s="13" t="str">
        <x:v>leading_question</x:v>
      </x:c>
      <x:c r="C790" s="13" t="str">
        <x:v>Leading question</x:v>
      </x:c>
      <x:c r="D790" s="13" t="str">
        <x:v>سؤال هدایت‌کننده</x:v>
      </x:c>
      <x:c r="E790" s="13" t="str">
        <x:v>Emotional-language variant</x:v>
      </x:c>
      <x:c r="F790" s="13" t="str">
        <x:v>rhetorical_manipulation_patterns</x:v>
      </x:c>
      <x:c r="G790" s="13" t="str">
        <x:v>operational_variant</x:v>
      </x:c>
      <x:c r="H790" s="13" t="str">
        <x:v>structural</x:v>
      </x:c>
      <x:c r="I790" s="13" t="str">
        <x:v>claim</x:v>
      </x:c>
      <x:c r="J790" s="13" t="str">
        <x:v>derived_operational_subtype</x:v>
      </x:c>
      <x:c r="K790" s="13" t="str">
        <x:v>derived_from_established_parent_review_required</x:v>
      </x:c>
      <x:c r="L790" s="13" t="str">
        <x:v>P2</x:v>
      </x:c>
      <x:c r="M790" s="13" t="str">
        <x:v>no</x:v>
      </x:c>
      <x:c r="N790" s="13" t="str">
        <x:v>Operational subtype under Leading question: emotion-laden wording carries argumentative weight. Parent definition: Question wording nudges a desired answer.</x:v>
      </x:c>
      <x:c r="O790" s="13" t="str">
        <x:v>Look for: explicit claim-level evidence; parent-family cues for Leading question; variant cue: emotion-laden wording carries argumentative weight; avoid author-level inference.</x:v>
      </x:c>
      <x:c r="P790" s="13" t="str">
        <x:v>Exact evidence span in text plus claim-level reasoning link; for contextual/discourse entries, require surrounding context.</x:v>
      </x:c>
      <x:c r="Q790" s="13" t="str">
        <x:v>Do not label merely because topic is controversial, emotional, or wrong. Do not judge intent or personality. Require textual evidence and consider healthy-reasoning cues.</x:v>
      </x:c>
      <x:c r="R790" s="13" t="str">
        <x:v>Stub: A claim relies on emotion-laden wording carries argumentative weight to support a conclusion without adequate qualification.</x:v>
      </x:c>
      <x:c r="S790" s="13" t="str">
        <x:v>Stub: A claim discusses leading question with caveats, balanced evidence, or no argumentative use of the pattern.</x:v>
      </x:c>
      <x:c r="T790" s="13" t="str">
        <x:v>Mild or ambiguous cue; do not classify without clear evidence span.</x:v>
      </x:c>
      <x:c r="U790" s="13" t="str">
        <x:v>Clear claim-level pattern with some argumentative impact.</x:v>
      </x:c>
      <x:c r="V790" s="13" t="str">
        <x:v>Strong pattern central to the conclusion and likely to materially distort reasoning.</x:v>
      </x:c>
      <x:c r="W790" s="13" t="str"/>
      <x:c r="X790" s="13" t="str">
        <x:v>grice_logic_conversation</x:v>
      </x:c>
      <x:c r="Y790" s="13" t="str">
        <x:v>https://doi.org/10.1163/9789004368811_003</x:v>
      </x:c>
      <x:c r="Z790" s="13" t="str">
        <x:v>Review before enabling. This workbook is a living taxonomy scaffold, not a validated scientific benchmark.</x:v>
      </x:c>
      <x:c r="AA790" s="13" t="str">
        <x:v>0.1.0-draft</x:v>
      </x:c>
      <x:c r="AB790" s="12" t="str">
        <x:f>IF(ISNUMBER(SEARCH("healthy",F790)),"healthy_reasoning_patterns",IF(ISNUMBER(SEARCH("statistical",F790)),"statistical_reasoning",IF(ISNUMBER(SEARCH("causal",F790)),"causal_reasoning",IF(ISNUMBER(SEARCH("social",F790)),"social_influence",IF(ISNUMBER(SEARCH("rhetoric",F790)),"rhetoric_discourse",IF(ISNUMBER(SEARCH("behavior",F790)),"behavioural_economics",IF(ISNUMBER(SEARCH("cognitive",F790)),"cognitive_biases",IF(J790="protective_pattern","healthy_reasoning_patterns",IF(L790="P0","core_mvp","extended_fallacies")))))))))</x:f>
        <x:v>rhetoric_discourse</x:v>
      </x:c>
      <x:c r="AC790" s="12" t="str">
        <x:f>IF(ISNUMBER(SEARCH("operational",J790)),"operational",IF(ISNUMBER(SEARCH("deprecated",J790)),"deprecated",IF(L790="P0","canonical","recognized_subtype")))</x:f>
        <x:v>operational</x:v>
      </x:c>
      <x:c r="AD790" s="12" t="str">
        <x:f>IF(AC790="canonical","high",IF(AC790="recognized_subtype","medium",IF(AC790="operational","operational_only","debated")))</x:f>
        <x:v>operational_only</x:v>
      </x:c>
      <x:c r="AE790" s="12" t="str">
        <x:f>IF(AC790="deprecated","deprecated",IF(M790="yes","active",IF(M790="review","review_required","backlog")))</x:f>
        <x:v>backlog</x:v>
      </x:c>
      <x:c r="AF790" s="12" t="str">
        <x:f>IF(OR(AE790="active",AE790="review_required"),"yes","no")</x:f>
        <x:v>no</x:v>
      </x:c>
      <x:c r="AG790" s="12" t="str">
        <x:f>IF(AND(AE790="active",M790="yes",NOT(ISNUMBER(SEARCH("healthy",AB790)))),"yes","no")</x:f>
        <x:v>no</x:v>
      </x:c>
      <x:c r="AH790" s="12" t="str">
        <x:f>IF(OR(H790="contextual",H790="dialogue",H790="discourse",I790="claim+context",I790="discourse_segment"),"yes","no")</x:f>
        <x:v>no</x:v>
      </x:c>
      <x:c r="AI790" s="12" t="str">
        <x:f>IF(OR(AH790="yes",AD790="debated",AC790="operational"),"yes","no")</x:f>
        <x:v>yes</x:v>
      </x:c>
      <x:c r="AJ790" s="12" t="str">
        <x:f>IF(OR(AH790="yes",AC790="operational",AD790="debated"),"high",IF(AND(AG790="yes",L790="P0"),"medium","low"))</x:f>
        <x:v>high</x:v>
      </x:c>
      <x:c r="AK790" s="12" t="str">
        <x:f>IF(ISNUMBER(SEARCH("healthy",AB790)),"yes","no")</x:f>
        <x:v>no</x:v>
      </x:c>
      <x:c r="AL790" s="12" t="str">
        <x:f>IF(AG790="yes","yes","candidate_only")</x:f>
        <x:v>candidate_only</x:v>
      </x:c>
      <x:c r="AM790" s="12" t="str">
        <x:f>IF(OR(AC790="canonical",AG790="yes"),"yes","recommended")</x:f>
        <x:v>recommended</x:v>
      </x:c>
      <x:c r="AN790" s="12" t="str">
        <x:f>IF(AC790="deprecated","exclude",IF(AND(AG790="yes",AJ790="high"),"import_but_human_review_required",IF(AG790="yes","import_as_active","import_as_backlog")))</x:f>
        <x:v>import_as_backlog</x:v>
      </x:c>
      <x:c r="AO790" s="12" t="str">
        <x:f>IF(AND(AG790="yes",OR(P790="",Q790="",R790="",S790="")),"missing_required_mvp_fields",IF(AND(AC790="canonical",Y790=""),"missing_source_ref","ok"))</x:f>
        <x:v>ok</x:v>
      </x:c>
      <x:c r="AP790" s="12" t="str">
        <x:f>IF(AO790="ok","ready_for_codex_import","needs_review")</x:f>
        <x:v>ready_for_codex_import</x:v>
      </x:c>
      <x:c r="AQ790" s="12"/>
      <x:c r="AR790" s="12" t="str">
        <x:v>Added v2 operational fields. Review before classification activation.</x:v>
      </x:c>
    </x:row>
    <x:row r="791">
      <x:c r="A791" s="13" t="str">
        <x:v>presupposition_trigger_emotional_language_variant</x:v>
      </x:c>
      <x:c r="B791" s="13" t="str">
        <x:v>presupposition_trigger</x:v>
      </x:c>
      <x:c r="C791" s="13" t="str">
        <x:v>Presupposition trigger</x:v>
      </x:c>
      <x:c r="D791" s="13" t="str">
        <x:v>برانگیزاننده پیش‌فرض</x:v>
      </x:c>
      <x:c r="E791" s="13" t="str">
        <x:v>Emotional-language variant</x:v>
      </x:c>
      <x:c r="F791" s="13" t="str">
        <x:v>rhetorical_manipulation_patterns</x:v>
      </x:c>
      <x:c r="G791" s="13" t="str">
        <x:v>operational_variant</x:v>
      </x:c>
      <x:c r="H791" s="13" t="str">
        <x:v>lexical</x:v>
      </x:c>
      <x:c r="I791" s="13" t="str">
        <x:v>claim</x:v>
      </x:c>
      <x:c r="J791" s="13" t="str">
        <x:v>derived_operational_subtype</x:v>
      </x:c>
      <x:c r="K791" s="13" t="str">
        <x:v>derived_from_established_parent_review_required</x:v>
      </x:c>
      <x:c r="L791" s="13" t="str">
        <x:v>P2</x:v>
      </x:c>
      <x:c r="M791" s="13" t="str">
        <x:v>no</x:v>
      </x:c>
      <x:c r="N791" s="13" t="str">
        <x:v>Operational subtype under Presupposition trigger: emotion-laden wording carries argumentative weight. Parent definition: Embedding assumptions through phrasing that treats them as given.</x:v>
      </x:c>
      <x:c r="O791" s="13" t="str">
        <x:v>Look for: explicit claim-level evidence; parent-family cues for Presupposition trigger; variant cue: emotion-laden wording carries argumentative weight; avoid author-level inference.</x:v>
      </x:c>
      <x:c r="P791" s="13" t="str">
        <x:v>Exact evidence span in text plus claim-level reasoning link; for contextual/discourse entries, require surrounding context.</x:v>
      </x:c>
      <x:c r="Q791" s="13" t="str">
        <x:v>Do not label merely because topic is controversial, emotional, or wrong. Do not judge intent or personality. Require textual evidence and consider healthy-reasoning cues.</x:v>
      </x:c>
      <x:c r="R791" s="13" t="str">
        <x:v>Stub: A claim relies on emotion-laden wording carries argumentative weight to support a conclusion without adequate qualification.</x:v>
      </x:c>
      <x:c r="S791" s="13" t="str">
        <x:v>Stub: A claim discusses presupposition trigger with caveats, balanced evidence, or no argumentative use of the pattern.</x:v>
      </x:c>
      <x:c r="T791" s="13" t="str">
        <x:v>Mild or ambiguous cue; do not classify without clear evidence span.</x:v>
      </x:c>
      <x:c r="U791" s="13" t="str">
        <x:v>Clear claim-level pattern with some argumentative impact.</x:v>
      </x:c>
      <x:c r="V791" s="13" t="str">
        <x:v>Strong pattern central to the conclusion and likely to materially distort reasoning.</x:v>
      </x:c>
      <x:c r="W791" s="13" t="str"/>
      <x:c r="X791" s="13" t="str">
        <x:v>grice_logic_conversation</x:v>
      </x:c>
      <x:c r="Y791" s="13" t="str">
        <x:v>https://doi.org/10.1163/9789004368811_003</x:v>
      </x:c>
      <x:c r="Z791" s="13" t="str">
        <x:v>Review before enabling. This workbook is a living taxonomy scaffold, not a validated scientific benchmark.</x:v>
      </x:c>
      <x:c r="AA791" s="13" t="str">
        <x:v>0.1.0-draft</x:v>
      </x:c>
      <x:c r="AB791" s="12" t="str">
        <x:f>IF(ISNUMBER(SEARCH("healthy",F791)),"healthy_reasoning_patterns",IF(ISNUMBER(SEARCH("statistical",F791)),"statistical_reasoning",IF(ISNUMBER(SEARCH("causal",F791)),"causal_reasoning",IF(ISNUMBER(SEARCH("social",F791)),"social_influence",IF(ISNUMBER(SEARCH("rhetoric",F791)),"rhetoric_discourse",IF(ISNUMBER(SEARCH("behavior",F791)),"behavioural_economics",IF(ISNUMBER(SEARCH("cognitive",F791)),"cognitive_biases",IF(J791="protective_pattern","healthy_reasoning_patterns",IF(L791="P0","core_mvp","extended_fallacies")))))))))</x:f>
        <x:v>rhetoric_discourse</x:v>
      </x:c>
      <x:c r="AC791" s="12" t="str">
        <x:f>IF(ISNUMBER(SEARCH("operational",J791)),"operational",IF(ISNUMBER(SEARCH("deprecated",J791)),"deprecated",IF(L791="P0","canonical","recognized_subtype")))</x:f>
        <x:v>operational</x:v>
      </x:c>
      <x:c r="AD791" s="12" t="str">
        <x:f>IF(AC791="canonical","high",IF(AC791="recognized_subtype","medium",IF(AC791="operational","operational_only","debated")))</x:f>
        <x:v>operational_only</x:v>
      </x:c>
      <x:c r="AE791" s="12" t="str">
        <x:f>IF(AC791="deprecated","deprecated",IF(M791="yes","active",IF(M791="review","review_required","backlog")))</x:f>
        <x:v>backlog</x:v>
      </x:c>
      <x:c r="AF791" s="12" t="str">
        <x:f>IF(OR(AE791="active",AE791="review_required"),"yes","no")</x:f>
        <x:v>no</x:v>
      </x:c>
      <x:c r="AG791" s="12" t="str">
        <x:f>IF(AND(AE791="active",M791="yes",NOT(ISNUMBER(SEARCH("healthy",AB791)))),"yes","no")</x:f>
        <x:v>no</x:v>
      </x:c>
      <x:c r="AH791" s="12" t="str">
        <x:f>IF(OR(H791="contextual",H791="dialogue",H791="discourse",I791="claim+context",I791="discourse_segment"),"yes","no")</x:f>
        <x:v>no</x:v>
      </x:c>
      <x:c r="AI791" s="12" t="str">
        <x:f>IF(OR(AH791="yes",AD791="debated",AC791="operational"),"yes","no")</x:f>
        <x:v>yes</x:v>
      </x:c>
      <x:c r="AJ791" s="12" t="str">
        <x:f>IF(OR(AH791="yes",AC791="operational",AD791="debated"),"high",IF(AND(AG791="yes",L791="P0"),"medium","low"))</x:f>
        <x:v>high</x:v>
      </x:c>
      <x:c r="AK791" s="12" t="str">
        <x:f>IF(ISNUMBER(SEARCH("healthy",AB791)),"yes","no")</x:f>
        <x:v>no</x:v>
      </x:c>
      <x:c r="AL791" s="12" t="str">
        <x:f>IF(AG791="yes","yes","candidate_only")</x:f>
        <x:v>candidate_only</x:v>
      </x:c>
      <x:c r="AM791" s="12" t="str">
        <x:f>IF(OR(AC791="canonical",AG791="yes"),"yes","recommended")</x:f>
        <x:v>recommended</x:v>
      </x:c>
      <x:c r="AN791" s="12" t="str">
        <x:f>IF(AC791="deprecated","exclude",IF(AND(AG791="yes",AJ791="high"),"import_but_human_review_required",IF(AG791="yes","import_as_active","import_as_backlog")))</x:f>
        <x:v>import_as_backlog</x:v>
      </x:c>
      <x:c r="AO791" s="12" t="str">
        <x:f>IF(AND(AG791="yes",OR(P791="",Q791="",R791="",S791="")),"missing_required_mvp_fields",IF(AND(AC791="canonical",Y791=""),"missing_source_ref","ok"))</x:f>
        <x:v>ok</x:v>
      </x:c>
      <x:c r="AP791" s="12" t="str">
        <x:f>IF(AO791="ok","ready_for_codex_import","needs_review")</x:f>
        <x:v>ready_for_codex_import</x:v>
      </x:c>
      <x:c r="AQ791" s="12"/>
      <x:c r="AR791" s="12" t="str">
        <x:v>Added v2 operational fields. Review before classification activation.</x:v>
      </x:c>
    </x:row>
    <x:row r="792">
      <x:c r="A792" s="13" t="str">
        <x:v>card_stacking_emotional_language_variant</x:v>
      </x:c>
      <x:c r="B792" s="13" t="str">
        <x:v>card_stacking</x:v>
      </x:c>
      <x:c r="C792" s="13" t="str">
        <x:v>Card stacking</x:v>
      </x:c>
      <x:c r="D792" s="13" t="str">
        <x:v>چیدن یک‌طرفه کارت‌ها</x:v>
      </x:c>
      <x:c r="E792" s="13" t="str">
        <x:v>Emotional-language variant</x:v>
      </x:c>
      <x:c r="F792" s="13" t="str">
        <x:v>rhetorical_manipulation_patterns</x:v>
      </x:c>
      <x:c r="G792" s="13" t="str">
        <x:v>operational_variant</x:v>
      </x:c>
      <x:c r="H792" s="13" t="str">
        <x:v>contextual</x:v>
      </x:c>
      <x:c r="I792" s="13" t="str">
        <x:v>claim+context</x:v>
      </x:c>
      <x:c r="J792" s="13" t="str">
        <x:v>derived_operational_subtype</x:v>
      </x:c>
      <x:c r="K792" s="13" t="str">
        <x:v>derived_from_established_parent_review_required</x:v>
      </x:c>
      <x:c r="L792" s="13" t="str">
        <x:v>P2</x:v>
      </x:c>
      <x:c r="M792" s="13" t="str">
        <x:v>no</x:v>
      </x:c>
      <x:c r="N792" s="13" t="str">
        <x:v>Operational subtype under Card stacking: emotion-laden wording carries argumentative weight. Parent definition: Arranging only favorable points while suppressing unfavorable ones.</x:v>
      </x:c>
      <x:c r="O792" s="13" t="str">
        <x:v>Look for: explicit claim-level evidence; parent-family cues for Card stacking; variant cue: emotion-laden wording carries argumentative weight; avoid author-level inference.</x:v>
      </x:c>
      <x:c r="P792" s="13" t="str">
        <x:v>Exact evidence span in text plus claim-level reasoning link; for contextual/discourse entries, require surrounding context.</x:v>
      </x:c>
      <x:c r="Q792" s="13" t="str">
        <x:v>Do not label merely because topic is controversial, emotional, or wrong. Do not judge intent or personality. Require textual evidence and consider healthy-reasoning cues.</x:v>
      </x:c>
      <x:c r="R792" s="13" t="str">
        <x:v>Stub: A claim relies on emotion-laden wording carries argumentative weight to support a conclusion without adequate qualification.</x:v>
      </x:c>
      <x:c r="S792" s="13" t="str">
        <x:v>Stub: A claim discusses card stacking with caveats, balanced evidence, or no argumentative use of the pattern.</x:v>
      </x:c>
      <x:c r="T792" s="13" t="str">
        <x:v>Mild or ambiguous cue; do not classify without clear evidence span.</x:v>
      </x:c>
      <x:c r="U792" s="13" t="str">
        <x:v>Clear claim-level pattern with some argumentative impact.</x:v>
      </x:c>
      <x:c r="V792" s="13" t="str">
        <x:v>Strong pattern central to the conclusion and likely to materially distort reasoning.</x:v>
      </x:c>
      <x:c r="W792" s="13" t="str"/>
      <x:c r="X792" s="13" t="str">
        <x:v>sep_informal_logic</x:v>
      </x:c>
      <x:c r="Y792" s="13" t="str">
        <x:v>https://plato.stanford.edu/entries/logic-informal/</x:v>
      </x:c>
      <x:c r="Z792" s="13" t="str">
        <x:v>Review before enabling. This workbook is a living taxonomy scaffold, not a validated scientific benchmark.</x:v>
      </x:c>
      <x:c r="AA792" s="13" t="str">
        <x:v>0.1.0-draft</x:v>
      </x:c>
      <x:c r="AB792" s="12" t="str">
        <x:f>IF(ISNUMBER(SEARCH("healthy",F792)),"healthy_reasoning_patterns",IF(ISNUMBER(SEARCH("statistical",F792)),"statistical_reasoning",IF(ISNUMBER(SEARCH("causal",F792)),"causal_reasoning",IF(ISNUMBER(SEARCH("social",F792)),"social_influence",IF(ISNUMBER(SEARCH("rhetoric",F792)),"rhetoric_discourse",IF(ISNUMBER(SEARCH("behavior",F792)),"behavioural_economics",IF(ISNUMBER(SEARCH("cognitive",F792)),"cognitive_biases",IF(J792="protective_pattern","healthy_reasoning_patterns",IF(L792="P0","core_mvp","extended_fallacies")))))))))</x:f>
        <x:v>rhetoric_discourse</x:v>
      </x:c>
      <x:c r="AC792" s="12" t="str">
        <x:f>IF(ISNUMBER(SEARCH("operational",J792)),"operational",IF(ISNUMBER(SEARCH("deprecated",J792)),"deprecated",IF(L792="P0","canonical","recognized_subtype")))</x:f>
        <x:v>operational</x:v>
      </x:c>
      <x:c r="AD792" s="12" t="str">
        <x:f>IF(AC792="canonical","high",IF(AC792="recognized_subtype","medium",IF(AC792="operational","operational_only","debated")))</x:f>
        <x:v>operational_only</x:v>
      </x:c>
      <x:c r="AE792" s="12" t="str">
        <x:f>IF(AC792="deprecated","deprecated",IF(M792="yes","active",IF(M792="review","review_required","backlog")))</x:f>
        <x:v>backlog</x:v>
      </x:c>
      <x:c r="AF792" s="12" t="str">
        <x:f>IF(OR(AE792="active",AE792="review_required"),"yes","no")</x:f>
        <x:v>no</x:v>
      </x:c>
      <x:c r="AG792" s="12" t="str">
        <x:f>IF(AND(AE792="active",M792="yes",NOT(ISNUMBER(SEARCH("healthy",AB792)))),"yes","no")</x:f>
        <x:v>no</x:v>
      </x:c>
      <x:c r="AH792" s="12" t="str">
        <x:f>IF(OR(H792="contextual",H792="dialogue",H792="discourse",I792="claim+context",I792="discourse_segment"),"yes","no")</x:f>
        <x:v>yes</x:v>
      </x:c>
      <x:c r="AI792" s="12" t="str">
        <x:f>IF(OR(AH792="yes",AD792="debated",AC792="operational"),"yes","no")</x:f>
        <x:v>yes</x:v>
      </x:c>
      <x:c r="AJ792" s="12" t="str">
        <x:f>IF(OR(AH792="yes",AC792="operational",AD792="debated"),"high",IF(AND(AG792="yes",L792="P0"),"medium","low"))</x:f>
        <x:v>high</x:v>
      </x:c>
      <x:c r="AK792" s="12" t="str">
        <x:f>IF(ISNUMBER(SEARCH("healthy",AB792)),"yes","no")</x:f>
        <x:v>no</x:v>
      </x:c>
      <x:c r="AL792" s="12" t="str">
        <x:f>IF(AG792="yes","yes","candidate_only")</x:f>
        <x:v>candidate_only</x:v>
      </x:c>
      <x:c r="AM792" s="12" t="str">
        <x:f>IF(OR(AC792="canonical",AG792="yes"),"yes","recommended")</x:f>
        <x:v>recommended</x:v>
      </x:c>
      <x:c r="AN792" s="12" t="str">
        <x:f>IF(AC792="deprecated","exclude",IF(AND(AG792="yes",AJ792="high"),"import_but_human_review_required",IF(AG792="yes","import_as_active","import_as_backlog")))</x:f>
        <x:v>import_as_backlog</x:v>
      </x:c>
      <x:c r="AO792" s="12" t="str">
        <x:f>IF(AND(AG792="yes",OR(P792="",Q792="",R792="",S792="")),"missing_required_mvp_fields",IF(AND(AC792="canonical",Y792=""),"missing_source_ref","ok"))</x:f>
        <x:v>ok</x:v>
      </x:c>
      <x:c r="AP792" s="12" t="str">
        <x:f>IF(AO792="ok","ready_for_codex_import","needs_review")</x:f>
        <x:v>ready_for_codex_import</x:v>
      </x:c>
      <x:c r="AQ792" s="12"/>
      <x:c r="AR792" s="12" t="str">
        <x:v>Added v2 operational fields. Review before classification activation.</x:v>
      </x:c>
    </x:row>
    <x:row r="793">
      <x:c r="A793" s="13" t="str">
        <x:v>slogan_substitution_emotional_language_variant</x:v>
      </x:c>
      <x:c r="B793" s="13" t="str">
        <x:v>slogan_substitution</x:v>
      </x:c>
      <x:c r="C793" s="13" t="str">
        <x:v>Slogan substitution</x:v>
      </x:c>
      <x:c r="D793" s="13" t="str">
        <x:v>جایگزینی شعار به جای دلیل</x:v>
      </x:c>
      <x:c r="E793" s="13" t="str">
        <x:v>Emotional-language variant</x:v>
      </x:c>
      <x:c r="F793" s="13" t="str">
        <x:v>rhetorical_manipulation_patterns</x:v>
      </x:c>
      <x:c r="G793" s="13" t="str">
        <x:v>operational_variant</x:v>
      </x:c>
      <x:c r="H793" s="13" t="str">
        <x:v>discourse</x:v>
      </x:c>
      <x:c r="I793" s="13" t="str">
        <x:v>discourse_segment</x:v>
      </x:c>
      <x:c r="J793" s="13" t="str">
        <x:v>derived_operational_subtype</x:v>
      </x:c>
      <x:c r="K793" s="13" t="str">
        <x:v>derived_from_established_parent_review_required</x:v>
      </x:c>
      <x:c r="L793" s="13" t="str">
        <x:v>P2</x:v>
      </x:c>
      <x:c r="M793" s="13" t="str">
        <x:v>no</x:v>
      </x:c>
      <x:c r="N793" s="13" t="str">
        <x:v>Operational subtype under Slogan substitution: emotion-laden wording carries argumentative weight. Parent definition: Replacing argument with a memorable phrase.</x:v>
      </x:c>
      <x:c r="O793" s="13" t="str">
        <x:v>Look for: explicit claim-level evidence; parent-family cues for Slogan substitution; variant cue: emotion-laden wording carries argumentative weight; avoid author-level inference.</x:v>
      </x:c>
      <x:c r="P793" s="13" t="str">
        <x:v>Exact evidence span in text plus claim-level reasoning link; for contextual/discourse entries, require surrounding context.</x:v>
      </x:c>
      <x:c r="Q793" s="13" t="str">
        <x:v>Do not label merely because topic is controversial, emotional, or wrong. Do not judge intent or personality. Require textual evidence and consider healthy-reasoning cues.</x:v>
      </x:c>
      <x:c r="R793" s="13" t="str">
        <x:v>Stub: A claim relies on emotion-laden wording carries argumentative weight to support a conclusion without adequate qualification.</x:v>
      </x:c>
      <x:c r="S793" s="13" t="str">
        <x:v>Stub: A claim discusses slogan substitution with caveats, balanced evidence, or no argumentative use of the pattern.</x:v>
      </x:c>
      <x:c r="T793" s="13" t="str">
        <x:v>Mild or ambiguous cue; do not classify without clear evidence span.</x:v>
      </x:c>
      <x:c r="U793" s="13" t="str">
        <x:v>Clear claim-level pattern with some argumentative impact.</x:v>
      </x:c>
      <x:c r="V793" s="13" t="str">
        <x:v>Strong pattern central to the conclusion and likely to materially distort reasoning.</x:v>
      </x:c>
      <x:c r="W793" s="13" t="str"/>
      <x:c r="X793" s="13" t="str">
        <x:v>grice_logic_conversation</x:v>
      </x:c>
      <x:c r="Y793" s="13" t="str">
        <x:v>https://doi.org/10.1163/9789004368811_003</x:v>
      </x:c>
      <x:c r="Z793" s="13" t="str">
        <x:v>Review before enabling. This workbook is a living taxonomy scaffold, not a validated scientific benchmark.</x:v>
      </x:c>
      <x:c r="AA793" s="13" t="str">
        <x:v>0.1.0-draft</x:v>
      </x:c>
      <x:c r="AB793" s="12" t="str">
        <x:f>IF(ISNUMBER(SEARCH("healthy",F793)),"healthy_reasoning_patterns",IF(ISNUMBER(SEARCH("statistical",F793)),"statistical_reasoning",IF(ISNUMBER(SEARCH("causal",F793)),"causal_reasoning",IF(ISNUMBER(SEARCH("social",F793)),"social_influence",IF(ISNUMBER(SEARCH("rhetoric",F793)),"rhetoric_discourse",IF(ISNUMBER(SEARCH("behavior",F793)),"behavioural_economics",IF(ISNUMBER(SEARCH("cognitive",F793)),"cognitive_biases",IF(J793="protective_pattern","healthy_reasoning_patterns",IF(L793="P0","core_mvp","extended_fallacies")))))))))</x:f>
        <x:v>rhetoric_discourse</x:v>
      </x:c>
      <x:c r="AC793" s="12" t="str">
        <x:f>IF(ISNUMBER(SEARCH("operational",J793)),"operational",IF(ISNUMBER(SEARCH("deprecated",J793)),"deprecated",IF(L793="P0","canonical","recognized_subtype")))</x:f>
        <x:v>operational</x:v>
      </x:c>
      <x:c r="AD793" s="12" t="str">
        <x:f>IF(AC793="canonical","high",IF(AC793="recognized_subtype","medium",IF(AC793="operational","operational_only","debated")))</x:f>
        <x:v>operational_only</x:v>
      </x:c>
      <x:c r="AE793" s="12" t="str">
        <x:f>IF(AC793="deprecated","deprecated",IF(M793="yes","active",IF(M793="review","review_required","backlog")))</x:f>
        <x:v>backlog</x:v>
      </x:c>
      <x:c r="AF793" s="12" t="str">
        <x:f>IF(OR(AE793="active",AE793="review_required"),"yes","no")</x:f>
        <x:v>no</x:v>
      </x:c>
      <x:c r="AG793" s="12" t="str">
        <x:f>IF(AND(AE793="active",M793="yes",NOT(ISNUMBER(SEARCH("healthy",AB793)))),"yes","no")</x:f>
        <x:v>no</x:v>
      </x:c>
      <x:c r="AH793" s="12" t="str">
        <x:f>IF(OR(H793="contextual",H793="dialogue",H793="discourse",I793="claim+context",I793="discourse_segment"),"yes","no")</x:f>
        <x:v>yes</x:v>
      </x:c>
      <x:c r="AI793" s="12" t="str">
        <x:f>IF(OR(AH793="yes",AD793="debated",AC793="operational"),"yes","no")</x:f>
        <x:v>yes</x:v>
      </x:c>
      <x:c r="AJ793" s="12" t="str">
        <x:f>IF(OR(AH793="yes",AC793="operational",AD793="debated"),"high",IF(AND(AG793="yes",L793="P0"),"medium","low"))</x:f>
        <x:v>high</x:v>
      </x:c>
      <x:c r="AK793" s="12" t="str">
        <x:f>IF(ISNUMBER(SEARCH("healthy",AB793)),"yes","no")</x:f>
        <x:v>no</x:v>
      </x:c>
      <x:c r="AL793" s="12" t="str">
        <x:f>IF(AG793="yes","yes","candidate_only")</x:f>
        <x:v>candidate_only</x:v>
      </x:c>
      <x:c r="AM793" s="12" t="str">
        <x:f>IF(OR(AC793="canonical",AG793="yes"),"yes","recommended")</x:f>
        <x:v>recommended</x:v>
      </x:c>
      <x:c r="AN793" s="12" t="str">
        <x:f>IF(AC793="deprecated","exclude",IF(AND(AG793="yes",AJ793="high"),"import_but_human_review_required",IF(AG793="yes","import_as_active","import_as_backlog")))</x:f>
        <x:v>import_as_backlog</x:v>
      </x:c>
      <x:c r="AO793" s="12" t="str">
        <x:f>IF(AND(AG793="yes",OR(P793="",Q793="",R793="",S793="")),"missing_required_mvp_fields",IF(AND(AC793="canonical",Y793=""),"missing_source_ref","ok"))</x:f>
        <x:v>ok</x:v>
      </x:c>
      <x:c r="AP793" s="12" t="str">
        <x:f>IF(AO793="ok","ready_for_codex_import","needs_review")</x:f>
        <x:v>ready_for_codex_import</x:v>
      </x:c>
      <x:c r="AQ793" s="12"/>
      <x:c r="AR793" s="12" t="str">
        <x:v>Added v2 operational fields. Review before classification activation.</x:v>
      </x:c>
    </x:row>
    <x:row r="794">
      <x:c r="A794" s="13" t="str">
        <x:v>repetition_effect_argument_emotional_language_variant</x:v>
      </x:c>
      <x:c r="B794" s="13" t="str">
        <x:v>repetition_effect_argument</x:v>
      </x:c>
      <x:c r="C794" s="13" t="str">
        <x:v>Repetition-as-evidence</x:v>
      </x:c>
      <x:c r="D794" s="13" t="str">
        <x:v>تکرار به جای دلیل</x:v>
      </x:c>
      <x:c r="E794" s="13" t="str">
        <x:v>Emotional-language variant</x:v>
      </x:c>
      <x:c r="F794" s="13" t="str">
        <x:v>rhetorical_manipulation_patterns</x:v>
      </x:c>
      <x:c r="G794" s="13" t="str">
        <x:v>operational_variant</x:v>
      </x:c>
      <x:c r="H794" s="13" t="str">
        <x:v>discourse</x:v>
      </x:c>
      <x:c r="I794" s="13" t="str">
        <x:v>discourse_segment</x:v>
      </x:c>
      <x:c r="J794" s="13" t="str">
        <x:v>derived_operational_subtype</x:v>
      </x:c>
      <x:c r="K794" s="13" t="str">
        <x:v>derived_from_established_parent_review_required</x:v>
      </x:c>
      <x:c r="L794" s="13" t="str">
        <x:v>P2</x:v>
      </x:c>
      <x:c r="M794" s="13" t="str">
        <x:v>no</x:v>
      </x:c>
      <x:c r="N794" s="13" t="str">
        <x:v>Operational subtype under Repetition-as-evidence: emotion-laden wording carries argumentative weight. Parent definition: Repeating a claim as if repetition increases its evidential support.</x:v>
      </x:c>
      <x:c r="O794" s="13" t="str">
        <x:v>Look for: explicit claim-level evidence; parent-family cues for Repetition-as-evidence; variant cue: emotion-laden wording carries argumentative weight; avoid author-level inference.</x:v>
      </x:c>
      <x:c r="P794" s="13" t="str">
        <x:v>Exact evidence span in text plus claim-level reasoning link; for contextual/discourse entries, require surrounding context.</x:v>
      </x:c>
      <x:c r="Q794" s="13" t="str">
        <x:v>Do not label merely because topic is controversial, emotional, or wrong. Do not judge intent or personality. Require textual evidence and consider healthy-reasoning cues.</x:v>
      </x:c>
      <x:c r="R794" s="13" t="str">
        <x:v>Stub: A claim relies on emotion-laden wording carries argumentative weight to support a conclusion without adequate qualification.</x:v>
      </x:c>
      <x:c r="S794" s="13" t="str">
        <x:v>Stub: A claim discusses repetition-as-evidence with caveats, balanced evidence, or no argumentative use of the pattern.</x:v>
      </x:c>
      <x:c r="T794" s="13" t="str">
        <x:v>Mild or ambiguous cue; do not classify without clear evidence span.</x:v>
      </x:c>
      <x:c r="U794" s="13" t="str">
        <x:v>Clear claim-level pattern with some argumentative impact.</x:v>
      </x:c>
      <x:c r="V794" s="13" t="str">
        <x:v>Strong pattern central to the conclusion and likely to materially distort reasoning.</x:v>
      </x:c>
      <x:c r="W794" s="13" t="str"/>
      <x:c r="X794" s="13" t="str">
        <x:v>grice_logic_conversation</x:v>
      </x:c>
      <x:c r="Y794" s="13" t="str">
        <x:v>https://doi.org/10.1163/9789004368811_003</x:v>
      </x:c>
      <x:c r="Z794" s="13" t="str">
        <x:v>Review before enabling. This workbook is a living taxonomy scaffold, not a validated scientific benchmark.</x:v>
      </x:c>
      <x:c r="AA794" s="13" t="str">
        <x:v>0.1.0-draft</x:v>
      </x:c>
      <x:c r="AB794" s="12" t="str">
        <x:f>IF(ISNUMBER(SEARCH("healthy",F794)),"healthy_reasoning_patterns",IF(ISNUMBER(SEARCH("statistical",F794)),"statistical_reasoning",IF(ISNUMBER(SEARCH("causal",F794)),"causal_reasoning",IF(ISNUMBER(SEARCH("social",F794)),"social_influence",IF(ISNUMBER(SEARCH("rhetoric",F794)),"rhetoric_discourse",IF(ISNUMBER(SEARCH("behavior",F794)),"behavioural_economics",IF(ISNUMBER(SEARCH("cognitive",F794)),"cognitive_biases",IF(J794="protective_pattern","healthy_reasoning_patterns",IF(L794="P0","core_mvp","extended_fallacies")))))))))</x:f>
        <x:v>rhetoric_discourse</x:v>
      </x:c>
      <x:c r="AC794" s="12" t="str">
        <x:f>IF(ISNUMBER(SEARCH("operational",J794)),"operational",IF(ISNUMBER(SEARCH("deprecated",J794)),"deprecated",IF(L794="P0","canonical","recognized_subtype")))</x:f>
        <x:v>operational</x:v>
      </x:c>
      <x:c r="AD794" s="12" t="str">
        <x:f>IF(AC794="canonical","high",IF(AC794="recognized_subtype","medium",IF(AC794="operational","operational_only","debated")))</x:f>
        <x:v>operational_only</x:v>
      </x:c>
      <x:c r="AE794" s="12" t="str">
        <x:f>IF(AC794="deprecated","deprecated",IF(M794="yes","active",IF(M794="review","review_required","backlog")))</x:f>
        <x:v>backlog</x:v>
      </x:c>
      <x:c r="AF794" s="12" t="str">
        <x:f>IF(OR(AE794="active",AE794="review_required"),"yes","no")</x:f>
        <x:v>no</x:v>
      </x:c>
      <x:c r="AG794" s="12" t="str">
        <x:f>IF(AND(AE794="active",M794="yes",NOT(ISNUMBER(SEARCH("healthy",AB794)))),"yes","no")</x:f>
        <x:v>no</x:v>
      </x:c>
      <x:c r="AH794" s="12" t="str">
        <x:f>IF(OR(H794="contextual",H794="dialogue",H794="discourse",I794="claim+context",I794="discourse_segment"),"yes","no")</x:f>
        <x:v>yes</x:v>
      </x:c>
      <x:c r="AI794" s="12" t="str">
        <x:f>IF(OR(AH794="yes",AD794="debated",AC794="operational"),"yes","no")</x:f>
        <x:v>yes</x:v>
      </x:c>
      <x:c r="AJ794" s="12" t="str">
        <x:f>IF(OR(AH794="yes",AC794="operational",AD794="debated"),"high",IF(AND(AG794="yes",L794="P0"),"medium","low"))</x:f>
        <x:v>high</x:v>
      </x:c>
      <x:c r="AK794" s="12" t="str">
        <x:f>IF(ISNUMBER(SEARCH("healthy",AB794)),"yes","no")</x:f>
        <x:v>no</x:v>
      </x:c>
      <x:c r="AL794" s="12" t="str">
        <x:f>IF(AG794="yes","yes","candidate_only")</x:f>
        <x:v>candidate_only</x:v>
      </x:c>
      <x:c r="AM794" s="12" t="str">
        <x:f>IF(OR(AC794="canonical",AG794="yes"),"yes","recommended")</x:f>
        <x:v>recommended</x:v>
      </x:c>
      <x:c r="AN794" s="12" t="str">
        <x:f>IF(AC794="deprecated","exclude",IF(AND(AG794="yes",AJ794="high"),"import_but_human_review_required",IF(AG794="yes","import_as_active","import_as_backlog")))</x:f>
        <x:v>import_as_backlog</x:v>
      </x:c>
      <x:c r="AO794" s="12" t="str">
        <x:f>IF(AND(AG794="yes",OR(P794="",Q794="",R794="",S794="")),"missing_required_mvp_fields",IF(AND(AC794="canonical",Y794=""),"missing_source_ref","ok"))</x:f>
        <x:v>ok</x:v>
      </x:c>
      <x:c r="AP794" s="12" t="str">
        <x:f>IF(AO794="ok","ready_for_codex_import","needs_review")</x:f>
        <x:v>ready_for_codex_import</x:v>
      </x:c>
      <x:c r="AQ794" s="12"/>
      <x:c r="AR794" s="12" t="str">
        <x:v>Added v2 operational fields. Review before classification activation.</x:v>
      </x:c>
    </x:row>
    <x:row r="795">
      <x:c r="A795" s="13" t="str">
        <x:v>false_balance_rhetoric_emotional_language_variant</x:v>
      </x:c>
      <x:c r="B795" s="13" t="str">
        <x:v>false_balance_rhetoric</x:v>
      </x:c>
      <x:c r="C795" s="13" t="str">
        <x:v>False balance</x:v>
      </x:c>
      <x:c r="D795" s="13" t="str">
        <x:v>توازن کاذب</x:v>
      </x:c>
      <x:c r="E795" s="13" t="str">
        <x:v>Emotional-language variant</x:v>
      </x:c>
      <x:c r="F795" s="13" t="str">
        <x:v>rhetorical_manipulation_patterns</x:v>
      </x:c>
      <x:c r="G795" s="13" t="str">
        <x:v>operational_variant</x:v>
      </x:c>
      <x:c r="H795" s="13" t="str">
        <x:v>contextual</x:v>
      </x:c>
      <x:c r="I795" s="13" t="str">
        <x:v>claim+context</x:v>
      </x:c>
      <x:c r="J795" s="13" t="str">
        <x:v>derived_operational_subtype</x:v>
      </x:c>
      <x:c r="K795" s="13" t="str">
        <x:v>derived_from_established_parent_review_required</x:v>
      </x:c>
      <x:c r="L795" s="13" t="str">
        <x:v>P2</x:v>
      </x:c>
      <x:c r="M795" s="13" t="str">
        <x:v>no</x:v>
      </x:c>
      <x:c r="N795" s="13" t="str">
        <x:v>Operational subtype under False balance: emotion-laden wording carries argumentative weight. Parent definition: Presenting unequal evidence positions as equally supported.</x:v>
      </x:c>
      <x:c r="O795" s="13" t="str">
        <x:v>Look for: explicit claim-level evidence; parent-family cues for False balance; variant cue: emotion-laden wording carries argumentative weight; avoid author-level inference.</x:v>
      </x:c>
      <x:c r="P795" s="13" t="str">
        <x:v>Exact evidence span in text plus claim-level reasoning link; for contextual/discourse entries, require surrounding context.</x:v>
      </x:c>
      <x:c r="Q795" s="13" t="str">
        <x:v>Do not label merely because topic is controversial, emotional, or wrong. Do not judge intent or personality. Require textual evidence and consider healthy-reasoning cues.</x:v>
      </x:c>
      <x:c r="R795" s="13" t="str">
        <x:v>Stub: A claim relies on emotion-laden wording carries argumentative weight to support a conclusion without adequate qualification.</x:v>
      </x:c>
      <x:c r="S795" s="13" t="str">
        <x:v>Stub: A claim discusses false balance with caveats, balanced evidence, or no argumentative use of the pattern.</x:v>
      </x:c>
      <x:c r="T795" s="13" t="str">
        <x:v>Mild or ambiguous cue; do not classify without clear evidence span.</x:v>
      </x:c>
      <x:c r="U795" s="13" t="str">
        <x:v>Clear claim-level pattern with some argumentative impact.</x:v>
      </x:c>
      <x:c r="V795" s="13" t="str">
        <x:v>Strong pattern central to the conclusion and likely to materially distort reasoning.</x:v>
      </x:c>
      <x:c r="W795" s="13" t="str">
        <x:v>cherry_picking; missing_counterevidence; evidence_grading</x:v>
      </x:c>
      <x:c r="X795" s="13" t="str">
        <x:v>sep_informal_logic</x:v>
      </x:c>
      <x:c r="Y795" s="13" t="str">
        <x:v>https://plato.stanford.edu/entries/logic-informal/</x:v>
      </x:c>
      <x:c r="Z795" s="13" t="str">
        <x:v>Review before enabling. This workbook is a living taxonomy scaffold, not a validated scientific benchmark.</x:v>
      </x:c>
      <x:c r="AA795" s="13" t="str">
        <x:v>0.1.0-draft</x:v>
      </x:c>
      <x:c r="AB795" s="12" t="str">
        <x:f>IF(ISNUMBER(SEARCH("healthy",F795)),"healthy_reasoning_patterns",IF(ISNUMBER(SEARCH("statistical",F795)),"statistical_reasoning",IF(ISNUMBER(SEARCH("causal",F795)),"causal_reasoning",IF(ISNUMBER(SEARCH("social",F795)),"social_influence",IF(ISNUMBER(SEARCH("rhetoric",F795)),"rhetoric_discourse",IF(ISNUMBER(SEARCH("behavior",F795)),"behavioural_economics",IF(ISNUMBER(SEARCH("cognitive",F795)),"cognitive_biases",IF(J795="protective_pattern","healthy_reasoning_patterns",IF(L795="P0","core_mvp","extended_fallacies")))))))))</x:f>
        <x:v>rhetoric_discourse</x:v>
      </x:c>
      <x:c r="AC795" s="12" t="str">
        <x:f>IF(ISNUMBER(SEARCH("operational",J795)),"operational",IF(ISNUMBER(SEARCH("deprecated",J795)),"deprecated",IF(L795="P0","canonical","recognized_subtype")))</x:f>
        <x:v>operational</x:v>
      </x:c>
      <x:c r="AD795" s="12" t="str">
        <x:f>IF(AC795="canonical","high",IF(AC795="recognized_subtype","medium",IF(AC795="operational","operational_only","debated")))</x:f>
        <x:v>operational_only</x:v>
      </x:c>
      <x:c r="AE795" s="12" t="str">
        <x:f>IF(AC795="deprecated","deprecated",IF(M795="yes","active",IF(M795="review","review_required","backlog")))</x:f>
        <x:v>backlog</x:v>
      </x:c>
      <x:c r="AF795" s="12" t="str">
        <x:f>IF(OR(AE795="active",AE795="review_required"),"yes","no")</x:f>
        <x:v>no</x:v>
      </x:c>
      <x:c r="AG795" s="12" t="str">
        <x:f>IF(AND(AE795="active",M795="yes",NOT(ISNUMBER(SEARCH("healthy",AB795)))),"yes","no")</x:f>
        <x:v>no</x:v>
      </x:c>
      <x:c r="AH795" s="12" t="str">
        <x:f>IF(OR(H795="contextual",H795="dialogue",H795="discourse",I795="claim+context",I795="discourse_segment"),"yes","no")</x:f>
        <x:v>yes</x:v>
      </x:c>
      <x:c r="AI795" s="12" t="str">
        <x:f>IF(OR(AH795="yes",AD795="debated",AC795="operational"),"yes","no")</x:f>
        <x:v>yes</x:v>
      </x:c>
      <x:c r="AJ795" s="12" t="str">
        <x:f>IF(OR(AH795="yes",AC795="operational",AD795="debated"),"high",IF(AND(AG795="yes",L795="P0"),"medium","low"))</x:f>
        <x:v>high</x:v>
      </x:c>
      <x:c r="AK795" s="12" t="str">
        <x:f>IF(ISNUMBER(SEARCH("healthy",AB795)),"yes","no")</x:f>
        <x:v>no</x:v>
      </x:c>
      <x:c r="AL795" s="12" t="str">
        <x:f>IF(AG795="yes","yes","candidate_only")</x:f>
        <x:v>candidate_only</x:v>
      </x:c>
      <x:c r="AM795" s="12" t="str">
        <x:f>IF(OR(AC795="canonical",AG795="yes"),"yes","recommended")</x:f>
        <x:v>recommended</x:v>
      </x:c>
      <x:c r="AN795" s="12" t="str">
        <x:f>IF(AC795="deprecated","exclude",IF(AND(AG795="yes",AJ795="high"),"import_but_human_review_required",IF(AG795="yes","import_as_active","import_as_backlog")))</x:f>
        <x:v>import_as_backlog</x:v>
      </x:c>
      <x:c r="AO795" s="12" t="str">
        <x:f>IF(AND(AG795="yes",OR(P795="",Q795="",R795="",S795="")),"missing_required_mvp_fields",IF(AND(AC795="canonical",Y795=""),"missing_source_ref","ok"))</x:f>
        <x:v>ok</x:v>
      </x:c>
      <x:c r="AP795" s="12" t="str">
        <x:f>IF(AO795="ok","ready_for_codex_import","needs_review")</x:f>
        <x:v>ready_for_codex_import</x:v>
      </x:c>
      <x:c r="AQ795" s="12"/>
      <x:c r="AR795" s="12" t="str">
        <x:v>Added v2 operational fields. Review before classification activation.</x:v>
      </x:c>
    </x:row>
    <x:row r="796">
      <x:c r="A796" s="13" t="str">
        <x:v>loaded_language_omission_emphasis_variant</x:v>
      </x:c>
      <x:c r="B796" s="13" t="str">
        <x:v>loaded_language</x:v>
      </x:c>
      <x:c r="C796" s="13" t="str">
        <x:v>Loaded language</x:v>
      </x:c>
      <x:c r="D796" s="13" t="str">
        <x:v>زبان بارگذاری‌شده</x:v>
      </x:c>
      <x:c r="E796" s="13" t="str">
        <x:v>Omission/emphasis variant</x:v>
      </x:c>
      <x:c r="F796" s="13" t="str">
        <x:v>rhetorical_manipulation_patterns</x:v>
      </x:c>
      <x:c r="G796" s="13" t="str">
        <x:v>operational_variant</x:v>
      </x:c>
      <x:c r="H796" s="13" t="str">
        <x:v>lexical</x:v>
      </x:c>
      <x:c r="I796" s="13" t="str">
        <x:v>claim</x:v>
      </x:c>
      <x:c r="J796" s="13" t="str">
        <x:v>derived_operational_subtype</x:v>
      </x:c>
      <x:c r="K796" s="13" t="str">
        <x:v>derived_from_established_parent_review_required</x:v>
      </x:c>
      <x:c r="L796" s="13" t="str">
        <x:v>P2</x:v>
      </x:c>
      <x:c r="M796" s="13" t="str">
        <x:v>no</x:v>
      </x:c>
      <x:c r="N796" s="13" t="str">
        <x:v>Operational subtype under Loaded language: selective omission or emphasis controls framing. Parent definition: Using emotionally charged words to steer interpretation.</x:v>
      </x:c>
      <x:c r="O796" s="13" t="str">
        <x:v>Look for: explicit claim-level evidence; parent-family cues for Loaded language; variant cue: selective omission or emphasis controls framing; avoid author-level inference.</x:v>
      </x:c>
      <x:c r="P796" s="13" t="str">
        <x:v>Exact evidence span in text plus claim-level reasoning link; for contextual/discourse entries, require surrounding context.</x:v>
      </x:c>
      <x:c r="Q796" s="13" t="str">
        <x:v>Do not label merely because topic is controversial, emotional, or wrong. Do not judge intent or personality. Require textual evidence and consider healthy-reasoning cues.</x:v>
      </x:c>
      <x:c r="R796" s="13" t="str">
        <x:v>Stub: A claim relies on selective omission or emphasis controls framing to support a conclusion without adequate qualification.</x:v>
      </x:c>
      <x:c r="S796" s="13" t="str">
        <x:v>Stub: A claim discusses loaded language with caveats, balanced evidence, or no argumentative use of the pattern.</x:v>
      </x:c>
      <x:c r="T796" s="13" t="str">
        <x:v>Mild or ambiguous cue; do not classify without clear evidence span.</x:v>
      </x:c>
      <x:c r="U796" s="13" t="str">
        <x:v>Clear claim-level pattern with some argumentative impact.</x:v>
      </x:c>
      <x:c r="V796" s="13" t="str">
        <x:v>Strong pattern central to the conclusion and likely to materially distort reasoning.</x:v>
      </x:c>
      <x:c r="W796" s="13" t="str"/>
      <x:c r="X796" s="13" t="str">
        <x:v>grice_logic_conversation</x:v>
      </x:c>
      <x:c r="Y796" s="13" t="str">
        <x:v>https://doi.org/10.1163/9789004368811_003</x:v>
      </x:c>
      <x:c r="Z796" s="13" t="str">
        <x:v>Review before enabling. This workbook is a living taxonomy scaffold, not a validated scientific benchmark.</x:v>
      </x:c>
      <x:c r="AA796" s="13" t="str">
        <x:v>0.1.0-draft</x:v>
      </x:c>
      <x:c r="AB796" s="12" t="str">
        <x:f>IF(ISNUMBER(SEARCH("healthy",F796)),"healthy_reasoning_patterns",IF(ISNUMBER(SEARCH("statistical",F796)),"statistical_reasoning",IF(ISNUMBER(SEARCH("causal",F796)),"causal_reasoning",IF(ISNUMBER(SEARCH("social",F796)),"social_influence",IF(ISNUMBER(SEARCH("rhetoric",F796)),"rhetoric_discourse",IF(ISNUMBER(SEARCH("behavior",F796)),"behavioural_economics",IF(ISNUMBER(SEARCH("cognitive",F796)),"cognitive_biases",IF(J796="protective_pattern","healthy_reasoning_patterns",IF(L796="P0","core_mvp","extended_fallacies")))))))))</x:f>
        <x:v>rhetoric_discourse</x:v>
      </x:c>
      <x:c r="AC796" s="12" t="str">
        <x:f>IF(ISNUMBER(SEARCH("operational",J796)),"operational",IF(ISNUMBER(SEARCH("deprecated",J796)),"deprecated",IF(L796="P0","canonical","recognized_subtype")))</x:f>
        <x:v>operational</x:v>
      </x:c>
      <x:c r="AD796" s="12" t="str">
        <x:f>IF(AC796="canonical","high",IF(AC796="recognized_subtype","medium",IF(AC796="operational","operational_only","debated")))</x:f>
        <x:v>operational_only</x:v>
      </x:c>
      <x:c r="AE796" s="12" t="str">
        <x:f>IF(AC796="deprecated","deprecated",IF(M796="yes","active",IF(M796="review","review_required","backlog")))</x:f>
        <x:v>backlog</x:v>
      </x:c>
      <x:c r="AF796" s="12" t="str">
        <x:f>IF(OR(AE796="active",AE796="review_required"),"yes","no")</x:f>
        <x:v>no</x:v>
      </x:c>
      <x:c r="AG796" s="12" t="str">
        <x:f>IF(AND(AE796="active",M796="yes",NOT(ISNUMBER(SEARCH("healthy",AB796)))),"yes","no")</x:f>
        <x:v>no</x:v>
      </x:c>
      <x:c r="AH796" s="12" t="str">
        <x:f>IF(OR(H796="contextual",H796="dialogue",H796="discourse",I796="claim+context",I796="discourse_segment"),"yes","no")</x:f>
        <x:v>no</x:v>
      </x:c>
      <x:c r="AI796" s="12" t="str">
        <x:f>IF(OR(AH796="yes",AD796="debated",AC796="operational"),"yes","no")</x:f>
        <x:v>yes</x:v>
      </x:c>
      <x:c r="AJ796" s="12" t="str">
        <x:f>IF(OR(AH796="yes",AC796="operational",AD796="debated"),"high",IF(AND(AG796="yes",L796="P0"),"medium","low"))</x:f>
        <x:v>high</x:v>
      </x:c>
      <x:c r="AK796" s="12" t="str">
        <x:f>IF(ISNUMBER(SEARCH("healthy",AB796)),"yes","no")</x:f>
        <x:v>no</x:v>
      </x:c>
      <x:c r="AL796" s="12" t="str">
        <x:f>IF(AG796="yes","yes","candidate_only")</x:f>
        <x:v>candidate_only</x:v>
      </x:c>
      <x:c r="AM796" s="12" t="str">
        <x:f>IF(OR(AC796="canonical",AG796="yes"),"yes","recommended")</x:f>
        <x:v>recommended</x:v>
      </x:c>
      <x:c r="AN796" s="12" t="str">
        <x:f>IF(AC796="deprecated","exclude",IF(AND(AG796="yes",AJ796="high"),"import_but_human_review_required",IF(AG796="yes","import_as_active","import_as_backlog")))</x:f>
        <x:v>import_as_backlog</x:v>
      </x:c>
      <x:c r="AO796" s="12" t="str">
        <x:f>IF(AND(AG796="yes",OR(P796="",Q796="",R796="",S796="")),"missing_required_mvp_fields",IF(AND(AC796="canonical",Y796=""),"missing_source_ref","ok"))</x:f>
        <x:v>ok</x:v>
      </x:c>
      <x:c r="AP796" s="12" t="str">
        <x:f>IF(AO796="ok","ready_for_codex_import","needs_review")</x:f>
        <x:v>ready_for_codex_import</x:v>
      </x:c>
      <x:c r="AQ796" s="12"/>
      <x:c r="AR796" s="12" t="str">
        <x:v>Added v2 operational fields. Review before classification activation.</x:v>
      </x:c>
    </x:row>
    <x:row r="797">
      <x:c r="A797" s="13" t="str">
        <x:v>weasel_words_omission_emphasis_variant</x:v>
      </x:c>
      <x:c r="B797" s="13" t="str">
        <x:v>weasel_words</x:v>
      </x:c>
      <x:c r="C797" s="13" t="str">
        <x:v>Weasel words</x:v>
      </x:c>
      <x:c r="D797" s="13" t="str">
        <x:v>واژه‌های گریز</x:v>
      </x:c>
      <x:c r="E797" s="13" t="str">
        <x:v>Omission/emphasis variant</x:v>
      </x:c>
      <x:c r="F797" s="13" t="str">
        <x:v>rhetorical_manipulation_patterns</x:v>
      </x:c>
      <x:c r="G797" s="13" t="str">
        <x:v>operational_variant</x:v>
      </x:c>
      <x:c r="H797" s="13" t="str">
        <x:v>lexical</x:v>
      </x:c>
      <x:c r="I797" s="13" t="str">
        <x:v>claim</x:v>
      </x:c>
      <x:c r="J797" s="13" t="str">
        <x:v>derived_operational_subtype</x:v>
      </x:c>
      <x:c r="K797" s="13" t="str">
        <x:v>derived_from_established_parent_review_required</x:v>
      </x:c>
      <x:c r="L797" s="13" t="str">
        <x:v>P2</x:v>
      </x:c>
      <x:c r="M797" s="13" t="str">
        <x:v>no</x:v>
      </x:c>
      <x:c r="N797" s="13" t="str">
        <x:v>Operational subtype under Weasel words: selective omission or emphasis controls framing. Parent definition: Using vague qualifiers that create an impression without accountable evidence.</x:v>
      </x:c>
      <x:c r="O797" s="13" t="str">
        <x:v>Look for: explicit claim-level evidence; parent-family cues for Weasel words; variant cue: selective omission or emphasis controls framing; avoid author-level inference.</x:v>
      </x:c>
      <x:c r="P797" s="13" t="str">
        <x:v>Exact evidence span in text plus claim-level reasoning link; for contextual/discourse entries, require surrounding context.</x:v>
      </x:c>
      <x:c r="Q797" s="13" t="str">
        <x:v>Do not label merely because topic is controversial, emotional, or wrong. Do not judge intent or personality. Require textual evidence and consider healthy-reasoning cues.</x:v>
      </x:c>
      <x:c r="R797" s="13" t="str">
        <x:v>Stub: A claim relies on selective omission or emphasis controls framing to support a conclusion without adequate qualification.</x:v>
      </x:c>
      <x:c r="S797" s="13" t="str">
        <x:v>Stub: A claim discusses weasel words with caveats, balanced evidence, or no argumentative use of the pattern.</x:v>
      </x:c>
      <x:c r="T797" s="13" t="str">
        <x:v>Mild or ambiguous cue; do not classify without clear evidence span.</x:v>
      </x:c>
      <x:c r="U797" s="13" t="str">
        <x:v>Clear claim-level pattern with some argumentative impact.</x:v>
      </x:c>
      <x:c r="V797" s="13" t="str">
        <x:v>Strong pattern central to the conclusion and likely to materially distort reasoning.</x:v>
      </x:c>
      <x:c r="W797" s="13" t="str">
        <x:v>cherry_picking; missing_counterevidence; evidence_grading</x:v>
      </x:c>
      <x:c r="X797" s="13" t="str">
        <x:v>grice_logic_conversation</x:v>
      </x:c>
      <x:c r="Y797" s="13" t="str">
        <x:v>https://doi.org/10.1163/9789004368811_003</x:v>
      </x:c>
      <x:c r="Z797" s="13" t="str">
        <x:v>Review before enabling. This workbook is a living taxonomy scaffold, not a validated scientific benchmark.</x:v>
      </x:c>
      <x:c r="AA797" s="13" t="str">
        <x:v>0.1.0-draft</x:v>
      </x:c>
      <x:c r="AB797" s="12" t="str">
        <x:f>IF(ISNUMBER(SEARCH("healthy",F797)),"healthy_reasoning_patterns",IF(ISNUMBER(SEARCH("statistical",F797)),"statistical_reasoning",IF(ISNUMBER(SEARCH("causal",F797)),"causal_reasoning",IF(ISNUMBER(SEARCH("social",F797)),"social_influence",IF(ISNUMBER(SEARCH("rhetoric",F797)),"rhetoric_discourse",IF(ISNUMBER(SEARCH("behavior",F797)),"behavioural_economics",IF(ISNUMBER(SEARCH("cognitive",F797)),"cognitive_biases",IF(J797="protective_pattern","healthy_reasoning_patterns",IF(L797="P0","core_mvp","extended_fallacies")))))))))</x:f>
        <x:v>rhetoric_discourse</x:v>
      </x:c>
      <x:c r="AC797" s="12" t="str">
        <x:f>IF(ISNUMBER(SEARCH("operational",J797)),"operational",IF(ISNUMBER(SEARCH("deprecated",J797)),"deprecated",IF(L797="P0","canonical","recognized_subtype")))</x:f>
        <x:v>operational</x:v>
      </x:c>
      <x:c r="AD797" s="12" t="str">
        <x:f>IF(AC797="canonical","high",IF(AC797="recognized_subtype","medium",IF(AC797="operational","operational_only","debated")))</x:f>
        <x:v>operational_only</x:v>
      </x:c>
      <x:c r="AE797" s="12" t="str">
        <x:f>IF(AC797="deprecated","deprecated",IF(M797="yes","active",IF(M797="review","review_required","backlog")))</x:f>
        <x:v>backlog</x:v>
      </x:c>
      <x:c r="AF797" s="12" t="str">
        <x:f>IF(OR(AE797="active",AE797="review_required"),"yes","no")</x:f>
        <x:v>no</x:v>
      </x:c>
      <x:c r="AG797" s="12" t="str">
        <x:f>IF(AND(AE797="active",M797="yes",NOT(ISNUMBER(SEARCH("healthy",AB797)))),"yes","no")</x:f>
        <x:v>no</x:v>
      </x:c>
      <x:c r="AH797" s="12" t="str">
        <x:f>IF(OR(H797="contextual",H797="dialogue",H797="discourse",I797="claim+context",I797="discourse_segment"),"yes","no")</x:f>
        <x:v>no</x:v>
      </x:c>
      <x:c r="AI797" s="12" t="str">
        <x:f>IF(OR(AH797="yes",AD797="debated",AC797="operational"),"yes","no")</x:f>
        <x:v>yes</x:v>
      </x:c>
      <x:c r="AJ797" s="12" t="str">
        <x:f>IF(OR(AH797="yes",AC797="operational",AD797="debated"),"high",IF(AND(AG797="yes",L797="P0"),"medium","low"))</x:f>
        <x:v>high</x:v>
      </x:c>
      <x:c r="AK797" s="12" t="str">
        <x:f>IF(ISNUMBER(SEARCH("healthy",AB797)),"yes","no")</x:f>
        <x:v>no</x:v>
      </x:c>
      <x:c r="AL797" s="12" t="str">
        <x:f>IF(AG797="yes","yes","candidate_only")</x:f>
        <x:v>candidate_only</x:v>
      </x:c>
      <x:c r="AM797" s="12" t="str">
        <x:f>IF(OR(AC797="canonical",AG797="yes"),"yes","recommended")</x:f>
        <x:v>recommended</x:v>
      </x:c>
      <x:c r="AN797" s="12" t="str">
        <x:f>IF(AC797="deprecated","exclude",IF(AND(AG797="yes",AJ797="high"),"import_but_human_review_required",IF(AG797="yes","import_as_active","import_as_backlog")))</x:f>
        <x:v>import_as_backlog</x:v>
      </x:c>
      <x:c r="AO797" s="12" t="str">
        <x:f>IF(AND(AG797="yes",OR(P797="",Q797="",R797="",S797="")),"missing_required_mvp_fields",IF(AND(AC797="canonical",Y797=""),"missing_source_ref","ok"))</x:f>
        <x:v>ok</x:v>
      </x:c>
      <x:c r="AP797" s="12" t="str">
        <x:f>IF(AO797="ok","ready_for_codex_import","needs_review")</x:f>
        <x:v>ready_for_codex_import</x:v>
      </x:c>
      <x:c r="AQ797" s="12"/>
      <x:c r="AR797" s="12" t="str">
        <x:v>Added v2 operational fields. Review before classification activation.</x:v>
      </x:c>
    </x:row>
    <x:row r="798">
      <x:c r="A798" s="13" t="str">
        <x:v>vague_quantifier_omission_emphasis_variant</x:v>
      </x:c>
      <x:c r="B798" s="13" t="str">
        <x:v>vague_quantifier</x:v>
      </x:c>
      <x:c r="C798" s="13" t="str">
        <x:v>Vague quantifier</x:v>
      </x:c>
      <x:c r="D798" s="13" t="str">
        <x:v>کمیت‌نمای مبهم</x:v>
      </x:c>
      <x:c r="E798" s="13" t="str">
        <x:v>Omission/emphasis variant</x:v>
      </x:c>
      <x:c r="F798" s="13" t="str">
        <x:v>rhetorical_manipulation_patterns</x:v>
      </x:c>
      <x:c r="G798" s="13" t="str">
        <x:v>operational_variant</x:v>
      </x:c>
      <x:c r="H798" s="13" t="str">
        <x:v>lexical</x:v>
      </x:c>
      <x:c r="I798" s="13" t="str">
        <x:v>claim</x:v>
      </x:c>
      <x:c r="J798" s="13" t="str">
        <x:v>derived_operational_subtype</x:v>
      </x:c>
      <x:c r="K798" s="13" t="str">
        <x:v>derived_from_established_parent_review_required</x:v>
      </x:c>
      <x:c r="L798" s="13" t="str">
        <x:v>P2</x:v>
      </x:c>
      <x:c r="M798" s="13" t="str">
        <x:v>no</x:v>
      </x:c>
      <x:c r="N798" s="13" t="str">
        <x:v>Operational subtype under Vague quantifier: selective omission or emphasis controls framing. Parent definition: Using terms like many, experts, or people say without specification.</x:v>
      </x:c>
      <x:c r="O798" s="13" t="str">
        <x:v>Look for: explicit claim-level evidence; parent-family cues for Vague quantifier; variant cue: selective omission or emphasis controls framing; avoid author-level inference.</x:v>
      </x:c>
      <x:c r="P798" s="13" t="str">
        <x:v>Exact evidence span in text plus claim-level reasoning link; for contextual/discourse entries, require surrounding context.</x:v>
      </x:c>
      <x:c r="Q798" s="13" t="str">
        <x:v>Do not label merely because topic is controversial, emotional, or wrong. Do not judge intent or personality. Require textual evidence and consider healthy-reasoning cues.</x:v>
      </x:c>
      <x:c r="R798" s="13" t="str">
        <x:v>Stub: A claim relies on selective omission or emphasis controls framing to support a conclusion without adequate qualification.</x:v>
      </x:c>
      <x:c r="S798" s="13" t="str">
        <x:v>Stub: A claim discusses vague quantifier with caveats, balanced evidence, or no argumentative use of the pattern.</x:v>
      </x:c>
      <x:c r="T798" s="13" t="str">
        <x:v>Mild or ambiguous cue; do not classify without clear evidence span.</x:v>
      </x:c>
      <x:c r="U798" s="13" t="str">
        <x:v>Clear claim-level pattern with some argumentative impact.</x:v>
      </x:c>
      <x:c r="V798" s="13" t="str">
        <x:v>Strong pattern central to the conclusion and likely to materially distort reasoning.</x:v>
      </x:c>
      <x:c r="W798" s="13" t="str"/>
      <x:c r="X798" s="13" t="str">
        <x:v>grice_logic_conversation</x:v>
      </x:c>
      <x:c r="Y798" s="13" t="str">
        <x:v>https://doi.org/10.1163/9789004368811_003</x:v>
      </x:c>
      <x:c r="Z798" s="13" t="str">
        <x:v>Review before enabling. This workbook is a living taxonomy scaffold, not a validated scientific benchmark.</x:v>
      </x:c>
      <x:c r="AA798" s="13" t="str">
        <x:v>0.1.0-draft</x:v>
      </x:c>
      <x:c r="AB798" s="12" t="str">
        <x:f>IF(ISNUMBER(SEARCH("healthy",F798)),"healthy_reasoning_patterns",IF(ISNUMBER(SEARCH("statistical",F798)),"statistical_reasoning",IF(ISNUMBER(SEARCH("causal",F798)),"causal_reasoning",IF(ISNUMBER(SEARCH("social",F798)),"social_influence",IF(ISNUMBER(SEARCH("rhetoric",F798)),"rhetoric_discourse",IF(ISNUMBER(SEARCH("behavior",F798)),"behavioural_economics",IF(ISNUMBER(SEARCH("cognitive",F798)),"cognitive_biases",IF(J798="protective_pattern","healthy_reasoning_patterns",IF(L798="P0","core_mvp","extended_fallacies")))))))))</x:f>
        <x:v>rhetoric_discourse</x:v>
      </x:c>
      <x:c r="AC798" s="12" t="str">
        <x:f>IF(ISNUMBER(SEARCH("operational",J798)),"operational",IF(ISNUMBER(SEARCH("deprecated",J798)),"deprecated",IF(L798="P0","canonical","recognized_subtype")))</x:f>
        <x:v>operational</x:v>
      </x:c>
      <x:c r="AD798" s="12" t="str">
        <x:f>IF(AC798="canonical","high",IF(AC798="recognized_subtype","medium",IF(AC798="operational","operational_only","debated")))</x:f>
        <x:v>operational_only</x:v>
      </x:c>
      <x:c r="AE798" s="12" t="str">
        <x:f>IF(AC798="deprecated","deprecated",IF(M798="yes","active",IF(M798="review","review_required","backlog")))</x:f>
        <x:v>backlog</x:v>
      </x:c>
      <x:c r="AF798" s="12" t="str">
        <x:f>IF(OR(AE798="active",AE798="review_required"),"yes","no")</x:f>
        <x:v>no</x:v>
      </x:c>
      <x:c r="AG798" s="12" t="str">
        <x:f>IF(AND(AE798="active",M798="yes",NOT(ISNUMBER(SEARCH("healthy",AB798)))),"yes","no")</x:f>
        <x:v>no</x:v>
      </x:c>
      <x:c r="AH798" s="12" t="str">
        <x:f>IF(OR(H798="contextual",H798="dialogue",H798="discourse",I798="claim+context",I798="discourse_segment"),"yes","no")</x:f>
        <x:v>no</x:v>
      </x:c>
      <x:c r="AI798" s="12" t="str">
        <x:f>IF(OR(AH798="yes",AD798="debated",AC798="operational"),"yes","no")</x:f>
        <x:v>yes</x:v>
      </x:c>
      <x:c r="AJ798" s="12" t="str">
        <x:f>IF(OR(AH798="yes",AC798="operational",AD798="debated"),"high",IF(AND(AG798="yes",L798="P0"),"medium","low"))</x:f>
        <x:v>high</x:v>
      </x:c>
      <x:c r="AK798" s="12" t="str">
        <x:f>IF(ISNUMBER(SEARCH("healthy",AB798)),"yes","no")</x:f>
        <x:v>no</x:v>
      </x:c>
      <x:c r="AL798" s="12" t="str">
        <x:f>IF(AG798="yes","yes","candidate_only")</x:f>
        <x:v>candidate_only</x:v>
      </x:c>
      <x:c r="AM798" s="12" t="str">
        <x:f>IF(OR(AC798="canonical",AG798="yes"),"yes","recommended")</x:f>
        <x:v>recommended</x:v>
      </x:c>
      <x:c r="AN798" s="12" t="str">
        <x:f>IF(AC798="deprecated","exclude",IF(AND(AG798="yes",AJ798="high"),"import_but_human_review_required",IF(AG798="yes","import_as_active","import_as_backlog")))</x:f>
        <x:v>import_as_backlog</x:v>
      </x:c>
      <x:c r="AO798" s="12" t="str">
        <x:f>IF(AND(AG798="yes",OR(P798="",Q798="",R798="",S798="")),"missing_required_mvp_fields",IF(AND(AC798="canonical",Y798=""),"missing_source_ref","ok"))</x:f>
        <x:v>ok</x:v>
      </x:c>
      <x:c r="AP798" s="12" t="str">
        <x:f>IF(AO798="ok","ready_for_codex_import","needs_review")</x:f>
        <x:v>ready_for_codex_import</x:v>
      </x:c>
      <x:c r="AQ798" s="12"/>
      <x:c r="AR798" s="12" t="str">
        <x:v>Added v2 operational fields. Review before classification activation.</x:v>
      </x:c>
    </x:row>
    <x:row r="799">
      <x:c r="A799" s="13" t="str">
        <x:v>glittering_generalities_omission_emphasis_variant</x:v>
      </x:c>
      <x:c r="B799" s="13" t="str">
        <x:v>glittering_generalities</x:v>
      </x:c>
      <x:c r="C799" s="13" t="str">
        <x:v>Glittering generalities</x:v>
      </x:c>
      <x:c r="D799" s="13" t="str">
        <x:v>کلی‌گویی درخشان</x:v>
      </x:c>
      <x:c r="E799" s="13" t="str">
        <x:v>Omission/emphasis variant</x:v>
      </x:c>
      <x:c r="F799" s="13" t="str">
        <x:v>rhetorical_manipulation_patterns</x:v>
      </x:c>
      <x:c r="G799" s="13" t="str">
        <x:v>operational_variant</x:v>
      </x:c>
      <x:c r="H799" s="13" t="str">
        <x:v>lexical</x:v>
      </x:c>
      <x:c r="I799" s="13" t="str">
        <x:v>claim</x:v>
      </x:c>
      <x:c r="J799" s="13" t="str">
        <x:v>derived_operational_subtype</x:v>
      </x:c>
      <x:c r="K799" s="13" t="str">
        <x:v>derived_from_established_parent_review_required</x:v>
      </x:c>
      <x:c r="L799" s="13" t="str">
        <x:v>P2</x:v>
      </x:c>
      <x:c r="M799" s="13" t="str">
        <x:v>no</x:v>
      </x:c>
      <x:c r="N799" s="13" t="str">
        <x:v>Operational subtype under Glittering generalities: selective omission or emphasis controls framing. Parent definition: Using attractive but vague terms as persuasion instead of reasons.</x:v>
      </x:c>
      <x:c r="O799" s="13" t="str">
        <x:v>Look for: explicit claim-level evidence; parent-family cues for Glittering generalities; variant cue: selective omission or emphasis controls framing; avoid author-level inference.</x:v>
      </x:c>
      <x:c r="P799" s="13" t="str">
        <x:v>Exact evidence span in text plus claim-level reasoning link; for contextual/discourse entries, require surrounding context.</x:v>
      </x:c>
      <x:c r="Q799" s="13" t="str">
        <x:v>Do not label merely because topic is controversial, emotional, or wrong. Do not judge intent or personality. Require textual evidence and consider healthy-reasoning cues.</x:v>
      </x:c>
      <x:c r="R799" s="13" t="str">
        <x:v>Stub: A claim relies on selective omission or emphasis controls framing to support a conclusion without adequate qualification.</x:v>
      </x:c>
      <x:c r="S799" s="13" t="str">
        <x:v>Stub: A claim discusses glittering generalities with caveats, balanced evidence, or no argumentative use of the pattern.</x:v>
      </x:c>
      <x:c r="T799" s="13" t="str">
        <x:v>Mild or ambiguous cue; do not classify without clear evidence span.</x:v>
      </x:c>
      <x:c r="U799" s="13" t="str">
        <x:v>Clear claim-level pattern with some argumentative impact.</x:v>
      </x:c>
      <x:c r="V799" s="13" t="str">
        <x:v>Strong pattern central to the conclusion and likely to materially distort reasoning.</x:v>
      </x:c>
      <x:c r="W799" s="13" t="str"/>
      <x:c r="X799" s="13" t="str">
        <x:v>grice_logic_conversation</x:v>
      </x:c>
      <x:c r="Y799" s="13" t="str">
        <x:v>https://doi.org/10.1163/9789004368811_003</x:v>
      </x:c>
      <x:c r="Z799" s="13" t="str">
        <x:v>Review before enabling. This workbook is a living taxonomy scaffold, not a validated scientific benchmark.</x:v>
      </x:c>
      <x:c r="AA799" s="13" t="str">
        <x:v>0.1.0-draft</x:v>
      </x:c>
      <x:c r="AB799" s="12" t="str">
        <x:f>IF(ISNUMBER(SEARCH("healthy",F799)),"healthy_reasoning_patterns",IF(ISNUMBER(SEARCH("statistical",F799)),"statistical_reasoning",IF(ISNUMBER(SEARCH("causal",F799)),"causal_reasoning",IF(ISNUMBER(SEARCH("social",F799)),"social_influence",IF(ISNUMBER(SEARCH("rhetoric",F799)),"rhetoric_discourse",IF(ISNUMBER(SEARCH("behavior",F799)),"behavioural_economics",IF(ISNUMBER(SEARCH("cognitive",F799)),"cognitive_biases",IF(J799="protective_pattern","healthy_reasoning_patterns",IF(L799="P0","core_mvp","extended_fallacies")))))))))</x:f>
        <x:v>rhetoric_discourse</x:v>
      </x:c>
      <x:c r="AC799" s="12" t="str">
        <x:f>IF(ISNUMBER(SEARCH("operational",J799)),"operational",IF(ISNUMBER(SEARCH("deprecated",J799)),"deprecated",IF(L799="P0","canonical","recognized_subtype")))</x:f>
        <x:v>operational</x:v>
      </x:c>
      <x:c r="AD799" s="12" t="str">
        <x:f>IF(AC799="canonical","high",IF(AC799="recognized_subtype","medium",IF(AC799="operational","operational_only","debated")))</x:f>
        <x:v>operational_only</x:v>
      </x:c>
      <x:c r="AE799" s="12" t="str">
        <x:f>IF(AC799="deprecated","deprecated",IF(M799="yes","active",IF(M799="review","review_required","backlog")))</x:f>
        <x:v>backlog</x:v>
      </x:c>
      <x:c r="AF799" s="12" t="str">
        <x:f>IF(OR(AE799="active",AE799="review_required"),"yes","no")</x:f>
        <x:v>no</x:v>
      </x:c>
      <x:c r="AG799" s="12" t="str">
        <x:f>IF(AND(AE799="active",M799="yes",NOT(ISNUMBER(SEARCH("healthy",AB799)))),"yes","no")</x:f>
        <x:v>no</x:v>
      </x:c>
      <x:c r="AH799" s="12" t="str">
        <x:f>IF(OR(H799="contextual",H799="dialogue",H799="discourse",I799="claim+context",I799="discourse_segment"),"yes","no")</x:f>
        <x:v>no</x:v>
      </x:c>
      <x:c r="AI799" s="12" t="str">
        <x:f>IF(OR(AH799="yes",AD799="debated",AC799="operational"),"yes","no")</x:f>
        <x:v>yes</x:v>
      </x:c>
      <x:c r="AJ799" s="12" t="str">
        <x:f>IF(OR(AH799="yes",AC799="operational",AD799="debated"),"high",IF(AND(AG799="yes",L799="P0"),"medium","low"))</x:f>
        <x:v>high</x:v>
      </x:c>
      <x:c r="AK799" s="12" t="str">
        <x:f>IF(ISNUMBER(SEARCH("healthy",AB799)),"yes","no")</x:f>
        <x:v>no</x:v>
      </x:c>
      <x:c r="AL799" s="12" t="str">
        <x:f>IF(AG799="yes","yes","candidate_only")</x:f>
        <x:v>candidate_only</x:v>
      </x:c>
      <x:c r="AM799" s="12" t="str">
        <x:f>IF(OR(AC799="canonical",AG799="yes"),"yes","recommended")</x:f>
        <x:v>recommended</x:v>
      </x:c>
      <x:c r="AN799" s="12" t="str">
        <x:f>IF(AC799="deprecated","exclude",IF(AND(AG799="yes",AJ799="high"),"import_but_human_review_required",IF(AG799="yes","import_as_active","import_as_backlog")))</x:f>
        <x:v>import_as_backlog</x:v>
      </x:c>
      <x:c r="AO799" s="12" t="str">
        <x:f>IF(AND(AG799="yes",OR(P799="",Q799="",R799="",S799="")),"missing_required_mvp_fields",IF(AND(AC799="canonical",Y799=""),"missing_source_ref","ok"))</x:f>
        <x:v>ok</x:v>
      </x:c>
      <x:c r="AP799" s="12" t="str">
        <x:f>IF(AO799="ok","ready_for_codex_import","needs_review")</x:f>
        <x:v>ready_for_codex_import</x:v>
      </x:c>
      <x:c r="AQ799" s="12"/>
      <x:c r="AR799" s="12" t="str">
        <x:v>Added v2 operational fields. Review before classification activation.</x:v>
      </x:c>
    </x:row>
    <x:row r="800">
      <x:c r="A800" s="13" t="str">
        <x:v>name_calling_omission_emphasis_variant</x:v>
      </x:c>
      <x:c r="B800" s="13" t="str">
        <x:v>name_calling</x:v>
      </x:c>
      <x:c r="C800" s="13" t="str">
        <x:v>Name calling</x:v>
      </x:c>
      <x:c r="D800" s="13" t="str">
        <x:v>برچسب‌زنی تحقیرآمیز</x:v>
      </x:c>
      <x:c r="E800" s="13" t="str">
        <x:v>Omission/emphasis variant</x:v>
      </x:c>
      <x:c r="F800" s="13" t="str">
        <x:v>rhetorical_manipulation_patterns</x:v>
      </x:c>
      <x:c r="G800" s="13" t="str">
        <x:v>operational_variant</x:v>
      </x:c>
      <x:c r="H800" s="13" t="str">
        <x:v>lexical</x:v>
      </x:c>
      <x:c r="I800" s="13" t="str">
        <x:v>claim</x:v>
      </x:c>
      <x:c r="J800" s="13" t="str">
        <x:v>derived_operational_subtype</x:v>
      </x:c>
      <x:c r="K800" s="13" t="str">
        <x:v>derived_from_established_parent_review_required</x:v>
      </x:c>
      <x:c r="L800" s="13" t="str">
        <x:v>P2</x:v>
      </x:c>
      <x:c r="M800" s="13" t="str">
        <x:v>no</x:v>
      </x:c>
      <x:c r="N800" s="13" t="str">
        <x:v>Operational subtype under Name calling: selective omission or emphasis controls framing. Parent definition: Using negative labels as substitutes for argument.</x:v>
      </x:c>
      <x:c r="O800" s="13" t="str">
        <x:v>Look for: explicit claim-level evidence; parent-family cues for Name calling; variant cue: selective omission or emphasis controls framing; avoid author-level inference.</x:v>
      </x:c>
      <x:c r="P800" s="13" t="str">
        <x:v>Exact evidence span in text plus claim-level reasoning link; for contextual/discourse entries, require surrounding context.</x:v>
      </x:c>
      <x:c r="Q800" s="13" t="str">
        <x:v>Do not label merely because topic is controversial, emotional, or wrong. Do not judge intent or personality. Require textual evidence and consider healthy-reasoning cues.</x:v>
      </x:c>
      <x:c r="R800" s="13" t="str">
        <x:v>Stub: A claim relies on selective omission or emphasis controls framing to support a conclusion without adequate qualification.</x:v>
      </x:c>
      <x:c r="S800" s="13" t="str">
        <x:v>Stub: A claim discusses name calling with caveats, balanced evidence, or no argumentative use of the pattern.</x:v>
      </x:c>
      <x:c r="T800" s="13" t="str">
        <x:v>Mild or ambiguous cue; do not classify without clear evidence span.</x:v>
      </x:c>
      <x:c r="U800" s="13" t="str">
        <x:v>Clear claim-level pattern with some argumentative impact.</x:v>
      </x:c>
      <x:c r="V800" s="13" t="str">
        <x:v>Strong pattern central to the conclusion and likely to materially distort reasoning.</x:v>
      </x:c>
      <x:c r="W800" s="13" t="str"/>
      <x:c r="X800" s="13" t="str">
        <x:v>sep_fallacies</x:v>
      </x:c>
      <x:c r="Y800" s="13" t="str">
        <x:v>https://plato.stanford.edu/entries/fallacies/</x:v>
      </x:c>
      <x:c r="Z800" s="13" t="str">
        <x:v>Review before enabling. This workbook is a living taxonomy scaffold, not a validated scientific benchmark.</x:v>
      </x:c>
      <x:c r="AA800" s="13" t="str">
        <x:v>0.1.0-draft</x:v>
      </x:c>
      <x:c r="AB800" s="12" t="str">
        <x:f>IF(ISNUMBER(SEARCH("healthy",F800)),"healthy_reasoning_patterns",IF(ISNUMBER(SEARCH("statistical",F800)),"statistical_reasoning",IF(ISNUMBER(SEARCH("causal",F800)),"causal_reasoning",IF(ISNUMBER(SEARCH("social",F800)),"social_influence",IF(ISNUMBER(SEARCH("rhetoric",F800)),"rhetoric_discourse",IF(ISNUMBER(SEARCH("behavior",F800)),"behavioural_economics",IF(ISNUMBER(SEARCH("cognitive",F800)),"cognitive_biases",IF(J800="protective_pattern","healthy_reasoning_patterns",IF(L800="P0","core_mvp","extended_fallacies")))))))))</x:f>
        <x:v>rhetoric_discourse</x:v>
      </x:c>
      <x:c r="AC800" s="12" t="str">
        <x:f>IF(ISNUMBER(SEARCH("operational",J800)),"operational",IF(ISNUMBER(SEARCH("deprecated",J800)),"deprecated",IF(L800="P0","canonical","recognized_subtype")))</x:f>
        <x:v>operational</x:v>
      </x:c>
      <x:c r="AD800" s="12" t="str">
        <x:f>IF(AC800="canonical","high",IF(AC800="recognized_subtype","medium",IF(AC800="operational","operational_only","debated")))</x:f>
        <x:v>operational_only</x:v>
      </x:c>
      <x:c r="AE800" s="12" t="str">
        <x:f>IF(AC800="deprecated","deprecated",IF(M800="yes","active",IF(M800="review","review_required","backlog")))</x:f>
        <x:v>backlog</x:v>
      </x:c>
      <x:c r="AF800" s="12" t="str">
        <x:f>IF(OR(AE800="active",AE800="review_required"),"yes","no")</x:f>
        <x:v>no</x:v>
      </x:c>
      <x:c r="AG800" s="12" t="str">
        <x:f>IF(AND(AE800="active",M800="yes",NOT(ISNUMBER(SEARCH("healthy",AB800)))),"yes","no")</x:f>
        <x:v>no</x:v>
      </x:c>
      <x:c r="AH800" s="12" t="str">
        <x:f>IF(OR(H800="contextual",H800="dialogue",H800="discourse",I800="claim+context",I800="discourse_segment"),"yes","no")</x:f>
        <x:v>no</x:v>
      </x:c>
      <x:c r="AI800" s="12" t="str">
        <x:f>IF(OR(AH800="yes",AD800="debated",AC800="operational"),"yes","no")</x:f>
        <x:v>yes</x:v>
      </x:c>
      <x:c r="AJ800" s="12" t="str">
        <x:f>IF(OR(AH800="yes",AC800="operational",AD800="debated"),"high",IF(AND(AG800="yes",L800="P0"),"medium","low"))</x:f>
        <x:v>high</x:v>
      </x:c>
      <x:c r="AK800" s="12" t="str">
        <x:f>IF(ISNUMBER(SEARCH("healthy",AB800)),"yes","no")</x:f>
        <x:v>no</x:v>
      </x:c>
      <x:c r="AL800" s="12" t="str">
        <x:f>IF(AG800="yes","yes","candidate_only")</x:f>
        <x:v>candidate_only</x:v>
      </x:c>
      <x:c r="AM800" s="12" t="str">
        <x:f>IF(OR(AC800="canonical",AG800="yes"),"yes","recommended")</x:f>
        <x:v>recommended</x:v>
      </x:c>
      <x:c r="AN800" s="12" t="str">
        <x:f>IF(AC800="deprecated","exclude",IF(AND(AG800="yes",AJ800="high"),"import_but_human_review_required",IF(AG800="yes","import_as_active","import_as_backlog")))</x:f>
        <x:v>import_as_backlog</x:v>
      </x:c>
      <x:c r="AO800" s="12" t="str">
        <x:f>IF(AND(AG800="yes",OR(P800="",Q800="",R800="",S800="")),"missing_required_mvp_fields",IF(AND(AC800="canonical",Y800=""),"missing_source_ref","ok"))</x:f>
        <x:v>ok</x:v>
      </x:c>
      <x:c r="AP800" s="12" t="str">
        <x:f>IF(AO800="ok","ready_for_codex_import","needs_review")</x:f>
        <x:v>ready_for_codex_import</x:v>
      </x:c>
      <x:c r="AQ800" s="12"/>
      <x:c r="AR800" s="12" t="str">
        <x:v>Added v2 operational fields. Review before classification activation.</x:v>
      </x:c>
    </x:row>
    <x:row r="801">
      <x:c r="A801" s="13" t="str">
        <x:v>euphemism_framing_omission_emphasis_variant</x:v>
      </x:c>
      <x:c r="B801" s="13" t="str">
        <x:v>euphemism_framing</x:v>
      </x:c>
      <x:c r="C801" s="13" t="str">
        <x:v>Euphemism framing</x:v>
      </x:c>
      <x:c r="D801" s="13" t="str">
        <x:v>قاب‌بندی تلطیفی</x:v>
      </x:c>
      <x:c r="E801" s="13" t="str">
        <x:v>Omission/emphasis variant</x:v>
      </x:c>
      <x:c r="F801" s="13" t="str">
        <x:v>rhetorical_manipulation_patterns</x:v>
      </x:c>
      <x:c r="G801" s="13" t="str">
        <x:v>operational_variant</x:v>
      </x:c>
      <x:c r="H801" s="13" t="str">
        <x:v>lexical</x:v>
      </x:c>
      <x:c r="I801" s="13" t="str">
        <x:v>claim</x:v>
      </x:c>
      <x:c r="J801" s="13" t="str">
        <x:v>derived_operational_subtype</x:v>
      </x:c>
      <x:c r="K801" s="13" t="str">
        <x:v>derived_from_established_parent_review_required</x:v>
      </x:c>
      <x:c r="L801" s="13" t="str">
        <x:v>P2</x:v>
      </x:c>
      <x:c r="M801" s="13" t="str">
        <x:v>no</x:v>
      </x:c>
      <x:c r="N801" s="13" t="str">
        <x:v>Operational subtype under Euphemism framing: selective omission or emphasis controls framing. Parent definition: Softening language to reduce perceived seriousness.</x:v>
      </x:c>
      <x:c r="O801" s="13" t="str">
        <x:v>Look for: explicit claim-level evidence; parent-family cues for Euphemism framing; variant cue: selective omission or emphasis controls framing; avoid author-level inference.</x:v>
      </x:c>
      <x:c r="P801" s="13" t="str">
        <x:v>Exact evidence span in text plus claim-level reasoning link; for contextual/discourse entries, require surrounding context.</x:v>
      </x:c>
      <x:c r="Q801" s="13" t="str">
        <x:v>Do not label merely because topic is controversial, emotional, or wrong. Do not judge intent or personality. Require textual evidence and consider healthy-reasoning cues.</x:v>
      </x:c>
      <x:c r="R801" s="13" t="str">
        <x:v>Stub: A claim relies on selective omission or emphasis controls framing to support a conclusion without adequate qualification.</x:v>
      </x:c>
      <x:c r="S801" s="13" t="str">
        <x:v>Stub: A claim discusses euphemism framing with caveats, balanced evidence, or no argumentative use of the pattern.</x:v>
      </x:c>
      <x:c r="T801" s="13" t="str">
        <x:v>Mild or ambiguous cue; do not classify without clear evidence span.</x:v>
      </x:c>
      <x:c r="U801" s="13" t="str">
        <x:v>Clear claim-level pattern with some argumentative impact.</x:v>
      </x:c>
      <x:c r="V801" s="13" t="str">
        <x:v>Strong pattern central to the conclusion and likely to materially distort reasoning.</x:v>
      </x:c>
      <x:c r="W801" s="13" t="str"/>
      <x:c r="X801" s="13" t="str">
        <x:v>grice_logic_conversation</x:v>
      </x:c>
      <x:c r="Y801" s="13" t="str">
        <x:v>https://doi.org/10.1163/9789004368811_003</x:v>
      </x:c>
      <x:c r="Z801" s="13" t="str">
        <x:v>Review before enabling. This workbook is a living taxonomy scaffold, not a validated scientific benchmark.</x:v>
      </x:c>
      <x:c r="AA801" s="13" t="str">
        <x:v>0.1.0-draft</x:v>
      </x:c>
      <x:c r="AB801" s="12" t="str">
        <x:f>IF(ISNUMBER(SEARCH("healthy",F801)),"healthy_reasoning_patterns",IF(ISNUMBER(SEARCH("statistical",F801)),"statistical_reasoning",IF(ISNUMBER(SEARCH("causal",F801)),"causal_reasoning",IF(ISNUMBER(SEARCH("social",F801)),"social_influence",IF(ISNUMBER(SEARCH("rhetoric",F801)),"rhetoric_discourse",IF(ISNUMBER(SEARCH("behavior",F801)),"behavioural_economics",IF(ISNUMBER(SEARCH("cognitive",F801)),"cognitive_biases",IF(J801="protective_pattern","healthy_reasoning_patterns",IF(L801="P0","core_mvp","extended_fallacies")))))))))</x:f>
        <x:v>rhetoric_discourse</x:v>
      </x:c>
      <x:c r="AC801" s="12" t="str">
        <x:f>IF(ISNUMBER(SEARCH("operational",J801)),"operational",IF(ISNUMBER(SEARCH("deprecated",J801)),"deprecated",IF(L801="P0","canonical","recognized_subtype")))</x:f>
        <x:v>operational</x:v>
      </x:c>
      <x:c r="AD801" s="12" t="str">
        <x:f>IF(AC801="canonical","high",IF(AC801="recognized_subtype","medium",IF(AC801="operational","operational_only","debated")))</x:f>
        <x:v>operational_only</x:v>
      </x:c>
      <x:c r="AE801" s="12" t="str">
        <x:f>IF(AC801="deprecated","deprecated",IF(M801="yes","active",IF(M801="review","review_required","backlog")))</x:f>
        <x:v>backlog</x:v>
      </x:c>
      <x:c r="AF801" s="12" t="str">
        <x:f>IF(OR(AE801="active",AE801="review_required"),"yes","no")</x:f>
        <x:v>no</x:v>
      </x:c>
      <x:c r="AG801" s="12" t="str">
        <x:f>IF(AND(AE801="active",M801="yes",NOT(ISNUMBER(SEARCH("healthy",AB801)))),"yes","no")</x:f>
        <x:v>no</x:v>
      </x:c>
      <x:c r="AH801" s="12" t="str">
        <x:f>IF(OR(H801="contextual",H801="dialogue",H801="discourse",I801="claim+context",I801="discourse_segment"),"yes","no")</x:f>
        <x:v>no</x:v>
      </x:c>
      <x:c r="AI801" s="12" t="str">
        <x:f>IF(OR(AH801="yes",AD801="debated",AC801="operational"),"yes","no")</x:f>
        <x:v>yes</x:v>
      </x:c>
      <x:c r="AJ801" s="12" t="str">
        <x:f>IF(OR(AH801="yes",AC801="operational",AD801="debated"),"high",IF(AND(AG801="yes",L801="P0"),"medium","low"))</x:f>
        <x:v>high</x:v>
      </x:c>
      <x:c r="AK801" s="12" t="str">
        <x:f>IF(ISNUMBER(SEARCH("healthy",AB801)),"yes","no")</x:f>
        <x:v>no</x:v>
      </x:c>
      <x:c r="AL801" s="12" t="str">
        <x:f>IF(AG801="yes","yes","candidate_only")</x:f>
        <x:v>candidate_only</x:v>
      </x:c>
      <x:c r="AM801" s="12" t="str">
        <x:f>IF(OR(AC801="canonical",AG801="yes"),"yes","recommended")</x:f>
        <x:v>recommended</x:v>
      </x:c>
      <x:c r="AN801" s="12" t="str">
        <x:f>IF(AC801="deprecated","exclude",IF(AND(AG801="yes",AJ801="high"),"import_but_human_review_required",IF(AG801="yes","import_as_active","import_as_backlog")))</x:f>
        <x:v>import_as_backlog</x:v>
      </x:c>
      <x:c r="AO801" s="12" t="str">
        <x:f>IF(AND(AG801="yes",OR(P801="",Q801="",R801="",S801="")),"missing_required_mvp_fields",IF(AND(AC801="canonical",Y801=""),"missing_source_ref","ok"))</x:f>
        <x:v>ok</x:v>
      </x:c>
      <x:c r="AP801" s="12" t="str">
        <x:f>IF(AO801="ok","ready_for_codex_import","needs_review")</x:f>
        <x:v>ready_for_codex_import</x:v>
      </x:c>
      <x:c r="AQ801" s="12"/>
      <x:c r="AR801" s="12" t="str">
        <x:v>Added v2 operational fields. Review before classification activation.</x:v>
      </x:c>
    </x:row>
    <x:row r="802">
      <x:c r="A802" s="13" t="str">
        <x:v>dysphemism_framing_omission_emphasis_variant</x:v>
      </x:c>
      <x:c r="B802" s="13" t="str">
        <x:v>dysphemism_framing</x:v>
      </x:c>
      <x:c r="C802" s="13" t="str">
        <x:v>Dysphemism framing</x:v>
      </x:c>
      <x:c r="D802" s="13" t="str">
        <x:v>قاب‌بندی تخریبی</x:v>
      </x:c>
      <x:c r="E802" s="13" t="str">
        <x:v>Omission/emphasis variant</x:v>
      </x:c>
      <x:c r="F802" s="13" t="str">
        <x:v>rhetorical_manipulation_patterns</x:v>
      </x:c>
      <x:c r="G802" s="13" t="str">
        <x:v>operational_variant</x:v>
      </x:c>
      <x:c r="H802" s="13" t="str">
        <x:v>lexical</x:v>
      </x:c>
      <x:c r="I802" s="13" t="str">
        <x:v>claim</x:v>
      </x:c>
      <x:c r="J802" s="13" t="str">
        <x:v>derived_operational_subtype</x:v>
      </x:c>
      <x:c r="K802" s="13" t="str">
        <x:v>derived_from_established_parent_review_required</x:v>
      </x:c>
      <x:c r="L802" s="13" t="str">
        <x:v>P2</x:v>
      </x:c>
      <x:c r="M802" s="13" t="str">
        <x:v>no</x:v>
      </x:c>
      <x:c r="N802" s="13" t="str">
        <x:v>Operational subtype under Dysphemism framing: selective omission or emphasis controls framing. Parent definition: Using harsher wording to intensify perceived seriousness.</x:v>
      </x:c>
      <x:c r="O802" s="13" t="str">
        <x:v>Look for: explicit claim-level evidence; parent-family cues for Dysphemism framing; variant cue: selective omission or emphasis controls framing; avoid author-level inference.</x:v>
      </x:c>
      <x:c r="P802" s="13" t="str">
        <x:v>Exact evidence span in text plus claim-level reasoning link; for contextual/discourse entries, require surrounding context.</x:v>
      </x:c>
      <x:c r="Q802" s="13" t="str">
        <x:v>Do not label merely because topic is controversial, emotional, or wrong. Do not judge intent or personality. Require textual evidence and consider healthy-reasoning cues.</x:v>
      </x:c>
      <x:c r="R802" s="13" t="str">
        <x:v>Stub: A claim relies on selective omission or emphasis controls framing to support a conclusion without adequate qualification.</x:v>
      </x:c>
      <x:c r="S802" s="13" t="str">
        <x:v>Stub: A claim discusses dysphemism framing with caveats, balanced evidence, or no argumentative use of the pattern.</x:v>
      </x:c>
      <x:c r="T802" s="13" t="str">
        <x:v>Mild or ambiguous cue; do not classify without clear evidence span.</x:v>
      </x:c>
      <x:c r="U802" s="13" t="str">
        <x:v>Clear claim-level pattern with some argumentative impact.</x:v>
      </x:c>
      <x:c r="V802" s="13" t="str">
        <x:v>Strong pattern central to the conclusion and likely to materially distort reasoning.</x:v>
      </x:c>
      <x:c r="W802" s="13" t="str"/>
      <x:c r="X802" s="13" t="str">
        <x:v>grice_logic_conversation</x:v>
      </x:c>
      <x:c r="Y802" s="13" t="str">
        <x:v>https://doi.org/10.1163/9789004368811_003</x:v>
      </x:c>
      <x:c r="Z802" s="13" t="str">
        <x:v>Review before enabling. This workbook is a living taxonomy scaffold, not a validated scientific benchmark.</x:v>
      </x:c>
      <x:c r="AA802" s="13" t="str">
        <x:v>0.1.0-draft</x:v>
      </x:c>
      <x:c r="AB802" s="12" t="str">
        <x:f>IF(ISNUMBER(SEARCH("healthy",F802)),"healthy_reasoning_patterns",IF(ISNUMBER(SEARCH("statistical",F802)),"statistical_reasoning",IF(ISNUMBER(SEARCH("causal",F802)),"causal_reasoning",IF(ISNUMBER(SEARCH("social",F802)),"social_influence",IF(ISNUMBER(SEARCH("rhetoric",F802)),"rhetoric_discourse",IF(ISNUMBER(SEARCH("behavior",F802)),"behavioural_economics",IF(ISNUMBER(SEARCH("cognitive",F802)),"cognitive_biases",IF(J802="protective_pattern","healthy_reasoning_patterns",IF(L802="P0","core_mvp","extended_fallacies")))))))))</x:f>
        <x:v>rhetoric_discourse</x:v>
      </x:c>
      <x:c r="AC802" s="12" t="str">
        <x:f>IF(ISNUMBER(SEARCH("operational",J802)),"operational",IF(ISNUMBER(SEARCH("deprecated",J802)),"deprecated",IF(L802="P0","canonical","recognized_subtype")))</x:f>
        <x:v>operational</x:v>
      </x:c>
      <x:c r="AD802" s="12" t="str">
        <x:f>IF(AC802="canonical","high",IF(AC802="recognized_subtype","medium",IF(AC802="operational","operational_only","debated")))</x:f>
        <x:v>operational_only</x:v>
      </x:c>
      <x:c r="AE802" s="12" t="str">
        <x:f>IF(AC802="deprecated","deprecated",IF(M802="yes","active",IF(M802="review","review_required","backlog")))</x:f>
        <x:v>backlog</x:v>
      </x:c>
      <x:c r="AF802" s="12" t="str">
        <x:f>IF(OR(AE802="active",AE802="review_required"),"yes","no")</x:f>
        <x:v>no</x:v>
      </x:c>
      <x:c r="AG802" s="12" t="str">
        <x:f>IF(AND(AE802="active",M802="yes",NOT(ISNUMBER(SEARCH("healthy",AB802)))),"yes","no")</x:f>
        <x:v>no</x:v>
      </x:c>
      <x:c r="AH802" s="12" t="str">
        <x:f>IF(OR(H802="contextual",H802="dialogue",H802="discourse",I802="claim+context",I802="discourse_segment"),"yes","no")</x:f>
        <x:v>no</x:v>
      </x:c>
      <x:c r="AI802" s="12" t="str">
        <x:f>IF(OR(AH802="yes",AD802="debated",AC802="operational"),"yes","no")</x:f>
        <x:v>yes</x:v>
      </x:c>
      <x:c r="AJ802" s="12" t="str">
        <x:f>IF(OR(AH802="yes",AC802="operational",AD802="debated"),"high",IF(AND(AG802="yes",L802="P0"),"medium","low"))</x:f>
        <x:v>high</x:v>
      </x:c>
      <x:c r="AK802" s="12" t="str">
        <x:f>IF(ISNUMBER(SEARCH("healthy",AB802)),"yes","no")</x:f>
        <x:v>no</x:v>
      </x:c>
      <x:c r="AL802" s="12" t="str">
        <x:f>IF(AG802="yes","yes","candidate_only")</x:f>
        <x:v>candidate_only</x:v>
      </x:c>
      <x:c r="AM802" s="12" t="str">
        <x:f>IF(OR(AC802="canonical",AG802="yes"),"yes","recommended")</x:f>
        <x:v>recommended</x:v>
      </x:c>
      <x:c r="AN802" s="12" t="str">
        <x:f>IF(AC802="deprecated","exclude",IF(AND(AG802="yes",AJ802="high"),"import_but_human_review_required",IF(AG802="yes","import_as_active","import_as_backlog")))</x:f>
        <x:v>import_as_backlog</x:v>
      </x:c>
      <x:c r="AO802" s="12" t="str">
        <x:f>IF(AND(AG802="yes",OR(P802="",Q802="",R802="",S802="")),"missing_required_mvp_fields",IF(AND(AC802="canonical",Y802=""),"missing_source_ref","ok"))</x:f>
        <x:v>ok</x:v>
      </x:c>
      <x:c r="AP802" s="12" t="str">
        <x:f>IF(AO802="ok","ready_for_codex_import","needs_review")</x:f>
        <x:v>ready_for_codex_import</x:v>
      </x:c>
      <x:c r="AQ802" s="12"/>
      <x:c r="AR802" s="12" t="str">
        <x:v>Added v2 operational fields. Review before classification activation.</x:v>
      </x:c>
    </x:row>
    <x:row r="803">
      <x:c r="A803" s="13" t="str">
        <x:v>fear_mongering_omission_emphasis_variant</x:v>
      </x:c>
      <x:c r="B803" s="13" t="str">
        <x:v>fear_mongering</x:v>
      </x:c>
      <x:c r="C803" s="13" t="str">
        <x:v>Fear mongering</x:v>
      </x:c>
      <x:c r="D803" s="13" t="str">
        <x:v>ترس‌افکنی</x:v>
      </x:c>
      <x:c r="E803" s="13" t="str">
        <x:v>Omission/emphasis variant</x:v>
      </x:c>
      <x:c r="F803" s="13" t="str">
        <x:v>rhetorical_manipulation_patterns</x:v>
      </x:c>
      <x:c r="G803" s="13" t="str">
        <x:v>operational_variant</x:v>
      </x:c>
      <x:c r="H803" s="13" t="str">
        <x:v>discourse</x:v>
      </x:c>
      <x:c r="I803" s="13" t="str">
        <x:v>discourse_segment</x:v>
      </x:c>
      <x:c r="J803" s="13" t="str">
        <x:v>derived_operational_subtype</x:v>
      </x:c>
      <x:c r="K803" s="13" t="str">
        <x:v>derived_from_established_parent_review_required</x:v>
      </x:c>
      <x:c r="L803" s="13" t="str">
        <x:v>P2</x:v>
      </x:c>
      <x:c r="M803" s="13" t="str">
        <x:v>no</x:v>
      </x:c>
      <x:c r="N803" s="13" t="str">
        <x:v>Operational subtype under Fear mongering: selective omission or emphasis controls framing. Parent definition: Amplifying threats to push a conclusion or choice.</x:v>
      </x:c>
      <x:c r="O803" s="13" t="str">
        <x:v>Look for: explicit claim-level evidence; parent-family cues for Fear mongering; variant cue: selective omission or emphasis controls framing; avoid author-level inference.</x:v>
      </x:c>
      <x:c r="P803" s="13" t="str">
        <x:v>Exact evidence span in text plus claim-level reasoning link; for contextual/discourse entries, require surrounding context.</x:v>
      </x:c>
      <x:c r="Q803" s="13" t="str">
        <x:v>Do not label merely because topic is controversial, emotional, or wrong. Do not judge intent or personality. Require textual evidence and consider healthy-reasoning cues.</x:v>
      </x:c>
      <x:c r="R803" s="13" t="str">
        <x:v>Stub: A claim relies on selective omission or emphasis controls framing to support a conclusion without adequate qualification.</x:v>
      </x:c>
      <x:c r="S803" s="13" t="str">
        <x:v>Stub: A claim discusses fear mongering with caveats, balanced evidence, or no argumentative use of the pattern.</x:v>
      </x:c>
      <x:c r="T803" s="13" t="str">
        <x:v>Mild or ambiguous cue; do not classify without clear evidence span.</x:v>
      </x:c>
      <x:c r="U803" s="13" t="str">
        <x:v>Clear claim-level pattern with some argumentative impact.</x:v>
      </x:c>
      <x:c r="V803" s="13" t="str">
        <x:v>Strong pattern central to the conclusion and likely to materially distort reasoning.</x:v>
      </x:c>
      <x:c r="W803" s="13" t="str"/>
      <x:c r="X803" s="13" t="str">
        <x:v>sep_fallacies</x:v>
      </x:c>
      <x:c r="Y803" s="13" t="str">
        <x:v>https://plato.stanford.edu/entries/fallacies/</x:v>
      </x:c>
      <x:c r="Z803" s="13" t="str">
        <x:v>Review before enabling. This workbook is a living taxonomy scaffold, not a validated scientific benchmark.</x:v>
      </x:c>
      <x:c r="AA803" s="13" t="str">
        <x:v>0.1.0-draft</x:v>
      </x:c>
      <x:c r="AB803" s="12" t="str">
        <x:f>IF(ISNUMBER(SEARCH("healthy",F803)),"healthy_reasoning_patterns",IF(ISNUMBER(SEARCH("statistical",F803)),"statistical_reasoning",IF(ISNUMBER(SEARCH("causal",F803)),"causal_reasoning",IF(ISNUMBER(SEARCH("social",F803)),"social_influence",IF(ISNUMBER(SEARCH("rhetoric",F803)),"rhetoric_discourse",IF(ISNUMBER(SEARCH("behavior",F803)),"behavioural_economics",IF(ISNUMBER(SEARCH("cognitive",F803)),"cognitive_biases",IF(J803="protective_pattern","healthy_reasoning_patterns",IF(L803="P0","core_mvp","extended_fallacies")))))))))</x:f>
        <x:v>rhetoric_discourse</x:v>
      </x:c>
      <x:c r="AC803" s="12" t="str">
        <x:f>IF(ISNUMBER(SEARCH("operational",J803)),"operational",IF(ISNUMBER(SEARCH("deprecated",J803)),"deprecated",IF(L803="P0","canonical","recognized_subtype")))</x:f>
        <x:v>operational</x:v>
      </x:c>
      <x:c r="AD803" s="12" t="str">
        <x:f>IF(AC803="canonical","high",IF(AC803="recognized_subtype","medium",IF(AC803="operational","operational_only","debated")))</x:f>
        <x:v>operational_only</x:v>
      </x:c>
      <x:c r="AE803" s="12" t="str">
        <x:f>IF(AC803="deprecated","deprecated",IF(M803="yes","active",IF(M803="review","review_required","backlog")))</x:f>
        <x:v>backlog</x:v>
      </x:c>
      <x:c r="AF803" s="12" t="str">
        <x:f>IF(OR(AE803="active",AE803="review_required"),"yes","no")</x:f>
        <x:v>no</x:v>
      </x:c>
      <x:c r="AG803" s="12" t="str">
        <x:f>IF(AND(AE803="active",M803="yes",NOT(ISNUMBER(SEARCH("healthy",AB803)))),"yes","no")</x:f>
        <x:v>no</x:v>
      </x:c>
      <x:c r="AH803" s="12" t="str">
        <x:f>IF(OR(H803="contextual",H803="dialogue",H803="discourse",I803="claim+context",I803="discourse_segment"),"yes","no")</x:f>
        <x:v>yes</x:v>
      </x:c>
      <x:c r="AI803" s="12" t="str">
        <x:f>IF(OR(AH803="yes",AD803="debated",AC803="operational"),"yes","no")</x:f>
        <x:v>yes</x:v>
      </x:c>
      <x:c r="AJ803" s="12" t="str">
        <x:f>IF(OR(AH803="yes",AC803="operational",AD803="debated"),"high",IF(AND(AG803="yes",L803="P0"),"medium","low"))</x:f>
        <x:v>high</x:v>
      </x:c>
      <x:c r="AK803" s="12" t="str">
        <x:f>IF(ISNUMBER(SEARCH("healthy",AB803)),"yes","no")</x:f>
        <x:v>no</x:v>
      </x:c>
      <x:c r="AL803" s="12" t="str">
        <x:f>IF(AG803="yes","yes","candidate_only")</x:f>
        <x:v>candidate_only</x:v>
      </x:c>
      <x:c r="AM803" s="12" t="str">
        <x:f>IF(OR(AC803="canonical",AG803="yes"),"yes","recommended")</x:f>
        <x:v>recommended</x:v>
      </x:c>
      <x:c r="AN803" s="12" t="str">
        <x:f>IF(AC803="deprecated","exclude",IF(AND(AG803="yes",AJ803="high"),"import_but_human_review_required",IF(AG803="yes","import_as_active","import_as_backlog")))</x:f>
        <x:v>import_as_backlog</x:v>
      </x:c>
      <x:c r="AO803" s="12" t="str">
        <x:f>IF(AND(AG803="yes",OR(P803="",Q803="",R803="",S803="")),"missing_required_mvp_fields",IF(AND(AC803="canonical",Y803=""),"missing_source_ref","ok"))</x:f>
        <x:v>ok</x:v>
      </x:c>
      <x:c r="AP803" s="12" t="str">
        <x:f>IF(AO803="ok","ready_for_codex_import","needs_review")</x:f>
        <x:v>ready_for_codex_import</x:v>
      </x:c>
      <x:c r="AQ803" s="12"/>
      <x:c r="AR803" s="12" t="str">
        <x:v>Added v2 operational fields. Review before classification activation.</x:v>
      </x:c>
    </x:row>
    <x:row r="804">
      <x:c r="A804" s="13" t="str">
        <x:v>urgency_pressure_omission_emphasis_variant</x:v>
      </x:c>
      <x:c r="B804" s="13" t="str">
        <x:v>urgency_pressure</x:v>
      </x:c>
      <x:c r="C804" s="13" t="str">
        <x:v>Urgency pressure</x:v>
      </x:c>
      <x:c r="D804" s="13" t="str">
        <x:v>فشار فوریت</x:v>
      </x:c>
      <x:c r="E804" s="13" t="str">
        <x:v>Omission/emphasis variant</x:v>
      </x:c>
      <x:c r="F804" s="13" t="str">
        <x:v>rhetorical_manipulation_patterns</x:v>
      </x:c>
      <x:c r="G804" s="13" t="str">
        <x:v>operational_variant</x:v>
      </x:c>
      <x:c r="H804" s="13" t="str">
        <x:v>discourse</x:v>
      </x:c>
      <x:c r="I804" s="13" t="str">
        <x:v>discourse_segment</x:v>
      </x:c>
      <x:c r="J804" s="13" t="str">
        <x:v>derived_operational_subtype</x:v>
      </x:c>
      <x:c r="K804" s="13" t="str">
        <x:v>derived_from_established_parent_review_required</x:v>
      </x:c>
      <x:c r="L804" s="13" t="str">
        <x:v>P2</x:v>
      </x:c>
      <x:c r="M804" s="13" t="str">
        <x:v>no</x:v>
      </x:c>
      <x:c r="N804" s="13" t="str">
        <x:v>Operational subtype under Urgency pressure: selective omission or emphasis controls framing. Parent definition: Using artificial time pressure to suppress deliberation.</x:v>
      </x:c>
      <x:c r="O804" s="13" t="str">
        <x:v>Look for: explicit claim-level evidence; parent-family cues for Urgency pressure; variant cue: selective omission or emphasis controls framing; avoid author-level inference.</x:v>
      </x:c>
      <x:c r="P804" s="13" t="str">
        <x:v>Exact evidence span in text plus claim-level reasoning link; for contextual/discourse entries, require surrounding context.</x:v>
      </x:c>
      <x:c r="Q804" s="13" t="str">
        <x:v>Do not label merely because topic is controversial, emotional, or wrong. Do not judge intent or personality. Require textual evidence and consider healthy-reasoning cues.</x:v>
      </x:c>
      <x:c r="R804" s="13" t="str">
        <x:v>Stub: A claim relies on selective omission or emphasis controls framing to support a conclusion without adequate qualification.</x:v>
      </x:c>
      <x:c r="S804" s="13" t="str">
        <x:v>Stub: A claim discusses urgency pressure with caveats, balanced evidence, or no argumentative use of the pattern.</x:v>
      </x:c>
      <x:c r="T804" s="13" t="str">
        <x:v>Mild or ambiguous cue; do not classify without clear evidence span.</x:v>
      </x:c>
      <x:c r="U804" s="13" t="str">
        <x:v>Clear claim-level pattern with some argumentative impact.</x:v>
      </x:c>
      <x:c r="V804" s="13" t="str">
        <x:v>Strong pattern central to the conclusion and likely to materially distort reasoning.</x:v>
      </x:c>
      <x:c r="W804" s="13" t="str"/>
      <x:c r="X804" s="13" t="str">
        <x:v>cialdini_influence</x:v>
      </x:c>
      <x:c r="Y804" s="13" t="str">
        <x:v>https://www.pearson.com/en-us/subject-catalog/p/influence-science-and-practice/P200000003004</x:v>
      </x:c>
      <x:c r="Z804" s="13" t="str">
        <x:v>Review before enabling. This workbook is a living taxonomy scaffold, not a validated scientific benchmark.</x:v>
      </x:c>
      <x:c r="AA804" s="13" t="str">
        <x:v>0.1.0-draft</x:v>
      </x:c>
      <x:c r="AB804" s="12" t="str">
        <x:f>IF(ISNUMBER(SEARCH("healthy",F804)),"healthy_reasoning_patterns",IF(ISNUMBER(SEARCH("statistical",F804)),"statistical_reasoning",IF(ISNUMBER(SEARCH("causal",F804)),"causal_reasoning",IF(ISNUMBER(SEARCH("social",F804)),"social_influence",IF(ISNUMBER(SEARCH("rhetoric",F804)),"rhetoric_discourse",IF(ISNUMBER(SEARCH("behavior",F804)),"behavioural_economics",IF(ISNUMBER(SEARCH("cognitive",F804)),"cognitive_biases",IF(J804="protective_pattern","healthy_reasoning_patterns",IF(L804="P0","core_mvp","extended_fallacies")))))))))</x:f>
        <x:v>rhetoric_discourse</x:v>
      </x:c>
      <x:c r="AC804" s="12" t="str">
        <x:f>IF(ISNUMBER(SEARCH("operational",J804)),"operational",IF(ISNUMBER(SEARCH("deprecated",J804)),"deprecated",IF(L804="P0","canonical","recognized_subtype")))</x:f>
        <x:v>operational</x:v>
      </x:c>
      <x:c r="AD804" s="12" t="str">
        <x:f>IF(AC804="canonical","high",IF(AC804="recognized_subtype","medium",IF(AC804="operational","operational_only","debated")))</x:f>
        <x:v>operational_only</x:v>
      </x:c>
      <x:c r="AE804" s="12" t="str">
        <x:f>IF(AC804="deprecated","deprecated",IF(M804="yes","active",IF(M804="review","review_required","backlog")))</x:f>
        <x:v>backlog</x:v>
      </x:c>
      <x:c r="AF804" s="12" t="str">
        <x:f>IF(OR(AE804="active",AE804="review_required"),"yes","no")</x:f>
        <x:v>no</x:v>
      </x:c>
      <x:c r="AG804" s="12" t="str">
        <x:f>IF(AND(AE804="active",M804="yes",NOT(ISNUMBER(SEARCH("healthy",AB804)))),"yes","no")</x:f>
        <x:v>no</x:v>
      </x:c>
      <x:c r="AH804" s="12" t="str">
        <x:f>IF(OR(H804="contextual",H804="dialogue",H804="discourse",I804="claim+context",I804="discourse_segment"),"yes","no")</x:f>
        <x:v>yes</x:v>
      </x:c>
      <x:c r="AI804" s="12" t="str">
        <x:f>IF(OR(AH804="yes",AD804="debated",AC804="operational"),"yes","no")</x:f>
        <x:v>yes</x:v>
      </x:c>
      <x:c r="AJ804" s="12" t="str">
        <x:f>IF(OR(AH804="yes",AC804="operational",AD804="debated"),"high",IF(AND(AG804="yes",L804="P0"),"medium","low"))</x:f>
        <x:v>high</x:v>
      </x:c>
      <x:c r="AK804" s="12" t="str">
        <x:f>IF(ISNUMBER(SEARCH("healthy",AB804)),"yes","no")</x:f>
        <x:v>no</x:v>
      </x:c>
      <x:c r="AL804" s="12" t="str">
        <x:f>IF(AG804="yes","yes","candidate_only")</x:f>
        <x:v>candidate_only</x:v>
      </x:c>
      <x:c r="AM804" s="12" t="str">
        <x:f>IF(OR(AC804="canonical",AG804="yes"),"yes","recommended")</x:f>
        <x:v>recommended</x:v>
      </x:c>
      <x:c r="AN804" s="12" t="str">
        <x:f>IF(AC804="deprecated","exclude",IF(AND(AG804="yes",AJ804="high"),"import_but_human_review_required",IF(AG804="yes","import_as_active","import_as_backlog")))</x:f>
        <x:v>import_as_backlog</x:v>
      </x:c>
      <x:c r="AO804" s="12" t="str">
        <x:f>IF(AND(AG804="yes",OR(P804="",Q804="",R804="",S804="")),"missing_required_mvp_fields",IF(AND(AC804="canonical",Y804=""),"missing_source_ref","ok"))</x:f>
        <x:v>ok</x:v>
      </x:c>
      <x:c r="AP804" s="12" t="str">
        <x:f>IF(AO804="ok","ready_for_codex_import","needs_review")</x:f>
        <x:v>ready_for_codex_import</x:v>
      </x:c>
      <x:c r="AQ804" s="12"/>
      <x:c r="AR804" s="12" t="str">
        <x:v>Added v2 operational fields. Review before classification activation.</x:v>
      </x:c>
    </x:row>
    <x:row r="805">
      <x:c r="A805" s="13" t="str">
        <x:v>scarcity_pressure_omission_emphasis_variant</x:v>
      </x:c>
      <x:c r="B805" s="13" t="str">
        <x:v>scarcity_pressure</x:v>
      </x:c>
      <x:c r="C805" s="13" t="str">
        <x:v>Scarcity pressure</x:v>
      </x:c>
      <x:c r="D805" s="13" t="str">
        <x:v>فشار کمیابی</x:v>
      </x:c>
      <x:c r="E805" s="13" t="str">
        <x:v>Omission/emphasis variant</x:v>
      </x:c>
      <x:c r="F805" s="13" t="str">
        <x:v>rhetorical_manipulation_patterns</x:v>
      </x:c>
      <x:c r="G805" s="13" t="str">
        <x:v>operational_variant</x:v>
      </x:c>
      <x:c r="H805" s="13" t="str">
        <x:v>discourse</x:v>
      </x:c>
      <x:c r="I805" s="13" t="str">
        <x:v>discourse_segment</x:v>
      </x:c>
      <x:c r="J805" s="13" t="str">
        <x:v>derived_operational_subtype</x:v>
      </x:c>
      <x:c r="K805" s="13" t="str">
        <x:v>derived_from_established_parent_review_required</x:v>
      </x:c>
      <x:c r="L805" s="13" t="str">
        <x:v>P2</x:v>
      </x:c>
      <x:c r="M805" s="13" t="str">
        <x:v>no</x:v>
      </x:c>
      <x:c r="N805" s="13" t="str">
        <x:v>Operational subtype under Scarcity pressure: selective omission or emphasis controls framing. Parent definition: Using scarcity language to increase compliance.</x:v>
      </x:c>
      <x:c r="O805" s="13" t="str">
        <x:v>Look for: explicit claim-level evidence; parent-family cues for Scarcity pressure; variant cue: selective omission or emphasis controls framing; avoid author-level inference.</x:v>
      </x:c>
      <x:c r="P805" s="13" t="str">
        <x:v>Exact evidence span in text plus claim-level reasoning link; for contextual/discourse entries, require surrounding context.</x:v>
      </x:c>
      <x:c r="Q805" s="13" t="str">
        <x:v>Do not label merely because topic is controversial, emotional, or wrong. Do not judge intent or personality. Require textual evidence and consider healthy-reasoning cues.</x:v>
      </x:c>
      <x:c r="R805" s="13" t="str">
        <x:v>Stub: A claim relies on selective omission or emphasis controls framing to support a conclusion without adequate qualification.</x:v>
      </x:c>
      <x:c r="S805" s="13" t="str">
        <x:v>Stub: A claim discusses scarcity pressure with caveats, balanced evidence, or no argumentative use of the pattern.</x:v>
      </x:c>
      <x:c r="T805" s="13" t="str">
        <x:v>Mild or ambiguous cue; do not classify without clear evidence span.</x:v>
      </x:c>
      <x:c r="U805" s="13" t="str">
        <x:v>Clear claim-level pattern with some argumentative impact.</x:v>
      </x:c>
      <x:c r="V805" s="13" t="str">
        <x:v>Strong pattern central to the conclusion and likely to materially distort reasoning.</x:v>
      </x:c>
      <x:c r="W805" s="13" t="str"/>
      <x:c r="X805" s="13" t="str">
        <x:v>cialdini_influence</x:v>
      </x:c>
      <x:c r="Y805" s="13" t="str">
        <x:v>https://www.pearson.com/en-us/subject-catalog/p/influence-science-and-practice/P200000003004</x:v>
      </x:c>
      <x:c r="Z805" s="13" t="str">
        <x:v>Review before enabling. This workbook is a living taxonomy scaffold, not a validated scientific benchmark.</x:v>
      </x:c>
      <x:c r="AA805" s="13" t="str">
        <x:v>0.1.0-draft</x:v>
      </x:c>
      <x:c r="AB805" s="12" t="str">
        <x:f>IF(ISNUMBER(SEARCH("healthy",F805)),"healthy_reasoning_patterns",IF(ISNUMBER(SEARCH("statistical",F805)),"statistical_reasoning",IF(ISNUMBER(SEARCH("causal",F805)),"causal_reasoning",IF(ISNUMBER(SEARCH("social",F805)),"social_influence",IF(ISNUMBER(SEARCH("rhetoric",F805)),"rhetoric_discourse",IF(ISNUMBER(SEARCH("behavior",F805)),"behavioural_economics",IF(ISNUMBER(SEARCH("cognitive",F805)),"cognitive_biases",IF(J805="protective_pattern","healthy_reasoning_patterns",IF(L805="P0","core_mvp","extended_fallacies")))))))))</x:f>
        <x:v>rhetoric_discourse</x:v>
      </x:c>
      <x:c r="AC805" s="12" t="str">
        <x:f>IF(ISNUMBER(SEARCH("operational",J805)),"operational",IF(ISNUMBER(SEARCH("deprecated",J805)),"deprecated",IF(L805="P0","canonical","recognized_subtype")))</x:f>
        <x:v>operational</x:v>
      </x:c>
      <x:c r="AD805" s="12" t="str">
        <x:f>IF(AC805="canonical","high",IF(AC805="recognized_subtype","medium",IF(AC805="operational","operational_only","debated")))</x:f>
        <x:v>operational_only</x:v>
      </x:c>
      <x:c r="AE805" s="12" t="str">
        <x:f>IF(AC805="deprecated","deprecated",IF(M805="yes","active",IF(M805="review","review_required","backlog")))</x:f>
        <x:v>backlog</x:v>
      </x:c>
      <x:c r="AF805" s="12" t="str">
        <x:f>IF(OR(AE805="active",AE805="review_required"),"yes","no")</x:f>
        <x:v>no</x:v>
      </x:c>
      <x:c r="AG805" s="12" t="str">
        <x:f>IF(AND(AE805="active",M805="yes",NOT(ISNUMBER(SEARCH("healthy",AB805)))),"yes","no")</x:f>
        <x:v>no</x:v>
      </x:c>
      <x:c r="AH805" s="12" t="str">
        <x:f>IF(OR(H805="contextual",H805="dialogue",H805="discourse",I805="claim+context",I805="discourse_segment"),"yes","no")</x:f>
        <x:v>yes</x:v>
      </x:c>
      <x:c r="AI805" s="12" t="str">
        <x:f>IF(OR(AH805="yes",AD805="debated",AC805="operational"),"yes","no")</x:f>
        <x:v>yes</x:v>
      </x:c>
      <x:c r="AJ805" s="12" t="str">
        <x:f>IF(OR(AH805="yes",AC805="operational",AD805="debated"),"high",IF(AND(AG805="yes",L805="P0"),"medium","low"))</x:f>
        <x:v>high</x:v>
      </x:c>
      <x:c r="AK805" s="12" t="str">
        <x:f>IF(ISNUMBER(SEARCH("healthy",AB805)),"yes","no")</x:f>
        <x:v>no</x:v>
      </x:c>
      <x:c r="AL805" s="12" t="str">
        <x:f>IF(AG805="yes","yes","candidate_only")</x:f>
        <x:v>candidate_only</x:v>
      </x:c>
      <x:c r="AM805" s="12" t="str">
        <x:f>IF(OR(AC805="canonical",AG805="yes"),"yes","recommended")</x:f>
        <x:v>recommended</x:v>
      </x:c>
      <x:c r="AN805" s="12" t="str">
        <x:f>IF(AC805="deprecated","exclude",IF(AND(AG805="yes",AJ805="high"),"import_but_human_review_required",IF(AG805="yes","import_as_active","import_as_backlog")))</x:f>
        <x:v>import_as_backlog</x:v>
      </x:c>
      <x:c r="AO805" s="12" t="str">
        <x:f>IF(AND(AG805="yes",OR(P805="",Q805="",R805="",S805="")),"missing_required_mvp_fields",IF(AND(AC805="canonical",Y805=""),"missing_source_ref","ok"))</x:f>
        <x:v>ok</x:v>
      </x:c>
      <x:c r="AP805" s="12" t="str">
        <x:f>IF(AO805="ok","ready_for_codex_import","needs_review")</x:f>
        <x:v>ready_for_codex_import</x:v>
      </x:c>
      <x:c r="AQ805" s="12"/>
      <x:c r="AR805" s="12" t="str">
        <x:v>Added v2 operational fields. Review before classification activation.</x:v>
      </x:c>
    </x:row>
    <x:row r="806">
      <x:c r="A806" s="13" t="str">
        <x:v>motte_and_bailey_omission_emphasis_variant</x:v>
      </x:c>
      <x:c r="B806" s="13" t="str">
        <x:v>motte_and_bailey</x:v>
      </x:c>
      <x:c r="C806" s="13" t="str">
        <x:v>Motte-and-bailey</x:v>
      </x:c>
      <x:c r="D806" s="13" t="str">
        <x:v>قلعه و حیاط</x:v>
      </x:c>
      <x:c r="E806" s="13" t="str">
        <x:v>Omission/emphasis variant</x:v>
      </x:c>
      <x:c r="F806" s="13" t="str">
        <x:v>rhetorical_manipulation_patterns</x:v>
      </x:c>
      <x:c r="G806" s="13" t="str">
        <x:v>operational_variant</x:v>
      </x:c>
      <x:c r="H806" s="13" t="str">
        <x:v>dialogue</x:v>
      </x:c>
      <x:c r="I806" s="13" t="str">
        <x:v>discourse_segment</x:v>
      </x:c>
      <x:c r="J806" s="13" t="str">
        <x:v>derived_operational_subtype</x:v>
      </x:c>
      <x:c r="K806" s="13" t="str">
        <x:v>derived_from_established_parent_review_required</x:v>
      </x:c>
      <x:c r="L806" s="13" t="str">
        <x:v>P2</x:v>
      </x:c>
      <x:c r="M806" s="13" t="str">
        <x:v>no</x:v>
      </x:c>
      <x:c r="N806" s="13" t="str">
        <x:v>Operational subtype under Motte-and-bailey: selective omission or emphasis controls framing. Parent definition: Switching between a bold claim and a defensible weaker claim.</x:v>
      </x:c>
      <x:c r="O806" s="13" t="str">
        <x:v>Look for: explicit claim-level evidence; parent-family cues for Motte-and-bailey; variant cue: selective omission or emphasis controls framing; avoid author-level inference.</x:v>
      </x:c>
      <x:c r="P806" s="13" t="str">
        <x:v>Exact evidence span in text plus claim-level reasoning link; for contextual/discourse entries, require surrounding context.</x:v>
      </x:c>
      <x:c r="Q806" s="13" t="str">
        <x:v>Do not label merely because topic is controversial, emotional, or wrong. Do not judge intent or personality. Require textual evidence and consider healthy-reasoning cues.</x:v>
      </x:c>
      <x:c r="R806" s="13" t="str">
        <x:v>Stub: A claim relies on selective omission or emphasis controls framing to support a conclusion without adequate qualification.</x:v>
      </x:c>
      <x:c r="S806" s="13" t="str">
        <x:v>Stub: A claim discusses motte-and-bailey with caveats, balanced evidence, or no argumentative use of the pattern.</x:v>
      </x:c>
      <x:c r="T806" s="13" t="str">
        <x:v>Mild or ambiguous cue; do not classify without clear evidence span.</x:v>
      </x:c>
      <x:c r="U806" s="13" t="str">
        <x:v>Clear claim-level pattern with some argumentative impact.</x:v>
      </x:c>
      <x:c r="V806" s="13" t="str">
        <x:v>Strong pattern central to the conclusion and likely to materially distort reasoning.</x:v>
      </x:c>
      <x:c r="W806" s="13" t="str"/>
      <x:c r="X806" s="13" t="str">
        <x:v>pragmadialectics</x:v>
      </x:c>
      <x:c r="Y806" s="13" t="str">
        <x:v>https://doi.org/10.1017/CBO9780511616389</x:v>
      </x:c>
      <x:c r="Z806" s="13" t="str">
        <x:v>Review before enabling. This workbook is a living taxonomy scaffold, not a validated scientific benchmark.</x:v>
      </x:c>
      <x:c r="AA806" s="13" t="str">
        <x:v>0.1.0-draft</x:v>
      </x:c>
      <x:c r="AB806" s="12" t="str">
        <x:f>IF(ISNUMBER(SEARCH("healthy",F806)),"healthy_reasoning_patterns",IF(ISNUMBER(SEARCH("statistical",F806)),"statistical_reasoning",IF(ISNUMBER(SEARCH("causal",F806)),"causal_reasoning",IF(ISNUMBER(SEARCH("social",F806)),"social_influence",IF(ISNUMBER(SEARCH("rhetoric",F806)),"rhetoric_discourse",IF(ISNUMBER(SEARCH("behavior",F806)),"behavioural_economics",IF(ISNUMBER(SEARCH("cognitive",F806)),"cognitive_biases",IF(J806="protective_pattern","healthy_reasoning_patterns",IF(L806="P0","core_mvp","extended_fallacies")))))))))</x:f>
        <x:v>rhetoric_discourse</x:v>
      </x:c>
      <x:c r="AC806" s="12" t="str">
        <x:f>IF(ISNUMBER(SEARCH("operational",J806)),"operational",IF(ISNUMBER(SEARCH("deprecated",J806)),"deprecated",IF(L806="P0","canonical","recognized_subtype")))</x:f>
        <x:v>operational</x:v>
      </x:c>
      <x:c r="AD806" s="12" t="str">
        <x:f>IF(AC806="canonical","high",IF(AC806="recognized_subtype","medium",IF(AC806="operational","operational_only","debated")))</x:f>
        <x:v>operational_only</x:v>
      </x:c>
      <x:c r="AE806" s="12" t="str">
        <x:f>IF(AC806="deprecated","deprecated",IF(M806="yes","active",IF(M806="review","review_required","backlog")))</x:f>
        <x:v>backlog</x:v>
      </x:c>
      <x:c r="AF806" s="12" t="str">
        <x:f>IF(OR(AE806="active",AE806="review_required"),"yes","no")</x:f>
        <x:v>no</x:v>
      </x:c>
      <x:c r="AG806" s="12" t="str">
        <x:f>IF(AND(AE806="active",M806="yes",NOT(ISNUMBER(SEARCH("healthy",AB806)))),"yes","no")</x:f>
        <x:v>no</x:v>
      </x:c>
      <x:c r="AH806" s="12" t="str">
        <x:f>IF(OR(H806="contextual",H806="dialogue",H806="discourse",I806="claim+context",I806="discourse_segment"),"yes","no")</x:f>
        <x:v>yes</x:v>
      </x:c>
      <x:c r="AI806" s="12" t="str">
        <x:f>IF(OR(AH806="yes",AD806="debated",AC806="operational"),"yes","no")</x:f>
        <x:v>yes</x:v>
      </x:c>
      <x:c r="AJ806" s="12" t="str">
        <x:f>IF(OR(AH806="yes",AC806="operational",AD806="debated"),"high",IF(AND(AG806="yes",L806="P0"),"medium","low"))</x:f>
        <x:v>high</x:v>
      </x:c>
      <x:c r="AK806" s="12" t="str">
        <x:f>IF(ISNUMBER(SEARCH("healthy",AB806)),"yes","no")</x:f>
        <x:v>no</x:v>
      </x:c>
      <x:c r="AL806" s="12" t="str">
        <x:f>IF(AG806="yes","yes","candidate_only")</x:f>
        <x:v>candidate_only</x:v>
      </x:c>
      <x:c r="AM806" s="12" t="str">
        <x:f>IF(OR(AC806="canonical",AG806="yes"),"yes","recommended")</x:f>
        <x:v>recommended</x:v>
      </x:c>
      <x:c r="AN806" s="12" t="str">
        <x:f>IF(AC806="deprecated","exclude",IF(AND(AG806="yes",AJ806="high"),"import_but_human_review_required",IF(AG806="yes","import_as_active","import_as_backlog")))</x:f>
        <x:v>import_as_backlog</x:v>
      </x:c>
      <x:c r="AO806" s="12" t="str">
        <x:f>IF(AND(AG806="yes",OR(P806="",Q806="",R806="",S806="")),"missing_required_mvp_fields",IF(AND(AC806="canonical",Y806=""),"missing_source_ref","ok"))</x:f>
        <x:v>ok</x:v>
      </x:c>
      <x:c r="AP806" s="12" t="str">
        <x:f>IF(AO806="ok","ready_for_codex_import","needs_review")</x:f>
        <x:v>ready_for_codex_import</x:v>
      </x:c>
      <x:c r="AQ806" s="12"/>
      <x:c r="AR806" s="12" t="str">
        <x:v>Added v2 operational fields. Review before classification activation.</x:v>
      </x:c>
    </x:row>
    <x:row r="807">
      <x:c r="A807" s="13" t="str">
        <x:v>gish_gallop_omission_emphasis_variant</x:v>
      </x:c>
      <x:c r="B807" s="13" t="str">
        <x:v>gish_gallop</x:v>
      </x:c>
      <x:c r="C807" s="13" t="str">
        <x:v>Gish gallop</x:v>
      </x:c>
      <x:c r="D807" s="13" t="str">
        <x:v>رگبار ادعا</x:v>
      </x:c>
      <x:c r="E807" s="13" t="str">
        <x:v>Omission/emphasis variant</x:v>
      </x:c>
      <x:c r="F807" s="13" t="str">
        <x:v>rhetorical_manipulation_patterns</x:v>
      </x:c>
      <x:c r="G807" s="13" t="str">
        <x:v>operational_variant</x:v>
      </x:c>
      <x:c r="H807" s="13" t="str">
        <x:v>discourse</x:v>
      </x:c>
      <x:c r="I807" s="13" t="str">
        <x:v>discourse_segment</x:v>
      </x:c>
      <x:c r="J807" s="13" t="str">
        <x:v>derived_operational_subtype</x:v>
      </x:c>
      <x:c r="K807" s="13" t="str">
        <x:v>derived_from_established_parent_review_required</x:v>
      </x:c>
      <x:c r="L807" s="13" t="str">
        <x:v>P2</x:v>
      </x:c>
      <x:c r="M807" s="13" t="str">
        <x:v>no</x:v>
      </x:c>
      <x:c r="N807" s="13" t="str">
        <x:v>Operational subtype under Gish gallop: selective omission or emphasis controls framing. Parent definition: Overwhelming with many claims faster than they can be evaluated.</x:v>
      </x:c>
      <x:c r="O807" s="13" t="str">
        <x:v>Look for: explicit claim-level evidence; parent-family cues for Gish gallop; variant cue: selective omission or emphasis controls framing; avoid author-level inference.</x:v>
      </x:c>
      <x:c r="P807" s="13" t="str">
        <x:v>Exact evidence span in text plus claim-level reasoning link; for contextual/discourse entries, require surrounding context.</x:v>
      </x:c>
      <x:c r="Q807" s="13" t="str">
        <x:v>Do not label merely because topic is controversial, emotional, or wrong. Do not judge intent or personality. Require textual evidence and consider healthy-reasoning cues.</x:v>
      </x:c>
      <x:c r="R807" s="13" t="str">
        <x:v>Stub: A claim relies on selective omission or emphasis controls framing to support a conclusion without adequate qualification.</x:v>
      </x:c>
      <x:c r="S807" s="13" t="str">
        <x:v>Stub: A claim discusses gish gallop with caveats, balanced evidence, or no argumentative use of the pattern.</x:v>
      </x:c>
      <x:c r="T807" s="13" t="str">
        <x:v>Mild or ambiguous cue; do not classify without clear evidence span.</x:v>
      </x:c>
      <x:c r="U807" s="13" t="str">
        <x:v>Clear claim-level pattern with some argumentative impact.</x:v>
      </x:c>
      <x:c r="V807" s="13" t="str">
        <x:v>Strong pattern central to the conclusion and likely to materially distort reasoning.</x:v>
      </x:c>
      <x:c r="W807" s="13" t="str"/>
      <x:c r="X807" s="13" t="str">
        <x:v>pragmadialectics</x:v>
      </x:c>
      <x:c r="Y807" s="13" t="str">
        <x:v>https://doi.org/10.1017/CBO9780511616389</x:v>
      </x:c>
      <x:c r="Z807" s="13" t="str">
        <x:v>Review before enabling. This workbook is a living taxonomy scaffold, not a validated scientific benchmark.</x:v>
      </x:c>
      <x:c r="AA807" s="13" t="str">
        <x:v>0.1.0-draft</x:v>
      </x:c>
      <x:c r="AB807" s="12" t="str">
        <x:f>IF(ISNUMBER(SEARCH("healthy",F807)),"healthy_reasoning_patterns",IF(ISNUMBER(SEARCH("statistical",F807)),"statistical_reasoning",IF(ISNUMBER(SEARCH("causal",F807)),"causal_reasoning",IF(ISNUMBER(SEARCH("social",F807)),"social_influence",IF(ISNUMBER(SEARCH("rhetoric",F807)),"rhetoric_discourse",IF(ISNUMBER(SEARCH("behavior",F807)),"behavioural_economics",IF(ISNUMBER(SEARCH("cognitive",F807)),"cognitive_biases",IF(J807="protective_pattern","healthy_reasoning_patterns",IF(L807="P0","core_mvp","extended_fallacies")))))))))</x:f>
        <x:v>rhetoric_discourse</x:v>
      </x:c>
      <x:c r="AC807" s="12" t="str">
        <x:f>IF(ISNUMBER(SEARCH("operational",J807)),"operational",IF(ISNUMBER(SEARCH("deprecated",J807)),"deprecated",IF(L807="P0","canonical","recognized_subtype")))</x:f>
        <x:v>operational</x:v>
      </x:c>
      <x:c r="AD807" s="12" t="str">
        <x:f>IF(AC807="canonical","high",IF(AC807="recognized_subtype","medium",IF(AC807="operational","operational_only","debated")))</x:f>
        <x:v>operational_only</x:v>
      </x:c>
      <x:c r="AE807" s="12" t="str">
        <x:f>IF(AC807="deprecated","deprecated",IF(M807="yes","active",IF(M807="review","review_required","backlog")))</x:f>
        <x:v>backlog</x:v>
      </x:c>
      <x:c r="AF807" s="12" t="str">
        <x:f>IF(OR(AE807="active",AE807="review_required"),"yes","no")</x:f>
        <x:v>no</x:v>
      </x:c>
      <x:c r="AG807" s="12" t="str">
        <x:f>IF(AND(AE807="active",M807="yes",NOT(ISNUMBER(SEARCH("healthy",AB807)))),"yes","no")</x:f>
        <x:v>no</x:v>
      </x:c>
      <x:c r="AH807" s="12" t="str">
        <x:f>IF(OR(H807="contextual",H807="dialogue",H807="discourse",I807="claim+context",I807="discourse_segment"),"yes","no")</x:f>
        <x:v>yes</x:v>
      </x:c>
      <x:c r="AI807" s="12" t="str">
        <x:f>IF(OR(AH807="yes",AD807="debated",AC807="operational"),"yes","no")</x:f>
        <x:v>yes</x:v>
      </x:c>
      <x:c r="AJ807" s="12" t="str">
        <x:f>IF(OR(AH807="yes",AC807="operational",AD807="debated"),"high",IF(AND(AG807="yes",L807="P0"),"medium","low"))</x:f>
        <x:v>high</x:v>
      </x:c>
      <x:c r="AK807" s="12" t="str">
        <x:f>IF(ISNUMBER(SEARCH("healthy",AB807)),"yes","no")</x:f>
        <x:v>no</x:v>
      </x:c>
      <x:c r="AL807" s="12" t="str">
        <x:f>IF(AG807="yes","yes","candidate_only")</x:f>
        <x:v>candidate_only</x:v>
      </x:c>
      <x:c r="AM807" s="12" t="str">
        <x:f>IF(OR(AC807="canonical",AG807="yes"),"yes","recommended")</x:f>
        <x:v>recommended</x:v>
      </x:c>
      <x:c r="AN807" s="12" t="str">
        <x:f>IF(AC807="deprecated","exclude",IF(AND(AG807="yes",AJ807="high"),"import_but_human_review_required",IF(AG807="yes","import_as_active","import_as_backlog")))</x:f>
        <x:v>import_as_backlog</x:v>
      </x:c>
      <x:c r="AO807" s="12" t="str">
        <x:f>IF(AND(AG807="yes",OR(P807="",Q807="",R807="",S807="")),"missing_required_mvp_fields",IF(AND(AC807="canonical",Y807=""),"missing_source_ref","ok"))</x:f>
        <x:v>ok</x:v>
      </x:c>
      <x:c r="AP807" s="12" t="str">
        <x:f>IF(AO807="ok","ready_for_codex_import","needs_review")</x:f>
        <x:v>ready_for_codex_import</x:v>
      </x:c>
      <x:c r="AQ807" s="12"/>
      <x:c r="AR807" s="12" t="str">
        <x:v>Added v2 operational fields. Review before classification activation.</x:v>
      </x:c>
    </x:row>
    <x:row r="808">
      <x:c r="A808" s="13" t="str">
        <x:v>sealioning_omission_emphasis_variant</x:v>
      </x:c>
      <x:c r="B808" s="13" t="str">
        <x:v>sealioning</x:v>
      </x:c>
      <x:c r="C808" s="13" t="str">
        <x:v>Sealioning</x:v>
      </x:c>
      <x:c r="D808" s="13" t="str">
        <x:v>پرسش‌گری فرسایشی</x:v>
      </x:c>
      <x:c r="E808" s="13" t="str">
        <x:v>Omission/emphasis variant</x:v>
      </x:c>
      <x:c r="F808" s="13" t="str">
        <x:v>rhetorical_manipulation_patterns</x:v>
      </x:c>
      <x:c r="G808" s="13" t="str">
        <x:v>operational_variant</x:v>
      </x:c>
      <x:c r="H808" s="13" t="str">
        <x:v>dialogue</x:v>
      </x:c>
      <x:c r="I808" s="13" t="str">
        <x:v>discourse_segment</x:v>
      </x:c>
      <x:c r="J808" s="13" t="str">
        <x:v>derived_operational_subtype</x:v>
      </x:c>
      <x:c r="K808" s="13" t="str">
        <x:v>derived_from_established_parent_review_required</x:v>
      </x:c>
      <x:c r="L808" s="13" t="str">
        <x:v>P2</x:v>
      </x:c>
      <x:c r="M808" s="13" t="str">
        <x:v>no</x:v>
      </x:c>
      <x:c r="N808" s="13" t="str">
        <x:v>Operational subtype under Sealioning: selective omission or emphasis controls framing. Parent definition: Demanding excessive evidence in bad-faith dialogue while appearing civil.</x:v>
      </x:c>
      <x:c r="O808" s="13" t="str">
        <x:v>Look for: explicit claim-level evidence; parent-family cues for Sealioning; variant cue: selective omission or emphasis controls framing; avoid author-level inference.</x:v>
      </x:c>
      <x:c r="P808" s="13" t="str">
        <x:v>Exact evidence span in text plus claim-level reasoning link; for contextual/discourse entries, require surrounding context.</x:v>
      </x:c>
      <x:c r="Q808" s="13" t="str">
        <x:v>Do not label merely because topic is controversial, emotional, or wrong. Do not judge intent or personality. Require textual evidence and consider healthy-reasoning cues.</x:v>
      </x:c>
      <x:c r="R808" s="13" t="str">
        <x:v>Stub: A claim relies on selective omission or emphasis controls framing to support a conclusion without adequate qualification.</x:v>
      </x:c>
      <x:c r="S808" s="13" t="str">
        <x:v>Stub: A claim discusses sealioning with caveats, balanced evidence, or no argumentative use of the pattern.</x:v>
      </x:c>
      <x:c r="T808" s="13" t="str">
        <x:v>Mild or ambiguous cue; do not classify without clear evidence span.</x:v>
      </x:c>
      <x:c r="U808" s="13" t="str">
        <x:v>Clear claim-level pattern with some argumentative impact.</x:v>
      </x:c>
      <x:c r="V808" s="13" t="str">
        <x:v>Strong pattern central to the conclusion and likely to materially distort reasoning.</x:v>
      </x:c>
      <x:c r="W808" s="13" t="str">
        <x:v>cherry_picking; missing_counterevidence; evidence_grading</x:v>
      </x:c>
      <x:c r="X808" s="13" t="str">
        <x:v>pragmadialectics</x:v>
      </x:c>
      <x:c r="Y808" s="13" t="str">
        <x:v>https://doi.org/10.1017/CBO9780511616389</x:v>
      </x:c>
      <x:c r="Z808" s="13" t="str">
        <x:v>Review before enabling. This workbook is a living taxonomy scaffold, not a validated scientific benchmark.</x:v>
      </x:c>
      <x:c r="AA808" s="13" t="str">
        <x:v>0.1.0-draft</x:v>
      </x:c>
      <x:c r="AB808" s="12" t="str">
        <x:f>IF(ISNUMBER(SEARCH("healthy",F808)),"healthy_reasoning_patterns",IF(ISNUMBER(SEARCH("statistical",F808)),"statistical_reasoning",IF(ISNUMBER(SEARCH("causal",F808)),"causal_reasoning",IF(ISNUMBER(SEARCH("social",F808)),"social_influence",IF(ISNUMBER(SEARCH("rhetoric",F808)),"rhetoric_discourse",IF(ISNUMBER(SEARCH("behavior",F808)),"behavioural_economics",IF(ISNUMBER(SEARCH("cognitive",F808)),"cognitive_biases",IF(J808="protective_pattern","healthy_reasoning_patterns",IF(L808="P0","core_mvp","extended_fallacies")))))))))</x:f>
        <x:v>rhetoric_discourse</x:v>
      </x:c>
      <x:c r="AC808" s="12" t="str">
        <x:f>IF(ISNUMBER(SEARCH("operational",J808)),"operational",IF(ISNUMBER(SEARCH("deprecated",J808)),"deprecated",IF(L808="P0","canonical","recognized_subtype")))</x:f>
        <x:v>operational</x:v>
      </x:c>
      <x:c r="AD808" s="12" t="str">
        <x:f>IF(AC808="canonical","high",IF(AC808="recognized_subtype","medium",IF(AC808="operational","operational_only","debated")))</x:f>
        <x:v>operational_only</x:v>
      </x:c>
      <x:c r="AE808" s="12" t="str">
        <x:f>IF(AC808="deprecated","deprecated",IF(M808="yes","active",IF(M808="review","review_required","backlog")))</x:f>
        <x:v>backlog</x:v>
      </x:c>
      <x:c r="AF808" s="12" t="str">
        <x:f>IF(OR(AE808="active",AE808="review_required"),"yes","no")</x:f>
        <x:v>no</x:v>
      </x:c>
      <x:c r="AG808" s="12" t="str">
        <x:f>IF(AND(AE808="active",M808="yes",NOT(ISNUMBER(SEARCH("healthy",AB808)))),"yes","no")</x:f>
        <x:v>no</x:v>
      </x:c>
      <x:c r="AH808" s="12" t="str">
        <x:f>IF(OR(H808="contextual",H808="dialogue",H808="discourse",I808="claim+context",I808="discourse_segment"),"yes","no")</x:f>
        <x:v>yes</x:v>
      </x:c>
      <x:c r="AI808" s="12" t="str">
        <x:f>IF(OR(AH808="yes",AD808="debated",AC808="operational"),"yes","no")</x:f>
        <x:v>yes</x:v>
      </x:c>
      <x:c r="AJ808" s="12" t="str">
        <x:f>IF(OR(AH808="yes",AC808="operational",AD808="debated"),"high",IF(AND(AG808="yes",L808="P0"),"medium","low"))</x:f>
        <x:v>high</x:v>
      </x:c>
      <x:c r="AK808" s="12" t="str">
        <x:f>IF(ISNUMBER(SEARCH("healthy",AB808)),"yes","no")</x:f>
        <x:v>no</x:v>
      </x:c>
      <x:c r="AL808" s="12" t="str">
        <x:f>IF(AG808="yes","yes","candidate_only")</x:f>
        <x:v>candidate_only</x:v>
      </x:c>
      <x:c r="AM808" s="12" t="str">
        <x:f>IF(OR(AC808="canonical",AG808="yes"),"yes","recommended")</x:f>
        <x:v>recommended</x:v>
      </x:c>
      <x:c r="AN808" s="12" t="str">
        <x:f>IF(AC808="deprecated","exclude",IF(AND(AG808="yes",AJ808="high"),"import_but_human_review_required",IF(AG808="yes","import_as_active","import_as_backlog")))</x:f>
        <x:v>import_as_backlog</x:v>
      </x:c>
      <x:c r="AO808" s="12" t="str">
        <x:f>IF(AND(AG808="yes",OR(P808="",Q808="",R808="",S808="")),"missing_required_mvp_fields",IF(AND(AC808="canonical",Y808=""),"missing_source_ref","ok"))</x:f>
        <x:v>ok</x:v>
      </x:c>
      <x:c r="AP808" s="12" t="str">
        <x:f>IF(AO808="ok","ready_for_codex_import","needs_review")</x:f>
        <x:v>ready_for_codex_import</x:v>
      </x:c>
      <x:c r="AQ808" s="12"/>
      <x:c r="AR808" s="12" t="str">
        <x:v>Added v2 operational fields. Review before classification activation.</x:v>
      </x:c>
    </x:row>
    <x:row r="809">
      <x:c r="A809" s="13" t="str">
        <x:v>quote_mining_omission_emphasis_variant</x:v>
      </x:c>
      <x:c r="B809" s="13" t="str">
        <x:v>quote_mining</x:v>
      </x:c>
      <x:c r="C809" s="13" t="str">
        <x:v>Quote mining</x:v>
      </x:c>
      <x:c r="D809" s="13" t="str">
        <x:v>نقل‌قول‌کاوی گزینشی</x:v>
      </x:c>
      <x:c r="E809" s="13" t="str">
        <x:v>Omission/emphasis variant</x:v>
      </x:c>
      <x:c r="F809" s="13" t="str">
        <x:v>rhetorical_manipulation_patterns</x:v>
      </x:c>
      <x:c r="G809" s="13" t="str">
        <x:v>operational_variant</x:v>
      </x:c>
      <x:c r="H809" s="13" t="str">
        <x:v>contextual</x:v>
      </x:c>
      <x:c r="I809" s="13" t="str">
        <x:v>claim+context</x:v>
      </x:c>
      <x:c r="J809" s="13" t="str">
        <x:v>derived_operational_subtype</x:v>
      </x:c>
      <x:c r="K809" s="13" t="str">
        <x:v>derived_from_established_parent_review_required</x:v>
      </x:c>
      <x:c r="L809" s="13" t="str">
        <x:v>P2</x:v>
      </x:c>
      <x:c r="M809" s="13" t="str">
        <x:v>no</x:v>
      </x:c>
      <x:c r="N809" s="13" t="str">
        <x:v>Operational subtype under Quote mining: selective omission or emphasis controls framing. Parent definition: Using isolated quotes out of context.</x:v>
      </x:c>
      <x:c r="O809" s="13" t="str">
        <x:v>Look for: explicit claim-level evidence; parent-family cues for Quote mining; variant cue: selective omission or emphasis controls framing; avoid author-level inference.</x:v>
      </x:c>
      <x:c r="P809" s="13" t="str">
        <x:v>Exact evidence span in text plus claim-level reasoning link; for contextual/discourse entries, require surrounding context.</x:v>
      </x:c>
      <x:c r="Q809" s="13" t="str">
        <x:v>Do not label merely because topic is controversial, emotional, or wrong. Do not judge intent or personality. Require textual evidence and consider healthy-reasoning cues.</x:v>
      </x:c>
      <x:c r="R809" s="13" t="str">
        <x:v>Stub: A claim relies on selective omission or emphasis controls framing to support a conclusion without adequate qualification.</x:v>
      </x:c>
      <x:c r="S809" s="13" t="str">
        <x:v>Stub: A claim discusses quote mining with caveats, balanced evidence, or no argumentative use of the pattern.</x:v>
      </x:c>
      <x:c r="T809" s="13" t="str">
        <x:v>Mild or ambiguous cue; do not classify without clear evidence span.</x:v>
      </x:c>
      <x:c r="U809" s="13" t="str">
        <x:v>Clear claim-level pattern with some argumentative impact.</x:v>
      </x:c>
      <x:c r="V809" s="13" t="str">
        <x:v>Strong pattern central to the conclusion and likely to materially distort reasoning.</x:v>
      </x:c>
      <x:c r="W809" s="13" t="str"/>
      <x:c r="X809" s="13" t="str">
        <x:v>sep_informal_logic</x:v>
      </x:c>
      <x:c r="Y809" s="13" t="str">
        <x:v>https://plato.stanford.edu/entries/logic-informal/</x:v>
      </x:c>
      <x:c r="Z809" s="13" t="str">
        <x:v>Review before enabling. This workbook is a living taxonomy scaffold, not a validated scientific benchmark.</x:v>
      </x:c>
      <x:c r="AA809" s="13" t="str">
        <x:v>0.1.0-draft</x:v>
      </x:c>
      <x:c r="AB809" s="12" t="str">
        <x:f>IF(ISNUMBER(SEARCH("healthy",F809)),"healthy_reasoning_patterns",IF(ISNUMBER(SEARCH("statistical",F809)),"statistical_reasoning",IF(ISNUMBER(SEARCH("causal",F809)),"causal_reasoning",IF(ISNUMBER(SEARCH("social",F809)),"social_influence",IF(ISNUMBER(SEARCH("rhetoric",F809)),"rhetoric_discourse",IF(ISNUMBER(SEARCH("behavior",F809)),"behavioural_economics",IF(ISNUMBER(SEARCH("cognitive",F809)),"cognitive_biases",IF(J809="protective_pattern","healthy_reasoning_patterns",IF(L809="P0","core_mvp","extended_fallacies")))))))))</x:f>
        <x:v>rhetoric_discourse</x:v>
      </x:c>
      <x:c r="AC809" s="12" t="str">
        <x:f>IF(ISNUMBER(SEARCH("operational",J809)),"operational",IF(ISNUMBER(SEARCH("deprecated",J809)),"deprecated",IF(L809="P0","canonical","recognized_subtype")))</x:f>
        <x:v>operational</x:v>
      </x:c>
      <x:c r="AD809" s="12" t="str">
        <x:f>IF(AC809="canonical","high",IF(AC809="recognized_subtype","medium",IF(AC809="operational","operational_only","debated")))</x:f>
        <x:v>operational_only</x:v>
      </x:c>
      <x:c r="AE809" s="12" t="str">
        <x:f>IF(AC809="deprecated","deprecated",IF(M809="yes","active",IF(M809="review","review_required","backlog")))</x:f>
        <x:v>backlog</x:v>
      </x:c>
      <x:c r="AF809" s="12" t="str">
        <x:f>IF(OR(AE809="active",AE809="review_required"),"yes","no")</x:f>
        <x:v>no</x:v>
      </x:c>
      <x:c r="AG809" s="12" t="str">
        <x:f>IF(AND(AE809="active",M809="yes",NOT(ISNUMBER(SEARCH("healthy",AB809)))),"yes","no")</x:f>
        <x:v>no</x:v>
      </x:c>
      <x:c r="AH809" s="12" t="str">
        <x:f>IF(OR(H809="contextual",H809="dialogue",H809="discourse",I809="claim+context",I809="discourse_segment"),"yes","no")</x:f>
        <x:v>yes</x:v>
      </x:c>
      <x:c r="AI809" s="12" t="str">
        <x:f>IF(OR(AH809="yes",AD809="debated",AC809="operational"),"yes","no")</x:f>
        <x:v>yes</x:v>
      </x:c>
      <x:c r="AJ809" s="12" t="str">
        <x:f>IF(OR(AH809="yes",AC809="operational",AD809="debated"),"high",IF(AND(AG809="yes",L809="P0"),"medium","low"))</x:f>
        <x:v>high</x:v>
      </x:c>
      <x:c r="AK809" s="12" t="str">
        <x:f>IF(ISNUMBER(SEARCH("healthy",AB809)),"yes","no")</x:f>
        <x:v>no</x:v>
      </x:c>
      <x:c r="AL809" s="12" t="str">
        <x:f>IF(AG809="yes","yes","candidate_only")</x:f>
        <x:v>candidate_only</x:v>
      </x:c>
      <x:c r="AM809" s="12" t="str">
        <x:f>IF(OR(AC809="canonical",AG809="yes"),"yes","recommended")</x:f>
        <x:v>recommended</x:v>
      </x:c>
      <x:c r="AN809" s="12" t="str">
        <x:f>IF(AC809="deprecated","exclude",IF(AND(AG809="yes",AJ809="high"),"import_but_human_review_required",IF(AG809="yes","import_as_active","import_as_backlog")))</x:f>
        <x:v>import_as_backlog</x:v>
      </x:c>
      <x:c r="AO809" s="12" t="str">
        <x:f>IF(AND(AG809="yes",OR(P809="",Q809="",R809="",S809="")),"missing_required_mvp_fields",IF(AND(AC809="canonical",Y809=""),"missing_source_ref","ok"))</x:f>
        <x:v>ok</x:v>
      </x:c>
      <x:c r="AP809" s="12" t="str">
        <x:f>IF(AO809="ok","ready_for_codex_import","needs_review")</x:f>
        <x:v>ready_for_codex_import</x:v>
      </x:c>
      <x:c r="AQ809" s="12"/>
      <x:c r="AR809" s="12" t="str">
        <x:v>Added v2 operational fields. Review before classification activation.</x:v>
      </x:c>
    </x:row>
    <x:row r="810">
      <x:c r="A810" s="13" t="str">
        <x:v>framing_by_omission_omission_emphasis_variant</x:v>
      </x:c>
      <x:c r="B810" s="13" t="str">
        <x:v>framing_by_omission</x:v>
      </x:c>
      <x:c r="C810" s="13" t="str">
        <x:v>Framing by omission</x:v>
      </x:c>
      <x:c r="D810" s="13" t="str">
        <x:v>قاب‌بندی با حذف</x:v>
      </x:c>
      <x:c r="E810" s="13" t="str">
        <x:v>Omission/emphasis variant</x:v>
      </x:c>
      <x:c r="F810" s="13" t="str">
        <x:v>rhetorical_manipulation_patterns</x:v>
      </x:c>
      <x:c r="G810" s="13" t="str">
        <x:v>operational_variant</x:v>
      </x:c>
      <x:c r="H810" s="13" t="str">
        <x:v>contextual</x:v>
      </x:c>
      <x:c r="I810" s="13" t="str">
        <x:v>claim+context</x:v>
      </x:c>
      <x:c r="J810" s="13" t="str">
        <x:v>derived_operational_subtype</x:v>
      </x:c>
      <x:c r="K810" s="13" t="str">
        <x:v>derived_from_established_parent_review_required</x:v>
      </x:c>
      <x:c r="L810" s="13" t="str">
        <x:v>P2</x:v>
      </x:c>
      <x:c r="M810" s="13" t="str">
        <x:v>no</x:v>
      </x:c>
      <x:c r="N810" s="13" t="str">
        <x:v>Operational subtype under Framing by omission: selective omission or emphasis controls framing. Parent definition: Shaping interpretation by omitting relevant context.</x:v>
      </x:c>
      <x:c r="O810" s="13" t="str">
        <x:v>Look for: explicit claim-level evidence; parent-family cues for Framing by omission; variant cue: selective omission or emphasis controls framing; avoid author-level inference.</x:v>
      </x:c>
      <x:c r="P810" s="13" t="str">
        <x:v>Exact evidence span in text plus claim-level reasoning link; for contextual/discourse entries, require surrounding context.</x:v>
      </x:c>
      <x:c r="Q810" s="13" t="str">
        <x:v>Do not label merely because topic is controversial, emotional, or wrong. Do not judge intent or personality. Require textual evidence and consider healthy-reasoning cues.</x:v>
      </x:c>
      <x:c r="R810" s="13" t="str">
        <x:v>Stub: A claim relies on selective omission or emphasis controls framing to support a conclusion without adequate qualification.</x:v>
      </x:c>
      <x:c r="S810" s="13" t="str">
        <x:v>Stub: A claim discusses framing by omission with caveats, balanced evidence, or no argumentative use of the pattern.</x:v>
      </x:c>
      <x:c r="T810" s="13" t="str">
        <x:v>Mild or ambiguous cue; do not classify without clear evidence span.</x:v>
      </x:c>
      <x:c r="U810" s="13" t="str">
        <x:v>Clear claim-level pattern with some argumentative impact.</x:v>
      </x:c>
      <x:c r="V810" s="13" t="str">
        <x:v>Strong pattern central to the conclusion and likely to materially distort reasoning.</x:v>
      </x:c>
      <x:c r="W810" s="13" t="str"/>
      <x:c r="X810" s="13" t="str">
        <x:v>grice_logic_conversation</x:v>
      </x:c>
      <x:c r="Y810" s="13" t="str">
        <x:v>https://doi.org/10.1163/9789004368811_003</x:v>
      </x:c>
      <x:c r="Z810" s="13" t="str">
        <x:v>Review before enabling. This workbook is a living taxonomy scaffold, not a validated scientific benchmark.</x:v>
      </x:c>
      <x:c r="AA810" s="13" t="str">
        <x:v>0.1.0-draft</x:v>
      </x:c>
      <x:c r="AB810" s="12" t="str">
        <x:f>IF(ISNUMBER(SEARCH("healthy",F810)),"healthy_reasoning_patterns",IF(ISNUMBER(SEARCH("statistical",F810)),"statistical_reasoning",IF(ISNUMBER(SEARCH("causal",F810)),"causal_reasoning",IF(ISNUMBER(SEARCH("social",F810)),"social_influence",IF(ISNUMBER(SEARCH("rhetoric",F810)),"rhetoric_discourse",IF(ISNUMBER(SEARCH("behavior",F810)),"behavioural_economics",IF(ISNUMBER(SEARCH("cognitive",F810)),"cognitive_biases",IF(J810="protective_pattern","healthy_reasoning_patterns",IF(L810="P0","core_mvp","extended_fallacies")))))))))</x:f>
        <x:v>rhetoric_discourse</x:v>
      </x:c>
      <x:c r="AC810" s="12" t="str">
        <x:f>IF(ISNUMBER(SEARCH("operational",J810)),"operational",IF(ISNUMBER(SEARCH("deprecated",J810)),"deprecated",IF(L810="P0","canonical","recognized_subtype")))</x:f>
        <x:v>operational</x:v>
      </x:c>
      <x:c r="AD810" s="12" t="str">
        <x:f>IF(AC810="canonical","high",IF(AC810="recognized_subtype","medium",IF(AC810="operational","operational_only","debated")))</x:f>
        <x:v>operational_only</x:v>
      </x:c>
      <x:c r="AE810" s="12" t="str">
        <x:f>IF(AC810="deprecated","deprecated",IF(M810="yes","active",IF(M810="review","review_required","backlog")))</x:f>
        <x:v>backlog</x:v>
      </x:c>
      <x:c r="AF810" s="12" t="str">
        <x:f>IF(OR(AE810="active",AE810="review_required"),"yes","no")</x:f>
        <x:v>no</x:v>
      </x:c>
      <x:c r="AG810" s="12" t="str">
        <x:f>IF(AND(AE810="active",M810="yes",NOT(ISNUMBER(SEARCH("healthy",AB810)))),"yes","no")</x:f>
        <x:v>no</x:v>
      </x:c>
      <x:c r="AH810" s="12" t="str">
        <x:f>IF(OR(H810="contextual",H810="dialogue",H810="discourse",I810="claim+context",I810="discourse_segment"),"yes","no")</x:f>
        <x:v>yes</x:v>
      </x:c>
      <x:c r="AI810" s="12" t="str">
        <x:f>IF(OR(AH810="yes",AD810="debated",AC810="operational"),"yes","no")</x:f>
        <x:v>yes</x:v>
      </x:c>
      <x:c r="AJ810" s="12" t="str">
        <x:f>IF(OR(AH810="yes",AC810="operational",AD810="debated"),"high",IF(AND(AG810="yes",L810="P0"),"medium","low"))</x:f>
        <x:v>high</x:v>
      </x:c>
      <x:c r="AK810" s="12" t="str">
        <x:f>IF(ISNUMBER(SEARCH("healthy",AB810)),"yes","no")</x:f>
        <x:v>no</x:v>
      </x:c>
      <x:c r="AL810" s="12" t="str">
        <x:f>IF(AG810="yes","yes","candidate_only")</x:f>
        <x:v>candidate_only</x:v>
      </x:c>
      <x:c r="AM810" s="12" t="str">
        <x:f>IF(OR(AC810="canonical",AG810="yes"),"yes","recommended")</x:f>
        <x:v>recommended</x:v>
      </x:c>
      <x:c r="AN810" s="12" t="str">
        <x:f>IF(AC810="deprecated","exclude",IF(AND(AG810="yes",AJ810="high"),"import_but_human_review_required",IF(AG810="yes","import_as_active","import_as_backlog")))</x:f>
        <x:v>import_as_backlog</x:v>
      </x:c>
      <x:c r="AO810" s="12" t="str">
        <x:f>IF(AND(AG810="yes",OR(P810="",Q810="",R810="",S810="")),"missing_required_mvp_fields",IF(AND(AC810="canonical",Y810=""),"missing_source_ref","ok"))</x:f>
        <x:v>ok</x:v>
      </x:c>
      <x:c r="AP810" s="12" t="str">
        <x:f>IF(AO810="ok","ready_for_codex_import","needs_review")</x:f>
        <x:v>ready_for_codex_import</x:v>
      </x:c>
      <x:c r="AQ810" s="12"/>
      <x:c r="AR810" s="12" t="str">
        <x:v>Added v2 operational fields. Review before classification activation.</x:v>
      </x:c>
    </x:row>
    <x:row r="811">
      <x:c r="A811" s="13" t="str">
        <x:v>framing_by_emphasis_omission_emphasis_variant</x:v>
      </x:c>
      <x:c r="B811" s="13" t="str">
        <x:v>framing_by_emphasis</x:v>
      </x:c>
      <x:c r="C811" s="13" t="str">
        <x:v>Framing by emphasis</x:v>
      </x:c>
      <x:c r="D811" s="13" t="str">
        <x:v>قاب‌بندی با تأکید</x:v>
      </x:c>
      <x:c r="E811" s="13" t="str">
        <x:v>Omission/emphasis variant</x:v>
      </x:c>
      <x:c r="F811" s="13" t="str">
        <x:v>rhetorical_manipulation_patterns</x:v>
      </x:c>
      <x:c r="G811" s="13" t="str">
        <x:v>operational_variant</x:v>
      </x:c>
      <x:c r="H811" s="13" t="str">
        <x:v>discourse</x:v>
      </x:c>
      <x:c r="I811" s="13" t="str">
        <x:v>discourse_segment</x:v>
      </x:c>
      <x:c r="J811" s="13" t="str">
        <x:v>derived_operational_subtype</x:v>
      </x:c>
      <x:c r="K811" s="13" t="str">
        <x:v>derived_from_established_parent_review_required</x:v>
      </x:c>
      <x:c r="L811" s="13" t="str">
        <x:v>P2</x:v>
      </x:c>
      <x:c r="M811" s="13" t="str">
        <x:v>no</x:v>
      </x:c>
      <x:c r="N811" s="13" t="str">
        <x:v>Operational subtype under Framing by emphasis: selective omission or emphasis controls framing. Parent definition: Shaping interpretation by disproportionate emphasis.</x:v>
      </x:c>
      <x:c r="O811" s="13" t="str">
        <x:v>Look for: explicit claim-level evidence; parent-family cues for Framing by emphasis; variant cue: selective omission or emphasis controls framing; avoid author-level inference.</x:v>
      </x:c>
      <x:c r="P811" s="13" t="str">
        <x:v>Exact evidence span in text plus claim-level reasoning link; for contextual/discourse entries, require surrounding context.</x:v>
      </x:c>
      <x:c r="Q811" s="13" t="str">
        <x:v>Do not label merely because topic is controversial, emotional, or wrong. Do not judge intent or personality. Require textual evidence and consider healthy-reasoning cues.</x:v>
      </x:c>
      <x:c r="R811" s="13" t="str">
        <x:v>Stub: A claim relies on selective omission or emphasis controls framing to support a conclusion without adequate qualification.</x:v>
      </x:c>
      <x:c r="S811" s="13" t="str">
        <x:v>Stub: A claim discusses framing by emphasis with caveats, balanced evidence, or no argumentative use of the pattern.</x:v>
      </x:c>
      <x:c r="T811" s="13" t="str">
        <x:v>Mild or ambiguous cue; do not classify without clear evidence span.</x:v>
      </x:c>
      <x:c r="U811" s="13" t="str">
        <x:v>Clear claim-level pattern with some argumentative impact.</x:v>
      </x:c>
      <x:c r="V811" s="13" t="str">
        <x:v>Strong pattern central to the conclusion and likely to materially distort reasoning.</x:v>
      </x:c>
      <x:c r="W811" s="13" t="str"/>
      <x:c r="X811" s="13" t="str">
        <x:v>grice_logic_conversation</x:v>
      </x:c>
      <x:c r="Y811" s="13" t="str">
        <x:v>https://doi.org/10.1163/9789004368811_003</x:v>
      </x:c>
      <x:c r="Z811" s="13" t="str">
        <x:v>Review before enabling. This workbook is a living taxonomy scaffold, not a validated scientific benchmark.</x:v>
      </x:c>
      <x:c r="AA811" s="13" t="str">
        <x:v>0.1.0-draft</x:v>
      </x:c>
      <x:c r="AB811" s="12" t="str">
        <x:f>IF(ISNUMBER(SEARCH("healthy",F811)),"healthy_reasoning_patterns",IF(ISNUMBER(SEARCH("statistical",F811)),"statistical_reasoning",IF(ISNUMBER(SEARCH("causal",F811)),"causal_reasoning",IF(ISNUMBER(SEARCH("social",F811)),"social_influence",IF(ISNUMBER(SEARCH("rhetoric",F811)),"rhetoric_discourse",IF(ISNUMBER(SEARCH("behavior",F811)),"behavioural_economics",IF(ISNUMBER(SEARCH("cognitive",F811)),"cognitive_biases",IF(J811="protective_pattern","healthy_reasoning_patterns",IF(L811="P0","core_mvp","extended_fallacies")))))))))</x:f>
        <x:v>rhetoric_discourse</x:v>
      </x:c>
      <x:c r="AC811" s="12" t="str">
        <x:f>IF(ISNUMBER(SEARCH("operational",J811)),"operational",IF(ISNUMBER(SEARCH("deprecated",J811)),"deprecated",IF(L811="P0","canonical","recognized_subtype")))</x:f>
        <x:v>operational</x:v>
      </x:c>
      <x:c r="AD811" s="12" t="str">
        <x:f>IF(AC811="canonical","high",IF(AC811="recognized_subtype","medium",IF(AC811="operational","operational_only","debated")))</x:f>
        <x:v>operational_only</x:v>
      </x:c>
      <x:c r="AE811" s="12" t="str">
        <x:f>IF(AC811="deprecated","deprecated",IF(M811="yes","active",IF(M811="review","review_required","backlog")))</x:f>
        <x:v>backlog</x:v>
      </x:c>
      <x:c r="AF811" s="12" t="str">
        <x:f>IF(OR(AE811="active",AE811="review_required"),"yes","no")</x:f>
        <x:v>no</x:v>
      </x:c>
      <x:c r="AG811" s="12" t="str">
        <x:f>IF(AND(AE811="active",M811="yes",NOT(ISNUMBER(SEARCH("healthy",AB811)))),"yes","no")</x:f>
        <x:v>no</x:v>
      </x:c>
      <x:c r="AH811" s="12" t="str">
        <x:f>IF(OR(H811="contextual",H811="dialogue",H811="discourse",I811="claim+context",I811="discourse_segment"),"yes","no")</x:f>
        <x:v>yes</x:v>
      </x:c>
      <x:c r="AI811" s="12" t="str">
        <x:f>IF(OR(AH811="yes",AD811="debated",AC811="operational"),"yes","no")</x:f>
        <x:v>yes</x:v>
      </x:c>
      <x:c r="AJ811" s="12" t="str">
        <x:f>IF(OR(AH811="yes",AC811="operational",AD811="debated"),"high",IF(AND(AG811="yes",L811="P0"),"medium","low"))</x:f>
        <x:v>high</x:v>
      </x:c>
      <x:c r="AK811" s="12" t="str">
        <x:f>IF(ISNUMBER(SEARCH("healthy",AB811)),"yes","no")</x:f>
        <x:v>no</x:v>
      </x:c>
      <x:c r="AL811" s="12" t="str">
        <x:f>IF(AG811="yes","yes","candidate_only")</x:f>
        <x:v>candidate_only</x:v>
      </x:c>
      <x:c r="AM811" s="12" t="str">
        <x:f>IF(OR(AC811="canonical",AG811="yes"),"yes","recommended")</x:f>
        <x:v>recommended</x:v>
      </x:c>
      <x:c r="AN811" s="12" t="str">
        <x:f>IF(AC811="deprecated","exclude",IF(AND(AG811="yes",AJ811="high"),"import_but_human_review_required",IF(AG811="yes","import_as_active","import_as_backlog")))</x:f>
        <x:v>import_as_backlog</x:v>
      </x:c>
      <x:c r="AO811" s="12" t="str">
        <x:f>IF(AND(AG811="yes",OR(P811="",Q811="",R811="",S811="")),"missing_required_mvp_fields",IF(AND(AC811="canonical",Y811=""),"missing_source_ref","ok"))</x:f>
        <x:v>ok</x:v>
      </x:c>
      <x:c r="AP811" s="12" t="str">
        <x:f>IF(AO811="ok","ready_for_codex_import","needs_review")</x:f>
        <x:v>ready_for_codex_import</x:v>
      </x:c>
      <x:c r="AQ811" s="12"/>
      <x:c r="AR811" s="12" t="str">
        <x:v>Added v2 operational fields. Review before classification activation.</x:v>
      </x:c>
    </x:row>
    <x:row r="812">
      <x:c r="A812" s="13" t="str">
        <x:v>leading_question_omission_emphasis_variant</x:v>
      </x:c>
      <x:c r="B812" s="13" t="str">
        <x:v>leading_question</x:v>
      </x:c>
      <x:c r="C812" s="13" t="str">
        <x:v>Leading question</x:v>
      </x:c>
      <x:c r="D812" s="13" t="str">
        <x:v>سؤال هدایت‌کننده</x:v>
      </x:c>
      <x:c r="E812" s="13" t="str">
        <x:v>Omission/emphasis variant</x:v>
      </x:c>
      <x:c r="F812" s="13" t="str">
        <x:v>rhetorical_manipulation_patterns</x:v>
      </x:c>
      <x:c r="G812" s="13" t="str">
        <x:v>operational_variant</x:v>
      </x:c>
      <x:c r="H812" s="13" t="str">
        <x:v>structural</x:v>
      </x:c>
      <x:c r="I812" s="13" t="str">
        <x:v>claim</x:v>
      </x:c>
      <x:c r="J812" s="13" t="str">
        <x:v>derived_operational_subtype</x:v>
      </x:c>
      <x:c r="K812" s="13" t="str">
        <x:v>derived_from_established_parent_review_required</x:v>
      </x:c>
      <x:c r="L812" s="13" t="str">
        <x:v>P3</x:v>
      </x:c>
      <x:c r="M812" s="13" t="str">
        <x:v>no</x:v>
      </x:c>
      <x:c r="N812" s="13" t="str">
        <x:v>Operational subtype under Leading question: selective omission or emphasis controls framing. Parent definition: Question wording nudges a desired answer.</x:v>
      </x:c>
      <x:c r="O812" s="13" t="str">
        <x:v>Look for: explicit claim-level evidence; parent-family cues for Leading question; variant cue: selective omission or emphasis controls framing; avoid author-level inference.</x:v>
      </x:c>
      <x:c r="P812" s="13" t="str">
        <x:v>Exact evidence span in text plus claim-level reasoning link; for contextual/discourse entries, require surrounding context.</x:v>
      </x:c>
      <x:c r="Q812" s="13" t="str">
        <x:v>Do not label merely because topic is controversial, emotional, or wrong. Do not judge intent or personality. Require textual evidence and consider healthy-reasoning cues.</x:v>
      </x:c>
      <x:c r="R812" s="13" t="str">
        <x:v>Stub: A claim relies on selective omission or emphasis controls framing to support a conclusion without adequate qualification.</x:v>
      </x:c>
      <x:c r="S812" s="13" t="str">
        <x:v>Stub: A claim discusses leading question with caveats, balanced evidence, or no argumentative use of the pattern.</x:v>
      </x:c>
      <x:c r="T812" s="13" t="str">
        <x:v>Mild or ambiguous cue; do not classify without clear evidence span.</x:v>
      </x:c>
      <x:c r="U812" s="13" t="str">
        <x:v>Clear claim-level pattern with some argumentative impact.</x:v>
      </x:c>
      <x:c r="V812" s="13" t="str">
        <x:v>Strong pattern central to the conclusion and likely to materially distort reasoning.</x:v>
      </x:c>
      <x:c r="W812" s="13" t="str"/>
      <x:c r="X812" s="13" t="str">
        <x:v>grice_logic_conversation</x:v>
      </x:c>
      <x:c r="Y812" s="13" t="str">
        <x:v>https://doi.org/10.1163/9789004368811_003</x:v>
      </x:c>
      <x:c r="Z812" s="13" t="str">
        <x:v>Review before enabling. This workbook is a living taxonomy scaffold, not a validated scientific benchmark.</x:v>
      </x:c>
      <x:c r="AA812" s="13" t="str">
        <x:v>0.1.0-draft</x:v>
      </x:c>
      <x:c r="AB812" s="12" t="str">
        <x:f>IF(ISNUMBER(SEARCH("healthy",F812)),"healthy_reasoning_patterns",IF(ISNUMBER(SEARCH("statistical",F812)),"statistical_reasoning",IF(ISNUMBER(SEARCH("causal",F812)),"causal_reasoning",IF(ISNUMBER(SEARCH("social",F812)),"social_influence",IF(ISNUMBER(SEARCH("rhetoric",F812)),"rhetoric_discourse",IF(ISNUMBER(SEARCH("behavior",F812)),"behavioural_economics",IF(ISNUMBER(SEARCH("cognitive",F812)),"cognitive_biases",IF(J812="protective_pattern","healthy_reasoning_patterns",IF(L812="P0","core_mvp","extended_fallacies")))))))))</x:f>
        <x:v>rhetoric_discourse</x:v>
      </x:c>
      <x:c r="AC812" s="12" t="str">
        <x:f>IF(ISNUMBER(SEARCH("operational",J812)),"operational",IF(ISNUMBER(SEARCH("deprecated",J812)),"deprecated",IF(L812="P0","canonical","recognized_subtype")))</x:f>
        <x:v>operational</x:v>
      </x:c>
      <x:c r="AD812" s="12" t="str">
        <x:f>IF(AC812="canonical","high",IF(AC812="recognized_subtype","medium",IF(AC812="operational","operational_only","debated")))</x:f>
        <x:v>operational_only</x:v>
      </x:c>
      <x:c r="AE812" s="12" t="str">
        <x:f>IF(AC812="deprecated","deprecated",IF(M812="yes","active",IF(M812="review","review_required","backlog")))</x:f>
        <x:v>backlog</x:v>
      </x:c>
      <x:c r="AF812" s="12" t="str">
        <x:f>IF(OR(AE812="active",AE812="review_required"),"yes","no")</x:f>
        <x:v>no</x:v>
      </x:c>
      <x:c r="AG812" s="12" t="str">
        <x:f>IF(AND(AE812="active",M812="yes",NOT(ISNUMBER(SEARCH("healthy",AB812)))),"yes","no")</x:f>
        <x:v>no</x:v>
      </x:c>
      <x:c r="AH812" s="12" t="str">
        <x:f>IF(OR(H812="contextual",H812="dialogue",H812="discourse",I812="claim+context",I812="discourse_segment"),"yes","no")</x:f>
        <x:v>no</x:v>
      </x:c>
      <x:c r="AI812" s="12" t="str">
        <x:f>IF(OR(AH812="yes",AD812="debated",AC812="operational"),"yes","no")</x:f>
        <x:v>yes</x:v>
      </x:c>
      <x:c r="AJ812" s="12" t="str">
        <x:f>IF(OR(AH812="yes",AC812="operational",AD812="debated"),"high",IF(AND(AG812="yes",L812="P0"),"medium","low"))</x:f>
        <x:v>high</x:v>
      </x:c>
      <x:c r="AK812" s="12" t="str">
        <x:f>IF(ISNUMBER(SEARCH("healthy",AB812)),"yes","no")</x:f>
        <x:v>no</x:v>
      </x:c>
      <x:c r="AL812" s="12" t="str">
        <x:f>IF(AG812="yes","yes","candidate_only")</x:f>
        <x:v>candidate_only</x:v>
      </x:c>
      <x:c r="AM812" s="12" t="str">
        <x:f>IF(OR(AC812="canonical",AG812="yes"),"yes","recommended")</x:f>
        <x:v>recommended</x:v>
      </x:c>
      <x:c r="AN812" s="12" t="str">
        <x:f>IF(AC812="deprecated","exclude",IF(AND(AG812="yes",AJ812="high"),"import_but_human_review_required",IF(AG812="yes","import_as_active","import_as_backlog")))</x:f>
        <x:v>import_as_backlog</x:v>
      </x:c>
      <x:c r="AO812" s="12" t="str">
        <x:f>IF(AND(AG812="yes",OR(P812="",Q812="",R812="",S812="")),"missing_required_mvp_fields",IF(AND(AC812="canonical",Y812=""),"missing_source_ref","ok"))</x:f>
        <x:v>ok</x:v>
      </x:c>
      <x:c r="AP812" s="12" t="str">
        <x:f>IF(AO812="ok","ready_for_codex_import","needs_review")</x:f>
        <x:v>ready_for_codex_import</x:v>
      </x:c>
      <x:c r="AQ812" s="12"/>
      <x:c r="AR812" s="12" t="str">
        <x:v>Added v2 operational fields. Review before classification activation.</x:v>
      </x:c>
    </x:row>
    <x:row r="813">
      <x:c r="A813" s="13" t="str">
        <x:v>presupposition_trigger_omission_emphasis_variant</x:v>
      </x:c>
      <x:c r="B813" s="13" t="str">
        <x:v>presupposition_trigger</x:v>
      </x:c>
      <x:c r="C813" s="13" t="str">
        <x:v>Presupposition trigger</x:v>
      </x:c>
      <x:c r="D813" s="13" t="str">
        <x:v>برانگیزاننده پیش‌فرض</x:v>
      </x:c>
      <x:c r="E813" s="13" t="str">
        <x:v>Omission/emphasis variant</x:v>
      </x:c>
      <x:c r="F813" s="13" t="str">
        <x:v>rhetorical_manipulation_patterns</x:v>
      </x:c>
      <x:c r="G813" s="13" t="str">
        <x:v>operational_variant</x:v>
      </x:c>
      <x:c r="H813" s="13" t="str">
        <x:v>lexical</x:v>
      </x:c>
      <x:c r="I813" s="13" t="str">
        <x:v>claim</x:v>
      </x:c>
      <x:c r="J813" s="13" t="str">
        <x:v>derived_operational_subtype</x:v>
      </x:c>
      <x:c r="K813" s="13" t="str">
        <x:v>derived_from_established_parent_review_required</x:v>
      </x:c>
      <x:c r="L813" s="13" t="str">
        <x:v>P3</x:v>
      </x:c>
      <x:c r="M813" s="13" t="str">
        <x:v>no</x:v>
      </x:c>
      <x:c r="N813" s="13" t="str">
        <x:v>Operational subtype under Presupposition trigger: selective omission or emphasis controls framing. Parent definition: Embedding assumptions through phrasing that treats them as given.</x:v>
      </x:c>
      <x:c r="O813" s="13" t="str">
        <x:v>Look for: explicit claim-level evidence; parent-family cues for Presupposition trigger; variant cue: selective omission or emphasis controls framing; avoid author-level inference.</x:v>
      </x:c>
      <x:c r="P813" s="13" t="str">
        <x:v>Exact evidence span in text plus claim-level reasoning link; for contextual/discourse entries, require surrounding context.</x:v>
      </x:c>
      <x:c r="Q813" s="13" t="str">
        <x:v>Do not label merely because topic is controversial, emotional, or wrong. Do not judge intent or personality. Require textual evidence and consider healthy-reasoning cues.</x:v>
      </x:c>
      <x:c r="R813" s="13" t="str">
        <x:v>Stub: A claim relies on selective omission or emphasis controls framing to support a conclusion without adequate qualification.</x:v>
      </x:c>
      <x:c r="S813" s="13" t="str">
        <x:v>Stub: A claim discusses presupposition trigger with caveats, balanced evidence, or no argumentative use of the pattern.</x:v>
      </x:c>
      <x:c r="T813" s="13" t="str">
        <x:v>Mild or ambiguous cue; do not classify without clear evidence span.</x:v>
      </x:c>
      <x:c r="U813" s="13" t="str">
        <x:v>Clear claim-level pattern with some argumentative impact.</x:v>
      </x:c>
      <x:c r="V813" s="13" t="str">
        <x:v>Strong pattern central to the conclusion and likely to materially distort reasoning.</x:v>
      </x:c>
      <x:c r="W813" s="13" t="str"/>
      <x:c r="X813" s="13" t="str">
        <x:v>grice_logic_conversation</x:v>
      </x:c>
      <x:c r="Y813" s="13" t="str">
        <x:v>https://doi.org/10.1163/9789004368811_003</x:v>
      </x:c>
      <x:c r="Z813" s="13" t="str">
        <x:v>Review before enabling. This workbook is a living taxonomy scaffold, not a validated scientific benchmark.</x:v>
      </x:c>
      <x:c r="AA813" s="13" t="str">
        <x:v>0.1.0-draft</x:v>
      </x:c>
      <x:c r="AB813" s="12" t="str">
        <x:f>IF(ISNUMBER(SEARCH("healthy",F813)),"healthy_reasoning_patterns",IF(ISNUMBER(SEARCH("statistical",F813)),"statistical_reasoning",IF(ISNUMBER(SEARCH("causal",F813)),"causal_reasoning",IF(ISNUMBER(SEARCH("social",F813)),"social_influence",IF(ISNUMBER(SEARCH("rhetoric",F813)),"rhetoric_discourse",IF(ISNUMBER(SEARCH("behavior",F813)),"behavioural_economics",IF(ISNUMBER(SEARCH("cognitive",F813)),"cognitive_biases",IF(J813="protective_pattern","healthy_reasoning_patterns",IF(L813="P0","core_mvp","extended_fallacies")))))))))</x:f>
        <x:v>rhetoric_discourse</x:v>
      </x:c>
      <x:c r="AC813" s="12" t="str">
        <x:f>IF(ISNUMBER(SEARCH("operational",J813)),"operational",IF(ISNUMBER(SEARCH("deprecated",J813)),"deprecated",IF(L813="P0","canonical","recognized_subtype")))</x:f>
        <x:v>operational</x:v>
      </x:c>
      <x:c r="AD813" s="12" t="str">
        <x:f>IF(AC813="canonical","high",IF(AC813="recognized_subtype","medium",IF(AC813="operational","operational_only","debated")))</x:f>
        <x:v>operational_only</x:v>
      </x:c>
      <x:c r="AE813" s="12" t="str">
        <x:f>IF(AC813="deprecated","deprecated",IF(M813="yes","active",IF(M813="review","review_required","backlog")))</x:f>
        <x:v>backlog</x:v>
      </x:c>
      <x:c r="AF813" s="12" t="str">
        <x:f>IF(OR(AE813="active",AE813="review_required"),"yes","no")</x:f>
        <x:v>no</x:v>
      </x:c>
      <x:c r="AG813" s="12" t="str">
        <x:f>IF(AND(AE813="active",M813="yes",NOT(ISNUMBER(SEARCH("healthy",AB813)))),"yes","no")</x:f>
        <x:v>no</x:v>
      </x:c>
      <x:c r="AH813" s="12" t="str">
        <x:f>IF(OR(H813="contextual",H813="dialogue",H813="discourse",I813="claim+context",I813="discourse_segment"),"yes","no")</x:f>
        <x:v>no</x:v>
      </x:c>
      <x:c r="AI813" s="12" t="str">
        <x:f>IF(OR(AH813="yes",AD813="debated",AC813="operational"),"yes","no")</x:f>
        <x:v>yes</x:v>
      </x:c>
      <x:c r="AJ813" s="12" t="str">
        <x:f>IF(OR(AH813="yes",AC813="operational",AD813="debated"),"high",IF(AND(AG813="yes",L813="P0"),"medium","low"))</x:f>
        <x:v>high</x:v>
      </x:c>
      <x:c r="AK813" s="12" t="str">
        <x:f>IF(ISNUMBER(SEARCH("healthy",AB813)),"yes","no")</x:f>
        <x:v>no</x:v>
      </x:c>
      <x:c r="AL813" s="12" t="str">
        <x:f>IF(AG813="yes","yes","candidate_only")</x:f>
        <x:v>candidate_only</x:v>
      </x:c>
      <x:c r="AM813" s="12" t="str">
        <x:f>IF(OR(AC813="canonical",AG813="yes"),"yes","recommended")</x:f>
        <x:v>recommended</x:v>
      </x:c>
      <x:c r="AN813" s="12" t="str">
        <x:f>IF(AC813="deprecated","exclude",IF(AND(AG813="yes",AJ813="high"),"import_but_human_review_required",IF(AG813="yes","import_as_active","import_as_backlog")))</x:f>
        <x:v>import_as_backlog</x:v>
      </x:c>
      <x:c r="AO813" s="12" t="str">
        <x:f>IF(AND(AG813="yes",OR(P813="",Q813="",R813="",S813="")),"missing_required_mvp_fields",IF(AND(AC813="canonical",Y813=""),"missing_source_ref","ok"))</x:f>
        <x:v>ok</x:v>
      </x:c>
      <x:c r="AP813" s="12" t="str">
        <x:f>IF(AO813="ok","ready_for_codex_import","needs_review")</x:f>
        <x:v>ready_for_codex_import</x:v>
      </x:c>
      <x:c r="AQ813" s="12"/>
      <x:c r="AR813" s="12" t="str">
        <x:v>Added v2 operational fields. Review before classification activation.</x:v>
      </x:c>
    </x:row>
    <x:row r="814">
      <x:c r="A814" s="13" t="str">
        <x:v>card_stacking_omission_emphasis_variant</x:v>
      </x:c>
      <x:c r="B814" s="13" t="str">
        <x:v>card_stacking</x:v>
      </x:c>
      <x:c r="C814" s="13" t="str">
        <x:v>Card stacking</x:v>
      </x:c>
      <x:c r="D814" s="13" t="str">
        <x:v>چیدن یک‌طرفه کارت‌ها</x:v>
      </x:c>
      <x:c r="E814" s="13" t="str">
        <x:v>Omission/emphasis variant</x:v>
      </x:c>
      <x:c r="F814" s="13" t="str">
        <x:v>rhetorical_manipulation_patterns</x:v>
      </x:c>
      <x:c r="G814" s="13" t="str">
        <x:v>operational_variant</x:v>
      </x:c>
      <x:c r="H814" s="13" t="str">
        <x:v>contextual</x:v>
      </x:c>
      <x:c r="I814" s="13" t="str">
        <x:v>claim+context</x:v>
      </x:c>
      <x:c r="J814" s="13" t="str">
        <x:v>derived_operational_subtype</x:v>
      </x:c>
      <x:c r="K814" s="13" t="str">
        <x:v>derived_from_established_parent_review_required</x:v>
      </x:c>
      <x:c r="L814" s="13" t="str">
        <x:v>P3</x:v>
      </x:c>
      <x:c r="M814" s="13" t="str">
        <x:v>no</x:v>
      </x:c>
      <x:c r="N814" s="13" t="str">
        <x:v>Operational subtype under Card stacking: selective omission or emphasis controls framing. Parent definition: Arranging only favorable points while suppressing unfavorable ones.</x:v>
      </x:c>
      <x:c r="O814" s="13" t="str">
        <x:v>Look for: explicit claim-level evidence; parent-family cues for Card stacking; variant cue: selective omission or emphasis controls framing; avoid author-level inference.</x:v>
      </x:c>
      <x:c r="P814" s="13" t="str">
        <x:v>Exact evidence span in text plus claim-level reasoning link; for contextual/discourse entries, require surrounding context.</x:v>
      </x:c>
      <x:c r="Q814" s="13" t="str">
        <x:v>Do not label merely because topic is controversial, emotional, or wrong. Do not judge intent or personality. Require textual evidence and consider healthy-reasoning cues.</x:v>
      </x:c>
      <x:c r="R814" s="13" t="str">
        <x:v>Stub: A claim relies on selective omission or emphasis controls framing to support a conclusion without adequate qualification.</x:v>
      </x:c>
      <x:c r="S814" s="13" t="str">
        <x:v>Stub: A claim discusses card stacking with caveats, balanced evidence, or no argumentative use of the pattern.</x:v>
      </x:c>
      <x:c r="T814" s="13" t="str">
        <x:v>Mild or ambiguous cue; do not classify without clear evidence span.</x:v>
      </x:c>
      <x:c r="U814" s="13" t="str">
        <x:v>Clear claim-level pattern with some argumentative impact.</x:v>
      </x:c>
      <x:c r="V814" s="13" t="str">
        <x:v>Strong pattern central to the conclusion and likely to materially distort reasoning.</x:v>
      </x:c>
      <x:c r="W814" s="13" t="str"/>
      <x:c r="X814" s="13" t="str">
        <x:v>sep_informal_logic</x:v>
      </x:c>
      <x:c r="Y814" s="13" t="str">
        <x:v>https://plato.stanford.edu/entries/logic-informal/</x:v>
      </x:c>
      <x:c r="Z814" s="13" t="str">
        <x:v>Review before enabling. This workbook is a living taxonomy scaffold, not a validated scientific benchmark.</x:v>
      </x:c>
      <x:c r="AA814" s="13" t="str">
        <x:v>0.1.0-draft</x:v>
      </x:c>
      <x:c r="AB814" s="12" t="str">
        <x:f>IF(ISNUMBER(SEARCH("healthy",F814)),"healthy_reasoning_patterns",IF(ISNUMBER(SEARCH("statistical",F814)),"statistical_reasoning",IF(ISNUMBER(SEARCH("causal",F814)),"causal_reasoning",IF(ISNUMBER(SEARCH("social",F814)),"social_influence",IF(ISNUMBER(SEARCH("rhetoric",F814)),"rhetoric_discourse",IF(ISNUMBER(SEARCH("behavior",F814)),"behavioural_economics",IF(ISNUMBER(SEARCH("cognitive",F814)),"cognitive_biases",IF(J814="protective_pattern","healthy_reasoning_patterns",IF(L814="P0","core_mvp","extended_fallacies")))))))))</x:f>
        <x:v>rhetoric_discourse</x:v>
      </x:c>
      <x:c r="AC814" s="12" t="str">
        <x:f>IF(ISNUMBER(SEARCH("operational",J814)),"operational",IF(ISNUMBER(SEARCH("deprecated",J814)),"deprecated",IF(L814="P0","canonical","recognized_subtype")))</x:f>
        <x:v>operational</x:v>
      </x:c>
      <x:c r="AD814" s="12" t="str">
        <x:f>IF(AC814="canonical","high",IF(AC814="recognized_subtype","medium",IF(AC814="operational","operational_only","debated")))</x:f>
        <x:v>operational_only</x:v>
      </x:c>
      <x:c r="AE814" s="12" t="str">
        <x:f>IF(AC814="deprecated","deprecated",IF(M814="yes","active",IF(M814="review","review_required","backlog")))</x:f>
        <x:v>backlog</x:v>
      </x:c>
      <x:c r="AF814" s="12" t="str">
        <x:f>IF(OR(AE814="active",AE814="review_required"),"yes","no")</x:f>
        <x:v>no</x:v>
      </x:c>
      <x:c r="AG814" s="12" t="str">
        <x:f>IF(AND(AE814="active",M814="yes",NOT(ISNUMBER(SEARCH("healthy",AB814)))),"yes","no")</x:f>
        <x:v>no</x:v>
      </x:c>
      <x:c r="AH814" s="12" t="str">
        <x:f>IF(OR(H814="contextual",H814="dialogue",H814="discourse",I814="claim+context",I814="discourse_segment"),"yes","no")</x:f>
        <x:v>yes</x:v>
      </x:c>
      <x:c r="AI814" s="12" t="str">
        <x:f>IF(OR(AH814="yes",AD814="debated",AC814="operational"),"yes","no")</x:f>
        <x:v>yes</x:v>
      </x:c>
      <x:c r="AJ814" s="12" t="str">
        <x:f>IF(OR(AH814="yes",AC814="operational",AD814="debated"),"high",IF(AND(AG814="yes",L814="P0"),"medium","low"))</x:f>
        <x:v>high</x:v>
      </x:c>
      <x:c r="AK814" s="12" t="str">
        <x:f>IF(ISNUMBER(SEARCH("healthy",AB814)),"yes","no")</x:f>
        <x:v>no</x:v>
      </x:c>
      <x:c r="AL814" s="12" t="str">
        <x:f>IF(AG814="yes","yes","candidate_only")</x:f>
        <x:v>candidate_only</x:v>
      </x:c>
      <x:c r="AM814" s="12" t="str">
        <x:f>IF(OR(AC814="canonical",AG814="yes"),"yes","recommended")</x:f>
        <x:v>recommended</x:v>
      </x:c>
      <x:c r="AN814" s="12" t="str">
        <x:f>IF(AC814="deprecated","exclude",IF(AND(AG814="yes",AJ814="high"),"import_but_human_review_required",IF(AG814="yes","import_as_active","import_as_backlog")))</x:f>
        <x:v>import_as_backlog</x:v>
      </x:c>
      <x:c r="AO814" s="12" t="str">
        <x:f>IF(AND(AG814="yes",OR(P814="",Q814="",R814="",S814="")),"missing_required_mvp_fields",IF(AND(AC814="canonical",Y814=""),"missing_source_ref","ok"))</x:f>
        <x:v>ok</x:v>
      </x:c>
      <x:c r="AP814" s="12" t="str">
        <x:f>IF(AO814="ok","ready_for_codex_import","needs_review")</x:f>
        <x:v>ready_for_codex_import</x:v>
      </x:c>
      <x:c r="AQ814" s="12"/>
      <x:c r="AR814" s="12" t="str">
        <x:v>Added v2 operational fields. Review before classification activation.</x:v>
      </x:c>
    </x:row>
    <x:row r="815">
      <x:c r="A815" s="13" t="str">
        <x:v>slogan_substitution_omission_emphasis_variant</x:v>
      </x:c>
      <x:c r="B815" s="13" t="str">
        <x:v>slogan_substitution</x:v>
      </x:c>
      <x:c r="C815" s="13" t="str">
        <x:v>Slogan substitution</x:v>
      </x:c>
      <x:c r="D815" s="13" t="str">
        <x:v>جایگزینی شعار به جای دلیل</x:v>
      </x:c>
      <x:c r="E815" s="13" t="str">
        <x:v>Omission/emphasis variant</x:v>
      </x:c>
      <x:c r="F815" s="13" t="str">
        <x:v>rhetorical_manipulation_patterns</x:v>
      </x:c>
      <x:c r="G815" s="13" t="str">
        <x:v>operational_variant</x:v>
      </x:c>
      <x:c r="H815" s="13" t="str">
        <x:v>discourse</x:v>
      </x:c>
      <x:c r="I815" s="13" t="str">
        <x:v>discourse_segment</x:v>
      </x:c>
      <x:c r="J815" s="13" t="str">
        <x:v>derived_operational_subtype</x:v>
      </x:c>
      <x:c r="K815" s="13" t="str">
        <x:v>derived_from_established_parent_review_required</x:v>
      </x:c>
      <x:c r="L815" s="13" t="str">
        <x:v>P3</x:v>
      </x:c>
      <x:c r="M815" s="13" t="str">
        <x:v>no</x:v>
      </x:c>
      <x:c r="N815" s="13" t="str">
        <x:v>Operational subtype under Slogan substitution: selective omission or emphasis controls framing. Parent definition: Replacing argument with a memorable phrase.</x:v>
      </x:c>
      <x:c r="O815" s="13" t="str">
        <x:v>Look for: explicit claim-level evidence; parent-family cues for Slogan substitution; variant cue: selective omission or emphasis controls framing; avoid author-level inference.</x:v>
      </x:c>
      <x:c r="P815" s="13" t="str">
        <x:v>Exact evidence span in text plus claim-level reasoning link; for contextual/discourse entries, require surrounding context.</x:v>
      </x:c>
      <x:c r="Q815" s="13" t="str">
        <x:v>Do not label merely because topic is controversial, emotional, or wrong. Do not judge intent or personality. Require textual evidence and consider healthy-reasoning cues.</x:v>
      </x:c>
      <x:c r="R815" s="13" t="str">
        <x:v>Stub: A claim relies on selective omission or emphasis controls framing to support a conclusion without adequate qualification.</x:v>
      </x:c>
      <x:c r="S815" s="13" t="str">
        <x:v>Stub: A claim discusses slogan substitution with caveats, balanced evidence, or no argumentative use of the pattern.</x:v>
      </x:c>
      <x:c r="T815" s="13" t="str">
        <x:v>Mild or ambiguous cue; do not classify without clear evidence span.</x:v>
      </x:c>
      <x:c r="U815" s="13" t="str">
        <x:v>Clear claim-level pattern with some argumentative impact.</x:v>
      </x:c>
      <x:c r="V815" s="13" t="str">
        <x:v>Strong pattern central to the conclusion and likely to materially distort reasoning.</x:v>
      </x:c>
      <x:c r="W815" s="13" t="str"/>
      <x:c r="X815" s="13" t="str">
        <x:v>grice_logic_conversation</x:v>
      </x:c>
      <x:c r="Y815" s="13" t="str">
        <x:v>https://doi.org/10.1163/9789004368811_003</x:v>
      </x:c>
      <x:c r="Z815" s="13" t="str">
        <x:v>Review before enabling. This workbook is a living taxonomy scaffold, not a validated scientific benchmark.</x:v>
      </x:c>
      <x:c r="AA815" s="13" t="str">
        <x:v>0.1.0-draft</x:v>
      </x:c>
      <x:c r="AB815" s="12" t="str">
        <x:f>IF(ISNUMBER(SEARCH("healthy",F815)),"healthy_reasoning_patterns",IF(ISNUMBER(SEARCH("statistical",F815)),"statistical_reasoning",IF(ISNUMBER(SEARCH("causal",F815)),"causal_reasoning",IF(ISNUMBER(SEARCH("social",F815)),"social_influence",IF(ISNUMBER(SEARCH("rhetoric",F815)),"rhetoric_discourse",IF(ISNUMBER(SEARCH("behavior",F815)),"behavioural_economics",IF(ISNUMBER(SEARCH("cognitive",F815)),"cognitive_biases",IF(J815="protective_pattern","healthy_reasoning_patterns",IF(L815="P0","core_mvp","extended_fallacies")))))))))</x:f>
        <x:v>rhetoric_discourse</x:v>
      </x:c>
      <x:c r="AC815" s="12" t="str">
        <x:f>IF(ISNUMBER(SEARCH("operational",J815)),"operational",IF(ISNUMBER(SEARCH("deprecated",J815)),"deprecated",IF(L815="P0","canonical","recognized_subtype")))</x:f>
        <x:v>operational</x:v>
      </x:c>
      <x:c r="AD815" s="12" t="str">
        <x:f>IF(AC815="canonical","high",IF(AC815="recognized_subtype","medium",IF(AC815="operational","operational_only","debated")))</x:f>
        <x:v>operational_only</x:v>
      </x:c>
      <x:c r="AE815" s="12" t="str">
        <x:f>IF(AC815="deprecated","deprecated",IF(M815="yes","active",IF(M815="review","review_required","backlog")))</x:f>
        <x:v>backlog</x:v>
      </x:c>
      <x:c r="AF815" s="12" t="str">
        <x:f>IF(OR(AE815="active",AE815="review_required"),"yes","no")</x:f>
        <x:v>no</x:v>
      </x:c>
      <x:c r="AG815" s="12" t="str">
        <x:f>IF(AND(AE815="active",M815="yes",NOT(ISNUMBER(SEARCH("healthy",AB815)))),"yes","no")</x:f>
        <x:v>no</x:v>
      </x:c>
      <x:c r="AH815" s="12" t="str">
        <x:f>IF(OR(H815="contextual",H815="dialogue",H815="discourse",I815="claim+context",I815="discourse_segment"),"yes","no")</x:f>
        <x:v>yes</x:v>
      </x:c>
      <x:c r="AI815" s="12" t="str">
        <x:f>IF(OR(AH815="yes",AD815="debated",AC815="operational"),"yes","no")</x:f>
        <x:v>yes</x:v>
      </x:c>
      <x:c r="AJ815" s="12" t="str">
        <x:f>IF(OR(AH815="yes",AC815="operational",AD815="debated"),"high",IF(AND(AG815="yes",L815="P0"),"medium","low"))</x:f>
        <x:v>high</x:v>
      </x:c>
      <x:c r="AK815" s="12" t="str">
        <x:f>IF(ISNUMBER(SEARCH("healthy",AB815)),"yes","no")</x:f>
        <x:v>no</x:v>
      </x:c>
      <x:c r="AL815" s="12" t="str">
        <x:f>IF(AG815="yes","yes","candidate_only")</x:f>
        <x:v>candidate_only</x:v>
      </x:c>
      <x:c r="AM815" s="12" t="str">
        <x:f>IF(OR(AC815="canonical",AG815="yes"),"yes","recommended")</x:f>
        <x:v>recommended</x:v>
      </x:c>
      <x:c r="AN815" s="12" t="str">
        <x:f>IF(AC815="deprecated","exclude",IF(AND(AG815="yes",AJ815="high"),"import_but_human_review_required",IF(AG815="yes","import_as_active","import_as_backlog")))</x:f>
        <x:v>import_as_backlog</x:v>
      </x:c>
      <x:c r="AO815" s="12" t="str">
        <x:f>IF(AND(AG815="yes",OR(P815="",Q815="",R815="",S815="")),"missing_required_mvp_fields",IF(AND(AC815="canonical",Y815=""),"missing_source_ref","ok"))</x:f>
        <x:v>ok</x:v>
      </x:c>
      <x:c r="AP815" s="12" t="str">
        <x:f>IF(AO815="ok","ready_for_codex_import","needs_review")</x:f>
        <x:v>ready_for_codex_import</x:v>
      </x:c>
      <x:c r="AQ815" s="12"/>
      <x:c r="AR815" s="12" t="str">
        <x:v>Added v2 operational fields. Review before classification activation.</x:v>
      </x:c>
    </x:row>
    <x:row r="816">
      <x:c r="A816" s="13" t="str">
        <x:v>repetition_effect_argument_omission_emphasis_variant</x:v>
      </x:c>
      <x:c r="B816" s="13" t="str">
        <x:v>repetition_effect_argument</x:v>
      </x:c>
      <x:c r="C816" s="13" t="str">
        <x:v>Repetition-as-evidence</x:v>
      </x:c>
      <x:c r="D816" s="13" t="str">
        <x:v>تکرار به جای دلیل</x:v>
      </x:c>
      <x:c r="E816" s="13" t="str">
        <x:v>Omission/emphasis variant</x:v>
      </x:c>
      <x:c r="F816" s="13" t="str">
        <x:v>rhetorical_manipulation_patterns</x:v>
      </x:c>
      <x:c r="G816" s="13" t="str">
        <x:v>operational_variant</x:v>
      </x:c>
      <x:c r="H816" s="13" t="str">
        <x:v>discourse</x:v>
      </x:c>
      <x:c r="I816" s="13" t="str">
        <x:v>discourse_segment</x:v>
      </x:c>
      <x:c r="J816" s="13" t="str">
        <x:v>derived_operational_subtype</x:v>
      </x:c>
      <x:c r="K816" s="13" t="str">
        <x:v>derived_from_established_parent_review_required</x:v>
      </x:c>
      <x:c r="L816" s="13" t="str">
        <x:v>P3</x:v>
      </x:c>
      <x:c r="M816" s="13" t="str">
        <x:v>no</x:v>
      </x:c>
      <x:c r="N816" s="13" t="str">
        <x:v>Operational subtype under Repetition-as-evidence: selective omission or emphasis controls framing. Parent definition: Repeating a claim as if repetition increases its evidential support.</x:v>
      </x:c>
      <x:c r="O816" s="13" t="str">
        <x:v>Look for: explicit claim-level evidence; parent-family cues for Repetition-as-evidence; variant cue: selective omission or emphasis controls framing; avoid author-level inference.</x:v>
      </x:c>
      <x:c r="P816" s="13" t="str">
        <x:v>Exact evidence span in text plus claim-level reasoning link; for contextual/discourse entries, require surrounding context.</x:v>
      </x:c>
      <x:c r="Q816" s="13" t="str">
        <x:v>Do not label merely because topic is controversial, emotional, or wrong. Do not judge intent or personality. Require textual evidence and consider healthy-reasoning cues.</x:v>
      </x:c>
      <x:c r="R816" s="13" t="str">
        <x:v>Stub: A claim relies on selective omission or emphasis controls framing to support a conclusion without adequate qualification.</x:v>
      </x:c>
      <x:c r="S816" s="13" t="str">
        <x:v>Stub: A claim discusses repetition-as-evidence with caveats, balanced evidence, or no argumentative use of the pattern.</x:v>
      </x:c>
      <x:c r="T816" s="13" t="str">
        <x:v>Mild or ambiguous cue; do not classify without clear evidence span.</x:v>
      </x:c>
      <x:c r="U816" s="13" t="str">
        <x:v>Clear claim-level pattern with some argumentative impact.</x:v>
      </x:c>
      <x:c r="V816" s="13" t="str">
        <x:v>Strong pattern central to the conclusion and likely to materially distort reasoning.</x:v>
      </x:c>
      <x:c r="W816" s="13" t="str"/>
      <x:c r="X816" s="13" t="str">
        <x:v>grice_logic_conversation</x:v>
      </x:c>
      <x:c r="Y816" s="13" t="str">
        <x:v>https://doi.org/10.1163/9789004368811_003</x:v>
      </x:c>
      <x:c r="Z816" s="13" t="str">
        <x:v>Review before enabling. This workbook is a living taxonomy scaffold, not a validated scientific benchmark.</x:v>
      </x:c>
      <x:c r="AA816" s="13" t="str">
        <x:v>0.1.0-draft</x:v>
      </x:c>
      <x:c r="AB816" s="12" t="str">
        <x:f>IF(ISNUMBER(SEARCH("healthy",F816)),"healthy_reasoning_patterns",IF(ISNUMBER(SEARCH("statistical",F816)),"statistical_reasoning",IF(ISNUMBER(SEARCH("causal",F816)),"causal_reasoning",IF(ISNUMBER(SEARCH("social",F816)),"social_influence",IF(ISNUMBER(SEARCH("rhetoric",F816)),"rhetoric_discourse",IF(ISNUMBER(SEARCH("behavior",F816)),"behavioural_economics",IF(ISNUMBER(SEARCH("cognitive",F816)),"cognitive_biases",IF(J816="protective_pattern","healthy_reasoning_patterns",IF(L816="P0","core_mvp","extended_fallacies")))))))))</x:f>
        <x:v>rhetoric_discourse</x:v>
      </x:c>
      <x:c r="AC816" s="12" t="str">
        <x:f>IF(ISNUMBER(SEARCH("operational",J816)),"operational",IF(ISNUMBER(SEARCH("deprecated",J816)),"deprecated",IF(L816="P0","canonical","recognized_subtype")))</x:f>
        <x:v>operational</x:v>
      </x:c>
      <x:c r="AD816" s="12" t="str">
        <x:f>IF(AC816="canonical","high",IF(AC816="recognized_subtype","medium",IF(AC816="operational","operational_only","debated")))</x:f>
        <x:v>operational_only</x:v>
      </x:c>
      <x:c r="AE816" s="12" t="str">
        <x:f>IF(AC816="deprecated","deprecated",IF(M816="yes","active",IF(M816="review","review_required","backlog")))</x:f>
        <x:v>backlog</x:v>
      </x:c>
      <x:c r="AF816" s="12" t="str">
        <x:f>IF(OR(AE816="active",AE816="review_required"),"yes","no")</x:f>
        <x:v>no</x:v>
      </x:c>
      <x:c r="AG816" s="12" t="str">
        <x:f>IF(AND(AE816="active",M816="yes",NOT(ISNUMBER(SEARCH("healthy",AB816)))),"yes","no")</x:f>
        <x:v>no</x:v>
      </x:c>
      <x:c r="AH816" s="12" t="str">
        <x:f>IF(OR(H816="contextual",H816="dialogue",H816="discourse",I816="claim+context",I816="discourse_segment"),"yes","no")</x:f>
        <x:v>yes</x:v>
      </x:c>
      <x:c r="AI816" s="12" t="str">
        <x:f>IF(OR(AH816="yes",AD816="debated",AC816="operational"),"yes","no")</x:f>
        <x:v>yes</x:v>
      </x:c>
      <x:c r="AJ816" s="12" t="str">
        <x:f>IF(OR(AH816="yes",AC816="operational",AD816="debated"),"high",IF(AND(AG816="yes",L816="P0"),"medium","low"))</x:f>
        <x:v>high</x:v>
      </x:c>
      <x:c r="AK816" s="12" t="str">
        <x:f>IF(ISNUMBER(SEARCH("healthy",AB816)),"yes","no")</x:f>
        <x:v>no</x:v>
      </x:c>
      <x:c r="AL816" s="12" t="str">
        <x:f>IF(AG816="yes","yes","candidate_only")</x:f>
        <x:v>candidate_only</x:v>
      </x:c>
      <x:c r="AM816" s="12" t="str">
        <x:f>IF(OR(AC816="canonical",AG816="yes"),"yes","recommended")</x:f>
        <x:v>recommended</x:v>
      </x:c>
      <x:c r="AN816" s="12" t="str">
        <x:f>IF(AC816="deprecated","exclude",IF(AND(AG816="yes",AJ816="high"),"import_but_human_review_required",IF(AG816="yes","import_as_active","import_as_backlog")))</x:f>
        <x:v>import_as_backlog</x:v>
      </x:c>
      <x:c r="AO816" s="12" t="str">
        <x:f>IF(AND(AG816="yes",OR(P816="",Q816="",R816="",S816="")),"missing_required_mvp_fields",IF(AND(AC816="canonical",Y816=""),"missing_source_ref","ok"))</x:f>
        <x:v>ok</x:v>
      </x:c>
      <x:c r="AP816" s="12" t="str">
        <x:f>IF(AO816="ok","ready_for_codex_import","needs_review")</x:f>
        <x:v>ready_for_codex_import</x:v>
      </x:c>
      <x:c r="AQ816" s="12"/>
      <x:c r="AR816" s="12" t="str">
        <x:v>Added v2 operational fields. Review before classification activation.</x:v>
      </x:c>
    </x:row>
    <x:row r="817">
      <x:c r="A817" s="13" t="str">
        <x:v>false_balance_rhetoric_omission_emphasis_variant</x:v>
      </x:c>
      <x:c r="B817" s="13" t="str">
        <x:v>false_balance_rhetoric</x:v>
      </x:c>
      <x:c r="C817" s="13" t="str">
        <x:v>False balance</x:v>
      </x:c>
      <x:c r="D817" s="13" t="str">
        <x:v>توازن کاذب</x:v>
      </x:c>
      <x:c r="E817" s="13" t="str">
        <x:v>Omission/emphasis variant</x:v>
      </x:c>
      <x:c r="F817" s="13" t="str">
        <x:v>rhetorical_manipulation_patterns</x:v>
      </x:c>
      <x:c r="G817" s="13" t="str">
        <x:v>operational_variant</x:v>
      </x:c>
      <x:c r="H817" s="13" t="str">
        <x:v>contextual</x:v>
      </x:c>
      <x:c r="I817" s="13" t="str">
        <x:v>claim+context</x:v>
      </x:c>
      <x:c r="J817" s="13" t="str">
        <x:v>derived_operational_subtype</x:v>
      </x:c>
      <x:c r="K817" s="13" t="str">
        <x:v>derived_from_established_parent_review_required</x:v>
      </x:c>
      <x:c r="L817" s="13" t="str">
        <x:v>P3</x:v>
      </x:c>
      <x:c r="M817" s="13" t="str">
        <x:v>no</x:v>
      </x:c>
      <x:c r="N817" s="13" t="str">
        <x:v>Operational subtype under False balance: selective omission or emphasis controls framing. Parent definition: Presenting unequal evidence positions as equally supported.</x:v>
      </x:c>
      <x:c r="O817" s="13" t="str">
        <x:v>Look for: explicit claim-level evidence; parent-family cues for False balance; variant cue: selective omission or emphasis controls framing; avoid author-level inference.</x:v>
      </x:c>
      <x:c r="P817" s="13" t="str">
        <x:v>Exact evidence span in text plus claim-level reasoning link; for contextual/discourse entries, require surrounding context.</x:v>
      </x:c>
      <x:c r="Q817" s="13" t="str">
        <x:v>Do not label merely because topic is controversial, emotional, or wrong. Do not judge intent or personality. Require textual evidence and consider healthy-reasoning cues.</x:v>
      </x:c>
      <x:c r="R817" s="13" t="str">
        <x:v>Stub: A claim relies on selective omission or emphasis controls framing to support a conclusion without adequate qualification.</x:v>
      </x:c>
      <x:c r="S817" s="13" t="str">
        <x:v>Stub: A claim discusses false balance with caveats, balanced evidence, or no argumentative use of the pattern.</x:v>
      </x:c>
      <x:c r="T817" s="13" t="str">
        <x:v>Mild or ambiguous cue; do not classify without clear evidence span.</x:v>
      </x:c>
      <x:c r="U817" s="13" t="str">
        <x:v>Clear claim-level pattern with some argumentative impact.</x:v>
      </x:c>
      <x:c r="V817" s="13" t="str">
        <x:v>Strong pattern central to the conclusion and likely to materially distort reasoning.</x:v>
      </x:c>
      <x:c r="W817" s="13" t="str">
        <x:v>cherry_picking; missing_counterevidence; evidence_grading</x:v>
      </x:c>
      <x:c r="X817" s="13" t="str">
        <x:v>sep_informal_logic</x:v>
      </x:c>
      <x:c r="Y817" s="13" t="str">
        <x:v>https://plato.stanford.edu/entries/logic-informal/</x:v>
      </x:c>
      <x:c r="Z817" s="13" t="str">
        <x:v>Review before enabling. This workbook is a living taxonomy scaffold, not a validated scientific benchmark.</x:v>
      </x:c>
      <x:c r="AA817" s="13" t="str">
        <x:v>0.1.0-draft</x:v>
      </x:c>
      <x:c r="AB817" s="12" t="str">
        <x:f>IF(ISNUMBER(SEARCH("healthy",F817)),"healthy_reasoning_patterns",IF(ISNUMBER(SEARCH("statistical",F817)),"statistical_reasoning",IF(ISNUMBER(SEARCH("causal",F817)),"causal_reasoning",IF(ISNUMBER(SEARCH("social",F817)),"social_influence",IF(ISNUMBER(SEARCH("rhetoric",F817)),"rhetoric_discourse",IF(ISNUMBER(SEARCH("behavior",F817)),"behavioural_economics",IF(ISNUMBER(SEARCH("cognitive",F817)),"cognitive_biases",IF(J817="protective_pattern","healthy_reasoning_patterns",IF(L817="P0","core_mvp","extended_fallacies")))))))))</x:f>
        <x:v>rhetoric_discourse</x:v>
      </x:c>
      <x:c r="AC817" s="12" t="str">
        <x:f>IF(ISNUMBER(SEARCH("operational",J817)),"operational",IF(ISNUMBER(SEARCH("deprecated",J817)),"deprecated",IF(L817="P0","canonical","recognized_subtype")))</x:f>
        <x:v>operational</x:v>
      </x:c>
      <x:c r="AD817" s="12" t="str">
        <x:f>IF(AC817="canonical","high",IF(AC817="recognized_subtype","medium",IF(AC817="operational","operational_only","debated")))</x:f>
        <x:v>operational_only</x:v>
      </x:c>
      <x:c r="AE817" s="12" t="str">
        <x:f>IF(AC817="deprecated","deprecated",IF(M817="yes","active",IF(M817="review","review_required","backlog")))</x:f>
        <x:v>backlog</x:v>
      </x:c>
      <x:c r="AF817" s="12" t="str">
        <x:f>IF(OR(AE817="active",AE817="review_required"),"yes","no")</x:f>
        <x:v>no</x:v>
      </x:c>
      <x:c r="AG817" s="12" t="str">
        <x:f>IF(AND(AE817="active",M817="yes",NOT(ISNUMBER(SEARCH("healthy",AB817)))),"yes","no")</x:f>
        <x:v>no</x:v>
      </x:c>
      <x:c r="AH817" s="12" t="str">
        <x:f>IF(OR(H817="contextual",H817="dialogue",H817="discourse",I817="claim+context",I817="discourse_segment"),"yes","no")</x:f>
        <x:v>yes</x:v>
      </x:c>
      <x:c r="AI817" s="12" t="str">
        <x:f>IF(OR(AH817="yes",AD817="debated",AC817="operational"),"yes","no")</x:f>
        <x:v>yes</x:v>
      </x:c>
      <x:c r="AJ817" s="12" t="str">
        <x:f>IF(OR(AH817="yes",AC817="operational",AD817="debated"),"high",IF(AND(AG817="yes",L817="P0"),"medium","low"))</x:f>
        <x:v>high</x:v>
      </x:c>
      <x:c r="AK817" s="12" t="str">
        <x:f>IF(ISNUMBER(SEARCH("healthy",AB817)),"yes","no")</x:f>
        <x:v>no</x:v>
      </x:c>
      <x:c r="AL817" s="12" t="str">
        <x:f>IF(AG817="yes","yes","candidate_only")</x:f>
        <x:v>candidate_only</x:v>
      </x:c>
      <x:c r="AM817" s="12" t="str">
        <x:f>IF(OR(AC817="canonical",AG817="yes"),"yes","recommended")</x:f>
        <x:v>recommended</x:v>
      </x:c>
      <x:c r="AN817" s="12" t="str">
        <x:f>IF(AC817="deprecated","exclude",IF(AND(AG817="yes",AJ817="high"),"import_but_human_review_required",IF(AG817="yes","import_as_active","import_as_backlog")))</x:f>
        <x:v>import_as_backlog</x:v>
      </x:c>
      <x:c r="AO817" s="12" t="str">
        <x:f>IF(AND(AG817="yes",OR(P817="",Q817="",R817="",S817="")),"missing_required_mvp_fields",IF(AND(AC817="canonical",Y817=""),"missing_source_ref","ok"))</x:f>
        <x:v>ok</x:v>
      </x:c>
      <x:c r="AP817" s="12" t="str">
        <x:f>IF(AO817="ok","ready_for_codex_import","needs_review")</x:f>
        <x:v>ready_for_codex_import</x:v>
      </x:c>
      <x:c r="AQ817" s="12"/>
      <x:c r="AR817" s="12" t="str">
        <x:v>Added v2 operational fields. Review before classification activation.</x:v>
      </x:c>
    </x:row>
    <x:row r="818">
      <x:c r="A818" s="13" t="str">
        <x:v>loaded_language_urgency_scarcity_variant</x:v>
      </x:c>
      <x:c r="B818" s="13" t="str">
        <x:v>loaded_language</x:v>
      </x:c>
      <x:c r="C818" s="13" t="str">
        <x:v>Loaded language</x:v>
      </x:c>
      <x:c r="D818" s="13" t="str">
        <x:v>زبان بارگذاری‌شده</x:v>
      </x:c>
      <x:c r="E818" s="13" t="str">
        <x:v>Urgency/scarcity variant</x:v>
      </x:c>
      <x:c r="F818" s="13" t="str">
        <x:v>rhetorical_manipulation_patterns</x:v>
      </x:c>
      <x:c r="G818" s="13" t="str">
        <x:v>operational_variant</x:v>
      </x:c>
      <x:c r="H818" s="13" t="str">
        <x:v>lexical</x:v>
      </x:c>
      <x:c r="I818" s="13" t="str">
        <x:v>claim</x:v>
      </x:c>
      <x:c r="J818" s="13" t="str">
        <x:v>derived_operational_subtype</x:v>
      </x:c>
      <x:c r="K818" s="13" t="str">
        <x:v>derived_from_established_parent_review_required</x:v>
      </x:c>
      <x:c r="L818" s="13" t="str">
        <x:v>P3</x:v>
      </x:c>
      <x:c r="M818" s="13" t="str">
        <x:v>no</x:v>
      </x:c>
      <x:c r="N818" s="13" t="str">
        <x:v>Operational subtype under Loaded language: time pressure or scarcity is used to reduce deliberation. Parent definition: Using emotionally charged words to steer interpretation.</x:v>
      </x:c>
      <x:c r="O818" s="13" t="str">
        <x:v>Look for: explicit claim-level evidence; parent-family cues for Loaded language; variant cue: time pressure or scarcity is used to reduce deliberation; avoid author-level inference.</x:v>
      </x:c>
      <x:c r="P818" s="13" t="str">
        <x:v>Exact evidence span in text plus claim-level reasoning link; for contextual/discourse entries, require surrounding context.</x:v>
      </x:c>
      <x:c r="Q818" s="13" t="str">
        <x:v>Do not label merely because topic is controversial, emotional, or wrong. Do not judge intent or personality. Require textual evidence and consider healthy-reasoning cues.</x:v>
      </x:c>
      <x:c r="R818" s="13" t="str">
        <x:v>Stub: A claim relies on time pressure or scarcity is used to reduce deliberation to support a conclusion without adequate qualification.</x:v>
      </x:c>
      <x:c r="S818" s="13" t="str">
        <x:v>Stub: A claim discusses loaded language with caveats, balanced evidence, or no argumentative use of the pattern.</x:v>
      </x:c>
      <x:c r="T818" s="13" t="str">
        <x:v>Mild or ambiguous cue; do not classify without clear evidence span.</x:v>
      </x:c>
      <x:c r="U818" s="13" t="str">
        <x:v>Clear claim-level pattern with some argumentative impact.</x:v>
      </x:c>
      <x:c r="V818" s="13" t="str">
        <x:v>Strong pattern central to the conclusion and likely to materially distort reasoning.</x:v>
      </x:c>
      <x:c r="W818" s="13" t="str"/>
      <x:c r="X818" s="13" t="str">
        <x:v>grice_logic_conversation</x:v>
      </x:c>
      <x:c r="Y818" s="13" t="str">
        <x:v>https://doi.org/10.1163/9789004368811_003</x:v>
      </x:c>
      <x:c r="Z818" s="13" t="str">
        <x:v>Review before enabling. This workbook is a living taxonomy scaffold, not a validated scientific benchmark.</x:v>
      </x:c>
      <x:c r="AA818" s="13" t="str">
        <x:v>0.1.0-draft</x:v>
      </x:c>
      <x:c r="AB818" s="12" t="str">
        <x:f>IF(ISNUMBER(SEARCH("healthy",F818)),"healthy_reasoning_patterns",IF(ISNUMBER(SEARCH("statistical",F818)),"statistical_reasoning",IF(ISNUMBER(SEARCH("causal",F818)),"causal_reasoning",IF(ISNUMBER(SEARCH("social",F818)),"social_influence",IF(ISNUMBER(SEARCH("rhetoric",F818)),"rhetoric_discourse",IF(ISNUMBER(SEARCH("behavior",F818)),"behavioural_economics",IF(ISNUMBER(SEARCH("cognitive",F818)),"cognitive_biases",IF(J818="protective_pattern","healthy_reasoning_patterns",IF(L818="P0","core_mvp","extended_fallacies")))))))))</x:f>
        <x:v>rhetoric_discourse</x:v>
      </x:c>
      <x:c r="AC818" s="12" t="str">
        <x:f>IF(ISNUMBER(SEARCH("operational",J818)),"operational",IF(ISNUMBER(SEARCH("deprecated",J818)),"deprecated",IF(L818="P0","canonical","recognized_subtype")))</x:f>
        <x:v>operational</x:v>
      </x:c>
      <x:c r="AD818" s="12" t="str">
        <x:f>IF(AC818="canonical","high",IF(AC818="recognized_subtype","medium",IF(AC818="operational","operational_only","debated")))</x:f>
        <x:v>operational_only</x:v>
      </x:c>
      <x:c r="AE818" s="12" t="str">
        <x:f>IF(AC818="deprecated","deprecated",IF(M818="yes","active",IF(M818="review","review_required","backlog")))</x:f>
        <x:v>backlog</x:v>
      </x:c>
      <x:c r="AF818" s="12" t="str">
        <x:f>IF(OR(AE818="active",AE818="review_required"),"yes","no")</x:f>
        <x:v>no</x:v>
      </x:c>
      <x:c r="AG818" s="12" t="str">
        <x:f>IF(AND(AE818="active",M818="yes",NOT(ISNUMBER(SEARCH("healthy",AB818)))),"yes","no")</x:f>
        <x:v>no</x:v>
      </x:c>
      <x:c r="AH818" s="12" t="str">
        <x:f>IF(OR(H818="contextual",H818="dialogue",H818="discourse",I818="claim+context",I818="discourse_segment"),"yes","no")</x:f>
        <x:v>no</x:v>
      </x:c>
      <x:c r="AI818" s="12" t="str">
        <x:f>IF(OR(AH818="yes",AD818="debated",AC818="operational"),"yes","no")</x:f>
        <x:v>yes</x:v>
      </x:c>
      <x:c r="AJ818" s="12" t="str">
        <x:f>IF(OR(AH818="yes",AC818="operational",AD818="debated"),"high",IF(AND(AG818="yes",L818="P0"),"medium","low"))</x:f>
        <x:v>high</x:v>
      </x:c>
      <x:c r="AK818" s="12" t="str">
        <x:f>IF(ISNUMBER(SEARCH("healthy",AB818)),"yes","no")</x:f>
        <x:v>no</x:v>
      </x:c>
      <x:c r="AL818" s="12" t="str">
        <x:f>IF(AG818="yes","yes","candidate_only")</x:f>
        <x:v>candidate_only</x:v>
      </x:c>
      <x:c r="AM818" s="12" t="str">
        <x:f>IF(OR(AC818="canonical",AG818="yes"),"yes","recommended")</x:f>
        <x:v>recommended</x:v>
      </x:c>
      <x:c r="AN818" s="12" t="str">
        <x:f>IF(AC818="deprecated","exclude",IF(AND(AG818="yes",AJ818="high"),"import_but_human_review_required",IF(AG818="yes","import_as_active","import_as_backlog")))</x:f>
        <x:v>import_as_backlog</x:v>
      </x:c>
      <x:c r="AO818" s="12" t="str">
        <x:f>IF(AND(AG818="yes",OR(P818="",Q818="",R818="",S818="")),"missing_required_mvp_fields",IF(AND(AC818="canonical",Y818=""),"missing_source_ref","ok"))</x:f>
        <x:v>ok</x:v>
      </x:c>
      <x:c r="AP818" s="12" t="str">
        <x:f>IF(AO818="ok","ready_for_codex_import","needs_review")</x:f>
        <x:v>ready_for_codex_import</x:v>
      </x:c>
      <x:c r="AQ818" s="12"/>
      <x:c r="AR818" s="12" t="str">
        <x:v>Added v2 operational fields. Review before classification activation.</x:v>
      </x:c>
    </x:row>
    <x:row r="819">
      <x:c r="A819" s="13" t="str">
        <x:v>weasel_words_urgency_scarcity_variant</x:v>
      </x:c>
      <x:c r="B819" s="13" t="str">
        <x:v>weasel_words</x:v>
      </x:c>
      <x:c r="C819" s="13" t="str">
        <x:v>Weasel words</x:v>
      </x:c>
      <x:c r="D819" s="13" t="str">
        <x:v>واژه‌های گریز</x:v>
      </x:c>
      <x:c r="E819" s="13" t="str">
        <x:v>Urgency/scarcity variant</x:v>
      </x:c>
      <x:c r="F819" s="13" t="str">
        <x:v>rhetorical_manipulation_patterns</x:v>
      </x:c>
      <x:c r="G819" s="13" t="str">
        <x:v>operational_variant</x:v>
      </x:c>
      <x:c r="H819" s="13" t="str">
        <x:v>lexical</x:v>
      </x:c>
      <x:c r="I819" s="13" t="str">
        <x:v>claim</x:v>
      </x:c>
      <x:c r="J819" s="13" t="str">
        <x:v>derived_operational_subtype</x:v>
      </x:c>
      <x:c r="K819" s="13" t="str">
        <x:v>derived_from_established_parent_review_required</x:v>
      </x:c>
      <x:c r="L819" s="13" t="str">
        <x:v>P3</x:v>
      </x:c>
      <x:c r="M819" s="13" t="str">
        <x:v>no</x:v>
      </x:c>
      <x:c r="N819" s="13" t="str">
        <x:v>Operational subtype under Weasel words: time pressure or scarcity is used to reduce deliberation. Parent definition: Using vague qualifiers that create an impression without accountable evidence.</x:v>
      </x:c>
      <x:c r="O819" s="13" t="str">
        <x:v>Look for: explicit claim-level evidence; parent-family cues for Weasel words; variant cue: time pressure or scarcity is used to reduce deliberation; avoid author-level inference.</x:v>
      </x:c>
      <x:c r="P819" s="13" t="str">
        <x:v>Exact evidence span in text plus claim-level reasoning link; for contextual/discourse entries, require surrounding context.</x:v>
      </x:c>
      <x:c r="Q819" s="13" t="str">
        <x:v>Do not label merely because topic is controversial, emotional, or wrong. Do not judge intent or personality. Require textual evidence and consider healthy-reasoning cues.</x:v>
      </x:c>
      <x:c r="R819" s="13" t="str">
        <x:v>Stub: A claim relies on time pressure or scarcity is used to reduce deliberation to support a conclusion without adequate qualification.</x:v>
      </x:c>
      <x:c r="S819" s="13" t="str">
        <x:v>Stub: A claim discusses weasel words with caveats, balanced evidence, or no argumentative use of the pattern.</x:v>
      </x:c>
      <x:c r="T819" s="13" t="str">
        <x:v>Mild or ambiguous cue; do not classify without clear evidence span.</x:v>
      </x:c>
      <x:c r="U819" s="13" t="str">
        <x:v>Clear claim-level pattern with some argumentative impact.</x:v>
      </x:c>
      <x:c r="V819" s="13" t="str">
        <x:v>Strong pattern central to the conclusion and likely to materially distort reasoning.</x:v>
      </x:c>
      <x:c r="W819" s="13" t="str">
        <x:v>cherry_picking; missing_counterevidence; evidence_grading</x:v>
      </x:c>
      <x:c r="X819" s="13" t="str">
        <x:v>grice_logic_conversation</x:v>
      </x:c>
      <x:c r="Y819" s="13" t="str">
        <x:v>https://doi.org/10.1163/9789004368811_003</x:v>
      </x:c>
      <x:c r="Z819" s="13" t="str">
        <x:v>Review before enabling. This workbook is a living taxonomy scaffold, not a validated scientific benchmark.</x:v>
      </x:c>
      <x:c r="AA819" s="13" t="str">
        <x:v>0.1.0-draft</x:v>
      </x:c>
      <x:c r="AB819" s="12" t="str">
        <x:f>IF(ISNUMBER(SEARCH("healthy",F819)),"healthy_reasoning_patterns",IF(ISNUMBER(SEARCH("statistical",F819)),"statistical_reasoning",IF(ISNUMBER(SEARCH("causal",F819)),"causal_reasoning",IF(ISNUMBER(SEARCH("social",F819)),"social_influence",IF(ISNUMBER(SEARCH("rhetoric",F819)),"rhetoric_discourse",IF(ISNUMBER(SEARCH("behavior",F819)),"behavioural_economics",IF(ISNUMBER(SEARCH("cognitive",F819)),"cognitive_biases",IF(J819="protective_pattern","healthy_reasoning_patterns",IF(L819="P0","core_mvp","extended_fallacies")))))))))</x:f>
        <x:v>rhetoric_discourse</x:v>
      </x:c>
      <x:c r="AC819" s="12" t="str">
        <x:f>IF(ISNUMBER(SEARCH("operational",J819)),"operational",IF(ISNUMBER(SEARCH("deprecated",J819)),"deprecated",IF(L819="P0","canonical","recognized_subtype")))</x:f>
        <x:v>operational</x:v>
      </x:c>
      <x:c r="AD819" s="12" t="str">
        <x:f>IF(AC819="canonical","high",IF(AC819="recognized_subtype","medium",IF(AC819="operational","operational_only","debated")))</x:f>
        <x:v>operational_only</x:v>
      </x:c>
      <x:c r="AE819" s="12" t="str">
        <x:f>IF(AC819="deprecated","deprecated",IF(M819="yes","active",IF(M819="review","review_required","backlog")))</x:f>
        <x:v>backlog</x:v>
      </x:c>
      <x:c r="AF819" s="12" t="str">
        <x:f>IF(OR(AE819="active",AE819="review_required"),"yes","no")</x:f>
        <x:v>no</x:v>
      </x:c>
      <x:c r="AG819" s="12" t="str">
        <x:f>IF(AND(AE819="active",M819="yes",NOT(ISNUMBER(SEARCH("healthy",AB819)))),"yes","no")</x:f>
        <x:v>no</x:v>
      </x:c>
      <x:c r="AH819" s="12" t="str">
        <x:f>IF(OR(H819="contextual",H819="dialogue",H819="discourse",I819="claim+context",I819="discourse_segment"),"yes","no")</x:f>
        <x:v>no</x:v>
      </x:c>
      <x:c r="AI819" s="12" t="str">
        <x:f>IF(OR(AH819="yes",AD819="debated",AC819="operational"),"yes","no")</x:f>
        <x:v>yes</x:v>
      </x:c>
      <x:c r="AJ819" s="12" t="str">
        <x:f>IF(OR(AH819="yes",AC819="operational",AD819="debated"),"high",IF(AND(AG819="yes",L819="P0"),"medium","low"))</x:f>
        <x:v>high</x:v>
      </x:c>
      <x:c r="AK819" s="12" t="str">
        <x:f>IF(ISNUMBER(SEARCH("healthy",AB819)),"yes","no")</x:f>
        <x:v>no</x:v>
      </x:c>
      <x:c r="AL819" s="12" t="str">
        <x:f>IF(AG819="yes","yes","candidate_only")</x:f>
        <x:v>candidate_only</x:v>
      </x:c>
      <x:c r="AM819" s="12" t="str">
        <x:f>IF(OR(AC819="canonical",AG819="yes"),"yes","recommended")</x:f>
        <x:v>recommended</x:v>
      </x:c>
      <x:c r="AN819" s="12" t="str">
        <x:f>IF(AC819="deprecated","exclude",IF(AND(AG819="yes",AJ819="high"),"import_but_human_review_required",IF(AG819="yes","import_as_active","import_as_backlog")))</x:f>
        <x:v>import_as_backlog</x:v>
      </x:c>
      <x:c r="AO819" s="12" t="str">
        <x:f>IF(AND(AG819="yes",OR(P819="",Q819="",R819="",S819="")),"missing_required_mvp_fields",IF(AND(AC819="canonical",Y819=""),"missing_source_ref","ok"))</x:f>
        <x:v>ok</x:v>
      </x:c>
      <x:c r="AP819" s="12" t="str">
        <x:f>IF(AO819="ok","ready_for_codex_import","needs_review")</x:f>
        <x:v>ready_for_codex_import</x:v>
      </x:c>
      <x:c r="AQ819" s="12"/>
      <x:c r="AR819" s="12" t="str">
        <x:v>Added v2 operational fields. Review before classification activation.</x:v>
      </x:c>
    </x:row>
    <x:row r="820">
      <x:c r="A820" s="13" t="str">
        <x:v>vague_quantifier_urgency_scarcity_variant</x:v>
      </x:c>
      <x:c r="B820" s="13" t="str">
        <x:v>vague_quantifier</x:v>
      </x:c>
      <x:c r="C820" s="13" t="str">
        <x:v>Vague quantifier</x:v>
      </x:c>
      <x:c r="D820" s="13" t="str">
        <x:v>کمیت‌نمای مبهم</x:v>
      </x:c>
      <x:c r="E820" s="13" t="str">
        <x:v>Urgency/scarcity variant</x:v>
      </x:c>
      <x:c r="F820" s="13" t="str">
        <x:v>rhetorical_manipulation_patterns</x:v>
      </x:c>
      <x:c r="G820" s="13" t="str">
        <x:v>operational_variant</x:v>
      </x:c>
      <x:c r="H820" s="13" t="str">
        <x:v>lexical</x:v>
      </x:c>
      <x:c r="I820" s="13" t="str">
        <x:v>claim</x:v>
      </x:c>
      <x:c r="J820" s="13" t="str">
        <x:v>derived_operational_subtype</x:v>
      </x:c>
      <x:c r="K820" s="13" t="str">
        <x:v>derived_from_established_parent_review_required</x:v>
      </x:c>
      <x:c r="L820" s="13" t="str">
        <x:v>P3</x:v>
      </x:c>
      <x:c r="M820" s="13" t="str">
        <x:v>no</x:v>
      </x:c>
      <x:c r="N820" s="13" t="str">
        <x:v>Operational subtype under Vague quantifier: time pressure or scarcity is used to reduce deliberation. Parent definition: Using terms like many, experts, or people say without specification.</x:v>
      </x:c>
      <x:c r="O820" s="13" t="str">
        <x:v>Look for: explicit claim-level evidence; parent-family cues for Vague quantifier; variant cue: time pressure or scarcity is used to reduce deliberation; avoid author-level inference.</x:v>
      </x:c>
      <x:c r="P820" s="13" t="str">
        <x:v>Exact evidence span in text plus claim-level reasoning link; for contextual/discourse entries, require surrounding context.</x:v>
      </x:c>
      <x:c r="Q820" s="13" t="str">
        <x:v>Do not label merely because topic is controversial, emotional, or wrong. Do not judge intent or personality. Require textual evidence and consider healthy-reasoning cues.</x:v>
      </x:c>
      <x:c r="R820" s="13" t="str">
        <x:v>Stub: A claim relies on time pressure or scarcity is used to reduce deliberation to support a conclusion without adequate qualification.</x:v>
      </x:c>
      <x:c r="S820" s="13" t="str">
        <x:v>Stub: A claim discusses vague quantifier with caveats, balanced evidence, or no argumentative use of the pattern.</x:v>
      </x:c>
      <x:c r="T820" s="13" t="str">
        <x:v>Mild or ambiguous cue; do not classify without clear evidence span.</x:v>
      </x:c>
      <x:c r="U820" s="13" t="str">
        <x:v>Clear claim-level pattern with some argumentative impact.</x:v>
      </x:c>
      <x:c r="V820" s="13" t="str">
        <x:v>Strong pattern central to the conclusion and likely to materially distort reasoning.</x:v>
      </x:c>
      <x:c r="W820" s="13" t="str"/>
      <x:c r="X820" s="13" t="str">
        <x:v>grice_logic_conversation</x:v>
      </x:c>
      <x:c r="Y820" s="13" t="str">
        <x:v>https://doi.org/10.1163/9789004368811_003</x:v>
      </x:c>
      <x:c r="Z820" s="13" t="str">
        <x:v>Review before enabling. This workbook is a living taxonomy scaffold, not a validated scientific benchmark.</x:v>
      </x:c>
      <x:c r="AA820" s="13" t="str">
        <x:v>0.1.0-draft</x:v>
      </x:c>
      <x:c r="AB820" s="12" t="str">
        <x:f>IF(ISNUMBER(SEARCH("healthy",F820)),"healthy_reasoning_patterns",IF(ISNUMBER(SEARCH("statistical",F820)),"statistical_reasoning",IF(ISNUMBER(SEARCH("causal",F820)),"causal_reasoning",IF(ISNUMBER(SEARCH("social",F820)),"social_influence",IF(ISNUMBER(SEARCH("rhetoric",F820)),"rhetoric_discourse",IF(ISNUMBER(SEARCH("behavior",F820)),"behavioural_economics",IF(ISNUMBER(SEARCH("cognitive",F820)),"cognitive_biases",IF(J820="protective_pattern","healthy_reasoning_patterns",IF(L820="P0","core_mvp","extended_fallacies")))))))))</x:f>
        <x:v>rhetoric_discourse</x:v>
      </x:c>
      <x:c r="AC820" s="12" t="str">
        <x:f>IF(ISNUMBER(SEARCH("operational",J820)),"operational",IF(ISNUMBER(SEARCH("deprecated",J820)),"deprecated",IF(L820="P0","canonical","recognized_subtype")))</x:f>
        <x:v>operational</x:v>
      </x:c>
      <x:c r="AD820" s="12" t="str">
        <x:f>IF(AC820="canonical","high",IF(AC820="recognized_subtype","medium",IF(AC820="operational","operational_only","debated")))</x:f>
        <x:v>operational_only</x:v>
      </x:c>
      <x:c r="AE820" s="12" t="str">
        <x:f>IF(AC820="deprecated","deprecated",IF(M820="yes","active",IF(M820="review","review_required","backlog")))</x:f>
        <x:v>backlog</x:v>
      </x:c>
      <x:c r="AF820" s="12" t="str">
        <x:f>IF(OR(AE820="active",AE820="review_required"),"yes","no")</x:f>
        <x:v>no</x:v>
      </x:c>
      <x:c r="AG820" s="12" t="str">
        <x:f>IF(AND(AE820="active",M820="yes",NOT(ISNUMBER(SEARCH("healthy",AB820)))),"yes","no")</x:f>
        <x:v>no</x:v>
      </x:c>
      <x:c r="AH820" s="12" t="str">
        <x:f>IF(OR(H820="contextual",H820="dialogue",H820="discourse",I820="claim+context",I820="discourse_segment"),"yes","no")</x:f>
        <x:v>no</x:v>
      </x:c>
      <x:c r="AI820" s="12" t="str">
        <x:f>IF(OR(AH820="yes",AD820="debated",AC820="operational"),"yes","no")</x:f>
        <x:v>yes</x:v>
      </x:c>
      <x:c r="AJ820" s="12" t="str">
        <x:f>IF(OR(AH820="yes",AC820="operational",AD820="debated"),"high",IF(AND(AG820="yes",L820="P0"),"medium","low"))</x:f>
        <x:v>high</x:v>
      </x:c>
      <x:c r="AK820" s="12" t="str">
        <x:f>IF(ISNUMBER(SEARCH("healthy",AB820)),"yes","no")</x:f>
        <x:v>no</x:v>
      </x:c>
      <x:c r="AL820" s="12" t="str">
        <x:f>IF(AG820="yes","yes","candidate_only")</x:f>
        <x:v>candidate_only</x:v>
      </x:c>
      <x:c r="AM820" s="12" t="str">
        <x:f>IF(OR(AC820="canonical",AG820="yes"),"yes","recommended")</x:f>
        <x:v>recommended</x:v>
      </x:c>
      <x:c r="AN820" s="12" t="str">
        <x:f>IF(AC820="deprecated","exclude",IF(AND(AG820="yes",AJ820="high"),"import_but_human_review_required",IF(AG820="yes","import_as_active","import_as_backlog")))</x:f>
        <x:v>import_as_backlog</x:v>
      </x:c>
      <x:c r="AO820" s="12" t="str">
        <x:f>IF(AND(AG820="yes",OR(P820="",Q820="",R820="",S820="")),"missing_required_mvp_fields",IF(AND(AC820="canonical",Y820=""),"missing_source_ref","ok"))</x:f>
        <x:v>ok</x:v>
      </x:c>
      <x:c r="AP820" s="12" t="str">
        <x:f>IF(AO820="ok","ready_for_codex_import","needs_review")</x:f>
        <x:v>ready_for_codex_import</x:v>
      </x:c>
      <x:c r="AQ820" s="12"/>
      <x:c r="AR820" s="12" t="str">
        <x:v>Added v2 operational fields. Review before classification activation.</x:v>
      </x:c>
    </x:row>
    <x:row r="821">
      <x:c r="A821" s="13" t="str">
        <x:v>glittering_generalities_urgency_scarcity_variant</x:v>
      </x:c>
      <x:c r="B821" s="13" t="str">
        <x:v>glittering_generalities</x:v>
      </x:c>
      <x:c r="C821" s="13" t="str">
        <x:v>Glittering generalities</x:v>
      </x:c>
      <x:c r="D821" s="13" t="str">
        <x:v>کلی‌گویی درخشان</x:v>
      </x:c>
      <x:c r="E821" s="13" t="str">
        <x:v>Urgency/scarcity variant</x:v>
      </x:c>
      <x:c r="F821" s="13" t="str">
        <x:v>rhetorical_manipulation_patterns</x:v>
      </x:c>
      <x:c r="G821" s="13" t="str">
        <x:v>operational_variant</x:v>
      </x:c>
      <x:c r="H821" s="13" t="str">
        <x:v>lexical</x:v>
      </x:c>
      <x:c r="I821" s="13" t="str">
        <x:v>claim</x:v>
      </x:c>
      <x:c r="J821" s="13" t="str">
        <x:v>derived_operational_subtype</x:v>
      </x:c>
      <x:c r="K821" s="13" t="str">
        <x:v>derived_from_established_parent_review_required</x:v>
      </x:c>
      <x:c r="L821" s="13" t="str">
        <x:v>P3</x:v>
      </x:c>
      <x:c r="M821" s="13" t="str">
        <x:v>no</x:v>
      </x:c>
      <x:c r="N821" s="13" t="str">
        <x:v>Operational subtype under Glittering generalities: time pressure or scarcity is used to reduce deliberation. Parent definition: Using attractive but vague terms as persuasion instead of reasons.</x:v>
      </x:c>
      <x:c r="O821" s="13" t="str">
        <x:v>Look for: explicit claim-level evidence; parent-family cues for Glittering generalities; variant cue: time pressure or scarcity is used to reduce deliberation; avoid author-level inference.</x:v>
      </x:c>
      <x:c r="P821" s="13" t="str">
        <x:v>Exact evidence span in text plus claim-level reasoning link; for contextual/discourse entries, require surrounding context.</x:v>
      </x:c>
      <x:c r="Q821" s="13" t="str">
        <x:v>Do not label merely because topic is controversial, emotional, or wrong. Do not judge intent or personality. Require textual evidence and consider healthy-reasoning cues.</x:v>
      </x:c>
      <x:c r="R821" s="13" t="str">
        <x:v>Stub: A claim relies on time pressure or scarcity is used to reduce deliberation to support a conclusion without adequate qualification.</x:v>
      </x:c>
      <x:c r="S821" s="13" t="str">
        <x:v>Stub: A claim discusses glittering generalities with caveats, balanced evidence, or no argumentative use of the pattern.</x:v>
      </x:c>
      <x:c r="T821" s="13" t="str">
        <x:v>Mild or ambiguous cue; do not classify without clear evidence span.</x:v>
      </x:c>
      <x:c r="U821" s="13" t="str">
        <x:v>Clear claim-level pattern with some argumentative impact.</x:v>
      </x:c>
      <x:c r="V821" s="13" t="str">
        <x:v>Strong pattern central to the conclusion and likely to materially distort reasoning.</x:v>
      </x:c>
      <x:c r="W821" s="13" t="str"/>
      <x:c r="X821" s="13" t="str">
        <x:v>grice_logic_conversation</x:v>
      </x:c>
      <x:c r="Y821" s="13" t="str">
        <x:v>https://doi.org/10.1163/9789004368811_003</x:v>
      </x:c>
      <x:c r="Z821" s="13" t="str">
        <x:v>Review before enabling. This workbook is a living taxonomy scaffold, not a validated scientific benchmark.</x:v>
      </x:c>
      <x:c r="AA821" s="13" t="str">
        <x:v>0.1.0-draft</x:v>
      </x:c>
      <x:c r="AB821" s="12" t="str">
        <x:f>IF(ISNUMBER(SEARCH("healthy",F821)),"healthy_reasoning_patterns",IF(ISNUMBER(SEARCH("statistical",F821)),"statistical_reasoning",IF(ISNUMBER(SEARCH("causal",F821)),"causal_reasoning",IF(ISNUMBER(SEARCH("social",F821)),"social_influence",IF(ISNUMBER(SEARCH("rhetoric",F821)),"rhetoric_discourse",IF(ISNUMBER(SEARCH("behavior",F821)),"behavioural_economics",IF(ISNUMBER(SEARCH("cognitive",F821)),"cognitive_biases",IF(J821="protective_pattern","healthy_reasoning_patterns",IF(L821="P0","core_mvp","extended_fallacies")))))))))</x:f>
        <x:v>rhetoric_discourse</x:v>
      </x:c>
      <x:c r="AC821" s="12" t="str">
        <x:f>IF(ISNUMBER(SEARCH("operational",J821)),"operational",IF(ISNUMBER(SEARCH("deprecated",J821)),"deprecated",IF(L821="P0","canonical","recognized_subtype")))</x:f>
        <x:v>operational</x:v>
      </x:c>
      <x:c r="AD821" s="12" t="str">
        <x:f>IF(AC821="canonical","high",IF(AC821="recognized_subtype","medium",IF(AC821="operational","operational_only","debated")))</x:f>
        <x:v>operational_only</x:v>
      </x:c>
      <x:c r="AE821" s="12" t="str">
        <x:f>IF(AC821="deprecated","deprecated",IF(M821="yes","active",IF(M821="review","review_required","backlog")))</x:f>
        <x:v>backlog</x:v>
      </x:c>
      <x:c r="AF821" s="12" t="str">
        <x:f>IF(OR(AE821="active",AE821="review_required"),"yes","no")</x:f>
        <x:v>no</x:v>
      </x:c>
      <x:c r="AG821" s="12" t="str">
        <x:f>IF(AND(AE821="active",M821="yes",NOT(ISNUMBER(SEARCH("healthy",AB821)))),"yes","no")</x:f>
        <x:v>no</x:v>
      </x:c>
      <x:c r="AH821" s="12" t="str">
        <x:f>IF(OR(H821="contextual",H821="dialogue",H821="discourse",I821="claim+context",I821="discourse_segment"),"yes","no")</x:f>
        <x:v>no</x:v>
      </x:c>
      <x:c r="AI821" s="12" t="str">
        <x:f>IF(OR(AH821="yes",AD821="debated",AC821="operational"),"yes","no")</x:f>
        <x:v>yes</x:v>
      </x:c>
      <x:c r="AJ821" s="12" t="str">
        <x:f>IF(OR(AH821="yes",AC821="operational",AD821="debated"),"high",IF(AND(AG821="yes",L821="P0"),"medium","low"))</x:f>
        <x:v>high</x:v>
      </x:c>
      <x:c r="AK821" s="12" t="str">
        <x:f>IF(ISNUMBER(SEARCH("healthy",AB821)),"yes","no")</x:f>
        <x:v>no</x:v>
      </x:c>
      <x:c r="AL821" s="12" t="str">
        <x:f>IF(AG821="yes","yes","candidate_only")</x:f>
        <x:v>candidate_only</x:v>
      </x:c>
      <x:c r="AM821" s="12" t="str">
        <x:f>IF(OR(AC821="canonical",AG821="yes"),"yes","recommended")</x:f>
        <x:v>recommended</x:v>
      </x:c>
      <x:c r="AN821" s="12" t="str">
        <x:f>IF(AC821="deprecated","exclude",IF(AND(AG821="yes",AJ821="high"),"import_but_human_review_required",IF(AG821="yes","import_as_active","import_as_backlog")))</x:f>
        <x:v>import_as_backlog</x:v>
      </x:c>
      <x:c r="AO821" s="12" t="str">
        <x:f>IF(AND(AG821="yes",OR(P821="",Q821="",R821="",S821="")),"missing_required_mvp_fields",IF(AND(AC821="canonical",Y821=""),"missing_source_ref","ok"))</x:f>
        <x:v>ok</x:v>
      </x:c>
      <x:c r="AP821" s="12" t="str">
        <x:f>IF(AO821="ok","ready_for_codex_import","needs_review")</x:f>
        <x:v>ready_for_codex_import</x:v>
      </x:c>
      <x:c r="AQ821" s="12"/>
      <x:c r="AR821" s="12" t="str">
        <x:v>Added v2 operational fields. Review before classification activation.</x:v>
      </x:c>
    </x:row>
    <x:row r="822">
      <x:c r="A822" s="13" t="str">
        <x:v>name_calling_urgency_scarcity_variant</x:v>
      </x:c>
      <x:c r="B822" s="13" t="str">
        <x:v>name_calling</x:v>
      </x:c>
      <x:c r="C822" s="13" t="str">
        <x:v>Name calling</x:v>
      </x:c>
      <x:c r="D822" s="13" t="str">
        <x:v>برچسب‌زنی تحقیرآمیز</x:v>
      </x:c>
      <x:c r="E822" s="13" t="str">
        <x:v>Urgency/scarcity variant</x:v>
      </x:c>
      <x:c r="F822" s="13" t="str">
        <x:v>rhetorical_manipulation_patterns</x:v>
      </x:c>
      <x:c r="G822" s="13" t="str">
        <x:v>operational_variant</x:v>
      </x:c>
      <x:c r="H822" s="13" t="str">
        <x:v>lexical</x:v>
      </x:c>
      <x:c r="I822" s="13" t="str">
        <x:v>claim</x:v>
      </x:c>
      <x:c r="J822" s="13" t="str">
        <x:v>derived_operational_subtype</x:v>
      </x:c>
      <x:c r="K822" s="13" t="str">
        <x:v>derived_from_established_parent_review_required</x:v>
      </x:c>
      <x:c r="L822" s="13" t="str">
        <x:v>P3</x:v>
      </x:c>
      <x:c r="M822" s="13" t="str">
        <x:v>no</x:v>
      </x:c>
      <x:c r="N822" s="13" t="str">
        <x:v>Operational subtype under Name calling: time pressure or scarcity is used to reduce deliberation. Parent definition: Using negative labels as substitutes for argument.</x:v>
      </x:c>
      <x:c r="O822" s="13" t="str">
        <x:v>Look for: explicit claim-level evidence; parent-family cues for Name calling; variant cue: time pressure or scarcity is used to reduce deliberation; avoid author-level inference.</x:v>
      </x:c>
      <x:c r="P822" s="13" t="str">
        <x:v>Exact evidence span in text plus claim-level reasoning link; for contextual/discourse entries, require surrounding context.</x:v>
      </x:c>
      <x:c r="Q822" s="13" t="str">
        <x:v>Do not label merely because topic is controversial, emotional, or wrong. Do not judge intent or personality. Require textual evidence and consider healthy-reasoning cues.</x:v>
      </x:c>
      <x:c r="R822" s="13" t="str">
        <x:v>Stub: A claim relies on time pressure or scarcity is used to reduce deliberation to support a conclusion without adequate qualification.</x:v>
      </x:c>
      <x:c r="S822" s="13" t="str">
        <x:v>Stub: A claim discusses name calling with caveats, balanced evidence, or no argumentative use of the pattern.</x:v>
      </x:c>
      <x:c r="T822" s="13" t="str">
        <x:v>Mild or ambiguous cue; do not classify without clear evidence span.</x:v>
      </x:c>
      <x:c r="U822" s="13" t="str">
        <x:v>Clear claim-level pattern with some argumentative impact.</x:v>
      </x:c>
      <x:c r="V822" s="13" t="str">
        <x:v>Strong pattern central to the conclusion and likely to materially distort reasoning.</x:v>
      </x:c>
      <x:c r="W822" s="13" t="str"/>
      <x:c r="X822" s="13" t="str">
        <x:v>sep_fallacies</x:v>
      </x:c>
      <x:c r="Y822" s="13" t="str">
        <x:v>https://plato.stanford.edu/entries/fallacies/</x:v>
      </x:c>
      <x:c r="Z822" s="13" t="str">
        <x:v>Review before enabling. This workbook is a living taxonomy scaffold, not a validated scientific benchmark.</x:v>
      </x:c>
      <x:c r="AA822" s="13" t="str">
        <x:v>0.1.0-draft</x:v>
      </x:c>
      <x:c r="AB822" s="12" t="str">
        <x:f>IF(ISNUMBER(SEARCH("healthy",F822)),"healthy_reasoning_patterns",IF(ISNUMBER(SEARCH("statistical",F822)),"statistical_reasoning",IF(ISNUMBER(SEARCH("causal",F822)),"causal_reasoning",IF(ISNUMBER(SEARCH("social",F822)),"social_influence",IF(ISNUMBER(SEARCH("rhetoric",F822)),"rhetoric_discourse",IF(ISNUMBER(SEARCH("behavior",F822)),"behavioural_economics",IF(ISNUMBER(SEARCH("cognitive",F822)),"cognitive_biases",IF(J822="protective_pattern","healthy_reasoning_patterns",IF(L822="P0","core_mvp","extended_fallacies")))))))))</x:f>
        <x:v>rhetoric_discourse</x:v>
      </x:c>
      <x:c r="AC822" s="12" t="str">
        <x:f>IF(ISNUMBER(SEARCH("operational",J822)),"operational",IF(ISNUMBER(SEARCH("deprecated",J822)),"deprecated",IF(L822="P0","canonical","recognized_subtype")))</x:f>
        <x:v>operational</x:v>
      </x:c>
      <x:c r="AD822" s="12" t="str">
        <x:f>IF(AC822="canonical","high",IF(AC822="recognized_subtype","medium",IF(AC822="operational","operational_only","debated")))</x:f>
        <x:v>operational_only</x:v>
      </x:c>
      <x:c r="AE822" s="12" t="str">
        <x:f>IF(AC822="deprecated","deprecated",IF(M822="yes","active",IF(M822="review","review_required","backlog")))</x:f>
        <x:v>backlog</x:v>
      </x:c>
      <x:c r="AF822" s="12" t="str">
        <x:f>IF(OR(AE822="active",AE822="review_required"),"yes","no")</x:f>
        <x:v>no</x:v>
      </x:c>
      <x:c r="AG822" s="12" t="str">
        <x:f>IF(AND(AE822="active",M822="yes",NOT(ISNUMBER(SEARCH("healthy",AB822)))),"yes","no")</x:f>
        <x:v>no</x:v>
      </x:c>
      <x:c r="AH822" s="12" t="str">
        <x:f>IF(OR(H822="contextual",H822="dialogue",H822="discourse",I822="claim+context",I822="discourse_segment"),"yes","no")</x:f>
        <x:v>no</x:v>
      </x:c>
      <x:c r="AI822" s="12" t="str">
        <x:f>IF(OR(AH822="yes",AD822="debated",AC822="operational"),"yes","no")</x:f>
        <x:v>yes</x:v>
      </x:c>
      <x:c r="AJ822" s="12" t="str">
        <x:f>IF(OR(AH822="yes",AC822="operational",AD822="debated"),"high",IF(AND(AG822="yes",L822="P0"),"medium","low"))</x:f>
        <x:v>high</x:v>
      </x:c>
      <x:c r="AK822" s="12" t="str">
        <x:f>IF(ISNUMBER(SEARCH("healthy",AB822)),"yes","no")</x:f>
        <x:v>no</x:v>
      </x:c>
      <x:c r="AL822" s="12" t="str">
        <x:f>IF(AG822="yes","yes","candidate_only")</x:f>
        <x:v>candidate_only</x:v>
      </x:c>
      <x:c r="AM822" s="12" t="str">
        <x:f>IF(OR(AC822="canonical",AG822="yes"),"yes","recommended")</x:f>
        <x:v>recommended</x:v>
      </x:c>
      <x:c r="AN822" s="12" t="str">
        <x:f>IF(AC822="deprecated","exclude",IF(AND(AG822="yes",AJ822="high"),"import_but_human_review_required",IF(AG822="yes","import_as_active","import_as_backlog")))</x:f>
        <x:v>import_as_backlog</x:v>
      </x:c>
      <x:c r="AO822" s="12" t="str">
        <x:f>IF(AND(AG822="yes",OR(P822="",Q822="",R822="",S822="")),"missing_required_mvp_fields",IF(AND(AC822="canonical",Y822=""),"missing_source_ref","ok"))</x:f>
        <x:v>ok</x:v>
      </x:c>
      <x:c r="AP822" s="12" t="str">
        <x:f>IF(AO822="ok","ready_for_codex_import","needs_review")</x:f>
        <x:v>ready_for_codex_import</x:v>
      </x:c>
      <x:c r="AQ822" s="12"/>
      <x:c r="AR822" s="12" t="str">
        <x:v>Added v2 operational fields. Review before classification activation.</x:v>
      </x:c>
    </x:row>
    <x:row r="823">
      <x:c r="A823" s="13" t="str">
        <x:v>euphemism_framing_urgency_scarcity_variant</x:v>
      </x:c>
      <x:c r="B823" s="13" t="str">
        <x:v>euphemism_framing</x:v>
      </x:c>
      <x:c r="C823" s="13" t="str">
        <x:v>Euphemism framing</x:v>
      </x:c>
      <x:c r="D823" s="13" t="str">
        <x:v>قاب‌بندی تلطیفی</x:v>
      </x:c>
      <x:c r="E823" s="13" t="str">
        <x:v>Urgency/scarcity variant</x:v>
      </x:c>
      <x:c r="F823" s="13" t="str">
        <x:v>rhetorical_manipulation_patterns</x:v>
      </x:c>
      <x:c r="G823" s="13" t="str">
        <x:v>operational_variant</x:v>
      </x:c>
      <x:c r="H823" s="13" t="str">
        <x:v>lexical</x:v>
      </x:c>
      <x:c r="I823" s="13" t="str">
        <x:v>claim</x:v>
      </x:c>
      <x:c r="J823" s="13" t="str">
        <x:v>derived_operational_subtype</x:v>
      </x:c>
      <x:c r="K823" s="13" t="str">
        <x:v>derived_from_established_parent_review_required</x:v>
      </x:c>
      <x:c r="L823" s="13" t="str">
        <x:v>P3</x:v>
      </x:c>
      <x:c r="M823" s="13" t="str">
        <x:v>no</x:v>
      </x:c>
      <x:c r="N823" s="13" t="str">
        <x:v>Operational subtype under Euphemism framing: time pressure or scarcity is used to reduce deliberation. Parent definition: Softening language to reduce perceived seriousness.</x:v>
      </x:c>
      <x:c r="O823" s="13" t="str">
        <x:v>Look for: explicit claim-level evidence; parent-family cues for Euphemism framing; variant cue: time pressure or scarcity is used to reduce deliberation; avoid author-level inference.</x:v>
      </x:c>
      <x:c r="P823" s="13" t="str">
        <x:v>Exact evidence span in text plus claim-level reasoning link; for contextual/discourse entries, require surrounding context.</x:v>
      </x:c>
      <x:c r="Q823" s="13" t="str">
        <x:v>Do not label merely because topic is controversial, emotional, or wrong. Do not judge intent or personality. Require textual evidence and consider healthy-reasoning cues.</x:v>
      </x:c>
      <x:c r="R823" s="13" t="str">
        <x:v>Stub: A claim relies on time pressure or scarcity is used to reduce deliberation to support a conclusion without adequate qualification.</x:v>
      </x:c>
      <x:c r="S823" s="13" t="str">
        <x:v>Stub: A claim discusses euphemism framing with caveats, balanced evidence, or no argumentative use of the pattern.</x:v>
      </x:c>
      <x:c r="T823" s="13" t="str">
        <x:v>Mild or ambiguous cue; do not classify without clear evidence span.</x:v>
      </x:c>
      <x:c r="U823" s="13" t="str">
        <x:v>Clear claim-level pattern with some argumentative impact.</x:v>
      </x:c>
      <x:c r="V823" s="13" t="str">
        <x:v>Strong pattern central to the conclusion and likely to materially distort reasoning.</x:v>
      </x:c>
      <x:c r="W823" s="13" t="str"/>
      <x:c r="X823" s="13" t="str">
        <x:v>grice_logic_conversation</x:v>
      </x:c>
      <x:c r="Y823" s="13" t="str">
        <x:v>https://doi.org/10.1163/9789004368811_003</x:v>
      </x:c>
      <x:c r="Z823" s="13" t="str">
        <x:v>Review before enabling. This workbook is a living taxonomy scaffold, not a validated scientific benchmark.</x:v>
      </x:c>
      <x:c r="AA823" s="13" t="str">
        <x:v>0.1.0-draft</x:v>
      </x:c>
      <x:c r="AB823" s="12" t="str">
        <x:f>IF(ISNUMBER(SEARCH("healthy",F823)),"healthy_reasoning_patterns",IF(ISNUMBER(SEARCH("statistical",F823)),"statistical_reasoning",IF(ISNUMBER(SEARCH("causal",F823)),"causal_reasoning",IF(ISNUMBER(SEARCH("social",F823)),"social_influence",IF(ISNUMBER(SEARCH("rhetoric",F823)),"rhetoric_discourse",IF(ISNUMBER(SEARCH("behavior",F823)),"behavioural_economics",IF(ISNUMBER(SEARCH("cognitive",F823)),"cognitive_biases",IF(J823="protective_pattern","healthy_reasoning_patterns",IF(L823="P0","core_mvp","extended_fallacies")))))))))</x:f>
        <x:v>rhetoric_discourse</x:v>
      </x:c>
      <x:c r="AC823" s="12" t="str">
        <x:f>IF(ISNUMBER(SEARCH("operational",J823)),"operational",IF(ISNUMBER(SEARCH("deprecated",J823)),"deprecated",IF(L823="P0","canonical","recognized_subtype")))</x:f>
        <x:v>operational</x:v>
      </x:c>
      <x:c r="AD823" s="12" t="str">
        <x:f>IF(AC823="canonical","high",IF(AC823="recognized_subtype","medium",IF(AC823="operational","operational_only","debated")))</x:f>
        <x:v>operational_only</x:v>
      </x:c>
      <x:c r="AE823" s="12" t="str">
        <x:f>IF(AC823="deprecated","deprecated",IF(M823="yes","active",IF(M823="review","review_required","backlog")))</x:f>
        <x:v>backlog</x:v>
      </x:c>
      <x:c r="AF823" s="12" t="str">
        <x:f>IF(OR(AE823="active",AE823="review_required"),"yes","no")</x:f>
        <x:v>no</x:v>
      </x:c>
      <x:c r="AG823" s="12" t="str">
        <x:f>IF(AND(AE823="active",M823="yes",NOT(ISNUMBER(SEARCH("healthy",AB823)))),"yes","no")</x:f>
        <x:v>no</x:v>
      </x:c>
      <x:c r="AH823" s="12" t="str">
        <x:f>IF(OR(H823="contextual",H823="dialogue",H823="discourse",I823="claim+context",I823="discourse_segment"),"yes","no")</x:f>
        <x:v>no</x:v>
      </x:c>
      <x:c r="AI823" s="12" t="str">
        <x:f>IF(OR(AH823="yes",AD823="debated",AC823="operational"),"yes","no")</x:f>
        <x:v>yes</x:v>
      </x:c>
      <x:c r="AJ823" s="12" t="str">
        <x:f>IF(OR(AH823="yes",AC823="operational",AD823="debated"),"high",IF(AND(AG823="yes",L823="P0"),"medium","low"))</x:f>
        <x:v>high</x:v>
      </x:c>
      <x:c r="AK823" s="12" t="str">
        <x:f>IF(ISNUMBER(SEARCH("healthy",AB823)),"yes","no")</x:f>
        <x:v>no</x:v>
      </x:c>
      <x:c r="AL823" s="12" t="str">
        <x:f>IF(AG823="yes","yes","candidate_only")</x:f>
        <x:v>candidate_only</x:v>
      </x:c>
      <x:c r="AM823" s="12" t="str">
        <x:f>IF(OR(AC823="canonical",AG823="yes"),"yes","recommended")</x:f>
        <x:v>recommended</x:v>
      </x:c>
      <x:c r="AN823" s="12" t="str">
        <x:f>IF(AC823="deprecated","exclude",IF(AND(AG823="yes",AJ823="high"),"import_but_human_review_required",IF(AG823="yes","import_as_active","import_as_backlog")))</x:f>
        <x:v>import_as_backlog</x:v>
      </x:c>
      <x:c r="AO823" s="12" t="str">
        <x:f>IF(AND(AG823="yes",OR(P823="",Q823="",R823="",S823="")),"missing_required_mvp_fields",IF(AND(AC823="canonical",Y823=""),"missing_source_ref","ok"))</x:f>
        <x:v>ok</x:v>
      </x:c>
      <x:c r="AP823" s="12" t="str">
        <x:f>IF(AO823="ok","ready_for_codex_import","needs_review")</x:f>
        <x:v>ready_for_codex_import</x:v>
      </x:c>
      <x:c r="AQ823" s="12"/>
      <x:c r="AR823" s="12" t="str">
        <x:v>Added v2 operational fields. Review before classification activation.</x:v>
      </x:c>
    </x:row>
    <x:row r="824">
      <x:c r="A824" s="13" t="str">
        <x:v>dysphemism_framing_urgency_scarcity_variant</x:v>
      </x:c>
      <x:c r="B824" s="13" t="str">
        <x:v>dysphemism_framing</x:v>
      </x:c>
      <x:c r="C824" s="13" t="str">
        <x:v>Dysphemism framing</x:v>
      </x:c>
      <x:c r="D824" s="13" t="str">
        <x:v>قاب‌بندی تخریبی</x:v>
      </x:c>
      <x:c r="E824" s="13" t="str">
        <x:v>Urgency/scarcity variant</x:v>
      </x:c>
      <x:c r="F824" s="13" t="str">
        <x:v>rhetorical_manipulation_patterns</x:v>
      </x:c>
      <x:c r="G824" s="13" t="str">
        <x:v>operational_variant</x:v>
      </x:c>
      <x:c r="H824" s="13" t="str">
        <x:v>lexical</x:v>
      </x:c>
      <x:c r="I824" s="13" t="str">
        <x:v>claim</x:v>
      </x:c>
      <x:c r="J824" s="13" t="str">
        <x:v>derived_operational_subtype</x:v>
      </x:c>
      <x:c r="K824" s="13" t="str">
        <x:v>derived_from_established_parent_review_required</x:v>
      </x:c>
      <x:c r="L824" s="13" t="str">
        <x:v>P3</x:v>
      </x:c>
      <x:c r="M824" s="13" t="str">
        <x:v>no</x:v>
      </x:c>
      <x:c r="N824" s="13" t="str">
        <x:v>Operational subtype under Dysphemism framing: time pressure or scarcity is used to reduce deliberation. Parent definition: Using harsher wording to intensify perceived seriousness.</x:v>
      </x:c>
      <x:c r="O824" s="13" t="str">
        <x:v>Look for: explicit claim-level evidence; parent-family cues for Dysphemism framing; variant cue: time pressure or scarcity is used to reduce deliberation; avoid author-level inference.</x:v>
      </x:c>
      <x:c r="P824" s="13" t="str">
        <x:v>Exact evidence span in text plus claim-level reasoning link; for contextual/discourse entries, require surrounding context.</x:v>
      </x:c>
      <x:c r="Q824" s="13" t="str">
        <x:v>Do not label merely because topic is controversial, emotional, or wrong. Do not judge intent or personality. Require textual evidence and consider healthy-reasoning cues.</x:v>
      </x:c>
      <x:c r="R824" s="13" t="str">
        <x:v>Stub: A claim relies on time pressure or scarcity is used to reduce deliberation to support a conclusion without adequate qualification.</x:v>
      </x:c>
      <x:c r="S824" s="13" t="str">
        <x:v>Stub: A claim discusses dysphemism framing with caveats, balanced evidence, or no argumentative use of the pattern.</x:v>
      </x:c>
      <x:c r="T824" s="13" t="str">
        <x:v>Mild or ambiguous cue; do not classify without clear evidence span.</x:v>
      </x:c>
      <x:c r="U824" s="13" t="str">
        <x:v>Clear claim-level pattern with some argumentative impact.</x:v>
      </x:c>
      <x:c r="V824" s="13" t="str">
        <x:v>Strong pattern central to the conclusion and likely to materially distort reasoning.</x:v>
      </x:c>
      <x:c r="W824" s="13" t="str"/>
      <x:c r="X824" s="13" t="str">
        <x:v>grice_logic_conversation</x:v>
      </x:c>
      <x:c r="Y824" s="13" t="str">
        <x:v>https://doi.org/10.1163/9789004368811_003</x:v>
      </x:c>
      <x:c r="Z824" s="13" t="str">
        <x:v>Review before enabling. This workbook is a living taxonomy scaffold, not a validated scientific benchmark.</x:v>
      </x:c>
      <x:c r="AA824" s="13" t="str">
        <x:v>0.1.0-draft</x:v>
      </x:c>
      <x:c r="AB824" s="12" t="str">
        <x:f>IF(ISNUMBER(SEARCH("healthy",F824)),"healthy_reasoning_patterns",IF(ISNUMBER(SEARCH("statistical",F824)),"statistical_reasoning",IF(ISNUMBER(SEARCH("causal",F824)),"causal_reasoning",IF(ISNUMBER(SEARCH("social",F824)),"social_influence",IF(ISNUMBER(SEARCH("rhetoric",F824)),"rhetoric_discourse",IF(ISNUMBER(SEARCH("behavior",F824)),"behavioural_economics",IF(ISNUMBER(SEARCH("cognitive",F824)),"cognitive_biases",IF(J824="protective_pattern","healthy_reasoning_patterns",IF(L824="P0","core_mvp","extended_fallacies")))))))))</x:f>
        <x:v>rhetoric_discourse</x:v>
      </x:c>
      <x:c r="AC824" s="12" t="str">
        <x:f>IF(ISNUMBER(SEARCH("operational",J824)),"operational",IF(ISNUMBER(SEARCH("deprecated",J824)),"deprecated",IF(L824="P0","canonical","recognized_subtype")))</x:f>
        <x:v>operational</x:v>
      </x:c>
      <x:c r="AD824" s="12" t="str">
        <x:f>IF(AC824="canonical","high",IF(AC824="recognized_subtype","medium",IF(AC824="operational","operational_only","debated")))</x:f>
        <x:v>operational_only</x:v>
      </x:c>
      <x:c r="AE824" s="12" t="str">
        <x:f>IF(AC824="deprecated","deprecated",IF(M824="yes","active",IF(M824="review","review_required","backlog")))</x:f>
        <x:v>backlog</x:v>
      </x:c>
      <x:c r="AF824" s="12" t="str">
        <x:f>IF(OR(AE824="active",AE824="review_required"),"yes","no")</x:f>
        <x:v>no</x:v>
      </x:c>
      <x:c r="AG824" s="12" t="str">
        <x:f>IF(AND(AE824="active",M824="yes",NOT(ISNUMBER(SEARCH("healthy",AB824)))),"yes","no")</x:f>
        <x:v>no</x:v>
      </x:c>
      <x:c r="AH824" s="12" t="str">
        <x:f>IF(OR(H824="contextual",H824="dialogue",H824="discourse",I824="claim+context",I824="discourse_segment"),"yes","no")</x:f>
        <x:v>no</x:v>
      </x:c>
      <x:c r="AI824" s="12" t="str">
        <x:f>IF(OR(AH824="yes",AD824="debated",AC824="operational"),"yes","no")</x:f>
        <x:v>yes</x:v>
      </x:c>
      <x:c r="AJ824" s="12" t="str">
        <x:f>IF(OR(AH824="yes",AC824="operational",AD824="debated"),"high",IF(AND(AG824="yes",L824="P0"),"medium","low"))</x:f>
        <x:v>high</x:v>
      </x:c>
      <x:c r="AK824" s="12" t="str">
        <x:f>IF(ISNUMBER(SEARCH("healthy",AB824)),"yes","no")</x:f>
        <x:v>no</x:v>
      </x:c>
      <x:c r="AL824" s="12" t="str">
        <x:f>IF(AG824="yes","yes","candidate_only")</x:f>
        <x:v>candidate_only</x:v>
      </x:c>
      <x:c r="AM824" s="12" t="str">
        <x:f>IF(OR(AC824="canonical",AG824="yes"),"yes","recommended")</x:f>
        <x:v>recommended</x:v>
      </x:c>
      <x:c r="AN824" s="12" t="str">
        <x:f>IF(AC824="deprecated","exclude",IF(AND(AG824="yes",AJ824="high"),"import_but_human_review_required",IF(AG824="yes","import_as_active","import_as_backlog")))</x:f>
        <x:v>import_as_backlog</x:v>
      </x:c>
      <x:c r="AO824" s="12" t="str">
        <x:f>IF(AND(AG824="yes",OR(P824="",Q824="",R824="",S824="")),"missing_required_mvp_fields",IF(AND(AC824="canonical",Y824=""),"missing_source_ref","ok"))</x:f>
        <x:v>ok</x:v>
      </x:c>
      <x:c r="AP824" s="12" t="str">
        <x:f>IF(AO824="ok","ready_for_codex_import","needs_review")</x:f>
        <x:v>ready_for_codex_import</x:v>
      </x:c>
      <x:c r="AQ824" s="12"/>
      <x:c r="AR824" s="12" t="str">
        <x:v>Added v2 operational fields. Review before classification activation.</x:v>
      </x:c>
    </x:row>
    <x:row r="825">
      <x:c r="A825" s="13" t="str">
        <x:v>fear_mongering_urgency_scarcity_variant</x:v>
      </x:c>
      <x:c r="B825" s="13" t="str">
        <x:v>fear_mongering</x:v>
      </x:c>
      <x:c r="C825" s="13" t="str">
        <x:v>Fear mongering</x:v>
      </x:c>
      <x:c r="D825" s="13" t="str">
        <x:v>ترس‌افکنی</x:v>
      </x:c>
      <x:c r="E825" s="13" t="str">
        <x:v>Urgency/scarcity variant</x:v>
      </x:c>
      <x:c r="F825" s="13" t="str">
        <x:v>rhetorical_manipulation_patterns</x:v>
      </x:c>
      <x:c r="G825" s="13" t="str">
        <x:v>operational_variant</x:v>
      </x:c>
      <x:c r="H825" s="13" t="str">
        <x:v>discourse</x:v>
      </x:c>
      <x:c r="I825" s="13" t="str">
        <x:v>discourse_segment</x:v>
      </x:c>
      <x:c r="J825" s="13" t="str">
        <x:v>derived_operational_subtype</x:v>
      </x:c>
      <x:c r="K825" s="13" t="str">
        <x:v>derived_from_established_parent_review_required</x:v>
      </x:c>
      <x:c r="L825" s="13" t="str">
        <x:v>P3</x:v>
      </x:c>
      <x:c r="M825" s="13" t="str">
        <x:v>no</x:v>
      </x:c>
      <x:c r="N825" s="13" t="str">
        <x:v>Operational subtype under Fear mongering: time pressure or scarcity is used to reduce deliberation. Parent definition: Amplifying threats to push a conclusion or choice.</x:v>
      </x:c>
      <x:c r="O825" s="13" t="str">
        <x:v>Look for: explicit claim-level evidence; parent-family cues for Fear mongering; variant cue: time pressure or scarcity is used to reduce deliberation; avoid author-level inference.</x:v>
      </x:c>
      <x:c r="P825" s="13" t="str">
        <x:v>Exact evidence span in text plus claim-level reasoning link; for contextual/discourse entries, require surrounding context.</x:v>
      </x:c>
      <x:c r="Q825" s="13" t="str">
        <x:v>Do not label merely because topic is controversial, emotional, or wrong. Do not judge intent or personality. Require textual evidence and consider healthy-reasoning cues.</x:v>
      </x:c>
      <x:c r="R825" s="13" t="str">
        <x:v>Stub: A claim relies on time pressure or scarcity is used to reduce deliberation to support a conclusion without adequate qualification.</x:v>
      </x:c>
      <x:c r="S825" s="13" t="str">
        <x:v>Stub: A claim discusses fear mongering with caveats, balanced evidence, or no argumentative use of the pattern.</x:v>
      </x:c>
      <x:c r="T825" s="13" t="str">
        <x:v>Mild or ambiguous cue; do not classify without clear evidence span.</x:v>
      </x:c>
      <x:c r="U825" s="13" t="str">
        <x:v>Clear claim-level pattern with some argumentative impact.</x:v>
      </x:c>
      <x:c r="V825" s="13" t="str">
        <x:v>Strong pattern central to the conclusion and likely to materially distort reasoning.</x:v>
      </x:c>
      <x:c r="W825" s="13" t="str"/>
      <x:c r="X825" s="13" t="str">
        <x:v>sep_fallacies</x:v>
      </x:c>
      <x:c r="Y825" s="13" t="str">
        <x:v>https://plato.stanford.edu/entries/fallacies/</x:v>
      </x:c>
      <x:c r="Z825" s="13" t="str">
        <x:v>Review before enabling. This workbook is a living taxonomy scaffold, not a validated scientific benchmark.</x:v>
      </x:c>
      <x:c r="AA825" s="13" t="str">
        <x:v>0.1.0-draft</x:v>
      </x:c>
      <x:c r="AB825" s="12" t="str">
        <x:f>IF(ISNUMBER(SEARCH("healthy",F825)),"healthy_reasoning_patterns",IF(ISNUMBER(SEARCH("statistical",F825)),"statistical_reasoning",IF(ISNUMBER(SEARCH("causal",F825)),"causal_reasoning",IF(ISNUMBER(SEARCH("social",F825)),"social_influence",IF(ISNUMBER(SEARCH("rhetoric",F825)),"rhetoric_discourse",IF(ISNUMBER(SEARCH("behavior",F825)),"behavioural_economics",IF(ISNUMBER(SEARCH("cognitive",F825)),"cognitive_biases",IF(J825="protective_pattern","healthy_reasoning_patterns",IF(L825="P0","core_mvp","extended_fallacies")))))))))</x:f>
        <x:v>rhetoric_discourse</x:v>
      </x:c>
      <x:c r="AC825" s="12" t="str">
        <x:f>IF(ISNUMBER(SEARCH("operational",J825)),"operational",IF(ISNUMBER(SEARCH("deprecated",J825)),"deprecated",IF(L825="P0","canonical","recognized_subtype")))</x:f>
        <x:v>operational</x:v>
      </x:c>
      <x:c r="AD825" s="12" t="str">
        <x:f>IF(AC825="canonical","high",IF(AC825="recognized_subtype","medium",IF(AC825="operational","operational_only","debated")))</x:f>
        <x:v>operational_only</x:v>
      </x:c>
      <x:c r="AE825" s="12" t="str">
        <x:f>IF(AC825="deprecated","deprecated",IF(M825="yes","active",IF(M825="review","review_required","backlog")))</x:f>
        <x:v>backlog</x:v>
      </x:c>
      <x:c r="AF825" s="12" t="str">
        <x:f>IF(OR(AE825="active",AE825="review_required"),"yes","no")</x:f>
        <x:v>no</x:v>
      </x:c>
      <x:c r="AG825" s="12" t="str">
        <x:f>IF(AND(AE825="active",M825="yes",NOT(ISNUMBER(SEARCH("healthy",AB825)))),"yes","no")</x:f>
        <x:v>no</x:v>
      </x:c>
      <x:c r="AH825" s="12" t="str">
        <x:f>IF(OR(H825="contextual",H825="dialogue",H825="discourse",I825="claim+context",I825="discourse_segment"),"yes","no")</x:f>
        <x:v>yes</x:v>
      </x:c>
      <x:c r="AI825" s="12" t="str">
        <x:f>IF(OR(AH825="yes",AD825="debated",AC825="operational"),"yes","no")</x:f>
        <x:v>yes</x:v>
      </x:c>
      <x:c r="AJ825" s="12" t="str">
        <x:f>IF(OR(AH825="yes",AC825="operational",AD825="debated"),"high",IF(AND(AG825="yes",L825="P0"),"medium","low"))</x:f>
        <x:v>high</x:v>
      </x:c>
      <x:c r="AK825" s="12" t="str">
        <x:f>IF(ISNUMBER(SEARCH("healthy",AB825)),"yes","no")</x:f>
        <x:v>no</x:v>
      </x:c>
      <x:c r="AL825" s="12" t="str">
        <x:f>IF(AG825="yes","yes","candidate_only")</x:f>
        <x:v>candidate_only</x:v>
      </x:c>
      <x:c r="AM825" s="12" t="str">
        <x:f>IF(OR(AC825="canonical",AG825="yes"),"yes","recommended")</x:f>
        <x:v>recommended</x:v>
      </x:c>
      <x:c r="AN825" s="12" t="str">
        <x:f>IF(AC825="deprecated","exclude",IF(AND(AG825="yes",AJ825="high"),"import_but_human_review_required",IF(AG825="yes","import_as_active","import_as_backlog")))</x:f>
        <x:v>import_as_backlog</x:v>
      </x:c>
      <x:c r="AO825" s="12" t="str">
        <x:f>IF(AND(AG825="yes",OR(P825="",Q825="",R825="",S825="")),"missing_required_mvp_fields",IF(AND(AC825="canonical",Y825=""),"missing_source_ref","ok"))</x:f>
        <x:v>ok</x:v>
      </x:c>
      <x:c r="AP825" s="12" t="str">
        <x:f>IF(AO825="ok","ready_for_codex_import","needs_review")</x:f>
        <x:v>ready_for_codex_import</x:v>
      </x:c>
      <x:c r="AQ825" s="12"/>
      <x:c r="AR825" s="12" t="str">
        <x:v>Added v2 operational fields. Review before classification activation.</x:v>
      </x:c>
    </x:row>
    <x:row r="826">
      <x:c r="A826" s="13" t="str">
        <x:v>urgency_pressure_urgency_scarcity_variant</x:v>
      </x:c>
      <x:c r="B826" s="13" t="str">
        <x:v>urgency_pressure</x:v>
      </x:c>
      <x:c r="C826" s="13" t="str">
        <x:v>Urgency pressure</x:v>
      </x:c>
      <x:c r="D826" s="13" t="str">
        <x:v>فشار فوریت</x:v>
      </x:c>
      <x:c r="E826" s="13" t="str">
        <x:v>Urgency/scarcity variant</x:v>
      </x:c>
      <x:c r="F826" s="13" t="str">
        <x:v>rhetorical_manipulation_patterns</x:v>
      </x:c>
      <x:c r="G826" s="13" t="str">
        <x:v>operational_variant</x:v>
      </x:c>
      <x:c r="H826" s="13" t="str">
        <x:v>discourse</x:v>
      </x:c>
      <x:c r="I826" s="13" t="str">
        <x:v>discourse_segment</x:v>
      </x:c>
      <x:c r="J826" s="13" t="str">
        <x:v>derived_operational_subtype</x:v>
      </x:c>
      <x:c r="K826" s="13" t="str">
        <x:v>derived_from_established_parent_review_required</x:v>
      </x:c>
      <x:c r="L826" s="13" t="str">
        <x:v>P3</x:v>
      </x:c>
      <x:c r="M826" s="13" t="str">
        <x:v>no</x:v>
      </x:c>
      <x:c r="N826" s="13" t="str">
        <x:v>Operational subtype under Urgency pressure: time pressure or scarcity is used to reduce deliberation. Parent definition: Using artificial time pressure to suppress deliberation.</x:v>
      </x:c>
      <x:c r="O826" s="13" t="str">
        <x:v>Look for: explicit claim-level evidence; parent-family cues for Urgency pressure; variant cue: time pressure or scarcity is used to reduce deliberation; avoid author-level inference.</x:v>
      </x:c>
      <x:c r="P826" s="13" t="str">
        <x:v>Exact evidence span in text plus claim-level reasoning link; for contextual/discourse entries, require surrounding context.</x:v>
      </x:c>
      <x:c r="Q826" s="13" t="str">
        <x:v>Do not label merely because topic is controversial, emotional, or wrong. Do not judge intent or personality. Require textual evidence and consider healthy-reasoning cues.</x:v>
      </x:c>
      <x:c r="R826" s="13" t="str">
        <x:v>Stub: A claim relies on time pressure or scarcity is used to reduce deliberation to support a conclusion without adequate qualification.</x:v>
      </x:c>
      <x:c r="S826" s="13" t="str">
        <x:v>Stub: A claim discusses urgency pressure with caveats, balanced evidence, or no argumentative use of the pattern.</x:v>
      </x:c>
      <x:c r="T826" s="13" t="str">
        <x:v>Mild or ambiguous cue; do not classify without clear evidence span.</x:v>
      </x:c>
      <x:c r="U826" s="13" t="str">
        <x:v>Clear claim-level pattern with some argumentative impact.</x:v>
      </x:c>
      <x:c r="V826" s="13" t="str">
        <x:v>Strong pattern central to the conclusion and likely to materially distort reasoning.</x:v>
      </x:c>
      <x:c r="W826" s="13" t="str"/>
      <x:c r="X826" s="13" t="str">
        <x:v>cialdini_influence</x:v>
      </x:c>
      <x:c r="Y826" s="13" t="str">
        <x:v>https://www.pearson.com/en-us/subject-catalog/p/influence-science-and-practice/P200000003004</x:v>
      </x:c>
      <x:c r="Z826" s="13" t="str">
        <x:v>Review before enabling. This workbook is a living taxonomy scaffold, not a validated scientific benchmark.</x:v>
      </x:c>
      <x:c r="AA826" s="13" t="str">
        <x:v>0.1.0-draft</x:v>
      </x:c>
      <x:c r="AB826" s="12" t="str">
        <x:f>IF(ISNUMBER(SEARCH("healthy",F826)),"healthy_reasoning_patterns",IF(ISNUMBER(SEARCH("statistical",F826)),"statistical_reasoning",IF(ISNUMBER(SEARCH("causal",F826)),"causal_reasoning",IF(ISNUMBER(SEARCH("social",F826)),"social_influence",IF(ISNUMBER(SEARCH("rhetoric",F826)),"rhetoric_discourse",IF(ISNUMBER(SEARCH("behavior",F826)),"behavioural_economics",IF(ISNUMBER(SEARCH("cognitive",F826)),"cognitive_biases",IF(J826="protective_pattern","healthy_reasoning_patterns",IF(L826="P0","core_mvp","extended_fallacies")))))))))</x:f>
        <x:v>rhetoric_discourse</x:v>
      </x:c>
      <x:c r="AC826" s="12" t="str">
        <x:f>IF(ISNUMBER(SEARCH("operational",J826)),"operational",IF(ISNUMBER(SEARCH("deprecated",J826)),"deprecated",IF(L826="P0","canonical","recognized_subtype")))</x:f>
        <x:v>operational</x:v>
      </x:c>
      <x:c r="AD826" s="12" t="str">
        <x:f>IF(AC826="canonical","high",IF(AC826="recognized_subtype","medium",IF(AC826="operational","operational_only","debated")))</x:f>
        <x:v>operational_only</x:v>
      </x:c>
      <x:c r="AE826" s="12" t="str">
        <x:f>IF(AC826="deprecated","deprecated",IF(M826="yes","active",IF(M826="review","review_required","backlog")))</x:f>
        <x:v>backlog</x:v>
      </x:c>
      <x:c r="AF826" s="12" t="str">
        <x:f>IF(OR(AE826="active",AE826="review_required"),"yes","no")</x:f>
        <x:v>no</x:v>
      </x:c>
      <x:c r="AG826" s="12" t="str">
        <x:f>IF(AND(AE826="active",M826="yes",NOT(ISNUMBER(SEARCH("healthy",AB826)))),"yes","no")</x:f>
        <x:v>no</x:v>
      </x:c>
      <x:c r="AH826" s="12" t="str">
        <x:f>IF(OR(H826="contextual",H826="dialogue",H826="discourse",I826="claim+context",I826="discourse_segment"),"yes","no")</x:f>
        <x:v>yes</x:v>
      </x:c>
      <x:c r="AI826" s="12" t="str">
        <x:f>IF(OR(AH826="yes",AD826="debated",AC826="operational"),"yes","no")</x:f>
        <x:v>yes</x:v>
      </x:c>
      <x:c r="AJ826" s="12" t="str">
        <x:f>IF(OR(AH826="yes",AC826="operational",AD826="debated"),"high",IF(AND(AG826="yes",L826="P0"),"medium","low"))</x:f>
        <x:v>high</x:v>
      </x:c>
      <x:c r="AK826" s="12" t="str">
        <x:f>IF(ISNUMBER(SEARCH("healthy",AB826)),"yes","no")</x:f>
        <x:v>no</x:v>
      </x:c>
      <x:c r="AL826" s="12" t="str">
        <x:f>IF(AG826="yes","yes","candidate_only")</x:f>
        <x:v>candidate_only</x:v>
      </x:c>
      <x:c r="AM826" s="12" t="str">
        <x:f>IF(OR(AC826="canonical",AG826="yes"),"yes","recommended")</x:f>
        <x:v>recommended</x:v>
      </x:c>
      <x:c r="AN826" s="12" t="str">
        <x:f>IF(AC826="deprecated","exclude",IF(AND(AG826="yes",AJ826="high"),"import_but_human_review_required",IF(AG826="yes","import_as_active","import_as_backlog")))</x:f>
        <x:v>import_as_backlog</x:v>
      </x:c>
      <x:c r="AO826" s="12" t="str">
        <x:f>IF(AND(AG826="yes",OR(P826="",Q826="",R826="",S826="")),"missing_required_mvp_fields",IF(AND(AC826="canonical",Y826=""),"missing_source_ref","ok"))</x:f>
        <x:v>ok</x:v>
      </x:c>
      <x:c r="AP826" s="12" t="str">
        <x:f>IF(AO826="ok","ready_for_codex_import","needs_review")</x:f>
        <x:v>ready_for_codex_import</x:v>
      </x:c>
      <x:c r="AQ826" s="12"/>
      <x:c r="AR826" s="12" t="str">
        <x:v>Added v2 operational fields. Review before classification activation.</x:v>
      </x:c>
    </x:row>
    <x:row r="827">
      <x:c r="A827" s="13" t="str">
        <x:v>scarcity_pressure_urgency_scarcity_variant</x:v>
      </x:c>
      <x:c r="B827" s="13" t="str">
        <x:v>scarcity_pressure</x:v>
      </x:c>
      <x:c r="C827" s="13" t="str">
        <x:v>Scarcity pressure</x:v>
      </x:c>
      <x:c r="D827" s="13" t="str">
        <x:v>فشار کمیابی</x:v>
      </x:c>
      <x:c r="E827" s="13" t="str">
        <x:v>Urgency/scarcity variant</x:v>
      </x:c>
      <x:c r="F827" s="13" t="str">
        <x:v>rhetorical_manipulation_patterns</x:v>
      </x:c>
      <x:c r="G827" s="13" t="str">
        <x:v>operational_variant</x:v>
      </x:c>
      <x:c r="H827" s="13" t="str">
        <x:v>discourse</x:v>
      </x:c>
      <x:c r="I827" s="13" t="str">
        <x:v>discourse_segment</x:v>
      </x:c>
      <x:c r="J827" s="13" t="str">
        <x:v>derived_operational_subtype</x:v>
      </x:c>
      <x:c r="K827" s="13" t="str">
        <x:v>derived_from_established_parent_review_required</x:v>
      </x:c>
      <x:c r="L827" s="13" t="str">
        <x:v>P3</x:v>
      </x:c>
      <x:c r="M827" s="13" t="str">
        <x:v>no</x:v>
      </x:c>
      <x:c r="N827" s="13" t="str">
        <x:v>Operational subtype under Scarcity pressure: time pressure or scarcity is used to reduce deliberation. Parent definition: Using scarcity language to increase compliance.</x:v>
      </x:c>
      <x:c r="O827" s="13" t="str">
        <x:v>Look for: explicit claim-level evidence; parent-family cues for Scarcity pressure; variant cue: time pressure or scarcity is used to reduce deliberation; avoid author-level inference.</x:v>
      </x:c>
      <x:c r="P827" s="13" t="str">
        <x:v>Exact evidence span in text plus claim-level reasoning link; for contextual/discourse entries, require surrounding context.</x:v>
      </x:c>
      <x:c r="Q827" s="13" t="str">
        <x:v>Do not label merely because topic is controversial, emotional, or wrong. Do not judge intent or personality. Require textual evidence and consider healthy-reasoning cues.</x:v>
      </x:c>
      <x:c r="R827" s="13" t="str">
        <x:v>Stub: A claim relies on time pressure or scarcity is used to reduce deliberation to support a conclusion without adequate qualification.</x:v>
      </x:c>
      <x:c r="S827" s="13" t="str">
        <x:v>Stub: A claim discusses scarcity pressure with caveats, balanced evidence, or no argumentative use of the pattern.</x:v>
      </x:c>
      <x:c r="T827" s="13" t="str">
        <x:v>Mild or ambiguous cue; do not classify without clear evidence span.</x:v>
      </x:c>
      <x:c r="U827" s="13" t="str">
        <x:v>Clear claim-level pattern with some argumentative impact.</x:v>
      </x:c>
      <x:c r="V827" s="13" t="str">
        <x:v>Strong pattern central to the conclusion and likely to materially distort reasoning.</x:v>
      </x:c>
      <x:c r="W827" s="13" t="str"/>
      <x:c r="X827" s="13" t="str">
        <x:v>cialdini_influence</x:v>
      </x:c>
      <x:c r="Y827" s="13" t="str">
        <x:v>https://www.pearson.com/en-us/subject-catalog/p/influence-science-and-practice/P200000003004</x:v>
      </x:c>
      <x:c r="Z827" s="13" t="str">
        <x:v>Review before enabling. This workbook is a living taxonomy scaffold, not a validated scientific benchmark.</x:v>
      </x:c>
      <x:c r="AA827" s="13" t="str">
        <x:v>0.1.0-draft</x:v>
      </x:c>
      <x:c r="AB827" s="12" t="str">
        <x:f>IF(ISNUMBER(SEARCH("healthy",F827)),"healthy_reasoning_patterns",IF(ISNUMBER(SEARCH("statistical",F827)),"statistical_reasoning",IF(ISNUMBER(SEARCH("causal",F827)),"causal_reasoning",IF(ISNUMBER(SEARCH("social",F827)),"social_influence",IF(ISNUMBER(SEARCH("rhetoric",F827)),"rhetoric_discourse",IF(ISNUMBER(SEARCH("behavior",F827)),"behavioural_economics",IF(ISNUMBER(SEARCH("cognitive",F827)),"cognitive_biases",IF(J827="protective_pattern","healthy_reasoning_patterns",IF(L827="P0","core_mvp","extended_fallacies")))))))))</x:f>
        <x:v>rhetoric_discourse</x:v>
      </x:c>
      <x:c r="AC827" s="12" t="str">
        <x:f>IF(ISNUMBER(SEARCH("operational",J827)),"operational",IF(ISNUMBER(SEARCH("deprecated",J827)),"deprecated",IF(L827="P0","canonical","recognized_subtype")))</x:f>
        <x:v>operational</x:v>
      </x:c>
      <x:c r="AD827" s="12" t="str">
        <x:f>IF(AC827="canonical","high",IF(AC827="recognized_subtype","medium",IF(AC827="operational","operational_only","debated")))</x:f>
        <x:v>operational_only</x:v>
      </x:c>
      <x:c r="AE827" s="12" t="str">
        <x:f>IF(AC827="deprecated","deprecated",IF(M827="yes","active",IF(M827="review","review_required","backlog")))</x:f>
        <x:v>backlog</x:v>
      </x:c>
      <x:c r="AF827" s="12" t="str">
        <x:f>IF(OR(AE827="active",AE827="review_required"),"yes","no")</x:f>
        <x:v>no</x:v>
      </x:c>
      <x:c r="AG827" s="12" t="str">
        <x:f>IF(AND(AE827="active",M827="yes",NOT(ISNUMBER(SEARCH("healthy",AB827)))),"yes","no")</x:f>
        <x:v>no</x:v>
      </x:c>
      <x:c r="AH827" s="12" t="str">
        <x:f>IF(OR(H827="contextual",H827="dialogue",H827="discourse",I827="claim+context",I827="discourse_segment"),"yes","no")</x:f>
        <x:v>yes</x:v>
      </x:c>
      <x:c r="AI827" s="12" t="str">
        <x:f>IF(OR(AH827="yes",AD827="debated",AC827="operational"),"yes","no")</x:f>
        <x:v>yes</x:v>
      </x:c>
      <x:c r="AJ827" s="12" t="str">
        <x:f>IF(OR(AH827="yes",AC827="operational",AD827="debated"),"high",IF(AND(AG827="yes",L827="P0"),"medium","low"))</x:f>
        <x:v>high</x:v>
      </x:c>
      <x:c r="AK827" s="12" t="str">
        <x:f>IF(ISNUMBER(SEARCH("healthy",AB827)),"yes","no")</x:f>
        <x:v>no</x:v>
      </x:c>
      <x:c r="AL827" s="12" t="str">
        <x:f>IF(AG827="yes","yes","candidate_only")</x:f>
        <x:v>candidate_only</x:v>
      </x:c>
      <x:c r="AM827" s="12" t="str">
        <x:f>IF(OR(AC827="canonical",AG827="yes"),"yes","recommended")</x:f>
        <x:v>recommended</x:v>
      </x:c>
      <x:c r="AN827" s="12" t="str">
        <x:f>IF(AC827="deprecated","exclude",IF(AND(AG827="yes",AJ827="high"),"import_but_human_review_required",IF(AG827="yes","import_as_active","import_as_backlog")))</x:f>
        <x:v>import_as_backlog</x:v>
      </x:c>
      <x:c r="AO827" s="12" t="str">
        <x:f>IF(AND(AG827="yes",OR(P827="",Q827="",R827="",S827="")),"missing_required_mvp_fields",IF(AND(AC827="canonical",Y827=""),"missing_source_ref","ok"))</x:f>
        <x:v>ok</x:v>
      </x:c>
      <x:c r="AP827" s="12" t="str">
        <x:f>IF(AO827="ok","ready_for_codex_import","needs_review")</x:f>
        <x:v>ready_for_codex_import</x:v>
      </x:c>
      <x:c r="AQ827" s="12"/>
      <x:c r="AR827" s="12" t="str">
        <x:v>Added v2 operational fields. Review before classification activation.</x:v>
      </x:c>
    </x:row>
    <x:row r="828">
      <x:c r="A828" s="13" t="str">
        <x:v>motte_and_bailey_urgency_scarcity_variant</x:v>
      </x:c>
      <x:c r="B828" s="13" t="str">
        <x:v>motte_and_bailey</x:v>
      </x:c>
      <x:c r="C828" s="13" t="str">
        <x:v>Motte-and-bailey</x:v>
      </x:c>
      <x:c r="D828" s="13" t="str">
        <x:v>قلعه و حیاط</x:v>
      </x:c>
      <x:c r="E828" s="13" t="str">
        <x:v>Urgency/scarcity variant</x:v>
      </x:c>
      <x:c r="F828" s="13" t="str">
        <x:v>rhetorical_manipulation_patterns</x:v>
      </x:c>
      <x:c r="G828" s="13" t="str">
        <x:v>operational_variant</x:v>
      </x:c>
      <x:c r="H828" s="13" t="str">
        <x:v>dialogue</x:v>
      </x:c>
      <x:c r="I828" s="13" t="str">
        <x:v>discourse_segment</x:v>
      </x:c>
      <x:c r="J828" s="13" t="str">
        <x:v>derived_operational_subtype</x:v>
      </x:c>
      <x:c r="K828" s="13" t="str">
        <x:v>derived_from_established_parent_review_required</x:v>
      </x:c>
      <x:c r="L828" s="13" t="str">
        <x:v>P3</x:v>
      </x:c>
      <x:c r="M828" s="13" t="str">
        <x:v>no</x:v>
      </x:c>
      <x:c r="N828" s="13" t="str">
        <x:v>Operational subtype under Motte-and-bailey: time pressure or scarcity is used to reduce deliberation. Parent definition: Switching between a bold claim and a defensible weaker claim.</x:v>
      </x:c>
      <x:c r="O828" s="13" t="str">
        <x:v>Look for: explicit claim-level evidence; parent-family cues for Motte-and-bailey; variant cue: time pressure or scarcity is used to reduce deliberation; avoid author-level inference.</x:v>
      </x:c>
      <x:c r="P828" s="13" t="str">
        <x:v>Exact evidence span in text plus claim-level reasoning link; for contextual/discourse entries, require surrounding context.</x:v>
      </x:c>
      <x:c r="Q828" s="13" t="str">
        <x:v>Do not label merely because topic is controversial, emotional, or wrong. Do not judge intent or personality. Require textual evidence and consider healthy-reasoning cues.</x:v>
      </x:c>
      <x:c r="R828" s="13" t="str">
        <x:v>Stub: A claim relies on time pressure or scarcity is used to reduce deliberation to support a conclusion without adequate qualification.</x:v>
      </x:c>
      <x:c r="S828" s="13" t="str">
        <x:v>Stub: A claim discusses motte-and-bailey with caveats, balanced evidence, or no argumentative use of the pattern.</x:v>
      </x:c>
      <x:c r="T828" s="13" t="str">
        <x:v>Mild or ambiguous cue; do not classify without clear evidence span.</x:v>
      </x:c>
      <x:c r="U828" s="13" t="str">
        <x:v>Clear claim-level pattern with some argumentative impact.</x:v>
      </x:c>
      <x:c r="V828" s="13" t="str">
        <x:v>Strong pattern central to the conclusion and likely to materially distort reasoning.</x:v>
      </x:c>
      <x:c r="W828" s="13" t="str"/>
      <x:c r="X828" s="13" t="str">
        <x:v>pragmadialectics</x:v>
      </x:c>
      <x:c r="Y828" s="13" t="str">
        <x:v>https://doi.org/10.1017/CBO9780511616389</x:v>
      </x:c>
      <x:c r="Z828" s="13" t="str">
        <x:v>Review before enabling. This workbook is a living taxonomy scaffold, not a validated scientific benchmark.</x:v>
      </x:c>
      <x:c r="AA828" s="13" t="str">
        <x:v>0.1.0-draft</x:v>
      </x:c>
      <x:c r="AB828" s="12" t="str">
        <x:f>IF(ISNUMBER(SEARCH("healthy",F828)),"healthy_reasoning_patterns",IF(ISNUMBER(SEARCH("statistical",F828)),"statistical_reasoning",IF(ISNUMBER(SEARCH("causal",F828)),"causal_reasoning",IF(ISNUMBER(SEARCH("social",F828)),"social_influence",IF(ISNUMBER(SEARCH("rhetoric",F828)),"rhetoric_discourse",IF(ISNUMBER(SEARCH("behavior",F828)),"behavioural_economics",IF(ISNUMBER(SEARCH("cognitive",F828)),"cognitive_biases",IF(J828="protective_pattern","healthy_reasoning_patterns",IF(L828="P0","core_mvp","extended_fallacies")))))))))</x:f>
        <x:v>rhetoric_discourse</x:v>
      </x:c>
      <x:c r="AC828" s="12" t="str">
        <x:f>IF(ISNUMBER(SEARCH("operational",J828)),"operational",IF(ISNUMBER(SEARCH("deprecated",J828)),"deprecated",IF(L828="P0","canonical","recognized_subtype")))</x:f>
        <x:v>operational</x:v>
      </x:c>
      <x:c r="AD828" s="12" t="str">
        <x:f>IF(AC828="canonical","high",IF(AC828="recognized_subtype","medium",IF(AC828="operational","operational_only","debated")))</x:f>
        <x:v>operational_only</x:v>
      </x:c>
      <x:c r="AE828" s="12" t="str">
        <x:f>IF(AC828="deprecated","deprecated",IF(M828="yes","active",IF(M828="review","review_required","backlog")))</x:f>
        <x:v>backlog</x:v>
      </x:c>
      <x:c r="AF828" s="12" t="str">
        <x:f>IF(OR(AE828="active",AE828="review_required"),"yes","no")</x:f>
        <x:v>no</x:v>
      </x:c>
      <x:c r="AG828" s="12" t="str">
        <x:f>IF(AND(AE828="active",M828="yes",NOT(ISNUMBER(SEARCH("healthy",AB828)))),"yes","no")</x:f>
        <x:v>no</x:v>
      </x:c>
      <x:c r="AH828" s="12" t="str">
        <x:f>IF(OR(H828="contextual",H828="dialogue",H828="discourse",I828="claim+context",I828="discourse_segment"),"yes","no")</x:f>
        <x:v>yes</x:v>
      </x:c>
      <x:c r="AI828" s="12" t="str">
        <x:f>IF(OR(AH828="yes",AD828="debated",AC828="operational"),"yes","no")</x:f>
        <x:v>yes</x:v>
      </x:c>
      <x:c r="AJ828" s="12" t="str">
        <x:f>IF(OR(AH828="yes",AC828="operational",AD828="debated"),"high",IF(AND(AG828="yes",L828="P0"),"medium","low"))</x:f>
        <x:v>high</x:v>
      </x:c>
      <x:c r="AK828" s="12" t="str">
        <x:f>IF(ISNUMBER(SEARCH("healthy",AB828)),"yes","no")</x:f>
        <x:v>no</x:v>
      </x:c>
      <x:c r="AL828" s="12" t="str">
        <x:f>IF(AG828="yes","yes","candidate_only")</x:f>
        <x:v>candidate_only</x:v>
      </x:c>
      <x:c r="AM828" s="12" t="str">
        <x:f>IF(OR(AC828="canonical",AG828="yes"),"yes","recommended")</x:f>
        <x:v>recommended</x:v>
      </x:c>
      <x:c r="AN828" s="12" t="str">
        <x:f>IF(AC828="deprecated","exclude",IF(AND(AG828="yes",AJ828="high"),"import_but_human_review_required",IF(AG828="yes","import_as_active","import_as_backlog")))</x:f>
        <x:v>import_as_backlog</x:v>
      </x:c>
      <x:c r="AO828" s="12" t="str">
        <x:f>IF(AND(AG828="yes",OR(P828="",Q828="",R828="",S828="")),"missing_required_mvp_fields",IF(AND(AC828="canonical",Y828=""),"missing_source_ref","ok"))</x:f>
        <x:v>ok</x:v>
      </x:c>
      <x:c r="AP828" s="12" t="str">
        <x:f>IF(AO828="ok","ready_for_codex_import","needs_review")</x:f>
        <x:v>ready_for_codex_import</x:v>
      </x:c>
      <x:c r="AQ828" s="12"/>
      <x:c r="AR828" s="12" t="str">
        <x:v>Added v2 operational fields. Review before classification activation.</x:v>
      </x:c>
    </x:row>
    <x:row r="829">
      <x:c r="A829" s="13" t="str">
        <x:v>gish_gallop_urgency_scarcity_variant</x:v>
      </x:c>
      <x:c r="B829" s="13" t="str">
        <x:v>gish_gallop</x:v>
      </x:c>
      <x:c r="C829" s="13" t="str">
        <x:v>Gish gallop</x:v>
      </x:c>
      <x:c r="D829" s="13" t="str">
        <x:v>رگبار ادعا</x:v>
      </x:c>
      <x:c r="E829" s="13" t="str">
        <x:v>Urgency/scarcity variant</x:v>
      </x:c>
      <x:c r="F829" s="13" t="str">
        <x:v>rhetorical_manipulation_patterns</x:v>
      </x:c>
      <x:c r="G829" s="13" t="str">
        <x:v>operational_variant</x:v>
      </x:c>
      <x:c r="H829" s="13" t="str">
        <x:v>discourse</x:v>
      </x:c>
      <x:c r="I829" s="13" t="str">
        <x:v>discourse_segment</x:v>
      </x:c>
      <x:c r="J829" s="13" t="str">
        <x:v>derived_operational_subtype</x:v>
      </x:c>
      <x:c r="K829" s="13" t="str">
        <x:v>derived_from_established_parent_review_required</x:v>
      </x:c>
      <x:c r="L829" s="13" t="str">
        <x:v>P3</x:v>
      </x:c>
      <x:c r="M829" s="13" t="str">
        <x:v>no</x:v>
      </x:c>
      <x:c r="N829" s="13" t="str">
        <x:v>Operational subtype under Gish gallop: time pressure or scarcity is used to reduce deliberation. Parent definition: Overwhelming with many claims faster than they can be evaluated.</x:v>
      </x:c>
      <x:c r="O829" s="13" t="str">
        <x:v>Look for: explicit claim-level evidence; parent-family cues for Gish gallop; variant cue: time pressure or scarcity is used to reduce deliberation; avoid author-level inference.</x:v>
      </x:c>
      <x:c r="P829" s="13" t="str">
        <x:v>Exact evidence span in text plus claim-level reasoning link; for contextual/discourse entries, require surrounding context.</x:v>
      </x:c>
      <x:c r="Q829" s="13" t="str">
        <x:v>Do not label merely because topic is controversial, emotional, or wrong. Do not judge intent or personality. Require textual evidence and consider healthy-reasoning cues.</x:v>
      </x:c>
      <x:c r="R829" s="13" t="str">
        <x:v>Stub: A claim relies on time pressure or scarcity is used to reduce deliberation to support a conclusion without adequate qualification.</x:v>
      </x:c>
      <x:c r="S829" s="13" t="str">
        <x:v>Stub: A claim discusses gish gallop with caveats, balanced evidence, or no argumentative use of the pattern.</x:v>
      </x:c>
      <x:c r="T829" s="13" t="str">
        <x:v>Mild or ambiguous cue; do not classify without clear evidence span.</x:v>
      </x:c>
      <x:c r="U829" s="13" t="str">
        <x:v>Clear claim-level pattern with some argumentative impact.</x:v>
      </x:c>
      <x:c r="V829" s="13" t="str">
        <x:v>Strong pattern central to the conclusion and likely to materially distort reasoning.</x:v>
      </x:c>
      <x:c r="W829" s="13" t="str"/>
      <x:c r="X829" s="13" t="str">
        <x:v>pragmadialectics</x:v>
      </x:c>
      <x:c r="Y829" s="13" t="str">
        <x:v>https://doi.org/10.1017/CBO9780511616389</x:v>
      </x:c>
      <x:c r="Z829" s="13" t="str">
        <x:v>Review before enabling. This workbook is a living taxonomy scaffold, not a validated scientific benchmark.</x:v>
      </x:c>
      <x:c r="AA829" s="13" t="str">
        <x:v>0.1.0-draft</x:v>
      </x:c>
      <x:c r="AB829" s="12" t="str">
        <x:f>IF(ISNUMBER(SEARCH("healthy",F829)),"healthy_reasoning_patterns",IF(ISNUMBER(SEARCH("statistical",F829)),"statistical_reasoning",IF(ISNUMBER(SEARCH("causal",F829)),"causal_reasoning",IF(ISNUMBER(SEARCH("social",F829)),"social_influence",IF(ISNUMBER(SEARCH("rhetoric",F829)),"rhetoric_discourse",IF(ISNUMBER(SEARCH("behavior",F829)),"behavioural_economics",IF(ISNUMBER(SEARCH("cognitive",F829)),"cognitive_biases",IF(J829="protective_pattern","healthy_reasoning_patterns",IF(L829="P0","core_mvp","extended_fallacies")))))))))</x:f>
        <x:v>rhetoric_discourse</x:v>
      </x:c>
      <x:c r="AC829" s="12" t="str">
        <x:f>IF(ISNUMBER(SEARCH("operational",J829)),"operational",IF(ISNUMBER(SEARCH("deprecated",J829)),"deprecated",IF(L829="P0","canonical","recognized_subtype")))</x:f>
        <x:v>operational</x:v>
      </x:c>
      <x:c r="AD829" s="12" t="str">
        <x:f>IF(AC829="canonical","high",IF(AC829="recognized_subtype","medium",IF(AC829="operational","operational_only","debated")))</x:f>
        <x:v>operational_only</x:v>
      </x:c>
      <x:c r="AE829" s="12" t="str">
        <x:f>IF(AC829="deprecated","deprecated",IF(M829="yes","active",IF(M829="review","review_required","backlog")))</x:f>
        <x:v>backlog</x:v>
      </x:c>
      <x:c r="AF829" s="12" t="str">
        <x:f>IF(OR(AE829="active",AE829="review_required"),"yes","no")</x:f>
        <x:v>no</x:v>
      </x:c>
      <x:c r="AG829" s="12" t="str">
        <x:f>IF(AND(AE829="active",M829="yes",NOT(ISNUMBER(SEARCH("healthy",AB829)))),"yes","no")</x:f>
        <x:v>no</x:v>
      </x:c>
      <x:c r="AH829" s="12" t="str">
        <x:f>IF(OR(H829="contextual",H829="dialogue",H829="discourse",I829="claim+context",I829="discourse_segment"),"yes","no")</x:f>
        <x:v>yes</x:v>
      </x:c>
      <x:c r="AI829" s="12" t="str">
        <x:f>IF(OR(AH829="yes",AD829="debated",AC829="operational"),"yes","no")</x:f>
        <x:v>yes</x:v>
      </x:c>
      <x:c r="AJ829" s="12" t="str">
        <x:f>IF(OR(AH829="yes",AC829="operational",AD829="debated"),"high",IF(AND(AG829="yes",L829="P0"),"medium","low"))</x:f>
        <x:v>high</x:v>
      </x:c>
      <x:c r="AK829" s="12" t="str">
        <x:f>IF(ISNUMBER(SEARCH("healthy",AB829)),"yes","no")</x:f>
        <x:v>no</x:v>
      </x:c>
      <x:c r="AL829" s="12" t="str">
        <x:f>IF(AG829="yes","yes","candidate_only")</x:f>
        <x:v>candidate_only</x:v>
      </x:c>
      <x:c r="AM829" s="12" t="str">
        <x:f>IF(OR(AC829="canonical",AG829="yes"),"yes","recommended")</x:f>
        <x:v>recommended</x:v>
      </x:c>
      <x:c r="AN829" s="12" t="str">
        <x:f>IF(AC829="deprecated","exclude",IF(AND(AG829="yes",AJ829="high"),"import_but_human_review_required",IF(AG829="yes","import_as_active","import_as_backlog")))</x:f>
        <x:v>import_as_backlog</x:v>
      </x:c>
      <x:c r="AO829" s="12" t="str">
        <x:f>IF(AND(AG829="yes",OR(P829="",Q829="",R829="",S829="")),"missing_required_mvp_fields",IF(AND(AC829="canonical",Y829=""),"missing_source_ref","ok"))</x:f>
        <x:v>ok</x:v>
      </x:c>
      <x:c r="AP829" s="12" t="str">
        <x:f>IF(AO829="ok","ready_for_codex_import","needs_review")</x:f>
        <x:v>ready_for_codex_import</x:v>
      </x:c>
      <x:c r="AQ829" s="12"/>
      <x:c r="AR829" s="12" t="str">
        <x:v>Added v2 operational fields. Review before classification activation.</x:v>
      </x:c>
    </x:row>
    <x:row r="830">
      <x:c r="A830" s="13" t="str">
        <x:v>sealioning_urgency_scarcity_variant</x:v>
      </x:c>
      <x:c r="B830" s="13" t="str">
        <x:v>sealioning</x:v>
      </x:c>
      <x:c r="C830" s="13" t="str">
        <x:v>Sealioning</x:v>
      </x:c>
      <x:c r="D830" s="13" t="str">
        <x:v>پرسش‌گری فرسایشی</x:v>
      </x:c>
      <x:c r="E830" s="13" t="str">
        <x:v>Urgency/scarcity variant</x:v>
      </x:c>
      <x:c r="F830" s="13" t="str">
        <x:v>rhetorical_manipulation_patterns</x:v>
      </x:c>
      <x:c r="G830" s="13" t="str">
        <x:v>operational_variant</x:v>
      </x:c>
      <x:c r="H830" s="13" t="str">
        <x:v>dialogue</x:v>
      </x:c>
      <x:c r="I830" s="13" t="str">
        <x:v>discourse_segment</x:v>
      </x:c>
      <x:c r="J830" s="13" t="str">
        <x:v>derived_operational_subtype</x:v>
      </x:c>
      <x:c r="K830" s="13" t="str">
        <x:v>derived_from_established_parent_review_required</x:v>
      </x:c>
      <x:c r="L830" s="13" t="str">
        <x:v>P3</x:v>
      </x:c>
      <x:c r="M830" s="13" t="str">
        <x:v>no</x:v>
      </x:c>
      <x:c r="N830" s="13" t="str">
        <x:v>Operational subtype under Sealioning: time pressure or scarcity is used to reduce deliberation. Parent definition: Demanding excessive evidence in bad-faith dialogue while appearing civil.</x:v>
      </x:c>
      <x:c r="O830" s="13" t="str">
        <x:v>Look for: explicit claim-level evidence; parent-family cues for Sealioning; variant cue: time pressure or scarcity is used to reduce deliberation; avoid author-level inference.</x:v>
      </x:c>
      <x:c r="P830" s="13" t="str">
        <x:v>Exact evidence span in text plus claim-level reasoning link; for contextual/discourse entries, require surrounding context.</x:v>
      </x:c>
      <x:c r="Q830" s="13" t="str">
        <x:v>Do not label merely because topic is controversial, emotional, or wrong. Do not judge intent or personality. Require textual evidence and consider healthy-reasoning cues.</x:v>
      </x:c>
      <x:c r="R830" s="13" t="str">
        <x:v>Stub: A claim relies on time pressure or scarcity is used to reduce deliberation to support a conclusion without adequate qualification.</x:v>
      </x:c>
      <x:c r="S830" s="13" t="str">
        <x:v>Stub: A claim discusses sealioning with caveats, balanced evidence, or no argumentative use of the pattern.</x:v>
      </x:c>
      <x:c r="T830" s="13" t="str">
        <x:v>Mild or ambiguous cue; do not classify without clear evidence span.</x:v>
      </x:c>
      <x:c r="U830" s="13" t="str">
        <x:v>Clear claim-level pattern with some argumentative impact.</x:v>
      </x:c>
      <x:c r="V830" s="13" t="str">
        <x:v>Strong pattern central to the conclusion and likely to materially distort reasoning.</x:v>
      </x:c>
      <x:c r="W830" s="13" t="str">
        <x:v>cherry_picking; missing_counterevidence; evidence_grading</x:v>
      </x:c>
      <x:c r="X830" s="13" t="str">
        <x:v>pragmadialectics</x:v>
      </x:c>
      <x:c r="Y830" s="13" t="str">
        <x:v>https://doi.org/10.1017/CBO9780511616389</x:v>
      </x:c>
      <x:c r="Z830" s="13" t="str">
        <x:v>Review before enabling. This workbook is a living taxonomy scaffold, not a validated scientific benchmark.</x:v>
      </x:c>
      <x:c r="AA830" s="13" t="str">
        <x:v>0.1.0-draft</x:v>
      </x:c>
      <x:c r="AB830" s="12" t="str">
        <x:f>IF(ISNUMBER(SEARCH("healthy",F830)),"healthy_reasoning_patterns",IF(ISNUMBER(SEARCH("statistical",F830)),"statistical_reasoning",IF(ISNUMBER(SEARCH("causal",F830)),"causal_reasoning",IF(ISNUMBER(SEARCH("social",F830)),"social_influence",IF(ISNUMBER(SEARCH("rhetoric",F830)),"rhetoric_discourse",IF(ISNUMBER(SEARCH("behavior",F830)),"behavioural_economics",IF(ISNUMBER(SEARCH("cognitive",F830)),"cognitive_biases",IF(J830="protective_pattern","healthy_reasoning_patterns",IF(L830="P0","core_mvp","extended_fallacies")))))))))</x:f>
        <x:v>rhetoric_discourse</x:v>
      </x:c>
      <x:c r="AC830" s="12" t="str">
        <x:f>IF(ISNUMBER(SEARCH("operational",J830)),"operational",IF(ISNUMBER(SEARCH("deprecated",J830)),"deprecated",IF(L830="P0","canonical","recognized_subtype")))</x:f>
        <x:v>operational</x:v>
      </x:c>
      <x:c r="AD830" s="12" t="str">
        <x:f>IF(AC830="canonical","high",IF(AC830="recognized_subtype","medium",IF(AC830="operational","operational_only","debated")))</x:f>
        <x:v>operational_only</x:v>
      </x:c>
      <x:c r="AE830" s="12" t="str">
        <x:f>IF(AC830="deprecated","deprecated",IF(M830="yes","active",IF(M830="review","review_required","backlog")))</x:f>
        <x:v>backlog</x:v>
      </x:c>
      <x:c r="AF830" s="12" t="str">
        <x:f>IF(OR(AE830="active",AE830="review_required"),"yes","no")</x:f>
        <x:v>no</x:v>
      </x:c>
      <x:c r="AG830" s="12" t="str">
        <x:f>IF(AND(AE830="active",M830="yes",NOT(ISNUMBER(SEARCH("healthy",AB830)))),"yes","no")</x:f>
        <x:v>no</x:v>
      </x:c>
      <x:c r="AH830" s="12" t="str">
        <x:f>IF(OR(H830="contextual",H830="dialogue",H830="discourse",I830="claim+context",I830="discourse_segment"),"yes","no")</x:f>
        <x:v>yes</x:v>
      </x:c>
      <x:c r="AI830" s="12" t="str">
        <x:f>IF(OR(AH830="yes",AD830="debated",AC830="operational"),"yes","no")</x:f>
        <x:v>yes</x:v>
      </x:c>
      <x:c r="AJ830" s="12" t="str">
        <x:f>IF(OR(AH830="yes",AC830="operational",AD830="debated"),"high",IF(AND(AG830="yes",L830="P0"),"medium","low"))</x:f>
        <x:v>high</x:v>
      </x:c>
      <x:c r="AK830" s="12" t="str">
        <x:f>IF(ISNUMBER(SEARCH("healthy",AB830)),"yes","no")</x:f>
        <x:v>no</x:v>
      </x:c>
      <x:c r="AL830" s="12" t="str">
        <x:f>IF(AG830="yes","yes","candidate_only")</x:f>
        <x:v>candidate_only</x:v>
      </x:c>
      <x:c r="AM830" s="12" t="str">
        <x:f>IF(OR(AC830="canonical",AG830="yes"),"yes","recommended")</x:f>
        <x:v>recommended</x:v>
      </x:c>
      <x:c r="AN830" s="12" t="str">
        <x:f>IF(AC830="deprecated","exclude",IF(AND(AG830="yes",AJ830="high"),"import_but_human_review_required",IF(AG830="yes","import_as_active","import_as_backlog")))</x:f>
        <x:v>import_as_backlog</x:v>
      </x:c>
      <x:c r="AO830" s="12" t="str">
        <x:f>IF(AND(AG830="yes",OR(P830="",Q830="",R830="",S830="")),"missing_required_mvp_fields",IF(AND(AC830="canonical",Y830=""),"missing_source_ref","ok"))</x:f>
        <x:v>ok</x:v>
      </x:c>
      <x:c r="AP830" s="12" t="str">
        <x:f>IF(AO830="ok","ready_for_codex_import","needs_review")</x:f>
        <x:v>ready_for_codex_import</x:v>
      </x:c>
      <x:c r="AQ830" s="12"/>
      <x:c r="AR830" s="12" t="str">
        <x:v>Added v2 operational fields. Review before classification activation.</x:v>
      </x:c>
    </x:row>
    <x:row r="831">
      <x:c r="A831" s="13" t="str">
        <x:v>quote_mining_urgency_scarcity_variant</x:v>
      </x:c>
      <x:c r="B831" s="13" t="str">
        <x:v>quote_mining</x:v>
      </x:c>
      <x:c r="C831" s="13" t="str">
        <x:v>Quote mining</x:v>
      </x:c>
      <x:c r="D831" s="13" t="str">
        <x:v>نقل‌قول‌کاوی گزینشی</x:v>
      </x:c>
      <x:c r="E831" s="13" t="str">
        <x:v>Urgency/scarcity variant</x:v>
      </x:c>
      <x:c r="F831" s="13" t="str">
        <x:v>rhetorical_manipulation_patterns</x:v>
      </x:c>
      <x:c r="G831" s="13" t="str">
        <x:v>operational_variant</x:v>
      </x:c>
      <x:c r="H831" s="13" t="str">
        <x:v>contextual</x:v>
      </x:c>
      <x:c r="I831" s="13" t="str">
        <x:v>claim+context</x:v>
      </x:c>
      <x:c r="J831" s="13" t="str">
        <x:v>derived_operational_subtype</x:v>
      </x:c>
      <x:c r="K831" s="13" t="str">
        <x:v>derived_from_established_parent_review_required</x:v>
      </x:c>
      <x:c r="L831" s="13" t="str">
        <x:v>P3</x:v>
      </x:c>
      <x:c r="M831" s="13" t="str">
        <x:v>no</x:v>
      </x:c>
      <x:c r="N831" s="13" t="str">
        <x:v>Operational subtype under Quote mining: time pressure or scarcity is used to reduce deliberation. Parent definition: Using isolated quotes out of context.</x:v>
      </x:c>
      <x:c r="O831" s="13" t="str">
        <x:v>Look for: explicit claim-level evidence; parent-family cues for Quote mining; variant cue: time pressure or scarcity is used to reduce deliberation; avoid author-level inference.</x:v>
      </x:c>
      <x:c r="P831" s="13" t="str">
        <x:v>Exact evidence span in text plus claim-level reasoning link; for contextual/discourse entries, require surrounding context.</x:v>
      </x:c>
      <x:c r="Q831" s="13" t="str">
        <x:v>Do not label merely because topic is controversial, emotional, or wrong. Do not judge intent or personality. Require textual evidence and consider healthy-reasoning cues.</x:v>
      </x:c>
      <x:c r="R831" s="13" t="str">
        <x:v>Stub: A claim relies on time pressure or scarcity is used to reduce deliberation to support a conclusion without adequate qualification.</x:v>
      </x:c>
      <x:c r="S831" s="13" t="str">
        <x:v>Stub: A claim discusses quote mining with caveats, balanced evidence, or no argumentative use of the pattern.</x:v>
      </x:c>
      <x:c r="T831" s="13" t="str">
        <x:v>Mild or ambiguous cue; do not classify without clear evidence span.</x:v>
      </x:c>
      <x:c r="U831" s="13" t="str">
        <x:v>Clear claim-level pattern with some argumentative impact.</x:v>
      </x:c>
      <x:c r="V831" s="13" t="str">
        <x:v>Strong pattern central to the conclusion and likely to materially distort reasoning.</x:v>
      </x:c>
      <x:c r="W831" s="13" t="str"/>
      <x:c r="X831" s="13" t="str">
        <x:v>sep_informal_logic</x:v>
      </x:c>
      <x:c r="Y831" s="13" t="str">
        <x:v>https://plato.stanford.edu/entries/logic-informal/</x:v>
      </x:c>
      <x:c r="Z831" s="13" t="str">
        <x:v>Review before enabling. This workbook is a living taxonomy scaffold, not a validated scientific benchmark.</x:v>
      </x:c>
      <x:c r="AA831" s="13" t="str">
        <x:v>0.1.0-draft</x:v>
      </x:c>
      <x:c r="AB831" s="12" t="str">
        <x:f>IF(ISNUMBER(SEARCH("healthy",F831)),"healthy_reasoning_patterns",IF(ISNUMBER(SEARCH("statistical",F831)),"statistical_reasoning",IF(ISNUMBER(SEARCH("causal",F831)),"causal_reasoning",IF(ISNUMBER(SEARCH("social",F831)),"social_influence",IF(ISNUMBER(SEARCH("rhetoric",F831)),"rhetoric_discourse",IF(ISNUMBER(SEARCH("behavior",F831)),"behavioural_economics",IF(ISNUMBER(SEARCH("cognitive",F831)),"cognitive_biases",IF(J831="protective_pattern","healthy_reasoning_patterns",IF(L831="P0","core_mvp","extended_fallacies")))))))))</x:f>
        <x:v>rhetoric_discourse</x:v>
      </x:c>
      <x:c r="AC831" s="12" t="str">
        <x:f>IF(ISNUMBER(SEARCH("operational",J831)),"operational",IF(ISNUMBER(SEARCH("deprecated",J831)),"deprecated",IF(L831="P0","canonical","recognized_subtype")))</x:f>
        <x:v>operational</x:v>
      </x:c>
      <x:c r="AD831" s="12" t="str">
        <x:f>IF(AC831="canonical","high",IF(AC831="recognized_subtype","medium",IF(AC831="operational","operational_only","debated")))</x:f>
        <x:v>operational_only</x:v>
      </x:c>
      <x:c r="AE831" s="12" t="str">
        <x:f>IF(AC831="deprecated","deprecated",IF(M831="yes","active",IF(M831="review","review_required","backlog")))</x:f>
        <x:v>backlog</x:v>
      </x:c>
      <x:c r="AF831" s="12" t="str">
        <x:f>IF(OR(AE831="active",AE831="review_required"),"yes","no")</x:f>
        <x:v>no</x:v>
      </x:c>
      <x:c r="AG831" s="12" t="str">
        <x:f>IF(AND(AE831="active",M831="yes",NOT(ISNUMBER(SEARCH("healthy",AB831)))),"yes","no")</x:f>
        <x:v>no</x:v>
      </x:c>
      <x:c r="AH831" s="12" t="str">
        <x:f>IF(OR(H831="contextual",H831="dialogue",H831="discourse",I831="claim+context",I831="discourse_segment"),"yes","no")</x:f>
        <x:v>yes</x:v>
      </x:c>
      <x:c r="AI831" s="12" t="str">
        <x:f>IF(OR(AH831="yes",AD831="debated",AC831="operational"),"yes","no")</x:f>
        <x:v>yes</x:v>
      </x:c>
      <x:c r="AJ831" s="12" t="str">
        <x:f>IF(OR(AH831="yes",AC831="operational",AD831="debated"),"high",IF(AND(AG831="yes",L831="P0"),"medium","low"))</x:f>
        <x:v>high</x:v>
      </x:c>
      <x:c r="AK831" s="12" t="str">
        <x:f>IF(ISNUMBER(SEARCH("healthy",AB831)),"yes","no")</x:f>
        <x:v>no</x:v>
      </x:c>
      <x:c r="AL831" s="12" t="str">
        <x:f>IF(AG831="yes","yes","candidate_only")</x:f>
        <x:v>candidate_only</x:v>
      </x:c>
      <x:c r="AM831" s="12" t="str">
        <x:f>IF(OR(AC831="canonical",AG831="yes"),"yes","recommended")</x:f>
        <x:v>recommended</x:v>
      </x:c>
      <x:c r="AN831" s="12" t="str">
        <x:f>IF(AC831="deprecated","exclude",IF(AND(AG831="yes",AJ831="high"),"import_but_human_review_required",IF(AG831="yes","import_as_active","import_as_backlog")))</x:f>
        <x:v>import_as_backlog</x:v>
      </x:c>
      <x:c r="AO831" s="12" t="str">
        <x:f>IF(AND(AG831="yes",OR(P831="",Q831="",R831="",S831="")),"missing_required_mvp_fields",IF(AND(AC831="canonical",Y831=""),"missing_source_ref","ok"))</x:f>
        <x:v>ok</x:v>
      </x:c>
      <x:c r="AP831" s="12" t="str">
        <x:f>IF(AO831="ok","ready_for_codex_import","needs_review")</x:f>
        <x:v>ready_for_codex_import</x:v>
      </x:c>
      <x:c r="AQ831" s="12"/>
      <x:c r="AR831" s="12" t="str">
        <x:v>Added v2 operational fields. Review before classification activation.</x:v>
      </x:c>
    </x:row>
    <x:row r="832">
      <x:c r="A832" s="13" t="str">
        <x:v>framing_by_omission_urgency_scarcity_variant</x:v>
      </x:c>
      <x:c r="B832" s="13" t="str">
        <x:v>framing_by_omission</x:v>
      </x:c>
      <x:c r="C832" s="13" t="str">
        <x:v>Framing by omission</x:v>
      </x:c>
      <x:c r="D832" s="13" t="str">
        <x:v>قاب‌بندی با حذف</x:v>
      </x:c>
      <x:c r="E832" s="13" t="str">
        <x:v>Urgency/scarcity variant</x:v>
      </x:c>
      <x:c r="F832" s="13" t="str">
        <x:v>rhetorical_manipulation_patterns</x:v>
      </x:c>
      <x:c r="G832" s="13" t="str">
        <x:v>operational_variant</x:v>
      </x:c>
      <x:c r="H832" s="13" t="str">
        <x:v>contextual</x:v>
      </x:c>
      <x:c r="I832" s="13" t="str">
        <x:v>claim+context</x:v>
      </x:c>
      <x:c r="J832" s="13" t="str">
        <x:v>derived_operational_subtype</x:v>
      </x:c>
      <x:c r="K832" s="13" t="str">
        <x:v>derived_from_established_parent_review_required</x:v>
      </x:c>
      <x:c r="L832" s="13" t="str">
        <x:v>P3</x:v>
      </x:c>
      <x:c r="M832" s="13" t="str">
        <x:v>no</x:v>
      </x:c>
      <x:c r="N832" s="13" t="str">
        <x:v>Operational subtype under Framing by omission: time pressure or scarcity is used to reduce deliberation. Parent definition: Shaping interpretation by omitting relevant context.</x:v>
      </x:c>
      <x:c r="O832" s="13" t="str">
        <x:v>Look for: explicit claim-level evidence; parent-family cues for Framing by omission; variant cue: time pressure or scarcity is used to reduce deliberation; avoid author-level inference.</x:v>
      </x:c>
      <x:c r="P832" s="13" t="str">
        <x:v>Exact evidence span in text plus claim-level reasoning link; for contextual/discourse entries, require surrounding context.</x:v>
      </x:c>
      <x:c r="Q832" s="13" t="str">
        <x:v>Do not label merely because topic is controversial, emotional, or wrong. Do not judge intent or personality. Require textual evidence and consider healthy-reasoning cues.</x:v>
      </x:c>
      <x:c r="R832" s="13" t="str">
        <x:v>Stub: A claim relies on time pressure or scarcity is used to reduce deliberation to support a conclusion without adequate qualification.</x:v>
      </x:c>
      <x:c r="S832" s="13" t="str">
        <x:v>Stub: A claim discusses framing by omission with caveats, balanced evidence, or no argumentative use of the pattern.</x:v>
      </x:c>
      <x:c r="T832" s="13" t="str">
        <x:v>Mild or ambiguous cue; do not classify without clear evidence span.</x:v>
      </x:c>
      <x:c r="U832" s="13" t="str">
        <x:v>Clear claim-level pattern with some argumentative impact.</x:v>
      </x:c>
      <x:c r="V832" s="13" t="str">
        <x:v>Strong pattern central to the conclusion and likely to materially distort reasoning.</x:v>
      </x:c>
      <x:c r="W832" s="13" t="str"/>
      <x:c r="X832" s="13" t="str">
        <x:v>grice_logic_conversation</x:v>
      </x:c>
      <x:c r="Y832" s="13" t="str">
        <x:v>https://doi.org/10.1163/9789004368811_003</x:v>
      </x:c>
      <x:c r="Z832" s="13" t="str">
        <x:v>Review before enabling. This workbook is a living taxonomy scaffold, not a validated scientific benchmark.</x:v>
      </x:c>
      <x:c r="AA832" s="13" t="str">
        <x:v>0.1.0-draft</x:v>
      </x:c>
      <x:c r="AB832" s="12" t="str">
        <x:f>IF(ISNUMBER(SEARCH("healthy",F832)),"healthy_reasoning_patterns",IF(ISNUMBER(SEARCH("statistical",F832)),"statistical_reasoning",IF(ISNUMBER(SEARCH("causal",F832)),"causal_reasoning",IF(ISNUMBER(SEARCH("social",F832)),"social_influence",IF(ISNUMBER(SEARCH("rhetoric",F832)),"rhetoric_discourse",IF(ISNUMBER(SEARCH("behavior",F832)),"behavioural_economics",IF(ISNUMBER(SEARCH("cognitive",F832)),"cognitive_biases",IF(J832="protective_pattern","healthy_reasoning_patterns",IF(L832="P0","core_mvp","extended_fallacies")))))))))</x:f>
        <x:v>rhetoric_discourse</x:v>
      </x:c>
      <x:c r="AC832" s="12" t="str">
        <x:f>IF(ISNUMBER(SEARCH("operational",J832)),"operational",IF(ISNUMBER(SEARCH("deprecated",J832)),"deprecated",IF(L832="P0","canonical","recognized_subtype")))</x:f>
        <x:v>operational</x:v>
      </x:c>
      <x:c r="AD832" s="12" t="str">
        <x:f>IF(AC832="canonical","high",IF(AC832="recognized_subtype","medium",IF(AC832="operational","operational_only","debated")))</x:f>
        <x:v>operational_only</x:v>
      </x:c>
      <x:c r="AE832" s="12" t="str">
        <x:f>IF(AC832="deprecated","deprecated",IF(M832="yes","active",IF(M832="review","review_required","backlog")))</x:f>
        <x:v>backlog</x:v>
      </x:c>
      <x:c r="AF832" s="12" t="str">
        <x:f>IF(OR(AE832="active",AE832="review_required"),"yes","no")</x:f>
        <x:v>no</x:v>
      </x:c>
      <x:c r="AG832" s="12" t="str">
        <x:f>IF(AND(AE832="active",M832="yes",NOT(ISNUMBER(SEARCH("healthy",AB832)))),"yes","no")</x:f>
        <x:v>no</x:v>
      </x:c>
      <x:c r="AH832" s="12" t="str">
        <x:f>IF(OR(H832="contextual",H832="dialogue",H832="discourse",I832="claim+context",I832="discourse_segment"),"yes","no")</x:f>
        <x:v>yes</x:v>
      </x:c>
      <x:c r="AI832" s="12" t="str">
        <x:f>IF(OR(AH832="yes",AD832="debated",AC832="operational"),"yes","no")</x:f>
        <x:v>yes</x:v>
      </x:c>
      <x:c r="AJ832" s="12" t="str">
        <x:f>IF(OR(AH832="yes",AC832="operational",AD832="debated"),"high",IF(AND(AG832="yes",L832="P0"),"medium","low"))</x:f>
        <x:v>high</x:v>
      </x:c>
      <x:c r="AK832" s="12" t="str">
        <x:f>IF(ISNUMBER(SEARCH("healthy",AB832)),"yes","no")</x:f>
        <x:v>no</x:v>
      </x:c>
      <x:c r="AL832" s="12" t="str">
        <x:f>IF(AG832="yes","yes","candidate_only")</x:f>
        <x:v>candidate_only</x:v>
      </x:c>
      <x:c r="AM832" s="12" t="str">
        <x:f>IF(OR(AC832="canonical",AG832="yes"),"yes","recommended")</x:f>
        <x:v>recommended</x:v>
      </x:c>
      <x:c r="AN832" s="12" t="str">
        <x:f>IF(AC832="deprecated","exclude",IF(AND(AG832="yes",AJ832="high"),"import_but_human_review_required",IF(AG832="yes","import_as_active","import_as_backlog")))</x:f>
        <x:v>import_as_backlog</x:v>
      </x:c>
      <x:c r="AO832" s="12" t="str">
        <x:f>IF(AND(AG832="yes",OR(P832="",Q832="",R832="",S832="")),"missing_required_mvp_fields",IF(AND(AC832="canonical",Y832=""),"missing_source_ref","ok"))</x:f>
        <x:v>ok</x:v>
      </x:c>
      <x:c r="AP832" s="12" t="str">
        <x:f>IF(AO832="ok","ready_for_codex_import","needs_review")</x:f>
        <x:v>ready_for_codex_import</x:v>
      </x:c>
      <x:c r="AQ832" s="12"/>
      <x:c r="AR832" s="12" t="str">
        <x:v>Added v2 operational fields. Review before classification activation.</x:v>
      </x:c>
    </x:row>
    <x:row r="833">
      <x:c r="A833" s="13" t="str">
        <x:v>framing_by_emphasis_urgency_scarcity_variant</x:v>
      </x:c>
      <x:c r="B833" s="13" t="str">
        <x:v>framing_by_emphasis</x:v>
      </x:c>
      <x:c r="C833" s="13" t="str">
        <x:v>Framing by emphasis</x:v>
      </x:c>
      <x:c r="D833" s="13" t="str">
        <x:v>قاب‌بندی با تأکید</x:v>
      </x:c>
      <x:c r="E833" s="13" t="str">
        <x:v>Urgency/scarcity variant</x:v>
      </x:c>
      <x:c r="F833" s="13" t="str">
        <x:v>rhetorical_manipulation_patterns</x:v>
      </x:c>
      <x:c r="G833" s="13" t="str">
        <x:v>operational_variant</x:v>
      </x:c>
      <x:c r="H833" s="13" t="str">
        <x:v>discourse</x:v>
      </x:c>
      <x:c r="I833" s="13" t="str">
        <x:v>discourse_segment</x:v>
      </x:c>
      <x:c r="J833" s="13" t="str">
        <x:v>derived_operational_subtype</x:v>
      </x:c>
      <x:c r="K833" s="13" t="str">
        <x:v>derived_from_established_parent_review_required</x:v>
      </x:c>
      <x:c r="L833" s="13" t="str">
        <x:v>P3</x:v>
      </x:c>
      <x:c r="M833" s="13" t="str">
        <x:v>no</x:v>
      </x:c>
      <x:c r="N833" s="13" t="str">
        <x:v>Operational subtype under Framing by emphasis: time pressure or scarcity is used to reduce deliberation. Parent definition: Shaping interpretation by disproportionate emphasis.</x:v>
      </x:c>
      <x:c r="O833" s="13" t="str">
        <x:v>Look for: explicit claim-level evidence; parent-family cues for Framing by emphasis; variant cue: time pressure or scarcity is used to reduce deliberation; avoid author-level inference.</x:v>
      </x:c>
      <x:c r="P833" s="13" t="str">
        <x:v>Exact evidence span in text plus claim-level reasoning link; for contextual/discourse entries, require surrounding context.</x:v>
      </x:c>
      <x:c r="Q833" s="13" t="str">
        <x:v>Do not label merely because topic is controversial, emotional, or wrong. Do not judge intent or personality. Require textual evidence and consider healthy-reasoning cues.</x:v>
      </x:c>
      <x:c r="R833" s="13" t="str">
        <x:v>Stub: A claim relies on time pressure or scarcity is used to reduce deliberation to support a conclusion without adequate qualification.</x:v>
      </x:c>
      <x:c r="S833" s="13" t="str">
        <x:v>Stub: A claim discusses framing by emphasis with caveats, balanced evidence, or no argumentative use of the pattern.</x:v>
      </x:c>
      <x:c r="T833" s="13" t="str">
        <x:v>Mild or ambiguous cue; do not classify without clear evidence span.</x:v>
      </x:c>
      <x:c r="U833" s="13" t="str">
        <x:v>Clear claim-level pattern with some argumentative impact.</x:v>
      </x:c>
      <x:c r="V833" s="13" t="str">
        <x:v>Strong pattern central to the conclusion and likely to materially distort reasoning.</x:v>
      </x:c>
      <x:c r="W833" s="13" t="str"/>
      <x:c r="X833" s="13" t="str">
        <x:v>grice_logic_conversation</x:v>
      </x:c>
      <x:c r="Y833" s="13" t="str">
        <x:v>https://doi.org/10.1163/9789004368811_003</x:v>
      </x:c>
      <x:c r="Z833" s="13" t="str">
        <x:v>Review before enabling. This workbook is a living taxonomy scaffold, not a validated scientific benchmark.</x:v>
      </x:c>
      <x:c r="AA833" s="13" t="str">
        <x:v>0.1.0-draft</x:v>
      </x:c>
      <x:c r="AB833" s="12" t="str">
        <x:f>IF(ISNUMBER(SEARCH("healthy",F833)),"healthy_reasoning_patterns",IF(ISNUMBER(SEARCH("statistical",F833)),"statistical_reasoning",IF(ISNUMBER(SEARCH("causal",F833)),"causal_reasoning",IF(ISNUMBER(SEARCH("social",F833)),"social_influence",IF(ISNUMBER(SEARCH("rhetoric",F833)),"rhetoric_discourse",IF(ISNUMBER(SEARCH("behavior",F833)),"behavioural_economics",IF(ISNUMBER(SEARCH("cognitive",F833)),"cognitive_biases",IF(J833="protective_pattern","healthy_reasoning_patterns",IF(L833="P0","core_mvp","extended_fallacies")))))))))</x:f>
        <x:v>rhetoric_discourse</x:v>
      </x:c>
      <x:c r="AC833" s="12" t="str">
        <x:f>IF(ISNUMBER(SEARCH("operational",J833)),"operational",IF(ISNUMBER(SEARCH("deprecated",J833)),"deprecated",IF(L833="P0","canonical","recognized_subtype")))</x:f>
        <x:v>operational</x:v>
      </x:c>
      <x:c r="AD833" s="12" t="str">
        <x:f>IF(AC833="canonical","high",IF(AC833="recognized_subtype","medium",IF(AC833="operational","operational_only","debated")))</x:f>
        <x:v>operational_only</x:v>
      </x:c>
      <x:c r="AE833" s="12" t="str">
        <x:f>IF(AC833="deprecated","deprecated",IF(M833="yes","active",IF(M833="review","review_required","backlog")))</x:f>
        <x:v>backlog</x:v>
      </x:c>
      <x:c r="AF833" s="12" t="str">
        <x:f>IF(OR(AE833="active",AE833="review_required"),"yes","no")</x:f>
        <x:v>no</x:v>
      </x:c>
      <x:c r="AG833" s="12" t="str">
        <x:f>IF(AND(AE833="active",M833="yes",NOT(ISNUMBER(SEARCH("healthy",AB833)))),"yes","no")</x:f>
        <x:v>no</x:v>
      </x:c>
      <x:c r="AH833" s="12" t="str">
        <x:f>IF(OR(H833="contextual",H833="dialogue",H833="discourse",I833="claim+context",I833="discourse_segment"),"yes","no")</x:f>
        <x:v>yes</x:v>
      </x:c>
      <x:c r="AI833" s="12" t="str">
        <x:f>IF(OR(AH833="yes",AD833="debated",AC833="operational"),"yes","no")</x:f>
        <x:v>yes</x:v>
      </x:c>
      <x:c r="AJ833" s="12" t="str">
        <x:f>IF(OR(AH833="yes",AC833="operational",AD833="debated"),"high",IF(AND(AG833="yes",L833="P0"),"medium","low"))</x:f>
        <x:v>high</x:v>
      </x:c>
      <x:c r="AK833" s="12" t="str">
        <x:f>IF(ISNUMBER(SEARCH("healthy",AB833)),"yes","no")</x:f>
        <x:v>no</x:v>
      </x:c>
      <x:c r="AL833" s="12" t="str">
        <x:f>IF(AG833="yes","yes","candidate_only")</x:f>
        <x:v>candidate_only</x:v>
      </x:c>
      <x:c r="AM833" s="12" t="str">
        <x:f>IF(OR(AC833="canonical",AG833="yes"),"yes","recommended")</x:f>
        <x:v>recommended</x:v>
      </x:c>
      <x:c r="AN833" s="12" t="str">
        <x:f>IF(AC833="deprecated","exclude",IF(AND(AG833="yes",AJ833="high"),"import_but_human_review_required",IF(AG833="yes","import_as_active","import_as_backlog")))</x:f>
        <x:v>import_as_backlog</x:v>
      </x:c>
      <x:c r="AO833" s="12" t="str">
        <x:f>IF(AND(AG833="yes",OR(P833="",Q833="",R833="",S833="")),"missing_required_mvp_fields",IF(AND(AC833="canonical",Y833=""),"missing_source_ref","ok"))</x:f>
        <x:v>ok</x:v>
      </x:c>
      <x:c r="AP833" s="12" t="str">
        <x:f>IF(AO833="ok","ready_for_codex_import","needs_review")</x:f>
        <x:v>ready_for_codex_import</x:v>
      </x:c>
      <x:c r="AQ833" s="12"/>
      <x:c r="AR833" s="12" t="str">
        <x:v>Added v2 operational fields. Review before classification activation.</x:v>
      </x:c>
    </x:row>
    <x:row r="834">
      <x:c r="A834" s="13" t="str">
        <x:v>leading_question_urgency_scarcity_variant</x:v>
      </x:c>
      <x:c r="B834" s="13" t="str">
        <x:v>leading_question</x:v>
      </x:c>
      <x:c r="C834" s="13" t="str">
        <x:v>Leading question</x:v>
      </x:c>
      <x:c r="D834" s="13" t="str">
        <x:v>سؤال هدایت‌کننده</x:v>
      </x:c>
      <x:c r="E834" s="13" t="str">
        <x:v>Urgency/scarcity variant</x:v>
      </x:c>
      <x:c r="F834" s="13" t="str">
        <x:v>rhetorical_manipulation_patterns</x:v>
      </x:c>
      <x:c r="G834" s="13" t="str">
        <x:v>operational_variant</x:v>
      </x:c>
      <x:c r="H834" s="13" t="str">
        <x:v>structural</x:v>
      </x:c>
      <x:c r="I834" s="13" t="str">
        <x:v>claim</x:v>
      </x:c>
      <x:c r="J834" s="13" t="str">
        <x:v>derived_operational_subtype</x:v>
      </x:c>
      <x:c r="K834" s="13" t="str">
        <x:v>derived_from_established_parent_review_required</x:v>
      </x:c>
      <x:c r="L834" s="13" t="str">
        <x:v>P3</x:v>
      </x:c>
      <x:c r="M834" s="13" t="str">
        <x:v>no</x:v>
      </x:c>
      <x:c r="N834" s="13" t="str">
        <x:v>Operational subtype under Leading question: time pressure or scarcity is used to reduce deliberation. Parent definition: Question wording nudges a desired answer.</x:v>
      </x:c>
      <x:c r="O834" s="13" t="str">
        <x:v>Look for: explicit claim-level evidence; parent-family cues for Leading question; variant cue: time pressure or scarcity is used to reduce deliberation; avoid author-level inference.</x:v>
      </x:c>
      <x:c r="P834" s="13" t="str">
        <x:v>Exact evidence span in text plus claim-level reasoning link; for contextual/discourse entries, require surrounding context.</x:v>
      </x:c>
      <x:c r="Q834" s="13" t="str">
        <x:v>Do not label merely because topic is controversial, emotional, or wrong. Do not judge intent or personality. Require textual evidence and consider healthy-reasoning cues.</x:v>
      </x:c>
      <x:c r="R834" s="13" t="str">
        <x:v>Stub: A claim relies on time pressure or scarcity is used to reduce deliberation to support a conclusion without adequate qualification.</x:v>
      </x:c>
      <x:c r="S834" s="13" t="str">
        <x:v>Stub: A claim discusses leading question with caveats, balanced evidence, or no argumentative use of the pattern.</x:v>
      </x:c>
      <x:c r="T834" s="13" t="str">
        <x:v>Mild or ambiguous cue; do not classify without clear evidence span.</x:v>
      </x:c>
      <x:c r="U834" s="13" t="str">
        <x:v>Clear claim-level pattern with some argumentative impact.</x:v>
      </x:c>
      <x:c r="V834" s="13" t="str">
        <x:v>Strong pattern central to the conclusion and likely to materially distort reasoning.</x:v>
      </x:c>
      <x:c r="W834" s="13" t="str"/>
      <x:c r="X834" s="13" t="str">
        <x:v>grice_logic_conversation</x:v>
      </x:c>
      <x:c r="Y834" s="13" t="str">
        <x:v>https://doi.org/10.1163/9789004368811_003</x:v>
      </x:c>
      <x:c r="Z834" s="13" t="str">
        <x:v>Review before enabling. This workbook is a living taxonomy scaffold, not a validated scientific benchmark.</x:v>
      </x:c>
      <x:c r="AA834" s="13" t="str">
        <x:v>0.1.0-draft</x:v>
      </x:c>
      <x:c r="AB834" s="12" t="str">
        <x:f>IF(ISNUMBER(SEARCH("healthy",F834)),"healthy_reasoning_patterns",IF(ISNUMBER(SEARCH("statistical",F834)),"statistical_reasoning",IF(ISNUMBER(SEARCH("causal",F834)),"causal_reasoning",IF(ISNUMBER(SEARCH("social",F834)),"social_influence",IF(ISNUMBER(SEARCH("rhetoric",F834)),"rhetoric_discourse",IF(ISNUMBER(SEARCH("behavior",F834)),"behavioural_economics",IF(ISNUMBER(SEARCH("cognitive",F834)),"cognitive_biases",IF(J834="protective_pattern","healthy_reasoning_patterns",IF(L834="P0","core_mvp","extended_fallacies")))))))))</x:f>
        <x:v>rhetoric_discourse</x:v>
      </x:c>
      <x:c r="AC834" s="12" t="str">
        <x:f>IF(ISNUMBER(SEARCH("operational",J834)),"operational",IF(ISNUMBER(SEARCH("deprecated",J834)),"deprecated",IF(L834="P0","canonical","recognized_subtype")))</x:f>
        <x:v>operational</x:v>
      </x:c>
      <x:c r="AD834" s="12" t="str">
        <x:f>IF(AC834="canonical","high",IF(AC834="recognized_subtype","medium",IF(AC834="operational","operational_only","debated")))</x:f>
        <x:v>operational_only</x:v>
      </x:c>
      <x:c r="AE834" s="12" t="str">
        <x:f>IF(AC834="deprecated","deprecated",IF(M834="yes","active",IF(M834="review","review_required","backlog")))</x:f>
        <x:v>backlog</x:v>
      </x:c>
      <x:c r="AF834" s="12" t="str">
        <x:f>IF(OR(AE834="active",AE834="review_required"),"yes","no")</x:f>
        <x:v>no</x:v>
      </x:c>
      <x:c r="AG834" s="12" t="str">
        <x:f>IF(AND(AE834="active",M834="yes",NOT(ISNUMBER(SEARCH("healthy",AB834)))),"yes","no")</x:f>
        <x:v>no</x:v>
      </x:c>
      <x:c r="AH834" s="12" t="str">
        <x:f>IF(OR(H834="contextual",H834="dialogue",H834="discourse",I834="claim+context",I834="discourse_segment"),"yes","no")</x:f>
        <x:v>no</x:v>
      </x:c>
      <x:c r="AI834" s="12" t="str">
        <x:f>IF(OR(AH834="yes",AD834="debated",AC834="operational"),"yes","no")</x:f>
        <x:v>yes</x:v>
      </x:c>
      <x:c r="AJ834" s="12" t="str">
        <x:f>IF(OR(AH834="yes",AC834="operational",AD834="debated"),"high",IF(AND(AG834="yes",L834="P0"),"medium","low"))</x:f>
        <x:v>high</x:v>
      </x:c>
      <x:c r="AK834" s="12" t="str">
        <x:f>IF(ISNUMBER(SEARCH("healthy",AB834)),"yes","no")</x:f>
        <x:v>no</x:v>
      </x:c>
      <x:c r="AL834" s="12" t="str">
        <x:f>IF(AG834="yes","yes","candidate_only")</x:f>
        <x:v>candidate_only</x:v>
      </x:c>
      <x:c r="AM834" s="12" t="str">
        <x:f>IF(OR(AC834="canonical",AG834="yes"),"yes","recommended")</x:f>
        <x:v>recommended</x:v>
      </x:c>
      <x:c r="AN834" s="12" t="str">
        <x:f>IF(AC834="deprecated","exclude",IF(AND(AG834="yes",AJ834="high"),"import_but_human_review_required",IF(AG834="yes","import_as_active","import_as_backlog")))</x:f>
        <x:v>import_as_backlog</x:v>
      </x:c>
      <x:c r="AO834" s="12" t="str">
        <x:f>IF(AND(AG834="yes",OR(P834="",Q834="",R834="",S834="")),"missing_required_mvp_fields",IF(AND(AC834="canonical",Y834=""),"missing_source_ref","ok"))</x:f>
        <x:v>ok</x:v>
      </x:c>
      <x:c r="AP834" s="12" t="str">
        <x:f>IF(AO834="ok","ready_for_codex_import","needs_review")</x:f>
        <x:v>ready_for_codex_import</x:v>
      </x:c>
      <x:c r="AQ834" s="12"/>
      <x:c r="AR834" s="12" t="str">
        <x:v>Added v2 operational fields. Review before classification activation.</x:v>
      </x:c>
    </x:row>
    <x:row r="835">
      <x:c r="A835" s="13" t="str">
        <x:v>presupposition_trigger_urgency_scarcity_variant</x:v>
      </x:c>
      <x:c r="B835" s="13" t="str">
        <x:v>presupposition_trigger</x:v>
      </x:c>
      <x:c r="C835" s="13" t="str">
        <x:v>Presupposition trigger</x:v>
      </x:c>
      <x:c r="D835" s="13" t="str">
        <x:v>برانگیزاننده پیش‌فرض</x:v>
      </x:c>
      <x:c r="E835" s="13" t="str">
        <x:v>Urgency/scarcity variant</x:v>
      </x:c>
      <x:c r="F835" s="13" t="str">
        <x:v>rhetorical_manipulation_patterns</x:v>
      </x:c>
      <x:c r="G835" s="13" t="str">
        <x:v>operational_variant</x:v>
      </x:c>
      <x:c r="H835" s="13" t="str">
        <x:v>lexical</x:v>
      </x:c>
      <x:c r="I835" s="13" t="str">
        <x:v>claim</x:v>
      </x:c>
      <x:c r="J835" s="13" t="str">
        <x:v>derived_operational_subtype</x:v>
      </x:c>
      <x:c r="K835" s="13" t="str">
        <x:v>derived_from_established_parent_review_required</x:v>
      </x:c>
      <x:c r="L835" s="13" t="str">
        <x:v>P3</x:v>
      </x:c>
      <x:c r="M835" s="13" t="str">
        <x:v>no</x:v>
      </x:c>
      <x:c r="N835" s="13" t="str">
        <x:v>Operational subtype under Presupposition trigger: time pressure or scarcity is used to reduce deliberation. Parent definition: Embedding assumptions through phrasing that treats them as given.</x:v>
      </x:c>
      <x:c r="O835" s="13" t="str">
        <x:v>Look for: explicit claim-level evidence; parent-family cues for Presupposition trigger; variant cue: time pressure or scarcity is used to reduce deliberation; avoid author-level inference.</x:v>
      </x:c>
      <x:c r="P835" s="13" t="str">
        <x:v>Exact evidence span in text plus claim-level reasoning link; for contextual/discourse entries, require surrounding context.</x:v>
      </x:c>
      <x:c r="Q835" s="13" t="str">
        <x:v>Do not label merely because topic is controversial, emotional, or wrong. Do not judge intent or personality. Require textual evidence and consider healthy-reasoning cues.</x:v>
      </x:c>
      <x:c r="R835" s="13" t="str">
        <x:v>Stub: A claim relies on time pressure or scarcity is used to reduce deliberation to support a conclusion without adequate qualification.</x:v>
      </x:c>
      <x:c r="S835" s="13" t="str">
        <x:v>Stub: A claim discusses presupposition trigger with caveats, balanced evidence, or no argumentative use of the pattern.</x:v>
      </x:c>
      <x:c r="T835" s="13" t="str">
        <x:v>Mild or ambiguous cue; do not classify without clear evidence span.</x:v>
      </x:c>
      <x:c r="U835" s="13" t="str">
        <x:v>Clear claim-level pattern with some argumentative impact.</x:v>
      </x:c>
      <x:c r="V835" s="13" t="str">
        <x:v>Strong pattern central to the conclusion and likely to materially distort reasoning.</x:v>
      </x:c>
      <x:c r="W835" s="13" t="str"/>
      <x:c r="X835" s="13" t="str">
        <x:v>grice_logic_conversation</x:v>
      </x:c>
      <x:c r="Y835" s="13" t="str">
        <x:v>https://doi.org/10.1163/9789004368811_003</x:v>
      </x:c>
      <x:c r="Z835" s="13" t="str">
        <x:v>Review before enabling. This workbook is a living taxonomy scaffold, not a validated scientific benchmark.</x:v>
      </x:c>
      <x:c r="AA835" s="13" t="str">
        <x:v>0.1.0-draft</x:v>
      </x:c>
      <x:c r="AB835" s="12" t="str">
        <x:f>IF(ISNUMBER(SEARCH("healthy",F835)),"healthy_reasoning_patterns",IF(ISNUMBER(SEARCH("statistical",F835)),"statistical_reasoning",IF(ISNUMBER(SEARCH("causal",F835)),"causal_reasoning",IF(ISNUMBER(SEARCH("social",F835)),"social_influence",IF(ISNUMBER(SEARCH("rhetoric",F835)),"rhetoric_discourse",IF(ISNUMBER(SEARCH("behavior",F835)),"behavioural_economics",IF(ISNUMBER(SEARCH("cognitive",F835)),"cognitive_biases",IF(J835="protective_pattern","healthy_reasoning_patterns",IF(L835="P0","core_mvp","extended_fallacies")))))))))</x:f>
        <x:v>rhetoric_discourse</x:v>
      </x:c>
      <x:c r="AC835" s="12" t="str">
        <x:f>IF(ISNUMBER(SEARCH("operational",J835)),"operational",IF(ISNUMBER(SEARCH("deprecated",J835)),"deprecated",IF(L835="P0","canonical","recognized_subtype")))</x:f>
        <x:v>operational</x:v>
      </x:c>
      <x:c r="AD835" s="12" t="str">
        <x:f>IF(AC835="canonical","high",IF(AC835="recognized_subtype","medium",IF(AC835="operational","operational_only","debated")))</x:f>
        <x:v>operational_only</x:v>
      </x:c>
      <x:c r="AE835" s="12" t="str">
        <x:f>IF(AC835="deprecated","deprecated",IF(M835="yes","active",IF(M835="review","review_required","backlog")))</x:f>
        <x:v>backlog</x:v>
      </x:c>
      <x:c r="AF835" s="12" t="str">
        <x:f>IF(OR(AE835="active",AE835="review_required"),"yes","no")</x:f>
        <x:v>no</x:v>
      </x:c>
      <x:c r="AG835" s="12" t="str">
        <x:f>IF(AND(AE835="active",M835="yes",NOT(ISNUMBER(SEARCH("healthy",AB835)))),"yes","no")</x:f>
        <x:v>no</x:v>
      </x:c>
      <x:c r="AH835" s="12" t="str">
        <x:f>IF(OR(H835="contextual",H835="dialogue",H835="discourse",I835="claim+context",I835="discourse_segment"),"yes","no")</x:f>
        <x:v>no</x:v>
      </x:c>
      <x:c r="AI835" s="12" t="str">
        <x:f>IF(OR(AH835="yes",AD835="debated",AC835="operational"),"yes","no")</x:f>
        <x:v>yes</x:v>
      </x:c>
      <x:c r="AJ835" s="12" t="str">
        <x:f>IF(OR(AH835="yes",AC835="operational",AD835="debated"),"high",IF(AND(AG835="yes",L835="P0"),"medium","low"))</x:f>
        <x:v>high</x:v>
      </x:c>
      <x:c r="AK835" s="12" t="str">
        <x:f>IF(ISNUMBER(SEARCH("healthy",AB835)),"yes","no")</x:f>
        <x:v>no</x:v>
      </x:c>
      <x:c r="AL835" s="12" t="str">
        <x:f>IF(AG835="yes","yes","candidate_only")</x:f>
        <x:v>candidate_only</x:v>
      </x:c>
      <x:c r="AM835" s="12" t="str">
        <x:f>IF(OR(AC835="canonical",AG835="yes"),"yes","recommended")</x:f>
        <x:v>recommended</x:v>
      </x:c>
      <x:c r="AN835" s="12" t="str">
        <x:f>IF(AC835="deprecated","exclude",IF(AND(AG835="yes",AJ835="high"),"import_but_human_review_required",IF(AG835="yes","import_as_active","import_as_backlog")))</x:f>
        <x:v>import_as_backlog</x:v>
      </x:c>
      <x:c r="AO835" s="12" t="str">
        <x:f>IF(AND(AG835="yes",OR(P835="",Q835="",R835="",S835="")),"missing_required_mvp_fields",IF(AND(AC835="canonical",Y835=""),"missing_source_ref","ok"))</x:f>
        <x:v>ok</x:v>
      </x:c>
      <x:c r="AP835" s="12" t="str">
        <x:f>IF(AO835="ok","ready_for_codex_import","needs_review")</x:f>
        <x:v>ready_for_codex_import</x:v>
      </x:c>
      <x:c r="AQ835" s="12"/>
      <x:c r="AR835" s="12" t="str">
        <x:v>Added v2 operational fields. Review before classification activation.</x:v>
      </x:c>
    </x:row>
    <x:row r="836">
      <x:c r="A836" s="13" t="str">
        <x:v>card_stacking_urgency_scarcity_variant</x:v>
      </x:c>
      <x:c r="B836" s="13" t="str">
        <x:v>card_stacking</x:v>
      </x:c>
      <x:c r="C836" s="13" t="str">
        <x:v>Card stacking</x:v>
      </x:c>
      <x:c r="D836" s="13" t="str">
        <x:v>چیدن یک‌طرفه کارت‌ها</x:v>
      </x:c>
      <x:c r="E836" s="13" t="str">
        <x:v>Urgency/scarcity variant</x:v>
      </x:c>
      <x:c r="F836" s="13" t="str">
        <x:v>rhetorical_manipulation_patterns</x:v>
      </x:c>
      <x:c r="G836" s="13" t="str">
        <x:v>operational_variant</x:v>
      </x:c>
      <x:c r="H836" s="13" t="str">
        <x:v>contextual</x:v>
      </x:c>
      <x:c r="I836" s="13" t="str">
        <x:v>claim+context</x:v>
      </x:c>
      <x:c r="J836" s="13" t="str">
        <x:v>derived_operational_subtype</x:v>
      </x:c>
      <x:c r="K836" s="13" t="str">
        <x:v>derived_from_established_parent_review_required</x:v>
      </x:c>
      <x:c r="L836" s="13" t="str">
        <x:v>P3</x:v>
      </x:c>
      <x:c r="M836" s="13" t="str">
        <x:v>no</x:v>
      </x:c>
      <x:c r="N836" s="13" t="str">
        <x:v>Operational subtype under Card stacking: time pressure or scarcity is used to reduce deliberation. Parent definition: Arranging only favorable points while suppressing unfavorable ones.</x:v>
      </x:c>
      <x:c r="O836" s="13" t="str">
        <x:v>Look for: explicit claim-level evidence; parent-family cues for Card stacking; variant cue: time pressure or scarcity is used to reduce deliberation; avoid author-level inference.</x:v>
      </x:c>
      <x:c r="P836" s="13" t="str">
        <x:v>Exact evidence span in text plus claim-level reasoning link; for contextual/discourse entries, require surrounding context.</x:v>
      </x:c>
      <x:c r="Q836" s="13" t="str">
        <x:v>Do not label merely because topic is controversial, emotional, or wrong. Do not judge intent or personality. Require textual evidence and consider healthy-reasoning cues.</x:v>
      </x:c>
      <x:c r="R836" s="13" t="str">
        <x:v>Stub: A claim relies on time pressure or scarcity is used to reduce deliberation to support a conclusion without adequate qualification.</x:v>
      </x:c>
      <x:c r="S836" s="13" t="str">
        <x:v>Stub: A claim discusses card stacking with caveats, balanced evidence, or no argumentative use of the pattern.</x:v>
      </x:c>
      <x:c r="T836" s="13" t="str">
        <x:v>Mild or ambiguous cue; do not classify without clear evidence span.</x:v>
      </x:c>
      <x:c r="U836" s="13" t="str">
        <x:v>Clear claim-level pattern with some argumentative impact.</x:v>
      </x:c>
      <x:c r="V836" s="13" t="str">
        <x:v>Strong pattern central to the conclusion and likely to materially distort reasoning.</x:v>
      </x:c>
      <x:c r="W836" s="13" t="str"/>
      <x:c r="X836" s="13" t="str">
        <x:v>sep_informal_logic</x:v>
      </x:c>
      <x:c r="Y836" s="13" t="str">
        <x:v>https://plato.stanford.edu/entries/logic-informal/</x:v>
      </x:c>
      <x:c r="Z836" s="13" t="str">
        <x:v>Review before enabling. This workbook is a living taxonomy scaffold, not a validated scientific benchmark.</x:v>
      </x:c>
      <x:c r="AA836" s="13" t="str">
        <x:v>0.1.0-draft</x:v>
      </x:c>
      <x:c r="AB836" s="12" t="str">
        <x:f>IF(ISNUMBER(SEARCH("healthy",F836)),"healthy_reasoning_patterns",IF(ISNUMBER(SEARCH("statistical",F836)),"statistical_reasoning",IF(ISNUMBER(SEARCH("causal",F836)),"causal_reasoning",IF(ISNUMBER(SEARCH("social",F836)),"social_influence",IF(ISNUMBER(SEARCH("rhetoric",F836)),"rhetoric_discourse",IF(ISNUMBER(SEARCH("behavior",F836)),"behavioural_economics",IF(ISNUMBER(SEARCH("cognitive",F836)),"cognitive_biases",IF(J836="protective_pattern","healthy_reasoning_patterns",IF(L836="P0","core_mvp","extended_fallacies")))))))))</x:f>
        <x:v>rhetoric_discourse</x:v>
      </x:c>
      <x:c r="AC836" s="12" t="str">
        <x:f>IF(ISNUMBER(SEARCH("operational",J836)),"operational",IF(ISNUMBER(SEARCH("deprecated",J836)),"deprecated",IF(L836="P0","canonical","recognized_subtype")))</x:f>
        <x:v>operational</x:v>
      </x:c>
      <x:c r="AD836" s="12" t="str">
        <x:f>IF(AC836="canonical","high",IF(AC836="recognized_subtype","medium",IF(AC836="operational","operational_only","debated")))</x:f>
        <x:v>operational_only</x:v>
      </x:c>
      <x:c r="AE836" s="12" t="str">
        <x:f>IF(AC836="deprecated","deprecated",IF(M836="yes","active",IF(M836="review","review_required","backlog")))</x:f>
        <x:v>backlog</x:v>
      </x:c>
      <x:c r="AF836" s="12" t="str">
        <x:f>IF(OR(AE836="active",AE836="review_required"),"yes","no")</x:f>
        <x:v>no</x:v>
      </x:c>
      <x:c r="AG836" s="12" t="str">
        <x:f>IF(AND(AE836="active",M836="yes",NOT(ISNUMBER(SEARCH("healthy",AB836)))),"yes","no")</x:f>
        <x:v>no</x:v>
      </x:c>
      <x:c r="AH836" s="12" t="str">
        <x:f>IF(OR(H836="contextual",H836="dialogue",H836="discourse",I836="claim+context",I836="discourse_segment"),"yes","no")</x:f>
        <x:v>yes</x:v>
      </x:c>
      <x:c r="AI836" s="12" t="str">
        <x:f>IF(OR(AH836="yes",AD836="debated",AC836="operational"),"yes","no")</x:f>
        <x:v>yes</x:v>
      </x:c>
      <x:c r="AJ836" s="12" t="str">
        <x:f>IF(OR(AH836="yes",AC836="operational",AD836="debated"),"high",IF(AND(AG836="yes",L836="P0"),"medium","low"))</x:f>
        <x:v>high</x:v>
      </x:c>
      <x:c r="AK836" s="12" t="str">
        <x:f>IF(ISNUMBER(SEARCH("healthy",AB836)),"yes","no")</x:f>
        <x:v>no</x:v>
      </x:c>
      <x:c r="AL836" s="12" t="str">
        <x:f>IF(AG836="yes","yes","candidate_only")</x:f>
        <x:v>candidate_only</x:v>
      </x:c>
      <x:c r="AM836" s="12" t="str">
        <x:f>IF(OR(AC836="canonical",AG836="yes"),"yes","recommended")</x:f>
        <x:v>recommended</x:v>
      </x:c>
      <x:c r="AN836" s="12" t="str">
        <x:f>IF(AC836="deprecated","exclude",IF(AND(AG836="yes",AJ836="high"),"import_but_human_review_required",IF(AG836="yes","import_as_active","import_as_backlog")))</x:f>
        <x:v>import_as_backlog</x:v>
      </x:c>
      <x:c r="AO836" s="12" t="str">
        <x:f>IF(AND(AG836="yes",OR(P836="",Q836="",R836="",S836="")),"missing_required_mvp_fields",IF(AND(AC836="canonical",Y836=""),"missing_source_ref","ok"))</x:f>
        <x:v>ok</x:v>
      </x:c>
      <x:c r="AP836" s="12" t="str">
        <x:f>IF(AO836="ok","ready_for_codex_import","needs_review")</x:f>
        <x:v>ready_for_codex_import</x:v>
      </x:c>
      <x:c r="AQ836" s="12"/>
      <x:c r="AR836" s="12" t="str">
        <x:v>Added v2 operational fields. Review before classification activation.</x:v>
      </x:c>
    </x:row>
    <x:row r="837">
      <x:c r="A837" s="13" t="str">
        <x:v>slogan_substitution_urgency_scarcity_variant</x:v>
      </x:c>
      <x:c r="B837" s="13" t="str">
        <x:v>slogan_substitution</x:v>
      </x:c>
      <x:c r="C837" s="13" t="str">
        <x:v>Slogan substitution</x:v>
      </x:c>
      <x:c r="D837" s="13" t="str">
        <x:v>جایگزینی شعار به جای دلیل</x:v>
      </x:c>
      <x:c r="E837" s="13" t="str">
        <x:v>Urgency/scarcity variant</x:v>
      </x:c>
      <x:c r="F837" s="13" t="str">
        <x:v>rhetorical_manipulation_patterns</x:v>
      </x:c>
      <x:c r="G837" s="13" t="str">
        <x:v>operational_variant</x:v>
      </x:c>
      <x:c r="H837" s="13" t="str">
        <x:v>discourse</x:v>
      </x:c>
      <x:c r="I837" s="13" t="str">
        <x:v>discourse_segment</x:v>
      </x:c>
      <x:c r="J837" s="13" t="str">
        <x:v>derived_operational_subtype</x:v>
      </x:c>
      <x:c r="K837" s="13" t="str">
        <x:v>derived_from_established_parent_review_required</x:v>
      </x:c>
      <x:c r="L837" s="13" t="str">
        <x:v>P3</x:v>
      </x:c>
      <x:c r="M837" s="13" t="str">
        <x:v>no</x:v>
      </x:c>
      <x:c r="N837" s="13" t="str">
        <x:v>Operational subtype under Slogan substitution: time pressure or scarcity is used to reduce deliberation. Parent definition: Replacing argument with a memorable phrase.</x:v>
      </x:c>
      <x:c r="O837" s="13" t="str">
        <x:v>Look for: explicit claim-level evidence; parent-family cues for Slogan substitution; variant cue: time pressure or scarcity is used to reduce deliberation; avoid author-level inference.</x:v>
      </x:c>
      <x:c r="P837" s="13" t="str">
        <x:v>Exact evidence span in text plus claim-level reasoning link; for contextual/discourse entries, require surrounding context.</x:v>
      </x:c>
      <x:c r="Q837" s="13" t="str">
        <x:v>Do not label merely because topic is controversial, emotional, or wrong. Do not judge intent or personality. Require textual evidence and consider healthy-reasoning cues.</x:v>
      </x:c>
      <x:c r="R837" s="13" t="str">
        <x:v>Stub: A claim relies on time pressure or scarcity is used to reduce deliberation to support a conclusion without adequate qualification.</x:v>
      </x:c>
      <x:c r="S837" s="13" t="str">
        <x:v>Stub: A claim discusses slogan substitution with caveats, balanced evidence, or no argumentative use of the pattern.</x:v>
      </x:c>
      <x:c r="T837" s="13" t="str">
        <x:v>Mild or ambiguous cue; do not classify without clear evidence span.</x:v>
      </x:c>
      <x:c r="U837" s="13" t="str">
        <x:v>Clear claim-level pattern with some argumentative impact.</x:v>
      </x:c>
      <x:c r="V837" s="13" t="str">
        <x:v>Strong pattern central to the conclusion and likely to materially distort reasoning.</x:v>
      </x:c>
      <x:c r="W837" s="13" t="str"/>
      <x:c r="X837" s="13" t="str">
        <x:v>grice_logic_conversation</x:v>
      </x:c>
      <x:c r="Y837" s="13" t="str">
        <x:v>https://doi.org/10.1163/9789004368811_003</x:v>
      </x:c>
      <x:c r="Z837" s="13" t="str">
        <x:v>Review before enabling. This workbook is a living taxonomy scaffold, not a validated scientific benchmark.</x:v>
      </x:c>
      <x:c r="AA837" s="13" t="str">
        <x:v>0.1.0-draft</x:v>
      </x:c>
      <x:c r="AB837" s="12" t="str">
        <x:f>IF(ISNUMBER(SEARCH("healthy",F837)),"healthy_reasoning_patterns",IF(ISNUMBER(SEARCH("statistical",F837)),"statistical_reasoning",IF(ISNUMBER(SEARCH("causal",F837)),"causal_reasoning",IF(ISNUMBER(SEARCH("social",F837)),"social_influence",IF(ISNUMBER(SEARCH("rhetoric",F837)),"rhetoric_discourse",IF(ISNUMBER(SEARCH("behavior",F837)),"behavioural_economics",IF(ISNUMBER(SEARCH("cognitive",F837)),"cognitive_biases",IF(J837="protective_pattern","healthy_reasoning_patterns",IF(L837="P0","core_mvp","extended_fallacies")))))))))</x:f>
        <x:v>rhetoric_discourse</x:v>
      </x:c>
      <x:c r="AC837" s="12" t="str">
        <x:f>IF(ISNUMBER(SEARCH("operational",J837)),"operational",IF(ISNUMBER(SEARCH("deprecated",J837)),"deprecated",IF(L837="P0","canonical","recognized_subtype")))</x:f>
        <x:v>operational</x:v>
      </x:c>
      <x:c r="AD837" s="12" t="str">
        <x:f>IF(AC837="canonical","high",IF(AC837="recognized_subtype","medium",IF(AC837="operational","operational_only","debated")))</x:f>
        <x:v>operational_only</x:v>
      </x:c>
      <x:c r="AE837" s="12" t="str">
        <x:f>IF(AC837="deprecated","deprecated",IF(M837="yes","active",IF(M837="review","review_required","backlog")))</x:f>
        <x:v>backlog</x:v>
      </x:c>
      <x:c r="AF837" s="12" t="str">
        <x:f>IF(OR(AE837="active",AE837="review_required"),"yes","no")</x:f>
        <x:v>no</x:v>
      </x:c>
      <x:c r="AG837" s="12" t="str">
        <x:f>IF(AND(AE837="active",M837="yes",NOT(ISNUMBER(SEARCH("healthy",AB837)))),"yes","no")</x:f>
        <x:v>no</x:v>
      </x:c>
      <x:c r="AH837" s="12" t="str">
        <x:f>IF(OR(H837="contextual",H837="dialogue",H837="discourse",I837="claim+context",I837="discourse_segment"),"yes","no")</x:f>
        <x:v>yes</x:v>
      </x:c>
      <x:c r="AI837" s="12" t="str">
        <x:f>IF(OR(AH837="yes",AD837="debated",AC837="operational"),"yes","no")</x:f>
        <x:v>yes</x:v>
      </x:c>
      <x:c r="AJ837" s="12" t="str">
        <x:f>IF(OR(AH837="yes",AC837="operational",AD837="debated"),"high",IF(AND(AG837="yes",L837="P0"),"medium","low"))</x:f>
        <x:v>high</x:v>
      </x:c>
      <x:c r="AK837" s="12" t="str">
        <x:f>IF(ISNUMBER(SEARCH("healthy",AB837)),"yes","no")</x:f>
        <x:v>no</x:v>
      </x:c>
      <x:c r="AL837" s="12" t="str">
        <x:f>IF(AG837="yes","yes","candidate_only")</x:f>
        <x:v>candidate_only</x:v>
      </x:c>
      <x:c r="AM837" s="12" t="str">
        <x:f>IF(OR(AC837="canonical",AG837="yes"),"yes","recommended")</x:f>
        <x:v>recommended</x:v>
      </x:c>
      <x:c r="AN837" s="12" t="str">
        <x:f>IF(AC837="deprecated","exclude",IF(AND(AG837="yes",AJ837="high"),"import_but_human_review_required",IF(AG837="yes","import_as_active","import_as_backlog")))</x:f>
        <x:v>import_as_backlog</x:v>
      </x:c>
      <x:c r="AO837" s="12" t="str">
        <x:f>IF(AND(AG837="yes",OR(P837="",Q837="",R837="",S837="")),"missing_required_mvp_fields",IF(AND(AC837="canonical",Y837=""),"missing_source_ref","ok"))</x:f>
        <x:v>ok</x:v>
      </x:c>
      <x:c r="AP837" s="12" t="str">
        <x:f>IF(AO837="ok","ready_for_codex_import","needs_review")</x:f>
        <x:v>ready_for_codex_import</x:v>
      </x:c>
      <x:c r="AQ837" s="12"/>
      <x:c r="AR837" s="12" t="str">
        <x:v>Added v2 operational fields. Review before classification activation.</x:v>
      </x:c>
    </x:row>
    <x:row r="838">
      <x:c r="A838" s="13" t="str">
        <x:v>repetition_effect_argument_urgency_scarcity_variant</x:v>
      </x:c>
      <x:c r="B838" s="13" t="str">
        <x:v>repetition_effect_argument</x:v>
      </x:c>
      <x:c r="C838" s="13" t="str">
        <x:v>Repetition-as-evidence</x:v>
      </x:c>
      <x:c r="D838" s="13" t="str">
        <x:v>تکرار به جای دلیل</x:v>
      </x:c>
      <x:c r="E838" s="13" t="str">
        <x:v>Urgency/scarcity variant</x:v>
      </x:c>
      <x:c r="F838" s="13" t="str">
        <x:v>rhetorical_manipulation_patterns</x:v>
      </x:c>
      <x:c r="G838" s="13" t="str">
        <x:v>operational_variant</x:v>
      </x:c>
      <x:c r="H838" s="13" t="str">
        <x:v>discourse</x:v>
      </x:c>
      <x:c r="I838" s="13" t="str">
        <x:v>discourse_segment</x:v>
      </x:c>
      <x:c r="J838" s="13" t="str">
        <x:v>derived_operational_subtype</x:v>
      </x:c>
      <x:c r="K838" s="13" t="str">
        <x:v>derived_from_established_parent_review_required</x:v>
      </x:c>
      <x:c r="L838" s="13" t="str">
        <x:v>P3</x:v>
      </x:c>
      <x:c r="M838" s="13" t="str">
        <x:v>no</x:v>
      </x:c>
      <x:c r="N838" s="13" t="str">
        <x:v>Operational subtype under Repetition-as-evidence: time pressure or scarcity is used to reduce deliberation. Parent definition: Repeating a claim as if repetition increases its evidential support.</x:v>
      </x:c>
      <x:c r="O838" s="13" t="str">
        <x:v>Look for: explicit claim-level evidence; parent-family cues for Repetition-as-evidence; variant cue: time pressure or scarcity is used to reduce deliberation; avoid author-level inference.</x:v>
      </x:c>
      <x:c r="P838" s="13" t="str">
        <x:v>Exact evidence span in text plus claim-level reasoning link; for contextual/discourse entries, require surrounding context.</x:v>
      </x:c>
      <x:c r="Q838" s="13" t="str">
        <x:v>Do not label merely because topic is controversial, emotional, or wrong. Do not judge intent or personality. Require textual evidence and consider healthy-reasoning cues.</x:v>
      </x:c>
      <x:c r="R838" s="13" t="str">
        <x:v>Stub: A claim relies on time pressure or scarcity is used to reduce deliberation to support a conclusion without adequate qualification.</x:v>
      </x:c>
      <x:c r="S838" s="13" t="str">
        <x:v>Stub: A claim discusses repetition-as-evidence with caveats, balanced evidence, or no argumentative use of the pattern.</x:v>
      </x:c>
      <x:c r="T838" s="13" t="str">
        <x:v>Mild or ambiguous cue; do not classify without clear evidence span.</x:v>
      </x:c>
      <x:c r="U838" s="13" t="str">
        <x:v>Clear claim-level pattern with some argumentative impact.</x:v>
      </x:c>
      <x:c r="V838" s="13" t="str">
        <x:v>Strong pattern central to the conclusion and likely to materially distort reasoning.</x:v>
      </x:c>
      <x:c r="W838" s="13" t="str"/>
      <x:c r="X838" s="13" t="str">
        <x:v>grice_logic_conversation</x:v>
      </x:c>
      <x:c r="Y838" s="13" t="str">
        <x:v>https://doi.org/10.1163/9789004368811_003</x:v>
      </x:c>
      <x:c r="Z838" s="13" t="str">
        <x:v>Review before enabling. This workbook is a living taxonomy scaffold, not a validated scientific benchmark.</x:v>
      </x:c>
      <x:c r="AA838" s="13" t="str">
        <x:v>0.1.0-draft</x:v>
      </x:c>
      <x:c r="AB838" s="12" t="str">
        <x:f>IF(ISNUMBER(SEARCH("healthy",F838)),"healthy_reasoning_patterns",IF(ISNUMBER(SEARCH("statistical",F838)),"statistical_reasoning",IF(ISNUMBER(SEARCH("causal",F838)),"causal_reasoning",IF(ISNUMBER(SEARCH("social",F838)),"social_influence",IF(ISNUMBER(SEARCH("rhetoric",F838)),"rhetoric_discourse",IF(ISNUMBER(SEARCH("behavior",F838)),"behavioural_economics",IF(ISNUMBER(SEARCH("cognitive",F838)),"cognitive_biases",IF(J838="protective_pattern","healthy_reasoning_patterns",IF(L838="P0","core_mvp","extended_fallacies")))))))))</x:f>
        <x:v>rhetoric_discourse</x:v>
      </x:c>
      <x:c r="AC838" s="12" t="str">
        <x:f>IF(ISNUMBER(SEARCH("operational",J838)),"operational",IF(ISNUMBER(SEARCH("deprecated",J838)),"deprecated",IF(L838="P0","canonical","recognized_subtype")))</x:f>
        <x:v>operational</x:v>
      </x:c>
      <x:c r="AD838" s="12" t="str">
        <x:f>IF(AC838="canonical","high",IF(AC838="recognized_subtype","medium",IF(AC838="operational","operational_only","debated")))</x:f>
        <x:v>operational_only</x:v>
      </x:c>
      <x:c r="AE838" s="12" t="str">
        <x:f>IF(AC838="deprecated","deprecated",IF(M838="yes","active",IF(M838="review","review_required","backlog")))</x:f>
        <x:v>backlog</x:v>
      </x:c>
      <x:c r="AF838" s="12" t="str">
        <x:f>IF(OR(AE838="active",AE838="review_required"),"yes","no")</x:f>
        <x:v>no</x:v>
      </x:c>
      <x:c r="AG838" s="12" t="str">
        <x:f>IF(AND(AE838="active",M838="yes",NOT(ISNUMBER(SEARCH("healthy",AB838)))),"yes","no")</x:f>
        <x:v>no</x:v>
      </x:c>
      <x:c r="AH838" s="12" t="str">
        <x:f>IF(OR(H838="contextual",H838="dialogue",H838="discourse",I838="claim+context",I838="discourse_segment"),"yes","no")</x:f>
        <x:v>yes</x:v>
      </x:c>
      <x:c r="AI838" s="12" t="str">
        <x:f>IF(OR(AH838="yes",AD838="debated",AC838="operational"),"yes","no")</x:f>
        <x:v>yes</x:v>
      </x:c>
      <x:c r="AJ838" s="12" t="str">
        <x:f>IF(OR(AH838="yes",AC838="operational",AD838="debated"),"high",IF(AND(AG838="yes",L838="P0"),"medium","low"))</x:f>
        <x:v>high</x:v>
      </x:c>
      <x:c r="AK838" s="12" t="str">
        <x:f>IF(ISNUMBER(SEARCH("healthy",AB838)),"yes","no")</x:f>
        <x:v>no</x:v>
      </x:c>
      <x:c r="AL838" s="12" t="str">
        <x:f>IF(AG838="yes","yes","candidate_only")</x:f>
        <x:v>candidate_only</x:v>
      </x:c>
      <x:c r="AM838" s="12" t="str">
        <x:f>IF(OR(AC838="canonical",AG838="yes"),"yes","recommended")</x:f>
        <x:v>recommended</x:v>
      </x:c>
      <x:c r="AN838" s="12" t="str">
        <x:f>IF(AC838="deprecated","exclude",IF(AND(AG838="yes",AJ838="high"),"import_but_human_review_required",IF(AG838="yes","import_as_active","import_as_backlog")))</x:f>
        <x:v>import_as_backlog</x:v>
      </x:c>
      <x:c r="AO838" s="12" t="str">
        <x:f>IF(AND(AG838="yes",OR(P838="",Q838="",R838="",S838="")),"missing_required_mvp_fields",IF(AND(AC838="canonical",Y838=""),"missing_source_ref","ok"))</x:f>
        <x:v>ok</x:v>
      </x:c>
      <x:c r="AP838" s="12" t="str">
        <x:f>IF(AO838="ok","ready_for_codex_import","needs_review")</x:f>
        <x:v>ready_for_codex_import</x:v>
      </x:c>
      <x:c r="AQ838" s="12"/>
      <x:c r="AR838" s="12" t="str">
        <x:v>Added v2 operational fields. Review before classification activation.</x:v>
      </x:c>
    </x:row>
    <x:row r="839">
      <x:c r="A839" s="13" t="str">
        <x:v>false_balance_rhetoric_urgency_scarcity_variant</x:v>
      </x:c>
      <x:c r="B839" s="13" t="str">
        <x:v>false_balance_rhetoric</x:v>
      </x:c>
      <x:c r="C839" s="13" t="str">
        <x:v>False balance</x:v>
      </x:c>
      <x:c r="D839" s="13" t="str">
        <x:v>توازن کاذب</x:v>
      </x:c>
      <x:c r="E839" s="13" t="str">
        <x:v>Urgency/scarcity variant</x:v>
      </x:c>
      <x:c r="F839" s="13" t="str">
        <x:v>rhetorical_manipulation_patterns</x:v>
      </x:c>
      <x:c r="G839" s="13" t="str">
        <x:v>operational_variant</x:v>
      </x:c>
      <x:c r="H839" s="13" t="str">
        <x:v>contextual</x:v>
      </x:c>
      <x:c r="I839" s="13" t="str">
        <x:v>claim+context</x:v>
      </x:c>
      <x:c r="J839" s="13" t="str">
        <x:v>derived_operational_subtype</x:v>
      </x:c>
      <x:c r="K839" s="13" t="str">
        <x:v>derived_from_established_parent_review_required</x:v>
      </x:c>
      <x:c r="L839" s="13" t="str">
        <x:v>P3</x:v>
      </x:c>
      <x:c r="M839" s="13" t="str">
        <x:v>no</x:v>
      </x:c>
      <x:c r="N839" s="13" t="str">
        <x:v>Operational subtype under False balance: time pressure or scarcity is used to reduce deliberation. Parent definition: Presenting unequal evidence positions as equally supported.</x:v>
      </x:c>
      <x:c r="O839" s="13" t="str">
        <x:v>Look for: explicit claim-level evidence; parent-family cues for False balance; variant cue: time pressure or scarcity is used to reduce deliberation; avoid author-level inference.</x:v>
      </x:c>
      <x:c r="P839" s="13" t="str">
        <x:v>Exact evidence span in text plus claim-level reasoning link; for contextual/discourse entries, require surrounding context.</x:v>
      </x:c>
      <x:c r="Q839" s="13" t="str">
        <x:v>Do not label merely because topic is controversial, emotional, or wrong. Do not judge intent or personality. Require textual evidence and consider healthy-reasoning cues.</x:v>
      </x:c>
      <x:c r="R839" s="13" t="str">
        <x:v>Stub: A claim relies on time pressure or scarcity is used to reduce deliberation to support a conclusion without adequate qualification.</x:v>
      </x:c>
      <x:c r="S839" s="13" t="str">
        <x:v>Stub: A claim discusses false balance with caveats, balanced evidence, or no argumentative use of the pattern.</x:v>
      </x:c>
      <x:c r="T839" s="13" t="str">
        <x:v>Mild or ambiguous cue; do not classify without clear evidence span.</x:v>
      </x:c>
      <x:c r="U839" s="13" t="str">
        <x:v>Clear claim-level pattern with some argumentative impact.</x:v>
      </x:c>
      <x:c r="V839" s="13" t="str">
        <x:v>Strong pattern central to the conclusion and likely to materially distort reasoning.</x:v>
      </x:c>
      <x:c r="W839" s="13" t="str">
        <x:v>cherry_picking; missing_counterevidence; evidence_grading</x:v>
      </x:c>
      <x:c r="X839" s="13" t="str">
        <x:v>sep_informal_logic</x:v>
      </x:c>
      <x:c r="Y839" s="13" t="str">
        <x:v>https://plato.stanford.edu/entries/logic-informal/</x:v>
      </x:c>
      <x:c r="Z839" s="13" t="str">
        <x:v>Review before enabling. This workbook is a living taxonomy scaffold, not a validated scientific benchmark.</x:v>
      </x:c>
      <x:c r="AA839" s="13" t="str">
        <x:v>0.1.0-draft</x:v>
      </x:c>
      <x:c r="AB839" s="12" t="str">
        <x:f>IF(ISNUMBER(SEARCH("healthy",F839)),"healthy_reasoning_patterns",IF(ISNUMBER(SEARCH("statistical",F839)),"statistical_reasoning",IF(ISNUMBER(SEARCH("causal",F839)),"causal_reasoning",IF(ISNUMBER(SEARCH("social",F839)),"social_influence",IF(ISNUMBER(SEARCH("rhetoric",F839)),"rhetoric_discourse",IF(ISNUMBER(SEARCH("behavior",F839)),"behavioural_economics",IF(ISNUMBER(SEARCH("cognitive",F839)),"cognitive_biases",IF(J839="protective_pattern","healthy_reasoning_patterns",IF(L839="P0","core_mvp","extended_fallacies")))))))))</x:f>
        <x:v>rhetoric_discourse</x:v>
      </x:c>
      <x:c r="AC839" s="12" t="str">
        <x:f>IF(ISNUMBER(SEARCH("operational",J839)),"operational",IF(ISNUMBER(SEARCH("deprecated",J839)),"deprecated",IF(L839="P0","canonical","recognized_subtype")))</x:f>
        <x:v>operational</x:v>
      </x:c>
      <x:c r="AD839" s="12" t="str">
        <x:f>IF(AC839="canonical","high",IF(AC839="recognized_subtype","medium",IF(AC839="operational","operational_only","debated")))</x:f>
        <x:v>operational_only</x:v>
      </x:c>
      <x:c r="AE839" s="12" t="str">
        <x:f>IF(AC839="deprecated","deprecated",IF(M839="yes","active",IF(M839="review","review_required","backlog")))</x:f>
        <x:v>backlog</x:v>
      </x:c>
      <x:c r="AF839" s="12" t="str">
        <x:f>IF(OR(AE839="active",AE839="review_required"),"yes","no")</x:f>
        <x:v>no</x:v>
      </x:c>
      <x:c r="AG839" s="12" t="str">
        <x:f>IF(AND(AE839="active",M839="yes",NOT(ISNUMBER(SEARCH("healthy",AB839)))),"yes","no")</x:f>
        <x:v>no</x:v>
      </x:c>
      <x:c r="AH839" s="12" t="str">
        <x:f>IF(OR(H839="contextual",H839="dialogue",H839="discourse",I839="claim+context",I839="discourse_segment"),"yes","no")</x:f>
        <x:v>yes</x:v>
      </x:c>
      <x:c r="AI839" s="12" t="str">
        <x:f>IF(OR(AH839="yes",AD839="debated",AC839="operational"),"yes","no")</x:f>
        <x:v>yes</x:v>
      </x:c>
      <x:c r="AJ839" s="12" t="str">
        <x:f>IF(OR(AH839="yes",AC839="operational",AD839="debated"),"high",IF(AND(AG839="yes",L839="P0"),"medium","low"))</x:f>
        <x:v>high</x:v>
      </x:c>
      <x:c r="AK839" s="12" t="str">
        <x:f>IF(ISNUMBER(SEARCH("healthy",AB839)),"yes","no")</x:f>
        <x:v>no</x:v>
      </x:c>
      <x:c r="AL839" s="12" t="str">
        <x:f>IF(AG839="yes","yes","candidate_only")</x:f>
        <x:v>candidate_only</x:v>
      </x:c>
      <x:c r="AM839" s="12" t="str">
        <x:f>IF(OR(AC839="canonical",AG839="yes"),"yes","recommended")</x:f>
        <x:v>recommended</x:v>
      </x:c>
      <x:c r="AN839" s="12" t="str">
        <x:f>IF(AC839="deprecated","exclude",IF(AND(AG839="yes",AJ839="high"),"import_but_human_review_required",IF(AG839="yes","import_as_active","import_as_backlog")))</x:f>
        <x:v>import_as_backlog</x:v>
      </x:c>
      <x:c r="AO839" s="12" t="str">
        <x:f>IF(AND(AG839="yes",OR(P839="",Q839="",R839="",S839="")),"missing_required_mvp_fields",IF(AND(AC839="canonical",Y839=""),"missing_source_ref","ok"))</x:f>
        <x:v>ok</x:v>
      </x:c>
      <x:c r="AP839" s="12" t="str">
        <x:f>IF(AO839="ok","ready_for_codex_import","needs_review")</x:f>
        <x:v>ready_for_codex_import</x:v>
      </x:c>
      <x:c r="AQ839" s="12"/>
      <x:c r="AR839" s="12" t="str">
        <x:v>Added v2 operational fields. Review before classification activation.</x:v>
      </x:c>
    </x:row>
    <x:row r="840">
      <x:c r="A840" s="13" t="str">
        <x:v>loaded_language_dialogue_pressure_variant</x:v>
      </x:c>
      <x:c r="B840" s="13" t="str">
        <x:v>loaded_language</x:v>
      </x:c>
      <x:c r="C840" s="13" t="str">
        <x:v>Loaded language</x:v>
      </x:c>
      <x:c r="D840" s="13" t="str">
        <x:v>زبان بارگذاری‌شده</x:v>
      </x:c>
      <x:c r="E840" s="13" t="str">
        <x:v>Dialogue-pressure variant</x:v>
      </x:c>
      <x:c r="F840" s="13" t="str">
        <x:v>rhetorical_manipulation_patterns</x:v>
      </x:c>
      <x:c r="G840" s="13" t="str">
        <x:v>operational_variant</x:v>
      </x:c>
      <x:c r="H840" s="13" t="str">
        <x:v>lexical</x:v>
      </x:c>
      <x:c r="I840" s="13" t="str">
        <x:v>claim</x:v>
      </x:c>
      <x:c r="J840" s="13" t="str">
        <x:v>derived_operational_subtype</x:v>
      </x:c>
      <x:c r="K840" s="13" t="str">
        <x:v>derived_from_established_parent_review_required</x:v>
      </x:c>
      <x:c r="L840" s="13" t="str">
        <x:v>P3</x:v>
      </x:c>
      <x:c r="M840" s="13" t="str">
        <x:v>no</x:v>
      </x:c>
      <x:c r="N840" s="13" t="str">
        <x:v>Operational subtype under Loaded language: the pattern appears as a pressure move in dialogue. Parent definition: Using emotionally charged words to steer interpretation.</x:v>
      </x:c>
      <x:c r="O840" s="13" t="str">
        <x:v>Look for: explicit claim-level evidence; parent-family cues for Loaded language; variant cue: the pattern appears as a pressure move in dialogue; avoid author-level inference.</x:v>
      </x:c>
      <x:c r="P840" s="13" t="str">
        <x:v>Exact evidence span in text plus claim-level reasoning link; for contextual/discourse entries, require surrounding context.</x:v>
      </x:c>
      <x:c r="Q840" s="13" t="str">
        <x:v>Do not label merely because topic is controversial, emotional, or wrong. Do not judge intent or personality. Require textual evidence and consider healthy-reasoning cues.</x:v>
      </x:c>
      <x:c r="R840" s="13" t="str">
        <x:v>Stub: A claim relies on the pattern appears as a pressure move in dialogue to support a conclusion without adequate qualification.</x:v>
      </x:c>
      <x:c r="S840" s="13" t="str">
        <x:v>Stub: A claim discusses loaded language with caveats, balanced evidence, or no argumentative use of the pattern.</x:v>
      </x:c>
      <x:c r="T840" s="13" t="str">
        <x:v>Mild or ambiguous cue; do not classify without clear evidence span.</x:v>
      </x:c>
      <x:c r="U840" s="13" t="str">
        <x:v>Clear claim-level pattern with some argumentative impact.</x:v>
      </x:c>
      <x:c r="V840" s="13" t="str">
        <x:v>Strong pattern central to the conclusion and likely to materially distort reasoning.</x:v>
      </x:c>
      <x:c r="W840" s="13" t="str"/>
      <x:c r="X840" s="13" t="str">
        <x:v>grice_logic_conversation</x:v>
      </x:c>
      <x:c r="Y840" s="13" t="str">
        <x:v>https://doi.org/10.1163/9789004368811_003</x:v>
      </x:c>
      <x:c r="Z840" s="13" t="str">
        <x:v>Review before enabling. This workbook is a living taxonomy scaffold, not a validated scientific benchmark.</x:v>
      </x:c>
      <x:c r="AA840" s="13" t="str">
        <x:v>0.1.0-draft</x:v>
      </x:c>
      <x:c r="AB840" s="12" t="str">
        <x:f>IF(ISNUMBER(SEARCH("healthy",F840)),"healthy_reasoning_patterns",IF(ISNUMBER(SEARCH("statistical",F840)),"statistical_reasoning",IF(ISNUMBER(SEARCH("causal",F840)),"causal_reasoning",IF(ISNUMBER(SEARCH("social",F840)),"social_influence",IF(ISNUMBER(SEARCH("rhetoric",F840)),"rhetoric_discourse",IF(ISNUMBER(SEARCH("behavior",F840)),"behavioural_economics",IF(ISNUMBER(SEARCH("cognitive",F840)),"cognitive_biases",IF(J840="protective_pattern","healthy_reasoning_patterns",IF(L840="P0","core_mvp","extended_fallacies")))))))))</x:f>
        <x:v>rhetoric_discourse</x:v>
      </x:c>
      <x:c r="AC840" s="12" t="str">
        <x:f>IF(ISNUMBER(SEARCH("operational",J840)),"operational",IF(ISNUMBER(SEARCH("deprecated",J840)),"deprecated",IF(L840="P0","canonical","recognized_subtype")))</x:f>
        <x:v>operational</x:v>
      </x:c>
      <x:c r="AD840" s="12" t="str">
        <x:f>IF(AC840="canonical","high",IF(AC840="recognized_subtype","medium",IF(AC840="operational","operational_only","debated")))</x:f>
        <x:v>operational_only</x:v>
      </x:c>
      <x:c r="AE840" s="12" t="str">
        <x:f>IF(AC840="deprecated","deprecated",IF(M840="yes","active",IF(M840="review","review_required","backlog")))</x:f>
        <x:v>backlog</x:v>
      </x:c>
      <x:c r="AF840" s="12" t="str">
        <x:f>IF(OR(AE840="active",AE840="review_required"),"yes","no")</x:f>
        <x:v>no</x:v>
      </x:c>
      <x:c r="AG840" s="12" t="str">
        <x:f>IF(AND(AE840="active",M840="yes",NOT(ISNUMBER(SEARCH("healthy",AB840)))),"yes","no")</x:f>
        <x:v>no</x:v>
      </x:c>
      <x:c r="AH840" s="12" t="str">
        <x:f>IF(OR(H840="contextual",H840="dialogue",H840="discourse",I840="claim+context",I840="discourse_segment"),"yes","no")</x:f>
        <x:v>no</x:v>
      </x:c>
      <x:c r="AI840" s="12" t="str">
        <x:f>IF(OR(AH840="yes",AD840="debated",AC840="operational"),"yes","no")</x:f>
        <x:v>yes</x:v>
      </x:c>
      <x:c r="AJ840" s="12" t="str">
        <x:f>IF(OR(AH840="yes",AC840="operational",AD840="debated"),"high",IF(AND(AG840="yes",L840="P0"),"medium","low"))</x:f>
        <x:v>high</x:v>
      </x:c>
      <x:c r="AK840" s="12" t="str">
        <x:f>IF(ISNUMBER(SEARCH("healthy",AB840)),"yes","no")</x:f>
        <x:v>no</x:v>
      </x:c>
      <x:c r="AL840" s="12" t="str">
        <x:f>IF(AG840="yes","yes","candidate_only")</x:f>
        <x:v>candidate_only</x:v>
      </x:c>
      <x:c r="AM840" s="12" t="str">
        <x:f>IF(OR(AC840="canonical",AG840="yes"),"yes","recommended")</x:f>
        <x:v>recommended</x:v>
      </x:c>
      <x:c r="AN840" s="12" t="str">
        <x:f>IF(AC840="deprecated","exclude",IF(AND(AG840="yes",AJ840="high"),"import_but_human_review_required",IF(AG840="yes","import_as_active","import_as_backlog")))</x:f>
        <x:v>import_as_backlog</x:v>
      </x:c>
      <x:c r="AO840" s="12" t="str">
        <x:f>IF(AND(AG840="yes",OR(P840="",Q840="",R840="",S840="")),"missing_required_mvp_fields",IF(AND(AC840="canonical",Y840=""),"missing_source_ref","ok"))</x:f>
        <x:v>ok</x:v>
      </x:c>
      <x:c r="AP840" s="12" t="str">
        <x:f>IF(AO840="ok","ready_for_codex_import","needs_review")</x:f>
        <x:v>ready_for_codex_import</x:v>
      </x:c>
      <x:c r="AQ840" s="12"/>
      <x:c r="AR840" s="12" t="str">
        <x:v>Added v2 operational fields. Review before classification activation.</x:v>
      </x:c>
    </x:row>
    <x:row r="841">
      <x:c r="A841" s="13" t="str">
        <x:v>weasel_words_dialogue_pressure_variant</x:v>
      </x:c>
      <x:c r="B841" s="13" t="str">
        <x:v>weasel_words</x:v>
      </x:c>
      <x:c r="C841" s="13" t="str">
        <x:v>Weasel words</x:v>
      </x:c>
      <x:c r="D841" s="13" t="str">
        <x:v>واژه‌های گریز</x:v>
      </x:c>
      <x:c r="E841" s="13" t="str">
        <x:v>Dialogue-pressure variant</x:v>
      </x:c>
      <x:c r="F841" s="13" t="str">
        <x:v>rhetorical_manipulation_patterns</x:v>
      </x:c>
      <x:c r="G841" s="13" t="str">
        <x:v>operational_variant</x:v>
      </x:c>
      <x:c r="H841" s="13" t="str">
        <x:v>lexical</x:v>
      </x:c>
      <x:c r="I841" s="13" t="str">
        <x:v>claim</x:v>
      </x:c>
      <x:c r="J841" s="13" t="str">
        <x:v>derived_operational_subtype</x:v>
      </x:c>
      <x:c r="K841" s="13" t="str">
        <x:v>derived_from_established_parent_review_required</x:v>
      </x:c>
      <x:c r="L841" s="13" t="str">
        <x:v>P3</x:v>
      </x:c>
      <x:c r="M841" s="13" t="str">
        <x:v>no</x:v>
      </x:c>
      <x:c r="N841" s="13" t="str">
        <x:v>Operational subtype under Weasel words: the pattern appears as a pressure move in dialogue. Parent definition: Using vague qualifiers that create an impression without accountable evidence.</x:v>
      </x:c>
      <x:c r="O841" s="13" t="str">
        <x:v>Look for: explicit claim-level evidence; parent-family cues for Weasel words; variant cue: the pattern appears as a pressure move in dialogue; avoid author-level inference.</x:v>
      </x:c>
      <x:c r="P841" s="13" t="str">
        <x:v>Exact evidence span in text plus claim-level reasoning link; for contextual/discourse entries, require surrounding context.</x:v>
      </x:c>
      <x:c r="Q841" s="13" t="str">
        <x:v>Do not label merely because topic is controversial, emotional, or wrong. Do not judge intent or personality. Require textual evidence and consider healthy-reasoning cues.</x:v>
      </x:c>
      <x:c r="R841" s="13" t="str">
        <x:v>Stub: A claim relies on the pattern appears as a pressure move in dialogue to support a conclusion without adequate qualification.</x:v>
      </x:c>
      <x:c r="S841" s="13" t="str">
        <x:v>Stub: A claim discusses weasel words with caveats, balanced evidence, or no argumentative use of the pattern.</x:v>
      </x:c>
      <x:c r="T841" s="13" t="str">
        <x:v>Mild or ambiguous cue; do not classify without clear evidence span.</x:v>
      </x:c>
      <x:c r="U841" s="13" t="str">
        <x:v>Clear claim-level pattern with some argumentative impact.</x:v>
      </x:c>
      <x:c r="V841" s="13" t="str">
        <x:v>Strong pattern central to the conclusion and likely to materially distort reasoning.</x:v>
      </x:c>
      <x:c r="W841" s="13" t="str">
        <x:v>cherry_picking; missing_counterevidence; evidence_grading</x:v>
      </x:c>
      <x:c r="X841" s="13" t="str">
        <x:v>grice_logic_conversation</x:v>
      </x:c>
      <x:c r="Y841" s="13" t="str">
        <x:v>https://doi.org/10.1163/9789004368811_003</x:v>
      </x:c>
      <x:c r="Z841" s="13" t="str">
        <x:v>Review before enabling. This workbook is a living taxonomy scaffold, not a validated scientific benchmark.</x:v>
      </x:c>
      <x:c r="AA841" s="13" t="str">
        <x:v>0.1.0-draft</x:v>
      </x:c>
      <x:c r="AB841" s="12" t="str">
        <x:f>IF(ISNUMBER(SEARCH("healthy",F841)),"healthy_reasoning_patterns",IF(ISNUMBER(SEARCH("statistical",F841)),"statistical_reasoning",IF(ISNUMBER(SEARCH("causal",F841)),"causal_reasoning",IF(ISNUMBER(SEARCH("social",F841)),"social_influence",IF(ISNUMBER(SEARCH("rhetoric",F841)),"rhetoric_discourse",IF(ISNUMBER(SEARCH("behavior",F841)),"behavioural_economics",IF(ISNUMBER(SEARCH("cognitive",F841)),"cognitive_biases",IF(J841="protective_pattern","healthy_reasoning_patterns",IF(L841="P0","core_mvp","extended_fallacies")))))))))</x:f>
        <x:v>rhetoric_discourse</x:v>
      </x:c>
      <x:c r="AC841" s="12" t="str">
        <x:f>IF(ISNUMBER(SEARCH("operational",J841)),"operational",IF(ISNUMBER(SEARCH("deprecated",J841)),"deprecated",IF(L841="P0","canonical","recognized_subtype")))</x:f>
        <x:v>operational</x:v>
      </x:c>
      <x:c r="AD841" s="12" t="str">
        <x:f>IF(AC841="canonical","high",IF(AC841="recognized_subtype","medium",IF(AC841="operational","operational_only","debated")))</x:f>
        <x:v>operational_only</x:v>
      </x:c>
      <x:c r="AE841" s="12" t="str">
        <x:f>IF(AC841="deprecated","deprecated",IF(M841="yes","active",IF(M841="review","review_required","backlog")))</x:f>
        <x:v>backlog</x:v>
      </x:c>
      <x:c r="AF841" s="12" t="str">
        <x:f>IF(OR(AE841="active",AE841="review_required"),"yes","no")</x:f>
        <x:v>no</x:v>
      </x:c>
      <x:c r="AG841" s="12" t="str">
        <x:f>IF(AND(AE841="active",M841="yes",NOT(ISNUMBER(SEARCH("healthy",AB841)))),"yes","no")</x:f>
        <x:v>no</x:v>
      </x:c>
      <x:c r="AH841" s="12" t="str">
        <x:f>IF(OR(H841="contextual",H841="dialogue",H841="discourse",I841="claim+context",I841="discourse_segment"),"yes","no")</x:f>
        <x:v>no</x:v>
      </x:c>
      <x:c r="AI841" s="12" t="str">
        <x:f>IF(OR(AH841="yes",AD841="debated",AC841="operational"),"yes","no")</x:f>
        <x:v>yes</x:v>
      </x:c>
      <x:c r="AJ841" s="12" t="str">
        <x:f>IF(OR(AH841="yes",AC841="operational",AD841="debated"),"high",IF(AND(AG841="yes",L841="P0"),"medium","low"))</x:f>
        <x:v>high</x:v>
      </x:c>
      <x:c r="AK841" s="12" t="str">
        <x:f>IF(ISNUMBER(SEARCH("healthy",AB841)),"yes","no")</x:f>
        <x:v>no</x:v>
      </x:c>
      <x:c r="AL841" s="12" t="str">
        <x:f>IF(AG841="yes","yes","candidate_only")</x:f>
        <x:v>candidate_only</x:v>
      </x:c>
      <x:c r="AM841" s="12" t="str">
        <x:f>IF(OR(AC841="canonical",AG841="yes"),"yes","recommended")</x:f>
        <x:v>recommended</x:v>
      </x:c>
      <x:c r="AN841" s="12" t="str">
        <x:f>IF(AC841="deprecated","exclude",IF(AND(AG841="yes",AJ841="high"),"import_but_human_review_required",IF(AG841="yes","import_as_active","import_as_backlog")))</x:f>
        <x:v>import_as_backlog</x:v>
      </x:c>
      <x:c r="AO841" s="12" t="str">
        <x:f>IF(AND(AG841="yes",OR(P841="",Q841="",R841="",S841="")),"missing_required_mvp_fields",IF(AND(AC841="canonical",Y841=""),"missing_source_ref","ok"))</x:f>
        <x:v>ok</x:v>
      </x:c>
      <x:c r="AP841" s="12" t="str">
        <x:f>IF(AO841="ok","ready_for_codex_import","needs_review")</x:f>
        <x:v>ready_for_codex_import</x:v>
      </x:c>
      <x:c r="AQ841" s="12"/>
      <x:c r="AR841" s="12" t="str">
        <x:v>Added v2 operational fields. Review before classification activation.</x:v>
      </x:c>
    </x:row>
    <x:row r="842">
      <x:c r="A842" s="13" t="str">
        <x:v>vague_quantifier_dialogue_pressure_variant</x:v>
      </x:c>
      <x:c r="B842" s="13" t="str">
        <x:v>vague_quantifier</x:v>
      </x:c>
      <x:c r="C842" s="13" t="str">
        <x:v>Vague quantifier</x:v>
      </x:c>
      <x:c r="D842" s="13" t="str">
        <x:v>کمیت‌نمای مبهم</x:v>
      </x:c>
      <x:c r="E842" s="13" t="str">
        <x:v>Dialogue-pressure variant</x:v>
      </x:c>
      <x:c r="F842" s="13" t="str">
        <x:v>rhetorical_manipulation_patterns</x:v>
      </x:c>
      <x:c r="G842" s="13" t="str">
        <x:v>operational_variant</x:v>
      </x:c>
      <x:c r="H842" s="13" t="str">
        <x:v>lexical</x:v>
      </x:c>
      <x:c r="I842" s="13" t="str">
        <x:v>claim</x:v>
      </x:c>
      <x:c r="J842" s="13" t="str">
        <x:v>derived_operational_subtype</x:v>
      </x:c>
      <x:c r="K842" s="13" t="str">
        <x:v>derived_from_established_parent_review_required</x:v>
      </x:c>
      <x:c r="L842" s="13" t="str">
        <x:v>P3</x:v>
      </x:c>
      <x:c r="M842" s="13" t="str">
        <x:v>no</x:v>
      </x:c>
      <x:c r="N842" s="13" t="str">
        <x:v>Operational subtype under Vague quantifier: the pattern appears as a pressure move in dialogue. Parent definition: Using terms like many, experts, or people say without specification.</x:v>
      </x:c>
      <x:c r="O842" s="13" t="str">
        <x:v>Look for: explicit claim-level evidence; parent-family cues for Vague quantifier; variant cue: the pattern appears as a pressure move in dialogue; avoid author-level inference.</x:v>
      </x:c>
      <x:c r="P842" s="13" t="str">
        <x:v>Exact evidence span in text plus claim-level reasoning link; for contextual/discourse entries, require surrounding context.</x:v>
      </x:c>
      <x:c r="Q842" s="13" t="str">
        <x:v>Do not label merely because topic is controversial, emotional, or wrong. Do not judge intent or personality. Require textual evidence and consider healthy-reasoning cues.</x:v>
      </x:c>
      <x:c r="R842" s="13" t="str">
        <x:v>Stub: A claim relies on the pattern appears as a pressure move in dialogue to support a conclusion without adequate qualification.</x:v>
      </x:c>
      <x:c r="S842" s="13" t="str">
        <x:v>Stub: A claim discusses vague quantifier with caveats, balanced evidence, or no argumentative use of the pattern.</x:v>
      </x:c>
      <x:c r="T842" s="13" t="str">
        <x:v>Mild or ambiguous cue; do not classify without clear evidence span.</x:v>
      </x:c>
      <x:c r="U842" s="13" t="str">
        <x:v>Clear claim-level pattern with some argumentative impact.</x:v>
      </x:c>
      <x:c r="V842" s="13" t="str">
        <x:v>Strong pattern central to the conclusion and likely to materially distort reasoning.</x:v>
      </x:c>
      <x:c r="W842" s="13" t="str"/>
      <x:c r="X842" s="13" t="str">
        <x:v>grice_logic_conversation</x:v>
      </x:c>
      <x:c r="Y842" s="13" t="str">
        <x:v>https://doi.org/10.1163/9789004368811_003</x:v>
      </x:c>
      <x:c r="Z842" s="13" t="str">
        <x:v>Review before enabling. This workbook is a living taxonomy scaffold, not a validated scientific benchmark.</x:v>
      </x:c>
      <x:c r="AA842" s="13" t="str">
        <x:v>0.1.0-draft</x:v>
      </x:c>
      <x:c r="AB842" s="12" t="str">
        <x:f>IF(ISNUMBER(SEARCH("healthy",F842)),"healthy_reasoning_patterns",IF(ISNUMBER(SEARCH("statistical",F842)),"statistical_reasoning",IF(ISNUMBER(SEARCH("causal",F842)),"causal_reasoning",IF(ISNUMBER(SEARCH("social",F842)),"social_influence",IF(ISNUMBER(SEARCH("rhetoric",F842)),"rhetoric_discourse",IF(ISNUMBER(SEARCH("behavior",F842)),"behavioural_economics",IF(ISNUMBER(SEARCH("cognitive",F842)),"cognitive_biases",IF(J842="protective_pattern","healthy_reasoning_patterns",IF(L842="P0","core_mvp","extended_fallacies")))))))))</x:f>
        <x:v>rhetoric_discourse</x:v>
      </x:c>
      <x:c r="AC842" s="12" t="str">
        <x:f>IF(ISNUMBER(SEARCH("operational",J842)),"operational",IF(ISNUMBER(SEARCH("deprecated",J842)),"deprecated",IF(L842="P0","canonical","recognized_subtype")))</x:f>
        <x:v>operational</x:v>
      </x:c>
      <x:c r="AD842" s="12" t="str">
        <x:f>IF(AC842="canonical","high",IF(AC842="recognized_subtype","medium",IF(AC842="operational","operational_only","debated")))</x:f>
        <x:v>operational_only</x:v>
      </x:c>
      <x:c r="AE842" s="12" t="str">
        <x:f>IF(AC842="deprecated","deprecated",IF(M842="yes","active",IF(M842="review","review_required","backlog")))</x:f>
        <x:v>backlog</x:v>
      </x:c>
      <x:c r="AF842" s="12" t="str">
        <x:f>IF(OR(AE842="active",AE842="review_required"),"yes","no")</x:f>
        <x:v>no</x:v>
      </x:c>
      <x:c r="AG842" s="12" t="str">
        <x:f>IF(AND(AE842="active",M842="yes",NOT(ISNUMBER(SEARCH("healthy",AB842)))),"yes","no")</x:f>
        <x:v>no</x:v>
      </x:c>
      <x:c r="AH842" s="12" t="str">
        <x:f>IF(OR(H842="contextual",H842="dialogue",H842="discourse",I842="claim+context",I842="discourse_segment"),"yes","no")</x:f>
        <x:v>no</x:v>
      </x:c>
      <x:c r="AI842" s="12" t="str">
        <x:f>IF(OR(AH842="yes",AD842="debated",AC842="operational"),"yes","no")</x:f>
        <x:v>yes</x:v>
      </x:c>
      <x:c r="AJ842" s="12" t="str">
        <x:f>IF(OR(AH842="yes",AC842="operational",AD842="debated"),"high",IF(AND(AG842="yes",L842="P0"),"medium","low"))</x:f>
        <x:v>high</x:v>
      </x:c>
      <x:c r="AK842" s="12" t="str">
        <x:f>IF(ISNUMBER(SEARCH("healthy",AB842)),"yes","no")</x:f>
        <x:v>no</x:v>
      </x:c>
      <x:c r="AL842" s="12" t="str">
        <x:f>IF(AG842="yes","yes","candidate_only")</x:f>
        <x:v>candidate_only</x:v>
      </x:c>
      <x:c r="AM842" s="12" t="str">
        <x:f>IF(OR(AC842="canonical",AG842="yes"),"yes","recommended")</x:f>
        <x:v>recommended</x:v>
      </x:c>
      <x:c r="AN842" s="12" t="str">
        <x:f>IF(AC842="deprecated","exclude",IF(AND(AG842="yes",AJ842="high"),"import_but_human_review_required",IF(AG842="yes","import_as_active","import_as_backlog")))</x:f>
        <x:v>import_as_backlog</x:v>
      </x:c>
      <x:c r="AO842" s="12" t="str">
        <x:f>IF(AND(AG842="yes",OR(P842="",Q842="",R842="",S842="")),"missing_required_mvp_fields",IF(AND(AC842="canonical",Y842=""),"missing_source_ref","ok"))</x:f>
        <x:v>ok</x:v>
      </x:c>
      <x:c r="AP842" s="12" t="str">
        <x:f>IF(AO842="ok","ready_for_codex_import","needs_review")</x:f>
        <x:v>ready_for_codex_import</x:v>
      </x:c>
      <x:c r="AQ842" s="12"/>
      <x:c r="AR842" s="12" t="str">
        <x:v>Added v2 operational fields. Review before classification activation.</x:v>
      </x:c>
    </x:row>
    <x:row r="843">
      <x:c r="A843" s="13" t="str">
        <x:v>glittering_generalities_dialogue_pressure_variant</x:v>
      </x:c>
      <x:c r="B843" s="13" t="str">
        <x:v>glittering_generalities</x:v>
      </x:c>
      <x:c r="C843" s="13" t="str">
        <x:v>Glittering generalities</x:v>
      </x:c>
      <x:c r="D843" s="13" t="str">
        <x:v>کلی‌گویی درخشان</x:v>
      </x:c>
      <x:c r="E843" s="13" t="str">
        <x:v>Dialogue-pressure variant</x:v>
      </x:c>
      <x:c r="F843" s="13" t="str">
        <x:v>rhetorical_manipulation_patterns</x:v>
      </x:c>
      <x:c r="G843" s="13" t="str">
        <x:v>operational_variant</x:v>
      </x:c>
      <x:c r="H843" s="13" t="str">
        <x:v>lexical</x:v>
      </x:c>
      <x:c r="I843" s="13" t="str">
        <x:v>claim</x:v>
      </x:c>
      <x:c r="J843" s="13" t="str">
        <x:v>derived_operational_subtype</x:v>
      </x:c>
      <x:c r="K843" s="13" t="str">
        <x:v>derived_from_established_parent_review_required</x:v>
      </x:c>
      <x:c r="L843" s="13" t="str">
        <x:v>P3</x:v>
      </x:c>
      <x:c r="M843" s="13" t="str">
        <x:v>no</x:v>
      </x:c>
      <x:c r="N843" s="13" t="str">
        <x:v>Operational subtype under Glittering generalities: the pattern appears as a pressure move in dialogue. Parent definition: Using attractive but vague terms as persuasion instead of reasons.</x:v>
      </x:c>
      <x:c r="O843" s="13" t="str">
        <x:v>Look for: explicit claim-level evidence; parent-family cues for Glittering generalities; variant cue: the pattern appears as a pressure move in dialogue; avoid author-level inference.</x:v>
      </x:c>
      <x:c r="P843" s="13" t="str">
        <x:v>Exact evidence span in text plus claim-level reasoning link; for contextual/discourse entries, require surrounding context.</x:v>
      </x:c>
      <x:c r="Q843" s="13" t="str">
        <x:v>Do not label merely because topic is controversial, emotional, or wrong. Do not judge intent or personality. Require textual evidence and consider healthy-reasoning cues.</x:v>
      </x:c>
      <x:c r="R843" s="13" t="str">
        <x:v>Stub: A claim relies on the pattern appears as a pressure move in dialogue to support a conclusion without adequate qualification.</x:v>
      </x:c>
      <x:c r="S843" s="13" t="str">
        <x:v>Stub: A claim discusses glittering generalities with caveats, balanced evidence, or no argumentative use of the pattern.</x:v>
      </x:c>
      <x:c r="T843" s="13" t="str">
        <x:v>Mild or ambiguous cue; do not classify without clear evidence span.</x:v>
      </x:c>
      <x:c r="U843" s="13" t="str">
        <x:v>Clear claim-level pattern with some argumentative impact.</x:v>
      </x:c>
      <x:c r="V843" s="13" t="str">
        <x:v>Strong pattern central to the conclusion and likely to materially distort reasoning.</x:v>
      </x:c>
      <x:c r="W843" s="13" t="str"/>
      <x:c r="X843" s="13" t="str">
        <x:v>grice_logic_conversation</x:v>
      </x:c>
      <x:c r="Y843" s="13" t="str">
        <x:v>https://doi.org/10.1163/9789004368811_003</x:v>
      </x:c>
      <x:c r="Z843" s="13" t="str">
        <x:v>Review before enabling. This workbook is a living taxonomy scaffold, not a validated scientific benchmark.</x:v>
      </x:c>
      <x:c r="AA843" s="13" t="str">
        <x:v>0.1.0-draft</x:v>
      </x:c>
      <x:c r="AB843" s="12" t="str">
        <x:f>IF(ISNUMBER(SEARCH("healthy",F843)),"healthy_reasoning_patterns",IF(ISNUMBER(SEARCH("statistical",F843)),"statistical_reasoning",IF(ISNUMBER(SEARCH("causal",F843)),"causal_reasoning",IF(ISNUMBER(SEARCH("social",F843)),"social_influence",IF(ISNUMBER(SEARCH("rhetoric",F843)),"rhetoric_discourse",IF(ISNUMBER(SEARCH("behavior",F843)),"behavioural_economics",IF(ISNUMBER(SEARCH("cognitive",F843)),"cognitive_biases",IF(J843="protective_pattern","healthy_reasoning_patterns",IF(L843="P0","core_mvp","extended_fallacies")))))))))</x:f>
        <x:v>rhetoric_discourse</x:v>
      </x:c>
      <x:c r="AC843" s="12" t="str">
        <x:f>IF(ISNUMBER(SEARCH("operational",J843)),"operational",IF(ISNUMBER(SEARCH("deprecated",J843)),"deprecated",IF(L843="P0","canonical","recognized_subtype")))</x:f>
        <x:v>operational</x:v>
      </x:c>
      <x:c r="AD843" s="12" t="str">
        <x:f>IF(AC843="canonical","high",IF(AC843="recognized_subtype","medium",IF(AC843="operational","operational_only","debated")))</x:f>
        <x:v>operational_only</x:v>
      </x:c>
      <x:c r="AE843" s="12" t="str">
        <x:f>IF(AC843="deprecated","deprecated",IF(M843="yes","active",IF(M843="review","review_required","backlog")))</x:f>
        <x:v>backlog</x:v>
      </x:c>
      <x:c r="AF843" s="12" t="str">
        <x:f>IF(OR(AE843="active",AE843="review_required"),"yes","no")</x:f>
        <x:v>no</x:v>
      </x:c>
      <x:c r="AG843" s="12" t="str">
        <x:f>IF(AND(AE843="active",M843="yes",NOT(ISNUMBER(SEARCH("healthy",AB843)))),"yes","no")</x:f>
        <x:v>no</x:v>
      </x:c>
      <x:c r="AH843" s="12" t="str">
        <x:f>IF(OR(H843="contextual",H843="dialogue",H843="discourse",I843="claim+context",I843="discourse_segment"),"yes","no")</x:f>
        <x:v>no</x:v>
      </x:c>
      <x:c r="AI843" s="12" t="str">
        <x:f>IF(OR(AH843="yes",AD843="debated",AC843="operational"),"yes","no")</x:f>
        <x:v>yes</x:v>
      </x:c>
      <x:c r="AJ843" s="12" t="str">
        <x:f>IF(OR(AH843="yes",AC843="operational",AD843="debated"),"high",IF(AND(AG843="yes",L843="P0"),"medium","low"))</x:f>
        <x:v>high</x:v>
      </x:c>
      <x:c r="AK843" s="12" t="str">
        <x:f>IF(ISNUMBER(SEARCH("healthy",AB843)),"yes","no")</x:f>
        <x:v>no</x:v>
      </x:c>
      <x:c r="AL843" s="12" t="str">
        <x:f>IF(AG843="yes","yes","candidate_only")</x:f>
        <x:v>candidate_only</x:v>
      </x:c>
      <x:c r="AM843" s="12" t="str">
        <x:f>IF(OR(AC843="canonical",AG843="yes"),"yes","recommended")</x:f>
        <x:v>recommended</x:v>
      </x:c>
      <x:c r="AN843" s="12" t="str">
        <x:f>IF(AC843="deprecated","exclude",IF(AND(AG843="yes",AJ843="high"),"import_but_human_review_required",IF(AG843="yes","import_as_active","import_as_backlog")))</x:f>
        <x:v>import_as_backlog</x:v>
      </x:c>
      <x:c r="AO843" s="12" t="str">
        <x:f>IF(AND(AG843="yes",OR(P843="",Q843="",R843="",S843="")),"missing_required_mvp_fields",IF(AND(AC843="canonical",Y843=""),"missing_source_ref","ok"))</x:f>
        <x:v>ok</x:v>
      </x:c>
      <x:c r="AP843" s="12" t="str">
        <x:f>IF(AO843="ok","ready_for_codex_import","needs_review")</x:f>
        <x:v>ready_for_codex_import</x:v>
      </x:c>
      <x:c r="AQ843" s="12"/>
      <x:c r="AR843" s="12" t="str">
        <x:v>Added v2 operational fields. Review before classification activation.</x:v>
      </x:c>
    </x:row>
    <x:row r="844">
      <x:c r="A844" s="13" t="str">
        <x:v>name_calling_dialogue_pressure_variant</x:v>
      </x:c>
      <x:c r="B844" s="13" t="str">
        <x:v>name_calling</x:v>
      </x:c>
      <x:c r="C844" s="13" t="str">
        <x:v>Name calling</x:v>
      </x:c>
      <x:c r="D844" s="13" t="str">
        <x:v>برچسب‌زنی تحقیرآمیز</x:v>
      </x:c>
      <x:c r="E844" s="13" t="str">
        <x:v>Dialogue-pressure variant</x:v>
      </x:c>
      <x:c r="F844" s="13" t="str">
        <x:v>rhetorical_manipulation_patterns</x:v>
      </x:c>
      <x:c r="G844" s="13" t="str">
        <x:v>operational_variant</x:v>
      </x:c>
      <x:c r="H844" s="13" t="str">
        <x:v>lexical</x:v>
      </x:c>
      <x:c r="I844" s="13" t="str">
        <x:v>claim</x:v>
      </x:c>
      <x:c r="J844" s="13" t="str">
        <x:v>derived_operational_subtype</x:v>
      </x:c>
      <x:c r="K844" s="13" t="str">
        <x:v>derived_from_established_parent_review_required</x:v>
      </x:c>
      <x:c r="L844" s="13" t="str">
        <x:v>P3</x:v>
      </x:c>
      <x:c r="M844" s="13" t="str">
        <x:v>no</x:v>
      </x:c>
      <x:c r="N844" s="13" t="str">
        <x:v>Operational subtype under Name calling: the pattern appears as a pressure move in dialogue. Parent definition: Using negative labels as substitutes for argument.</x:v>
      </x:c>
      <x:c r="O844" s="13" t="str">
        <x:v>Look for: explicit claim-level evidence; parent-family cues for Name calling; variant cue: the pattern appears as a pressure move in dialogue; avoid author-level inference.</x:v>
      </x:c>
      <x:c r="P844" s="13" t="str">
        <x:v>Exact evidence span in text plus claim-level reasoning link; for contextual/discourse entries, require surrounding context.</x:v>
      </x:c>
      <x:c r="Q844" s="13" t="str">
        <x:v>Do not label merely because topic is controversial, emotional, or wrong. Do not judge intent or personality. Require textual evidence and consider healthy-reasoning cues.</x:v>
      </x:c>
      <x:c r="R844" s="13" t="str">
        <x:v>Stub: A claim relies on the pattern appears as a pressure move in dialogue to support a conclusion without adequate qualification.</x:v>
      </x:c>
      <x:c r="S844" s="13" t="str">
        <x:v>Stub: A claim discusses name calling with caveats, balanced evidence, or no argumentative use of the pattern.</x:v>
      </x:c>
      <x:c r="T844" s="13" t="str">
        <x:v>Mild or ambiguous cue; do not classify without clear evidence span.</x:v>
      </x:c>
      <x:c r="U844" s="13" t="str">
        <x:v>Clear claim-level pattern with some argumentative impact.</x:v>
      </x:c>
      <x:c r="V844" s="13" t="str">
        <x:v>Strong pattern central to the conclusion and likely to materially distort reasoning.</x:v>
      </x:c>
      <x:c r="W844" s="13" t="str"/>
      <x:c r="X844" s="13" t="str">
        <x:v>sep_fallacies</x:v>
      </x:c>
      <x:c r="Y844" s="13" t="str">
        <x:v>https://plato.stanford.edu/entries/fallacies/</x:v>
      </x:c>
      <x:c r="Z844" s="13" t="str">
        <x:v>Review before enabling. This workbook is a living taxonomy scaffold, not a validated scientific benchmark.</x:v>
      </x:c>
      <x:c r="AA844" s="13" t="str">
        <x:v>0.1.0-draft</x:v>
      </x:c>
      <x:c r="AB844" s="12" t="str">
        <x:f>IF(ISNUMBER(SEARCH("healthy",F844)),"healthy_reasoning_patterns",IF(ISNUMBER(SEARCH("statistical",F844)),"statistical_reasoning",IF(ISNUMBER(SEARCH("causal",F844)),"causal_reasoning",IF(ISNUMBER(SEARCH("social",F844)),"social_influence",IF(ISNUMBER(SEARCH("rhetoric",F844)),"rhetoric_discourse",IF(ISNUMBER(SEARCH("behavior",F844)),"behavioural_economics",IF(ISNUMBER(SEARCH("cognitive",F844)),"cognitive_biases",IF(J844="protective_pattern","healthy_reasoning_patterns",IF(L844="P0","core_mvp","extended_fallacies")))))))))</x:f>
        <x:v>rhetoric_discourse</x:v>
      </x:c>
      <x:c r="AC844" s="12" t="str">
        <x:f>IF(ISNUMBER(SEARCH("operational",J844)),"operational",IF(ISNUMBER(SEARCH("deprecated",J844)),"deprecated",IF(L844="P0","canonical","recognized_subtype")))</x:f>
        <x:v>operational</x:v>
      </x:c>
      <x:c r="AD844" s="12" t="str">
        <x:f>IF(AC844="canonical","high",IF(AC844="recognized_subtype","medium",IF(AC844="operational","operational_only","debated")))</x:f>
        <x:v>operational_only</x:v>
      </x:c>
      <x:c r="AE844" s="12" t="str">
        <x:f>IF(AC844="deprecated","deprecated",IF(M844="yes","active",IF(M844="review","review_required","backlog")))</x:f>
        <x:v>backlog</x:v>
      </x:c>
      <x:c r="AF844" s="12" t="str">
        <x:f>IF(OR(AE844="active",AE844="review_required"),"yes","no")</x:f>
        <x:v>no</x:v>
      </x:c>
      <x:c r="AG844" s="12" t="str">
        <x:f>IF(AND(AE844="active",M844="yes",NOT(ISNUMBER(SEARCH("healthy",AB844)))),"yes","no")</x:f>
        <x:v>no</x:v>
      </x:c>
      <x:c r="AH844" s="12" t="str">
        <x:f>IF(OR(H844="contextual",H844="dialogue",H844="discourse",I844="claim+context",I844="discourse_segment"),"yes","no")</x:f>
        <x:v>no</x:v>
      </x:c>
      <x:c r="AI844" s="12" t="str">
        <x:f>IF(OR(AH844="yes",AD844="debated",AC844="operational"),"yes","no")</x:f>
        <x:v>yes</x:v>
      </x:c>
      <x:c r="AJ844" s="12" t="str">
        <x:f>IF(OR(AH844="yes",AC844="operational",AD844="debated"),"high",IF(AND(AG844="yes",L844="P0"),"medium","low"))</x:f>
        <x:v>high</x:v>
      </x:c>
      <x:c r="AK844" s="12" t="str">
        <x:f>IF(ISNUMBER(SEARCH("healthy",AB844)),"yes","no")</x:f>
        <x:v>no</x:v>
      </x:c>
      <x:c r="AL844" s="12" t="str">
        <x:f>IF(AG844="yes","yes","candidate_only")</x:f>
        <x:v>candidate_only</x:v>
      </x:c>
      <x:c r="AM844" s="12" t="str">
        <x:f>IF(OR(AC844="canonical",AG844="yes"),"yes","recommended")</x:f>
        <x:v>recommended</x:v>
      </x:c>
      <x:c r="AN844" s="12" t="str">
        <x:f>IF(AC844="deprecated","exclude",IF(AND(AG844="yes",AJ844="high"),"import_but_human_review_required",IF(AG844="yes","import_as_active","import_as_backlog")))</x:f>
        <x:v>import_as_backlog</x:v>
      </x:c>
      <x:c r="AO844" s="12" t="str">
        <x:f>IF(AND(AG844="yes",OR(P844="",Q844="",R844="",S844="")),"missing_required_mvp_fields",IF(AND(AC844="canonical",Y844=""),"missing_source_ref","ok"))</x:f>
        <x:v>ok</x:v>
      </x:c>
      <x:c r="AP844" s="12" t="str">
        <x:f>IF(AO844="ok","ready_for_codex_import","needs_review")</x:f>
        <x:v>ready_for_codex_import</x:v>
      </x:c>
      <x:c r="AQ844" s="12"/>
      <x:c r="AR844" s="12" t="str">
        <x:v>Added v2 operational fields. Review before classification activation.</x:v>
      </x:c>
    </x:row>
    <x:row r="845">
      <x:c r="A845" s="13" t="str">
        <x:v>euphemism_framing_dialogue_pressure_variant</x:v>
      </x:c>
      <x:c r="B845" s="13" t="str">
        <x:v>euphemism_framing</x:v>
      </x:c>
      <x:c r="C845" s="13" t="str">
        <x:v>Euphemism framing</x:v>
      </x:c>
      <x:c r="D845" s="13" t="str">
        <x:v>قاب‌بندی تلطیفی</x:v>
      </x:c>
      <x:c r="E845" s="13" t="str">
        <x:v>Dialogue-pressure variant</x:v>
      </x:c>
      <x:c r="F845" s="13" t="str">
        <x:v>rhetorical_manipulation_patterns</x:v>
      </x:c>
      <x:c r="G845" s="13" t="str">
        <x:v>operational_variant</x:v>
      </x:c>
      <x:c r="H845" s="13" t="str">
        <x:v>lexical</x:v>
      </x:c>
      <x:c r="I845" s="13" t="str">
        <x:v>claim</x:v>
      </x:c>
      <x:c r="J845" s="13" t="str">
        <x:v>derived_operational_subtype</x:v>
      </x:c>
      <x:c r="K845" s="13" t="str">
        <x:v>derived_from_established_parent_review_required</x:v>
      </x:c>
      <x:c r="L845" s="13" t="str">
        <x:v>P3</x:v>
      </x:c>
      <x:c r="M845" s="13" t="str">
        <x:v>no</x:v>
      </x:c>
      <x:c r="N845" s="13" t="str">
        <x:v>Operational subtype under Euphemism framing: the pattern appears as a pressure move in dialogue. Parent definition: Softening language to reduce perceived seriousness.</x:v>
      </x:c>
      <x:c r="O845" s="13" t="str">
        <x:v>Look for: explicit claim-level evidence; parent-family cues for Euphemism framing; variant cue: the pattern appears as a pressure move in dialogue; avoid author-level inference.</x:v>
      </x:c>
      <x:c r="P845" s="13" t="str">
        <x:v>Exact evidence span in text plus claim-level reasoning link; for contextual/discourse entries, require surrounding context.</x:v>
      </x:c>
      <x:c r="Q845" s="13" t="str">
        <x:v>Do not label merely because topic is controversial, emotional, or wrong. Do not judge intent or personality. Require textual evidence and consider healthy-reasoning cues.</x:v>
      </x:c>
      <x:c r="R845" s="13" t="str">
        <x:v>Stub: A claim relies on the pattern appears as a pressure move in dialogue to support a conclusion without adequate qualification.</x:v>
      </x:c>
      <x:c r="S845" s="13" t="str">
        <x:v>Stub: A claim discusses euphemism framing with caveats, balanced evidence, or no argumentative use of the pattern.</x:v>
      </x:c>
      <x:c r="T845" s="13" t="str">
        <x:v>Mild or ambiguous cue; do not classify without clear evidence span.</x:v>
      </x:c>
      <x:c r="U845" s="13" t="str">
        <x:v>Clear claim-level pattern with some argumentative impact.</x:v>
      </x:c>
      <x:c r="V845" s="13" t="str">
        <x:v>Strong pattern central to the conclusion and likely to materially distort reasoning.</x:v>
      </x:c>
      <x:c r="W845" s="13" t="str"/>
      <x:c r="X845" s="13" t="str">
        <x:v>grice_logic_conversation</x:v>
      </x:c>
      <x:c r="Y845" s="13" t="str">
        <x:v>https://doi.org/10.1163/9789004368811_003</x:v>
      </x:c>
      <x:c r="Z845" s="13" t="str">
        <x:v>Review before enabling. This workbook is a living taxonomy scaffold, not a validated scientific benchmark.</x:v>
      </x:c>
      <x:c r="AA845" s="13" t="str">
        <x:v>0.1.0-draft</x:v>
      </x:c>
      <x:c r="AB845" s="12" t="str">
        <x:f>IF(ISNUMBER(SEARCH("healthy",F845)),"healthy_reasoning_patterns",IF(ISNUMBER(SEARCH("statistical",F845)),"statistical_reasoning",IF(ISNUMBER(SEARCH("causal",F845)),"causal_reasoning",IF(ISNUMBER(SEARCH("social",F845)),"social_influence",IF(ISNUMBER(SEARCH("rhetoric",F845)),"rhetoric_discourse",IF(ISNUMBER(SEARCH("behavior",F845)),"behavioural_economics",IF(ISNUMBER(SEARCH("cognitive",F845)),"cognitive_biases",IF(J845="protective_pattern","healthy_reasoning_patterns",IF(L845="P0","core_mvp","extended_fallacies")))))))))</x:f>
        <x:v>rhetoric_discourse</x:v>
      </x:c>
      <x:c r="AC845" s="12" t="str">
        <x:f>IF(ISNUMBER(SEARCH("operational",J845)),"operational",IF(ISNUMBER(SEARCH("deprecated",J845)),"deprecated",IF(L845="P0","canonical","recognized_subtype")))</x:f>
        <x:v>operational</x:v>
      </x:c>
      <x:c r="AD845" s="12" t="str">
        <x:f>IF(AC845="canonical","high",IF(AC845="recognized_subtype","medium",IF(AC845="operational","operational_only","debated")))</x:f>
        <x:v>operational_only</x:v>
      </x:c>
      <x:c r="AE845" s="12" t="str">
        <x:f>IF(AC845="deprecated","deprecated",IF(M845="yes","active",IF(M845="review","review_required","backlog")))</x:f>
        <x:v>backlog</x:v>
      </x:c>
      <x:c r="AF845" s="12" t="str">
        <x:f>IF(OR(AE845="active",AE845="review_required"),"yes","no")</x:f>
        <x:v>no</x:v>
      </x:c>
      <x:c r="AG845" s="12" t="str">
        <x:f>IF(AND(AE845="active",M845="yes",NOT(ISNUMBER(SEARCH("healthy",AB845)))),"yes","no")</x:f>
        <x:v>no</x:v>
      </x:c>
      <x:c r="AH845" s="12" t="str">
        <x:f>IF(OR(H845="contextual",H845="dialogue",H845="discourse",I845="claim+context",I845="discourse_segment"),"yes","no")</x:f>
        <x:v>no</x:v>
      </x:c>
      <x:c r="AI845" s="12" t="str">
        <x:f>IF(OR(AH845="yes",AD845="debated",AC845="operational"),"yes","no")</x:f>
        <x:v>yes</x:v>
      </x:c>
      <x:c r="AJ845" s="12" t="str">
        <x:f>IF(OR(AH845="yes",AC845="operational",AD845="debated"),"high",IF(AND(AG845="yes",L845="P0"),"medium","low"))</x:f>
        <x:v>high</x:v>
      </x:c>
      <x:c r="AK845" s="12" t="str">
        <x:f>IF(ISNUMBER(SEARCH("healthy",AB845)),"yes","no")</x:f>
        <x:v>no</x:v>
      </x:c>
      <x:c r="AL845" s="12" t="str">
        <x:f>IF(AG845="yes","yes","candidate_only")</x:f>
        <x:v>candidate_only</x:v>
      </x:c>
      <x:c r="AM845" s="12" t="str">
        <x:f>IF(OR(AC845="canonical",AG845="yes"),"yes","recommended")</x:f>
        <x:v>recommended</x:v>
      </x:c>
      <x:c r="AN845" s="12" t="str">
        <x:f>IF(AC845="deprecated","exclude",IF(AND(AG845="yes",AJ845="high"),"import_but_human_review_required",IF(AG845="yes","import_as_active","import_as_backlog")))</x:f>
        <x:v>import_as_backlog</x:v>
      </x:c>
      <x:c r="AO845" s="12" t="str">
        <x:f>IF(AND(AG845="yes",OR(P845="",Q845="",R845="",S845="")),"missing_required_mvp_fields",IF(AND(AC845="canonical",Y845=""),"missing_source_ref","ok"))</x:f>
        <x:v>ok</x:v>
      </x:c>
      <x:c r="AP845" s="12" t="str">
        <x:f>IF(AO845="ok","ready_for_codex_import","needs_review")</x:f>
        <x:v>ready_for_codex_import</x:v>
      </x:c>
      <x:c r="AQ845" s="12"/>
      <x:c r="AR845" s="12" t="str">
        <x:v>Added v2 operational fields. Review before classification activation.</x:v>
      </x:c>
    </x:row>
    <x:row r="846">
      <x:c r="A846" s="13" t="str">
        <x:v>dysphemism_framing_dialogue_pressure_variant</x:v>
      </x:c>
      <x:c r="B846" s="13" t="str">
        <x:v>dysphemism_framing</x:v>
      </x:c>
      <x:c r="C846" s="13" t="str">
        <x:v>Dysphemism framing</x:v>
      </x:c>
      <x:c r="D846" s="13" t="str">
        <x:v>قاب‌بندی تخریبی</x:v>
      </x:c>
      <x:c r="E846" s="13" t="str">
        <x:v>Dialogue-pressure variant</x:v>
      </x:c>
      <x:c r="F846" s="13" t="str">
        <x:v>rhetorical_manipulation_patterns</x:v>
      </x:c>
      <x:c r="G846" s="13" t="str">
        <x:v>operational_variant</x:v>
      </x:c>
      <x:c r="H846" s="13" t="str">
        <x:v>lexical</x:v>
      </x:c>
      <x:c r="I846" s="13" t="str">
        <x:v>claim</x:v>
      </x:c>
      <x:c r="J846" s="13" t="str">
        <x:v>derived_operational_subtype</x:v>
      </x:c>
      <x:c r="K846" s="13" t="str">
        <x:v>derived_from_established_parent_review_required</x:v>
      </x:c>
      <x:c r="L846" s="13" t="str">
        <x:v>P3</x:v>
      </x:c>
      <x:c r="M846" s="13" t="str">
        <x:v>no</x:v>
      </x:c>
      <x:c r="N846" s="13" t="str">
        <x:v>Operational subtype under Dysphemism framing: the pattern appears as a pressure move in dialogue. Parent definition: Using harsher wording to intensify perceived seriousness.</x:v>
      </x:c>
      <x:c r="O846" s="13" t="str">
        <x:v>Look for: explicit claim-level evidence; parent-family cues for Dysphemism framing; variant cue: the pattern appears as a pressure move in dialogue; avoid author-level inference.</x:v>
      </x:c>
      <x:c r="P846" s="13" t="str">
        <x:v>Exact evidence span in text plus claim-level reasoning link; for contextual/discourse entries, require surrounding context.</x:v>
      </x:c>
      <x:c r="Q846" s="13" t="str">
        <x:v>Do not label merely because topic is controversial, emotional, or wrong. Do not judge intent or personality. Require textual evidence and consider healthy-reasoning cues.</x:v>
      </x:c>
      <x:c r="R846" s="13" t="str">
        <x:v>Stub: A claim relies on the pattern appears as a pressure move in dialogue to support a conclusion without adequate qualification.</x:v>
      </x:c>
      <x:c r="S846" s="13" t="str">
        <x:v>Stub: A claim discusses dysphemism framing with caveats, balanced evidence, or no argumentative use of the pattern.</x:v>
      </x:c>
      <x:c r="T846" s="13" t="str">
        <x:v>Mild or ambiguous cue; do not classify without clear evidence span.</x:v>
      </x:c>
      <x:c r="U846" s="13" t="str">
        <x:v>Clear claim-level pattern with some argumentative impact.</x:v>
      </x:c>
      <x:c r="V846" s="13" t="str">
        <x:v>Strong pattern central to the conclusion and likely to materially distort reasoning.</x:v>
      </x:c>
      <x:c r="W846" s="13" t="str"/>
      <x:c r="X846" s="13" t="str">
        <x:v>grice_logic_conversation</x:v>
      </x:c>
      <x:c r="Y846" s="13" t="str">
        <x:v>https://doi.org/10.1163/9789004368811_003</x:v>
      </x:c>
      <x:c r="Z846" s="13" t="str">
        <x:v>Review before enabling. This workbook is a living taxonomy scaffold, not a validated scientific benchmark.</x:v>
      </x:c>
      <x:c r="AA846" s="13" t="str">
        <x:v>0.1.0-draft</x:v>
      </x:c>
      <x:c r="AB846" s="12" t="str">
        <x:f>IF(ISNUMBER(SEARCH("healthy",F846)),"healthy_reasoning_patterns",IF(ISNUMBER(SEARCH("statistical",F846)),"statistical_reasoning",IF(ISNUMBER(SEARCH("causal",F846)),"causal_reasoning",IF(ISNUMBER(SEARCH("social",F846)),"social_influence",IF(ISNUMBER(SEARCH("rhetoric",F846)),"rhetoric_discourse",IF(ISNUMBER(SEARCH("behavior",F846)),"behavioural_economics",IF(ISNUMBER(SEARCH("cognitive",F846)),"cognitive_biases",IF(J846="protective_pattern","healthy_reasoning_patterns",IF(L846="P0","core_mvp","extended_fallacies")))))))))</x:f>
        <x:v>rhetoric_discourse</x:v>
      </x:c>
      <x:c r="AC846" s="12" t="str">
        <x:f>IF(ISNUMBER(SEARCH("operational",J846)),"operational",IF(ISNUMBER(SEARCH("deprecated",J846)),"deprecated",IF(L846="P0","canonical","recognized_subtype")))</x:f>
        <x:v>operational</x:v>
      </x:c>
      <x:c r="AD846" s="12" t="str">
        <x:f>IF(AC846="canonical","high",IF(AC846="recognized_subtype","medium",IF(AC846="operational","operational_only","debated")))</x:f>
        <x:v>operational_only</x:v>
      </x:c>
      <x:c r="AE846" s="12" t="str">
        <x:f>IF(AC846="deprecated","deprecated",IF(M846="yes","active",IF(M846="review","review_required","backlog")))</x:f>
        <x:v>backlog</x:v>
      </x:c>
      <x:c r="AF846" s="12" t="str">
        <x:f>IF(OR(AE846="active",AE846="review_required"),"yes","no")</x:f>
        <x:v>no</x:v>
      </x:c>
      <x:c r="AG846" s="12" t="str">
        <x:f>IF(AND(AE846="active",M846="yes",NOT(ISNUMBER(SEARCH("healthy",AB846)))),"yes","no")</x:f>
        <x:v>no</x:v>
      </x:c>
      <x:c r="AH846" s="12" t="str">
        <x:f>IF(OR(H846="contextual",H846="dialogue",H846="discourse",I846="claim+context",I846="discourse_segment"),"yes","no")</x:f>
        <x:v>no</x:v>
      </x:c>
      <x:c r="AI846" s="12" t="str">
        <x:f>IF(OR(AH846="yes",AD846="debated",AC846="operational"),"yes","no")</x:f>
        <x:v>yes</x:v>
      </x:c>
      <x:c r="AJ846" s="12" t="str">
        <x:f>IF(OR(AH846="yes",AC846="operational",AD846="debated"),"high",IF(AND(AG846="yes",L846="P0"),"medium","low"))</x:f>
        <x:v>high</x:v>
      </x:c>
      <x:c r="AK846" s="12" t="str">
        <x:f>IF(ISNUMBER(SEARCH("healthy",AB846)),"yes","no")</x:f>
        <x:v>no</x:v>
      </x:c>
      <x:c r="AL846" s="12" t="str">
        <x:f>IF(AG846="yes","yes","candidate_only")</x:f>
        <x:v>candidate_only</x:v>
      </x:c>
      <x:c r="AM846" s="12" t="str">
        <x:f>IF(OR(AC846="canonical",AG846="yes"),"yes","recommended")</x:f>
        <x:v>recommended</x:v>
      </x:c>
      <x:c r="AN846" s="12" t="str">
        <x:f>IF(AC846="deprecated","exclude",IF(AND(AG846="yes",AJ846="high"),"import_but_human_review_required",IF(AG846="yes","import_as_active","import_as_backlog")))</x:f>
        <x:v>import_as_backlog</x:v>
      </x:c>
      <x:c r="AO846" s="12" t="str">
        <x:f>IF(AND(AG846="yes",OR(P846="",Q846="",R846="",S846="")),"missing_required_mvp_fields",IF(AND(AC846="canonical",Y846=""),"missing_source_ref","ok"))</x:f>
        <x:v>ok</x:v>
      </x:c>
      <x:c r="AP846" s="12" t="str">
        <x:f>IF(AO846="ok","ready_for_codex_import","needs_review")</x:f>
        <x:v>ready_for_codex_import</x:v>
      </x:c>
      <x:c r="AQ846" s="12"/>
      <x:c r="AR846" s="12" t="str">
        <x:v>Added v2 operational fields. Review before classification activation.</x:v>
      </x:c>
    </x:row>
    <x:row r="847">
      <x:c r="A847" s="13" t="str">
        <x:v>fear_mongering_dialogue_pressure_variant</x:v>
      </x:c>
      <x:c r="B847" s="13" t="str">
        <x:v>fear_mongering</x:v>
      </x:c>
      <x:c r="C847" s="13" t="str">
        <x:v>Fear mongering</x:v>
      </x:c>
      <x:c r="D847" s="13" t="str">
        <x:v>ترس‌افکنی</x:v>
      </x:c>
      <x:c r="E847" s="13" t="str">
        <x:v>Dialogue-pressure variant</x:v>
      </x:c>
      <x:c r="F847" s="13" t="str">
        <x:v>rhetorical_manipulation_patterns</x:v>
      </x:c>
      <x:c r="G847" s="13" t="str">
        <x:v>operational_variant</x:v>
      </x:c>
      <x:c r="H847" s="13" t="str">
        <x:v>discourse</x:v>
      </x:c>
      <x:c r="I847" s="13" t="str">
        <x:v>discourse_segment</x:v>
      </x:c>
      <x:c r="J847" s="13" t="str">
        <x:v>derived_operational_subtype</x:v>
      </x:c>
      <x:c r="K847" s="13" t="str">
        <x:v>derived_from_established_parent_review_required</x:v>
      </x:c>
      <x:c r="L847" s="13" t="str">
        <x:v>P3</x:v>
      </x:c>
      <x:c r="M847" s="13" t="str">
        <x:v>no</x:v>
      </x:c>
      <x:c r="N847" s="13" t="str">
        <x:v>Operational subtype under Fear mongering: the pattern appears as a pressure move in dialogue. Parent definition: Amplifying threats to push a conclusion or choice.</x:v>
      </x:c>
      <x:c r="O847" s="13" t="str">
        <x:v>Look for: explicit claim-level evidence; parent-family cues for Fear mongering; variant cue: the pattern appears as a pressure move in dialogue; avoid author-level inference.</x:v>
      </x:c>
      <x:c r="P847" s="13" t="str">
        <x:v>Exact evidence span in text plus claim-level reasoning link; for contextual/discourse entries, require surrounding context.</x:v>
      </x:c>
      <x:c r="Q847" s="13" t="str">
        <x:v>Do not label merely because topic is controversial, emotional, or wrong. Do not judge intent or personality. Require textual evidence and consider healthy-reasoning cues.</x:v>
      </x:c>
      <x:c r="R847" s="13" t="str">
        <x:v>Stub: A claim relies on the pattern appears as a pressure move in dialogue to support a conclusion without adequate qualification.</x:v>
      </x:c>
      <x:c r="S847" s="13" t="str">
        <x:v>Stub: A claim discusses fear mongering with caveats, balanced evidence, or no argumentative use of the pattern.</x:v>
      </x:c>
      <x:c r="T847" s="13" t="str">
        <x:v>Mild or ambiguous cue; do not classify without clear evidence span.</x:v>
      </x:c>
      <x:c r="U847" s="13" t="str">
        <x:v>Clear claim-level pattern with some argumentative impact.</x:v>
      </x:c>
      <x:c r="V847" s="13" t="str">
        <x:v>Strong pattern central to the conclusion and likely to materially distort reasoning.</x:v>
      </x:c>
      <x:c r="W847" s="13" t="str"/>
      <x:c r="X847" s="13" t="str">
        <x:v>sep_fallacies</x:v>
      </x:c>
      <x:c r="Y847" s="13" t="str">
        <x:v>https://plato.stanford.edu/entries/fallacies/</x:v>
      </x:c>
      <x:c r="Z847" s="13" t="str">
        <x:v>Review before enabling. This workbook is a living taxonomy scaffold, not a validated scientific benchmark.</x:v>
      </x:c>
      <x:c r="AA847" s="13" t="str">
        <x:v>0.1.0-draft</x:v>
      </x:c>
      <x:c r="AB847" s="12" t="str">
        <x:f>IF(ISNUMBER(SEARCH("healthy",F847)),"healthy_reasoning_patterns",IF(ISNUMBER(SEARCH("statistical",F847)),"statistical_reasoning",IF(ISNUMBER(SEARCH("causal",F847)),"causal_reasoning",IF(ISNUMBER(SEARCH("social",F847)),"social_influence",IF(ISNUMBER(SEARCH("rhetoric",F847)),"rhetoric_discourse",IF(ISNUMBER(SEARCH("behavior",F847)),"behavioural_economics",IF(ISNUMBER(SEARCH("cognitive",F847)),"cognitive_biases",IF(J847="protective_pattern","healthy_reasoning_patterns",IF(L847="P0","core_mvp","extended_fallacies")))))))))</x:f>
        <x:v>rhetoric_discourse</x:v>
      </x:c>
      <x:c r="AC847" s="12" t="str">
        <x:f>IF(ISNUMBER(SEARCH("operational",J847)),"operational",IF(ISNUMBER(SEARCH("deprecated",J847)),"deprecated",IF(L847="P0","canonical","recognized_subtype")))</x:f>
        <x:v>operational</x:v>
      </x:c>
      <x:c r="AD847" s="12" t="str">
        <x:f>IF(AC847="canonical","high",IF(AC847="recognized_subtype","medium",IF(AC847="operational","operational_only","debated")))</x:f>
        <x:v>operational_only</x:v>
      </x:c>
      <x:c r="AE847" s="12" t="str">
        <x:f>IF(AC847="deprecated","deprecated",IF(M847="yes","active",IF(M847="review","review_required","backlog")))</x:f>
        <x:v>backlog</x:v>
      </x:c>
      <x:c r="AF847" s="12" t="str">
        <x:f>IF(OR(AE847="active",AE847="review_required"),"yes","no")</x:f>
        <x:v>no</x:v>
      </x:c>
      <x:c r="AG847" s="12" t="str">
        <x:f>IF(AND(AE847="active",M847="yes",NOT(ISNUMBER(SEARCH("healthy",AB847)))),"yes","no")</x:f>
        <x:v>no</x:v>
      </x:c>
      <x:c r="AH847" s="12" t="str">
        <x:f>IF(OR(H847="contextual",H847="dialogue",H847="discourse",I847="claim+context",I847="discourse_segment"),"yes","no")</x:f>
        <x:v>yes</x:v>
      </x:c>
      <x:c r="AI847" s="12" t="str">
        <x:f>IF(OR(AH847="yes",AD847="debated",AC847="operational"),"yes","no")</x:f>
        <x:v>yes</x:v>
      </x:c>
      <x:c r="AJ847" s="12" t="str">
        <x:f>IF(OR(AH847="yes",AC847="operational",AD847="debated"),"high",IF(AND(AG847="yes",L847="P0"),"medium","low"))</x:f>
        <x:v>high</x:v>
      </x:c>
      <x:c r="AK847" s="12" t="str">
        <x:f>IF(ISNUMBER(SEARCH("healthy",AB847)),"yes","no")</x:f>
        <x:v>no</x:v>
      </x:c>
      <x:c r="AL847" s="12" t="str">
        <x:f>IF(AG847="yes","yes","candidate_only")</x:f>
        <x:v>candidate_only</x:v>
      </x:c>
      <x:c r="AM847" s="12" t="str">
        <x:f>IF(OR(AC847="canonical",AG847="yes"),"yes","recommended")</x:f>
        <x:v>recommended</x:v>
      </x:c>
      <x:c r="AN847" s="12" t="str">
        <x:f>IF(AC847="deprecated","exclude",IF(AND(AG847="yes",AJ847="high"),"import_but_human_review_required",IF(AG847="yes","import_as_active","import_as_backlog")))</x:f>
        <x:v>import_as_backlog</x:v>
      </x:c>
      <x:c r="AO847" s="12" t="str">
        <x:f>IF(AND(AG847="yes",OR(P847="",Q847="",R847="",S847="")),"missing_required_mvp_fields",IF(AND(AC847="canonical",Y847=""),"missing_source_ref","ok"))</x:f>
        <x:v>ok</x:v>
      </x:c>
      <x:c r="AP847" s="12" t="str">
        <x:f>IF(AO847="ok","ready_for_codex_import","needs_review")</x:f>
        <x:v>ready_for_codex_import</x:v>
      </x:c>
      <x:c r="AQ847" s="12"/>
      <x:c r="AR847" s="12" t="str">
        <x:v>Added v2 operational fields. Review before classification activation.</x:v>
      </x:c>
    </x:row>
    <x:row r="848">
      <x:c r="A848" s="13" t="str">
        <x:v>urgency_pressure_dialogue_pressure_variant</x:v>
      </x:c>
      <x:c r="B848" s="13" t="str">
        <x:v>urgency_pressure</x:v>
      </x:c>
      <x:c r="C848" s="13" t="str">
        <x:v>Urgency pressure</x:v>
      </x:c>
      <x:c r="D848" s="13" t="str">
        <x:v>فشار فوریت</x:v>
      </x:c>
      <x:c r="E848" s="13" t="str">
        <x:v>Dialogue-pressure variant</x:v>
      </x:c>
      <x:c r="F848" s="13" t="str">
        <x:v>rhetorical_manipulation_patterns</x:v>
      </x:c>
      <x:c r="G848" s="13" t="str">
        <x:v>operational_variant</x:v>
      </x:c>
      <x:c r="H848" s="13" t="str">
        <x:v>discourse</x:v>
      </x:c>
      <x:c r="I848" s="13" t="str">
        <x:v>discourse_segment</x:v>
      </x:c>
      <x:c r="J848" s="13" t="str">
        <x:v>derived_operational_subtype</x:v>
      </x:c>
      <x:c r="K848" s="13" t="str">
        <x:v>derived_from_established_parent_review_required</x:v>
      </x:c>
      <x:c r="L848" s="13" t="str">
        <x:v>P3</x:v>
      </x:c>
      <x:c r="M848" s="13" t="str">
        <x:v>no</x:v>
      </x:c>
      <x:c r="N848" s="13" t="str">
        <x:v>Operational subtype under Urgency pressure: the pattern appears as a pressure move in dialogue. Parent definition: Using artificial time pressure to suppress deliberation.</x:v>
      </x:c>
      <x:c r="O848" s="13" t="str">
        <x:v>Look for: explicit claim-level evidence; parent-family cues for Urgency pressure; variant cue: the pattern appears as a pressure move in dialogue; avoid author-level inference.</x:v>
      </x:c>
      <x:c r="P848" s="13" t="str">
        <x:v>Exact evidence span in text plus claim-level reasoning link; for contextual/discourse entries, require surrounding context.</x:v>
      </x:c>
      <x:c r="Q848" s="13" t="str">
        <x:v>Do not label merely because topic is controversial, emotional, or wrong. Do not judge intent or personality. Require textual evidence and consider healthy-reasoning cues.</x:v>
      </x:c>
      <x:c r="R848" s="13" t="str">
        <x:v>Stub: A claim relies on the pattern appears as a pressure move in dialogue to support a conclusion without adequate qualification.</x:v>
      </x:c>
      <x:c r="S848" s="13" t="str">
        <x:v>Stub: A claim discusses urgency pressure with caveats, balanced evidence, or no argumentative use of the pattern.</x:v>
      </x:c>
      <x:c r="T848" s="13" t="str">
        <x:v>Mild or ambiguous cue; do not classify without clear evidence span.</x:v>
      </x:c>
      <x:c r="U848" s="13" t="str">
        <x:v>Clear claim-level pattern with some argumentative impact.</x:v>
      </x:c>
      <x:c r="V848" s="13" t="str">
        <x:v>Strong pattern central to the conclusion and likely to materially distort reasoning.</x:v>
      </x:c>
      <x:c r="W848" s="13" t="str"/>
      <x:c r="X848" s="13" t="str">
        <x:v>cialdini_influence</x:v>
      </x:c>
      <x:c r="Y848" s="13" t="str">
        <x:v>https://www.pearson.com/en-us/subject-catalog/p/influence-science-and-practice/P200000003004</x:v>
      </x:c>
      <x:c r="Z848" s="13" t="str">
        <x:v>Review before enabling. This workbook is a living taxonomy scaffold, not a validated scientific benchmark.</x:v>
      </x:c>
      <x:c r="AA848" s="13" t="str">
        <x:v>0.1.0-draft</x:v>
      </x:c>
      <x:c r="AB848" s="12" t="str">
        <x:f>IF(ISNUMBER(SEARCH("healthy",F848)),"healthy_reasoning_patterns",IF(ISNUMBER(SEARCH("statistical",F848)),"statistical_reasoning",IF(ISNUMBER(SEARCH("causal",F848)),"causal_reasoning",IF(ISNUMBER(SEARCH("social",F848)),"social_influence",IF(ISNUMBER(SEARCH("rhetoric",F848)),"rhetoric_discourse",IF(ISNUMBER(SEARCH("behavior",F848)),"behavioural_economics",IF(ISNUMBER(SEARCH("cognitive",F848)),"cognitive_biases",IF(J848="protective_pattern","healthy_reasoning_patterns",IF(L848="P0","core_mvp","extended_fallacies")))))))))</x:f>
        <x:v>rhetoric_discourse</x:v>
      </x:c>
      <x:c r="AC848" s="12" t="str">
        <x:f>IF(ISNUMBER(SEARCH("operational",J848)),"operational",IF(ISNUMBER(SEARCH("deprecated",J848)),"deprecated",IF(L848="P0","canonical","recognized_subtype")))</x:f>
        <x:v>operational</x:v>
      </x:c>
      <x:c r="AD848" s="12" t="str">
        <x:f>IF(AC848="canonical","high",IF(AC848="recognized_subtype","medium",IF(AC848="operational","operational_only","debated")))</x:f>
        <x:v>operational_only</x:v>
      </x:c>
      <x:c r="AE848" s="12" t="str">
        <x:f>IF(AC848="deprecated","deprecated",IF(M848="yes","active",IF(M848="review","review_required","backlog")))</x:f>
        <x:v>backlog</x:v>
      </x:c>
      <x:c r="AF848" s="12" t="str">
        <x:f>IF(OR(AE848="active",AE848="review_required"),"yes","no")</x:f>
        <x:v>no</x:v>
      </x:c>
      <x:c r="AG848" s="12" t="str">
        <x:f>IF(AND(AE848="active",M848="yes",NOT(ISNUMBER(SEARCH("healthy",AB848)))),"yes","no")</x:f>
        <x:v>no</x:v>
      </x:c>
      <x:c r="AH848" s="12" t="str">
        <x:f>IF(OR(H848="contextual",H848="dialogue",H848="discourse",I848="claim+context",I848="discourse_segment"),"yes","no")</x:f>
        <x:v>yes</x:v>
      </x:c>
      <x:c r="AI848" s="12" t="str">
        <x:f>IF(OR(AH848="yes",AD848="debated",AC848="operational"),"yes","no")</x:f>
        <x:v>yes</x:v>
      </x:c>
      <x:c r="AJ848" s="12" t="str">
        <x:f>IF(OR(AH848="yes",AC848="operational",AD848="debated"),"high",IF(AND(AG848="yes",L848="P0"),"medium","low"))</x:f>
        <x:v>high</x:v>
      </x:c>
      <x:c r="AK848" s="12" t="str">
        <x:f>IF(ISNUMBER(SEARCH("healthy",AB848)),"yes","no")</x:f>
        <x:v>no</x:v>
      </x:c>
      <x:c r="AL848" s="12" t="str">
        <x:f>IF(AG848="yes","yes","candidate_only")</x:f>
        <x:v>candidate_only</x:v>
      </x:c>
      <x:c r="AM848" s="12" t="str">
        <x:f>IF(OR(AC848="canonical",AG848="yes"),"yes","recommended")</x:f>
        <x:v>recommended</x:v>
      </x:c>
      <x:c r="AN848" s="12" t="str">
        <x:f>IF(AC848="deprecated","exclude",IF(AND(AG848="yes",AJ848="high"),"import_but_human_review_required",IF(AG848="yes","import_as_active","import_as_backlog")))</x:f>
        <x:v>import_as_backlog</x:v>
      </x:c>
      <x:c r="AO848" s="12" t="str">
        <x:f>IF(AND(AG848="yes",OR(P848="",Q848="",R848="",S848="")),"missing_required_mvp_fields",IF(AND(AC848="canonical",Y848=""),"missing_source_ref","ok"))</x:f>
        <x:v>ok</x:v>
      </x:c>
      <x:c r="AP848" s="12" t="str">
        <x:f>IF(AO848="ok","ready_for_codex_import","needs_review")</x:f>
        <x:v>ready_for_codex_import</x:v>
      </x:c>
      <x:c r="AQ848" s="12"/>
      <x:c r="AR848" s="12" t="str">
        <x:v>Added v2 operational fields. Review before classification activation.</x:v>
      </x:c>
    </x:row>
    <x:row r="849">
      <x:c r="A849" s="13" t="str">
        <x:v>scarcity_pressure_dialogue_pressure_variant</x:v>
      </x:c>
      <x:c r="B849" s="13" t="str">
        <x:v>scarcity_pressure</x:v>
      </x:c>
      <x:c r="C849" s="13" t="str">
        <x:v>Scarcity pressure</x:v>
      </x:c>
      <x:c r="D849" s="13" t="str">
        <x:v>فشار کمیابی</x:v>
      </x:c>
      <x:c r="E849" s="13" t="str">
        <x:v>Dialogue-pressure variant</x:v>
      </x:c>
      <x:c r="F849" s="13" t="str">
        <x:v>rhetorical_manipulation_patterns</x:v>
      </x:c>
      <x:c r="G849" s="13" t="str">
        <x:v>operational_variant</x:v>
      </x:c>
      <x:c r="H849" s="13" t="str">
        <x:v>discourse</x:v>
      </x:c>
      <x:c r="I849" s="13" t="str">
        <x:v>discourse_segment</x:v>
      </x:c>
      <x:c r="J849" s="13" t="str">
        <x:v>derived_operational_subtype</x:v>
      </x:c>
      <x:c r="K849" s="13" t="str">
        <x:v>derived_from_established_parent_review_required</x:v>
      </x:c>
      <x:c r="L849" s="13" t="str">
        <x:v>P3</x:v>
      </x:c>
      <x:c r="M849" s="13" t="str">
        <x:v>no</x:v>
      </x:c>
      <x:c r="N849" s="13" t="str">
        <x:v>Operational subtype under Scarcity pressure: the pattern appears as a pressure move in dialogue. Parent definition: Using scarcity language to increase compliance.</x:v>
      </x:c>
      <x:c r="O849" s="13" t="str">
        <x:v>Look for: explicit claim-level evidence; parent-family cues for Scarcity pressure; variant cue: the pattern appears as a pressure move in dialogue; avoid author-level inference.</x:v>
      </x:c>
      <x:c r="P849" s="13" t="str">
        <x:v>Exact evidence span in text plus claim-level reasoning link; for contextual/discourse entries, require surrounding context.</x:v>
      </x:c>
      <x:c r="Q849" s="13" t="str">
        <x:v>Do not label merely because topic is controversial, emotional, or wrong. Do not judge intent or personality. Require textual evidence and consider healthy-reasoning cues.</x:v>
      </x:c>
      <x:c r="R849" s="13" t="str">
        <x:v>Stub: A claim relies on the pattern appears as a pressure move in dialogue to support a conclusion without adequate qualification.</x:v>
      </x:c>
      <x:c r="S849" s="13" t="str">
        <x:v>Stub: A claim discusses scarcity pressure with caveats, balanced evidence, or no argumentative use of the pattern.</x:v>
      </x:c>
      <x:c r="T849" s="13" t="str">
        <x:v>Mild or ambiguous cue; do not classify without clear evidence span.</x:v>
      </x:c>
      <x:c r="U849" s="13" t="str">
        <x:v>Clear claim-level pattern with some argumentative impact.</x:v>
      </x:c>
      <x:c r="V849" s="13" t="str">
        <x:v>Strong pattern central to the conclusion and likely to materially distort reasoning.</x:v>
      </x:c>
      <x:c r="W849" s="13" t="str"/>
      <x:c r="X849" s="13" t="str">
        <x:v>cialdini_influence</x:v>
      </x:c>
      <x:c r="Y849" s="13" t="str">
        <x:v>https://www.pearson.com/en-us/subject-catalog/p/influence-science-and-practice/P200000003004</x:v>
      </x:c>
      <x:c r="Z849" s="13" t="str">
        <x:v>Review before enabling. This workbook is a living taxonomy scaffold, not a validated scientific benchmark.</x:v>
      </x:c>
      <x:c r="AA849" s="13" t="str">
        <x:v>0.1.0-draft</x:v>
      </x:c>
      <x:c r="AB849" s="12" t="str">
        <x:f>IF(ISNUMBER(SEARCH("healthy",F849)),"healthy_reasoning_patterns",IF(ISNUMBER(SEARCH("statistical",F849)),"statistical_reasoning",IF(ISNUMBER(SEARCH("causal",F849)),"causal_reasoning",IF(ISNUMBER(SEARCH("social",F849)),"social_influence",IF(ISNUMBER(SEARCH("rhetoric",F849)),"rhetoric_discourse",IF(ISNUMBER(SEARCH("behavior",F849)),"behavioural_economics",IF(ISNUMBER(SEARCH("cognitive",F849)),"cognitive_biases",IF(J849="protective_pattern","healthy_reasoning_patterns",IF(L849="P0","core_mvp","extended_fallacies")))))))))</x:f>
        <x:v>rhetoric_discourse</x:v>
      </x:c>
      <x:c r="AC849" s="12" t="str">
        <x:f>IF(ISNUMBER(SEARCH("operational",J849)),"operational",IF(ISNUMBER(SEARCH("deprecated",J849)),"deprecated",IF(L849="P0","canonical","recognized_subtype")))</x:f>
        <x:v>operational</x:v>
      </x:c>
      <x:c r="AD849" s="12" t="str">
        <x:f>IF(AC849="canonical","high",IF(AC849="recognized_subtype","medium",IF(AC849="operational","operational_only","debated")))</x:f>
        <x:v>operational_only</x:v>
      </x:c>
      <x:c r="AE849" s="12" t="str">
        <x:f>IF(AC849="deprecated","deprecated",IF(M849="yes","active",IF(M849="review","review_required","backlog")))</x:f>
        <x:v>backlog</x:v>
      </x:c>
      <x:c r="AF849" s="12" t="str">
        <x:f>IF(OR(AE849="active",AE849="review_required"),"yes","no")</x:f>
        <x:v>no</x:v>
      </x:c>
      <x:c r="AG849" s="12" t="str">
        <x:f>IF(AND(AE849="active",M849="yes",NOT(ISNUMBER(SEARCH("healthy",AB849)))),"yes","no")</x:f>
        <x:v>no</x:v>
      </x:c>
      <x:c r="AH849" s="12" t="str">
        <x:f>IF(OR(H849="contextual",H849="dialogue",H849="discourse",I849="claim+context",I849="discourse_segment"),"yes","no")</x:f>
        <x:v>yes</x:v>
      </x:c>
      <x:c r="AI849" s="12" t="str">
        <x:f>IF(OR(AH849="yes",AD849="debated",AC849="operational"),"yes","no")</x:f>
        <x:v>yes</x:v>
      </x:c>
      <x:c r="AJ849" s="12" t="str">
        <x:f>IF(OR(AH849="yes",AC849="operational",AD849="debated"),"high",IF(AND(AG849="yes",L849="P0"),"medium","low"))</x:f>
        <x:v>high</x:v>
      </x:c>
      <x:c r="AK849" s="12" t="str">
        <x:f>IF(ISNUMBER(SEARCH("healthy",AB849)),"yes","no")</x:f>
        <x:v>no</x:v>
      </x:c>
      <x:c r="AL849" s="12" t="str">
        <x:f>IF(AG849="yes","yes","candidate_only")</x:f>
        <x:v>candidate_only</x:v>
      </x:c>
      <x:c r="AM849" s="12" t="str">
        <x:f>IF(OR(AC849="canonical",AG849="yes"),"yes","recommended")</x:f>
        <x:v>recommended</x:v>
      </x:c>
      <x:c r="AN849" s="12" t="str">
        <x:f>IF(AC849="deprecated","exclude",IF(AND(AG849="yes",AJ849="high"),"import_but_human_review_required",IF(AG849="yes","import_as_active","import_as_backlog")))</x:f>
        <x:v>import_as_backlog</x:v>
      </x:c>
      <x:c r="AO849" s="12" t="str">
        <x:f>IF(AND(AG849="yes",OR(P849="",Q849="",R849="",S849="")),"missing_required_mvp_fields",IF(AND(AC849="canonical",Y849=""),"missing_source_ref","ok"))</x:f>
        <x:v>ok</x:v>
      </x:c>
      <x:c r="AP849" s="12" t="str">
        <x:f>IF(AO849="ok","ready_for_codex_import","needs_review")</x:f>
        <x:v>ready_for_codex_import</x:v>
      </x:c>
      <x:c r="AQ849" s="12"/>
      <x:c r="AR849" s="12" t="str">
        <x:v>Added v2 operational fields. Review before classification activation.</x:v>
      </x:c>
    </x:row>
    <x:row r="850">
      <x:c r="A850" s="13" t="str">
        <x:v>motte_and_bailey_dialogue_pressure_variant</x:v>
      </x:c>
      <x:c r="B850" s="13" t="str">
        <x:v>motte_and_bailey</x:v>
      </x:c>
      <x:c r="C850" s="13" t="str">
        <x:v>Motte-and-bailey</x:v>
      </x:c>
      <x:c r="D850" s="13" t="str">
        <x:v>قلعه و حیاط</x:v>
      </x:c>
      <x:c r="E850" s="13" t="str">
        <x:v>Dialogue-pressure variant</x:v>
      </x:c>
      <x:c r="F850" s="13" t="str">
        <x:v>rhetorical_manipulation_patterns</x:v>
      </x:c>
      <x:c r="G850" s="13" t="str">
        <x:v>operational_variant</x:v>
      </x:c>
      <x:c r="H850" s="13" t="str">
        <x:v>dialogue</x:v>
      </x:c>
      <x:c r="I850" s="13" t="str">
        <x:v>discourse_segment</x:v>
      </x:c>
      <x:c r="J850" s="13" t="str">
        <x:v>derived_operational_subtype</x:v>
      </x:c>
      <x:c r="K850" s="13" t="str">
        <x:v>derived_from_established_parent_review_required</x:v>
      </x:c>
      <x:c r="L850" s="13" t="str">
        <x:v>P3</x:v>
      </x:c>
      <x:c r="M850" s="13" t="str">
        <x:v>no</x:v>
      </x:c>
      <x:c r="N850" s="13" t="str">
        <x:v>Operational subtype under Motte-and-bailey: the pattern appears as a pressure move in dialogue. Parent definition: Switching between a bold claim and a defensible weaker claim.</x:v>
      </x:c>
      <x:c r="O850" s="13" t="str">
        <x:v>Look for: explicit claim-level evidence; parent-family cues for Motte-and-bailey; variant cue: the pattern appears as a pressure move in dialogue; avoid author-level inference.</x:v>
      </x:c>
      <x:c r="P850" s="13" t="str">
        <x:v>Exact evidence span in text plus claim-level reasoning link; for contextual/discourse entries, require surrounding context.</x:v>
      </x:c>
      <x:c r="Q850" s="13" t="str">
        <x:v>Do not label merely because topic is controversial, emotional, or wrong. Do not judge intent or personality. Require textual evidence and consider healthy-reasoning cues.</x:v>
      </x:c>
      <x:c r="R850" s="13" t="str">
        <x:v>Stub: A claim relies on the pattern appears as a pressure move in dialogue to support a conclusion without adequate qualification.</x:v>
      </x:c>
      <x:c r="S850" s="13" t="str">
        <x:v>Stub: A claim discusses motte-and-bailey with caveats, balanced evidence, or no argumentative use of the pattern.</x:v>
      </x:c>
      <x:c r="T850" s="13" t="str">
        <x:v>Mild or ambiguous cue; do not classify without clear evidence span.</x:v>
      </x:c>
      <x:c r="U850" s="13" t="str">
        <x:v>Clear claim-level pattern with some argumentative impact.</x:v>
      </x:c>
      <x:c r="V850" s="13" t="str">
        <x:v>Strong pattern central to the conclusion and likely to materially distort reasoning.</x:v>
      </x:c>
      <x:c r="W850" s="13" t="str"/>
      <x:c r="X850" s="13" t="str">
        <x:v>pragmadialectics</x:v>
      </x:c>
      <x:c r="Y850" s="13" t="str">
        <x:v>https://doi.org/10.1017/CBO9780511616389</x:v>
      </x:c>
      <x:c r="Z850" s="13" t="str">
        <x:v>Review before enabling. This workbook is a living taxonomy scaffold, not a validated scientific benchmark.</x:v>
      </x:c>
      <x:c r="AA850" s="13" t="str">
        <x:v>0.1.0-draft</x:v>
      </x:c>
      <x:c r="AB850" s="12" t="str">
        <x:f>IF(ISNUMBER(SEARCH("healthy",F850)),"healthy_reasoning_patterns",IF(ISNUMBER(SEARCH("statistical",F850)),"statistical_reasoning",IF(ISNUMBER(SEARCH("causal",F850)),"causal_reasoning",IF(ISNUMBER(SEARCH("social",F850)),"social_influence",IF(ISNUMBER(SEARCH("rhetoric",F850)),"rhetoric_discourse",IF(ISNUMBER(SEARCH("behavior",F850)),"behavioural_economics",IF(ISNUMBER(SEARCH("cognitive",F850)),"cognitive_biases",IF(J850="protective_pattern","healthy_reasoning_patterns",IF(L850="P0","core_mvp","extended_fallacies")))))))))</x:f>
        <x:v>rhetoric_discourse</x:v>
      </x:c>
      <x:c r="AC850" s="12" t="str">
        <x:f>IF(ISNUMBER(SEARCH("operational",J850)),"operational",IF(ISNUMBER(SEARCH("deprecated",J850)),"deprecated",IF(L850="P0","canonical","recognized_subtype")))</x:f>
        <x:v>operational</x:v>
      </x:c>
      <x:c r="AD850" s="12" t="str">
        <x:f>IF(AC850="canonical","high",IF(AC850="recognized_subtype","medium",IF(AC850="operational","operational_only","debated")))</x:f>
        <x:v>operational_only</x:v>
      </x:c>
      <x:c r="AE850" s="12" t="str">
        <x:f>IF(AC850="deprecated","deprecated",IF(M850="yes","active",IF(M850="review","review_required","backlog")))</x:f>
        <x:v>backlog</x:v>
      </x:c>
      <x:c r="AF850" s="12" t="str">
        <x:f>IF(OR(AE850="active",AE850="review_required"),"yes","no")</x:f>
        <x:v>no</x:v>
      </x:c>
      <x:c r="AG850" s="12" t="str">
        <x:f>IF(AND(AE850="active",M850="yes",NOT(ISNUMBER(SEARCH("healthy",AB850)))),"yes","no")</x:f>
        <x:v>no</x:v>
      </x:c>
      <x:c r="AH850" s="12" t="str">
        <x:f>IF(OR(H850="contextual",H850="dialogue",H850="discourse",I850="claim+context",I850="discourse_segment"),"yes","no")</x:f>
        <x:v>yes</x:v>
      </x:c>
      <x:c r="AI850" s="12" t="str">
        <x:f>IF(OR(AH850="yes",AD850="debated",AC850="operational"),"yes","no")</x:f>
        <x:v>yes</x:v>
      </x:c>
      <x:c r="AJ850" s="12" t="str">
        <x:f>IF(OR(AH850="yes",AC850="operational",AD850="debated"),"high",IF(AND(AG850="yes",L850="P0"),"medium","low"))</x:f>
        <x:v>high</x:v>
      </x:c>
      <x:c r="AK850" s="12" t="str">
        <x:f>IF(ISNUMBER(SEARCH("healthy",AB850)),"yes","no")</x:f>
        <x:v>no</x:v>
      </x:c>
      <x:c r="AL850" s="12" t="str">
        <x:f>IF(AG850="yes","yes","candidate_only")</x:f>
        <x:v>candidate_only</x:v>
      </x:c>
      <x:c r="AM850" s="12" t="str">
        <x:f>IF(OR(AC850="canonical",AG850="yes"),"yes","recommended")</x:f>
        <x:v>recommended</x:v>
      </x:c>
      <x:c r="AN850" s="12" t="str">
        <x:f>IF(AC850="deprecated","exclude",IF(AND(AG850="yes",AJ850="high"),"import_but_human_review_required",IF(AG850="yes","import_as_active","import_as_backlog")))</x:f>
        <x:v>import_as_backlog</x:v>
      </x:c>
      <x:c r="AO850" s="12" t="str">
        <x:f>IF(AND(AG850="yes",OR(P850="",Q850="",R850="",S850="")),"missing_required_mvp_fields",IF(AND(AC850="canonical",Y850=""),"missing_source_ref","ok"))</x:f>
        <x:v>ok</x:v>
      </x:c>
      <x:c r="AP850" s="12" t="str">
        <x:f>IF(AO850="ok","ready_for_codex_import","needs_review")</x:f>
        <x:v>ready_for_codex_import</x:v>
      </x:c>
      <x:c r="AQ850" s="12"/>
      <x:c r="AR850" s="12" t="str">
        <x:v>Added v2 operational fields. Review before classification activation.</x:v>
      </x:c>
    </x:row>
    <x:row r="851">
      <x:c r="A851" s="13" t="str">
        <x:v>gish_gallop_dialogue_pressure_variant</x:v>
      </x:c>
      <x:c r="B851" s="13" t="str">
        <x:v>gish_gallop</x:v>
      </x:c>
      <x:c r="C851" s="13" t="str">
        <x:v>Gish gallop</x:v>
      </x:c>
      <x:c r="D851" s="13" t="str">
        <x:v>رگبار ادعا</x:v>
      </x:c>
      <x:c r="E851" s="13" t="str">
        <x:v>Dialogue-pressure variant</x:v>
      </x:c>
      <x:c r="F851" s="13" t="str">
        <x:v>rhetorical_manipulation_patterns</x:v>
      </x:c>
      <x:c r="G851" s="13" t="str">
        <x:v>operational_variant</x:v>
      </x:c>
      <x:c r="H851" s="13" t="str">
        <x:v>discourse</x:v>
      </x:c>
      <x:c r="I851" s="13" t="str">
        <x:v>discourse_segment</x:v>
      </x:c>
      <x:c r="J851" s="13" t="str">
        <x:v>derived_operational_subtype</x:v>
      </x:c>
      <x:c r="K851" s="13" t="str">
        <x:v>derived_from_established_parent_review_required</x:v>
      </x:c>
      <x:c r="L851" s="13" t="str">
        <x:v>P3</x:v>
      </x:c>
      <x:c r="M851" s="13" t="str">
        <x:v>no</x:v>
      </x:c>
      <x:c r="N851" s="13" t="str">
        <x:v>Operational subtype under Gish gallop: the pattern appears as a pressure move in dialogue. Parent definition: Overwhelming with many claims faster than they can be evaluated.</x:v>
      </x:c>
      <x:c r="O851" s="13" t="str">
        <x:v>Look for: explicit claim-level evidence; parent-family cues for Gish gallop; variant cue: the pattern appears as a pressure move in dialogue; avoid author-level inference.</x:v>
      </x:c>
      <x:c r="P851" s="13" t="str">
        <x:v>Exact evidence span in text plus claim-level reasoning link; for contextual/discourse entries, require surrounding context.</x:v>
      </x:c>
      <x:c r="Q851" s="13" t="str">
        <x:v>Do not label merely because topic is controversial, emotional, or wrong. Do not judge intent or personality. Require textual evidence and consider healthy-reasoning cues.</x:v>
      </x:c>
      <x:c r="R851" s="13" t="str">
        <x:v>Stub: A claim relies on the pattern appears as a pressure move in dialogue to support a conclusion without adequate qualification.</x:v>
      </x:c>
      <x:c r="S851" s="13" t="str">
        <x:v>Stub: A claim discusses gish gallop with caveats, balanced evidence, or no argumentative use of the pattern.</x:v>
      </x:c>
      <x:c r="T851" s="13" t="str">
        <x:v>Mild or ambiguous cue; do not classify without clear evidence span.</x:v>
      </x:c>
      <x:c r="U851" s="13" t="str">
        <x:v>Clear claim-level pattern with some argumentative impact.</x:v>
      </x:c>
      <x:c r="V851" s="13" t="str">
        <x:v>Strong pattern central to the conclusion and likely to materially distort reasoning.</x:v>
      </x:c>
      <x:c r="W851" s="13" t="str"/>
      <x:c r="X851" s="13" t="str">
        <x:v>pragmadialectics</x:v>
      </x:c>
      <x:c r="Y851" s="13" t="str">
        <x:v>https://doi.org/10.1017/CBO9780511616389</x:v>
      </x:c>
      <x:c r="Z851" s="13" t="str">
        <x:v>Review before enabling. This workbook is a living taxonomy scaffold, not a validated scientific benchmark.</x:v>
      </x:c>
      <x:c r="AA851" s="13" t="str">
        <x:v>0.1.0-draft</x:v>
      </x:c>
      <x:c r="AB851" s="12" t="str">
        <x:f>IF(ISNUMBER(SEARCH("healthy",F851)),"healthy_reasoning_patterns",IF(ISNUMBER(SEARCH("statistical",F851)),"statistical_reasoning",IF(ISNUMBER(SEARCH("causal",F851)),"causal_reasoning",IF(ISNUMBER(SEARCH("social",F851)),"social_influence",IF(ISNUMBER(SEARCH("rhetoric",F851)),"rhetoric_discourse",IF(ISNUMBER(SEARCH("behavior",F851)),"behavioural_economics",IF(ISNUMBER(SEARCH("cognitive",F851)),"cognitive_biases",IF(J851="protective_pattern","healthy_reasoning_patterns",IF(L851="P0","core_mvp","extended_fallacies")))))))))</x:f>
        <x:v>rhetoric_discourse</x:v>
      </x:c>
      <x:c r="AC851" s="12" t="str">
        <x:f>IF(ISNUMBER(SEARCH("operational",J851)),"operational",IF(ISNUMBER(SEARCH("deprecated",J851)),"deprecated",IF(L851="P0","canonical","recognized_subtype")))</x:f>
        <x:v>operational</x:v>
      </x:c>
      <x:c r="AD851" s="12" t="str">
        <x:f>IF(AC851="canonical","high",IF(AC851="recognized_subtype","medium",IF(AC851="operational","operational_only","debated")))</x:f>
        <x:v>operational_only</x:v>
      </x:c>
      <x:c r="AE851" s="12" t="str">
        <x:f>IF(AC851="deprecated","deprecated",IF(M851="yes","active",IF(M851="review","review_required","backlog")))</x:f>
        <x:v>backlog</x:v>
      </x:c>
      <x:c r="AF851" s="12" t="str">
        <x:f>IF(OR(AE851="active",AE851="review_required"),"yes","no")</x:f>
        <x:v>no</x:v>
      </x:c>
      <x:c r="AG851" s="12" t="str">
        <x:f>IF(AND(AE851="active",M851="yes",NOT(ISNUMBER(SEARCH("healthy",AB851)))),"yes","no")</x:f>
        <x:v>no</x:v>
      </x:c>
      <x:c r="AH851" s="12" t="str">
        <x:f>IF(OR(H851="contextual",H851="dialogue",H851="discourse",I851="claim+context",I851="discourse_segment"),"yes","no")</x:f>
        <x:v>yes</x:v>
      </x:c>
      <x:c r="AI851" s="12" t="str">
        <x:f>IF(OR(AH851="yes",AD851="debated",AC851="operational"),"yes","no")</x:f>
        <x:v>yes</x:v>
      </x:c>
      <x:c r="AJ851" s="12" t="str">
        <x:f>IF(OR(AH851="yes",AC851="operational",AD851="debated"),"high",IF(AND(AG851="yes",L851="P0"),"medium","low"))</x:f>
        <x:v>high</x:v>
      </x:c>
      <x:c r="AK851" s="12" t="str">
        <x:f>IF(ISNUMBER(SEARCH("healthy",AB851)),"yes","no")</x:f>
        <x:v>no</x:v>
      </x:c>
      <x:c r="AL851" s="12" t="str">
        <x:f>IF(AG851="yes","yes","candidate_only")</x:f>
        <x:v>candidate_only</x:v>
      </x:c>
      <x:c r="AM851" s="12" t="str">
        <x:f>IF(OR(AC851="canonical",AG851="yes"),"yes","recommended")</x:f>
        <x:v>recommended</x:v>
      </x:c>
      <x:c r="AN851" s="12" t="str">
        <x:f>IF(AC851="deprecated","exclude",IF(AND(AG851="yes",AJ851="high"),"import_but_human_review_required",IF(AG851="yes","import_as_active","import_as_backlog")))</x:f>
        <x:v>import_as_backlog</x:v>
      </x:c>
      <x:c r="AO851" s="12" t="str">
        <x:f>IF(AND(AG851="yes",OR(P851="",Q851="",R851="",S851="")),"missing_required_mvp_fields",IF(AND(AC851="canonical",Y851=""),"missing_source_ref","ok"))</x:f>
        <x:v>ok</x:v>
      </x:c>
      <x:c r="AP851" s="12" t="str">
        <x:f>IF(AO851="ok","ready_for_codex_import","needs_review")</x:f>
        <x:v>ready_for_codex_import</x:v>
      </x:c>
      <x:c r="AQ851" s="12"/>
      <x:c r="AR851" s="12" t="str">
        <x:v>Added v2 operational fields. Review before classification activation.</x:v>
      </x:c>
    </x:row>
    <x:row r="852">
      <x:c r="A852" s="13" t="str">
        <x:v>overclaiming_certainty_canonical</x:v>
      </x:c>
      <x:c r="B852" s="13" t="str">
        <x:v>overclaiming_certainty</x:v>
      </x:c>
      <x:c r="C852" s="13" t="str">
        <x:v>Overclaiming certainty</x:v>
      </x:c>
      <x:c r="D852" s="13" t="str">
        <x:v>قطعیت‌نمایی بیش از حد</x:v>
      </x:c>
      <x:c r="E852" s="13" t="str">
        <x:v>Canonical form</x:v>
      </x:c>
      <x:c r="F852" s="13" t="str">
        <x:v>uncertainty_calibration_failures</x:v>
      </x:c>
      <x:c r="G852" s="13" t="str">
        <x:v>canonical</x:v>
      </x:c>
      <x:c r="H852" s="13" t="str">
        <x:v>lexical</x:v>
      </x:c>
      <x:c r="I852" s="13" t="str">
        <x:v>claim</x:v>
      </x:c>
      <x:c r="J852" s="13" t="str">
        <x:v>derived_operational_subtype</x:v>
      </x:c>
      <x:c r="K852" s="13" t="str">
        <x:v>derived_from_established_parent_review_required</x:v>
      </x:c>
      <x:c r="L852" s="13" t="str">
        <x:v>P2</x:v>
      </x:c>
      <x:c r="M852" s="13" t="str">
        <x:v>no</x:v>
      </x:c>
      <x:c r="N852" s="13" t="str">
        <x:v>Operational subtype under Overclaiming certainty: uncertainty is understated or miscalibrated. Parent definition: Stating a conclusion more certainly than evidence warrants.</x:v>
      </x:c>
      <x:c r="O852" s="13" t="str">
        <x:v>Look for: explicit claim-level evidence; parent-family cues for Overclaiming certainty; variant cue: uncertainty is understated or miscalibrated; avoid author-level inference.</x:v>
      </x:c>
      <x:c r="P852" s="13" t="str">
        <x:v>Exact evidence span in text plus claim-level reasoning link; for contextual/discourse entries, require surrounding context.</x:v>
      </x:c>
      <x:c r="Q852" s="13" t="str">
        <x:v>Do not label merely because topic is controversial, emotional, or wrong. Do not judge intent or personality. Require textual evidence and consider healthy-reasoning cues.</x:v>
      </x:c>
      <x:c r="R852" s="13" t="str">
        <x:v>Stub: A claim relies on uncertainty is understated or miscalibrated to support a conclusion without adequate qualification.</x:v>
      </x:c>
      <x:c r="S852" s="13" t="str">
        <x:v>Stub: A claim discusses overclaiming certainty with caveats, balanced evidence, or no argumentative use of the pattern.</x:v>
      </x:c>
      <x:c r="T852" s="13" t="str">
        <x:v>Mild or ambiguous cue; do not classify without clear evidence span.</x:v>
      </x:c>
      <x:c r="U852" s="13" t="str">
        <x:v>Clear claim-level pattern with some argumentative impact.</x:v>
      </x:c>
      <x:c r="V852" s="13" t="str">
        <x:v>Strong pattern central to the conclusion and likely to materially distort reasoning.</x:v>
      </x:c>
      <x:c r="W852" s="13" t="str">
        <x:v>cherry_picking; missing_counterevidence; evidence_grading</x:v>
      </x:c>
      <x:c r="X852" s="13" t="str">
        <x:v>stanovich_dual_process</x:v>
      </x:c>
      <x:c r="Y852" s="13" t="str">
        <x:v>https://global.oup.com/academic/product/rationality-and-the-reflective-mind-9780195341140</x:v>
      </x:c>
      <x:c r="Z852" s="13" t="str">
        <x:v>Review before enabling. This workbook is a living taxonomy scaffold, not a validated scientific benchmark.</x:v>
      </x:c>
      <x:c r="AA852" s="13" t="str">
        <x:v>0.1.0-draft</x:v>
      </x:c>
      <x:c r="AB852" s="12" t="str">
        <x:f>IF(ISNUMBER(SEARCH("healthy",F852)),"healthy_reasoning_patterns",IF(ISNUMBER(SEARCH("statistical",F852)),"statistical_reasoning",IF(ISNUMBER(SEARCH("causal",F852)),"causal_reasoning",IF(ISNUMBER(SEARCH("social",F852)),"social_influence",IF(ISNUMBER(SEARCH("rhetoric",F852)),"rhetoric_discourse",IF(ISNUMBER(SEARCH("behavior",F852)),"behavioural_economics",IF(ISNUMBER(SEARCH("cognitive",F852)),"cognitive_biases",IF(J852="protective_pattern","healthy_reasoning_patterns",IF(L852="P0","core_mvp","extended_fallacies")))))))))</x:f>
        <x:v>extended_fallacies</x:v>
      </x:c>
      <x:c r="AC852" s="12" t="str">
        <x:f>IF(ISNUMBER(SEARCH("operational",J852)),"operational",IF(ISNUMBER(SEARCH("deprecated",J852)),"deprecated",IF(L852="P0","canonical","recognized_subtype")))</x:f>
        <x:v>operational</x:v>
      </x:c>
      <x:c r="AD852" s="12" t="str">
        <x:f>IF(AC852="canonical","high",IF(AC852="recognized_subtype","medium",IF(AC852="operational","operational_only","debated")))</x:f>
        <x:v>operational_only</x:v>
      </x:c>
      <x:c r="AE852" s="12" t="str">
        <x:f>IF(AC852="deprecated","deprecated",IF(M852="yes","active",IF(M852="review","review_required","backlog")))</x:f>
        <x:v>backlog</x:v>
      </x:c>
      <x:c r="AF852" s="12" t="str">
        <x:f>IF(OR(AE852="active",AE852="review_required"),"yes","no")</x:f>
        <x:v>no</x:v>
      </x:c>
      <x:c r="AG852" s="12" t="str">
        <x:f>IF(AND(AE852="active",M852="yes",NOT(ISNUMBER(SEARCH("healthy",AB852)))),"yes","no")</x:f>
        <x:v>no</x:v>
      </x:c>
      <x:c r="AH852" s="12" t="str">
        <x:f>IF(OR(H852="contextual",H852="dialogue",H852="discourse",I852="claim+context",I852="discourse_segment"),"yes","no")</x:f>
        <x:v>no</x:v>
      </x:c>
      <x:c r="AI852" s="12" t="str">
        <x:f>IF(OR(AH852="yes",AD852="debated",AC852="operational"),"yes","no")</x:f>
        <x:v>yes</x:v>
      </x:c>
      <x:c r="AJ852" s="12" t="str">
        <x:f>IF(OR(AH852="yes",AC852="operational",AD852="debated"),"high",IF(AND(AG852="yes",L852="P0"),"medium","low"))</x:f>
        <x:v>high</x:v>
      </x:c>
      <x:c r="AK852" s="12" t="str">
        <x:f>IF(ISNUMBER(SEARCH("healthy",AB852)),"yes","no")</x:f>
        <x:v>no</x:v>
      </x:c>
      <x:c r="AL852" s="12" t="str">
        <x:f>IF(AG852="yes","yes","candidate_only")</x:f>
        <x:v>candidate_only</x:v>
      </x:c>
      <x:c r="AM852" s="12" t="str">
        <x:f>IF(OR(AC852="canonical",AG852="yes"),"yes","recommended")</x:f>
        <x:v>recommended</x:v>
      </x:c>
      <x:c r="AN852" s="12" t="str">
        <x:f>IF(AC852="deprecated","exclude",IF(AND(AG852="yes",AJ852="high"),"import_but_human_review_required",IF(AG852="yes","import_as_active","import_as_backlog")))</x:f>
        <x:v>import_as_backlog</x:v>
      </x:c>
      <x:c r="AO852" s="12" t="str">
        <x:f>IF(AND(AG852="yes",OR(P852="",Q852="",R852="",S852="")),"missing_required_mvp_fields",IF(AND(AC852="canonical",Y852=""),"missing_source_ref","ok"))</x:f>
        <x:v>ok</x:v>
      </x:c>
      <x:c r="AP852" s="12" t="str">
        <x:f>IF(AO852="ok","ready_for_codex_import","needs_review")</x:f>
        <x:v>ready_for_codex_import</x:v>
      </x:c>
      <x:c r="AQ852" s="12"/>
      <x:c r="AR852" s="12" t="str">
        <x:v>Added v2 operational fields. Review before classification activation.</x:v>
      </x:c>
    </x:row>
    <x:row r="853">
      <x:c r="A853" s="13" t="str">
        <x:v>false_precision_canonical</x:v>
      </x:c>
      <x:c r="B853" s="13" t="str">
        <x:v>false_precision</x:v>
      </x:c>
      <x:c r="C853" s="13" t="str">
        <x:v>False precision</x:v>
      </x:c>
      <x:c r="D853" s="13" t="str">
        <x:v>دقت کاذب</x:v>
      </x:c>
      <x:c r="E853" s="13" t="str">
        <x:v>Canonical form</x:v>
      </x:c>
      <x:c r="F853" s="13" t="str">
        <x:v>uncertainty_calibration_failures</x:v>
      </x:c>
      <x:c r="G853" s="13" t="str">
        <x:v>canonical</x:v>
      </x:c>
      <x:c r="H853" s="13" t="str">
        <x:v>lexical</x:v>
      </x:c>
      <x:c r="I853" s="13" t="str">
        <x:v>claim</x:v>
      </x:c>
      <x:c r="J853" s="13" t="str">
        <x:v>derived_operational_subtype</x:v>
      </x:c>
      <x:c r="K853" s="13" t="str">
        <x:v>derived_from_established_parent_review_required</x:v>
      </x:c>
      <x:c r="L853" s="13" t="str">
        <x:v>P2</x:v>
      </x:c>
      <x:c r="M853" s="13" t="str">
        <x:v>no</x:v>
      </x:c>
      <x:c r="N853" s="13" t="str">
        <x:v>Operational subtype under False precision: uncertainty is understated or miscalibrated. Parent definition: Using precise numbers or terms without evidential basis.</x:v>
      </x:c>
      <x:c r="O853" s="13" t="str">
        <x:v>Look for: explicit claim-level evidence; parent-family cues for False precision; variant cue: uncertainty is understated or miscalibrated; avoid author-level inference.</x:v>
      </x:c>
      <x:c r="P853" s="13" t="str">
        <x:v>Exact evidence span in text plus claim-level reasoning link; for contextual/discourse entries, require surrounding context.</x:v>
      </x:c>
      <x:c r="Q853" s="13" t="str">
        <x:v>Do not label merely because topic is controversial, emotional, or wrong. Do not judge intent or personality. Require textual evidence and consider healthy-reasoning cues.</x:v>
      </x:c>
      <x:c r="R853" s="13" t="str">
        <x:v>Stub: A claim relies on uncertainty is understated or miscalibrated to support a conclusion without adequate qualification.</x:v>
      </x:c>
      <x:c r="S853" s="13" t="str">
        <x:v>Stub: A claim discusses false precision with caveats, balanced evidence, or no argumentative use of the pattern.</x:v>
      </x:c>
      <x:c r="T853" s="13" t="str">
        <x:v>Mild or ambiguous cue; do not classify without clear evidence span.</x:v>
      </x:c>
      <x:c r="U853" s="13" t="str">
        <x:v>Clear claim-level pattern with some argumentative impact.</x:v>
      </x:c>
      <x:c r="V853" s="13" t="str">
        <x:v>Strong pattern central to the conclusion and likely to materially distort reasoning.</x:v>
      </x:c>
      <x:c r="W853" s="13" t="str">
        <x:v>uncertainty_acknowledgement; confidence_calibration; scope_limitation</x:v>
      </x:c>
      <x:c r="X853" s="13" t="str">
        <x:v>stanovich_dual_process</x:v>
      </x:c>
      <x:c r="Y853" s="13" t="str">
        <x:v>https://global.oup.com/academic/product/rationality-and-the-reflective-mind-9780195341140</x:v>
      </x:c>
      <x:c r="Z853" s="13" t="str">
        <x:v>Review before enabling. This workbook is a living taxonomy scaffold, not a validated scientific benchmark.</x:v>
      </x:c>
      <x:c r="AA853" s="13" t="str">
        <x:v>0.1.0-draft</x:v>
      </x:c>
      <x:c r="AB853" s="12" t="str">
        <x:f>IF(ISNUMBER(SEARCH("healthy",F853)),"healthy_reasoning_patterns",IF(ISNUMBER(SEARCH("statistical",F853)),"statistical_reasoning",IF(ISNUMBER(SEARCH("causal",F853)),"causal_reasoning",IF(ISNUMBER(SEARCH("social",F853)),"social_influence",IF(ISNUMBER(SEARCH("rhetoric",F853)),"rhetoric_discourse",IF(ISNUMBER(SEARCH("behavior",F853)),"behavioural_economics",IF(ISNUMBER(SEARCH("cognitive",F853)),"cognitive_biases",IF(J853="protective_pattern","healthy_reasoning_patterns",IF(L853="P0","core_mvp","extended_fallacies")))))))))</x:f>
        <x:v>extended_fallacies</x:v>
      </x:c>
      <x:c r="AC853" s="12" t="str">
        <x:f>IF(ISNUMBER(SEARCH("operational",J853)),"operational",IF(ISNUMBER(SEARCH("deprecated",J853)),"deprecated",IF(L853="P0","canonical","recognized_subtype")))</x:f>
        <x:v>operational</x:v>
      </x:c>
      <x:c r="AD853" s="12" t="str">
        <x:f>IF(AC853="canonical","high",IF(AC853="recognized_subtype","medium",IF(AC853="operational","operational_only","debated")))</x:f>
        <x:v>operational_only</x:v>
      </x:c>
      <x:c r="AE853" s="12" t="str">
        <x:f>IF(AC853="deprecated","deprecated",IF(M853="yes","active",IF(M853="review","review_required","backlog")))</x:f>
        <x:v>backlog</x:v>
      </x:c>
      <x:c r="AF853" s="12" t="str">
        <x:f>IF(OR(AE853="active",AE853="review_required"),"yes","no")</x:f>
        <x:v>no</x:v>
      </x:c>
      <x:c r="AG853" s="12" t="str">
        <x:f>IF(AND(AE853="active",M853="yes",NOT(ISNUMBER(SEARCH("healthy",AB853)))),"yes","no")</x:f>
        <x:v>no</x:v>
      </x:c>
      <x:c r="AH853" s="12" t="str">
        <x:f>IF(OR(H853="contextual",H853="dialogue",H853="discourse",I853="claim+context",I853="discourse_segment"),"yes","no")</x:f>
        <x:v>no</x:v>
      </x:c>
      <x:c r="AI853" s="12" t="str">
        <x:f>IF(OR(AH853="yes",AD853="debated",AC853="operational"),"yes","no")</x:f>
        <x:v>yes</x:v>
      </x:c>
      <x:c r="AJ853" s="12" t="str">
        <x:f>IF(OR(AH853="yes",AC853="operational",AD853="debated"),"high",IF(AND(AG853="yes",L853="P0"),"medium","low"))</x:f>
        <x:v>high</x:v>
      </x:c>
      <x:c r="AK853" s="12" t="str">
        <x:f>IF(ISNUMBER(SEARCH("healthy",AB853)),"yes","no")</x:f>
        <x:v>no</x:v>
      </x:c>
      <x:c r="AL853" s="12" t="str">
        <x:f>IF(AG853="yes","yes","candidate_only")</x:f>
        <x:v>candidate_only</x:v>
      </x:c>
      <x:c r="AM853" s="12" t="str">
        <x:f>IF(OR(AC853="canonical",AG853="yes"),"yes","recommended")</x:f>
        <x:v>recommended</x:v>
      </x:c>
      <x:c r="AN853" s="12" t="str">
        <x:f>IF(AC853="deprecated","exclude",IF(AND(AG853="yes",AJ853="high"),"import_but_human_review_required",IF(AG853="yes","import_as_active","import_as_backlog")))</x:f>
        <x:v>import_as_backlog</x:v>
      </x:c>
      <x:c r="AO853" s="12" t="str">
        <x:f>IF(AND(AG853="yes",OR(P853="",Q853="",R853="",S853="")),"missing_required_mvp_fields",IF(AND(AC853="canonical",Y853=""),"missing_source_ref","ok"))</x:f>
        <x:v>ok</x:v>
      </x:c>
      <x:c r="AP853" s="12" t="str">
        <x:f>IF(AO853="ok","ready_for_codex_import","needs_review")</x:f>
        <x:v>ready_for_codex_import</x:v>
      </x:c>
      <x:c r="AQ853" s="12"/>
      <x:c r="AR853" s="12" t="str">
        <x:v>Added v2 operational fields. Review before classification activation.</x:v>
      </x:c>
    </x:row>
    <x:row r="854">
      <x:c r="A854" s="13" t="str">
        <x:v>missing_confidence_level_canonical</x:v>
      </x:c>
      <x:c r="B854" s="13" t="str">
        <x:v>missing_confidence_level</x:v>
      </x:c>
      <x:c r="C854" s="13" t="str">
        <x:v>Missing confidence level</x:v>
      </x:c>
      <x:c r="D854" s="13" t="str">
        <x:v>نبود سطح اطمینان</x:v>
      </x:c>
      <x:c r="E854" s="13" t="str">
        <x:v>Canonical form</x:v>
      </x:c>
      <x:c r="F854" s="13" t="str">
        <x:v>uncertainty_calibration_failures</x:v>
      </x:c>
      <x:c r="G854" s="13" t="str">
        <x:v>canonical</x:v>
      </x:c>
      <x:c r="H854" s="13" t="str">
        <x:v>lexical</x:v>
      </x:c>
      <x:c r="I854" s="13" t="str">
        <x:v>claim</x:v>
      </x:c>
      <x:c r="J854" s="13" t="str">
        <x:v>derived_operational_subtype</x:v>
      </x:c>
      <x:c r="K854" s="13" t="str">
        <x:v>derived_from_established_parent_review_required</x:v>
      </x:c>
      <x:c r="L854" s="13" t="str">
        <x:v>P2</x:v>
      </x:c>
      <x:c r="M854" s="13" t="str">
        <x:v>no</x:v>
      </x:c>
      <x:c r="N854" s="13" t="str">
        <x:v>Operational subtype under Missing confidence level: uncertainty is understated or miscalibrated. Parent definition: Presenting estimates without uncertainty or confidence framing.</x:v>
      </x:c>
      <x:c r="O854" s="13" t="str">
        <x:v>Look for: explicit claim-level evidence; parent-family cues for Missing confidence level; variant cue: uncertainty is understated or miscalibrated; avoid author-level inference.</x:v>
      </x:c>
      <x:c r="P854" s="13" t="str">
        <x:v>Exact evidence span in text plus claim-level reasoning link; for contextual/discourse entries, require surrounding context.</x:v>
      </x:c>
      <x:c r="Q854" s="13" t="str">
        <x:v>Do not label merely because topic is controversial, emotional, or wrong. Do not judge intent or personality. Require textual evidence and consider healthy-reasoning cues.</x:v>
      </x:c>
      <x:c r="R854" s="13" t="str">
        <x:v>Stub: A claim relies on uncertainty is understated or miscalibrated to support a conclusion without adequate qualification.</x:v>
      </x:c>
      <x:c r="S854" s="13" t="str">
        <x:v>Stub: A claim discusses missing confidence level with caveats, balanced evidence, or no argumentative use of the pattern.</x:v>
      </x:c>
      <x:c r="T854" s="13" t="str">
        <x:v>Mild or ambiguous cue; do not classify without clear evidence span.</x:v>
      </x:c>
      <x:c r="U854" s="13" t="str">
        <x:v>Clear claim-level pattern with some argumentative impact.</x:v>
      </x:c>
      <x:c r="V854" s="13" t="str">
        <x:v>Strong pattern central to the conclusion and likely to materially distort reasoning.</x:v>
      </x:c>
      <x:c r="W854" s="13" t="str">
        <x:v>uncertainty_acknowledgement; confidence_calibration; scope_limitation</x:v>
      </x:c>
      <x:c r="X854" s="13" t="str">
        <x:v>stanovich_dual_process</x:v>
      </x:c>
      <x:c r="Y854" s="13" t="str">
        <x:v>https://global.oup.com/academic/product/rationality-and-the-reflective-mind-9780195341140</x:v>
      </x:c>
      <x:c r="Z854" s="13" t="str">
        <x:v>Review before enabling. This workbook is a living taxonomy scaffold, not a validated scientific benchmark.</x:v>
      </x:c>
      <x:c r="AA854" s="13" t="str">
        <x:v>0.1.0-draft</x:v>
      </x:c>
      <x:c r="AB854" s="12" t="str">
        <x:f>IF(ISNUMBER(SEARCH("healthy",F854)),"healthy_reasoning_patterns",IF(ISNUMBER(SEARCH("statistical",F854)),"statistical_reasoning",IF(ISNUMBER(SEARCH("causal",F854)),"causal_reasoning",IF(ISNUMBER(SEARCH("social",F854)),"social_influence",IF(ISNUMBER(SEARCH("rhetoric",F854)),"rhetoric_discourse",IF(ISNUMBER(SEARCH("behavior",F854)),"behavioural_economics",IF(ISNUMBER(SEARCH("cognitive",F854)),"cognitive_biases",IF(J854="protective_pattern","healthy_reasoning_patterns",IF(L854="P0","core_mvp","extended_fallacies")))))))))</x:f>
        <x:v>extended_fallacies</x:v>
      </x:c>
      <x:c r="AC854" s="12" t="str">
        <x:f>IF(ISNUMBER(SEARCH("operational",J854)),"operational",IF(ISNUMBER(SEARCH("deprecated",J854)),"deprecated",IF(L854="P0","canonical","recognized_subtype")))</x:f>
        <x:v>operational</x:v>
      </x:c>
      <x:c r="AD854" s="12" t="str">
        <x:f>IF(AC854="canonical","high",IF(AC854="recognized_subtype","medium",IF(AC854="operational","operational_only","debated")))</x:f>
        <x:v>operational_only</x:v>
      </x:c>
      <x:c r="AE854" s="12" t="str">
        <x:f>IF(AC854="deprecated","deprecated",IF(M854="yes","active",IF(M854="review","review_required","backlog")))</x:f>
        <x:v>backlog</x:v>
      </x:c>
      <x:c r="AF854" s="12" t="str">
        <x:f>IF(OR(AE854="active",AE854="review_required"),"yes","no")</x:f>
        <x:v>no</x:v>
      </x:c>
      <x:c r="AG854" s="12" t="str">
        <x:f>IF(AND(AE854="active",M854="yes",NOT(ISNUMBER(SEARCH("healthy",AB854)))),"yes","no")</x:f>
        <x:v>no</x:v>
      </x:c>
      <x:c r="AH854" s="12" t="str">
        <x:f>IF(OR(H854="contextual",H854="dialogue",H854="discourse",I854="claim+context",I854="discourse_segment"),"yes","no")</x:f>
        <x:v>no</x:v>
      </x:c>
      <x:c r="AI854" s="12" t="str">
        <x:f>IF(OR(AH854="yes",AD854="debated",AC854="operational"),"yes","no")</x:f>
        <x:v>yes</x:v>
      </x:c>
      <x:c r="AJ854" s="12" t="str">
        <x:f>IF(OR(AH854="yes",AC854="operational",AD854="debated"),"high",IF(AND(AG854="yes",L854="P0"),"medium","low"))</x:f>
        <x:v>high</x:v>
      </x:c>
      <x:c r="AK854" s="12" t="str">
        <x:f>IF(ISNUMBER(SEARCH("healthy",AB854)),"yes","no")</x:f>
        <x:v>no</x:v>
      </x:c>
      <x:c r="AL854" s="12" t="str">
        <x:f>IF(AG854="yes","yes","candidate_only")</x:f>
        <x:v>candidate_only</x:v>
      </x:c>
      <x:c r="AM854" s="12" t="str">
        <x:f>IF(OR(AC854="canonical",AG854="yes"),"yes","recommended")</x:f>
        <x:v>recommended</x:v>
      </x:c>
      <x:c r="AN854" s="12" t="str">
        <x:f>IF(AC854="deprecated","exclude",IF(AND(AG854="yes",AJ854="high"),"import_but_human_review_required",IF(AG854="yes","import_as_active","import_as_backlog")))</x:f>
        <x:v>import_as_backlog</x:v>
      </x:c>
      <x:c r="AO854" s="12" t="str">
        <x:f>IF(AND(AG854="yes",OR(P854="",Q854="",R854="",S854="")),"missing_required_mvp_fields",IF(AND(AC854="canonical",Y854=""),"missing_source_ref","ok"))</x:f>
        <x:v>ok</x:v>
      </x:c>
      <x:c r="AP854" s="12" t="str">
        <x:f>IF(AO854="ok","ready_for_codex_import","needs_review")</x:f>
        <x:v>ready_for_codex_import</x:v>
      </x:c>
      <x:c r="AQ854" s="12"/>
      <x:c r="AR854" s="12" t="str">
        <x:v>Added v2 operational fields. Review before classification activation.</x:v>
      </x:c>
    </x:row>
    <x:row r="855">
      <x:c r="A855" s="13" t="str">
        <x:v>forecast_horizon_neglect_canonical</x:v>
      </x:c>
      <x:c r="B855" s="13" t="str">
        <x:v>forecast_horizon_neglect</x:v>
      </x:c>
      <x:c r="C855" s="13" t="str">
        <x:v>Forecast horizon neglect</x:v>
      </x:c>
      <x:c r="D855" s="13" t="str">
        <x:v>نادیده‌گرفتن افق پیش‌بینی</x:v>
      </x:c>
      <x:c r="E855" s="13" t="str">
        <x:v>Canonical form</x:v>
      </x:c>
      <x:c r="F855" s="13" t="str">
        <x:v>uncertainty_calibration_failures</x:v>
      </x:c>
      <x:c r="G855" s="13" t="str">
        <x:v>canonical</x:v>
      </x:c>
      <x:c r="H855" s="13" t="str">
        <x:v>contextual</x:v>
      </x:c>
      <x:c r="I855" s="13" t="str">
        <x:v>claim+context</x:v>
      </x:c>
      <x:c r="J855" s="13" t="str">
        <x:v>derived_operational_subtype</x:v>
      </x:c>
      <x:c r="K855" s="13" t="str">
        <x:v>derived_from_established_parent_review_required</x:v>
      </x:c>
      <x:c r="L855" s="13" t="str">
        <x:v>P2</x:v>
      </x:c>
      <x:c r="M855" s="13" t="str">
        <x:v>no</x:v>
      </x:c>
      <x:c r="N855" s="13" t="str">
        <x:v>Operational subtype under Forecast horizon neglect: uncertainty is understated or miscalibrated. Parent definition: Making forecasts without specifying the time horizon.</x:v>
      </x:c>
      <x:c r="O855" s="13" t="str">
        <x:v>Look for: explicit claim-level evidence; parent-family cues for Forecast horizon neglect; variant cue: uncertainty is understated or miscalibrated; avoid author-level inference.</x:v>
      </x:c>
      <x:c r="P855" s="13" t="str">
        <x:v>Exact evidence span in text plus claim-level reasoning link; for contextual/discourse entries, require surrounding context.</x:v>
      </x:c>
      <x:c r="Q855" s="13" t="str">
        <x:v>Do not label merely because topic is controversial, emotional, or wrong. Do not judge intent or personality. Require textual evidence and consider healthy-reasoning cues.</x:v>
      </x:c>
      <x:c r="R855" s="13" t="str">
        <x:v>Stub: A claim relies on uncertainty is understated or miscalibrated to support a conclusion without adequate qualification.</x:v>
      </x:c>
      <x:c r="S855" s="13" t="str">
        <x:v>Stub: A claim discusses forecast horizon neglect with caveats, balanced evidence, or no argumentative use of the pattern.</x:v>
      </x:c>
      <x:c r="T855" s="13" t="str">
        <x:v>Mild or ambiguous cue; do not classify without clear evidence span.</x:v>
      </x:c>
      <x:c r="U855" s="13" t="str">
        <x:v>Clear claim-level pattern with some argumentative impact.</x:v>
      </x:c>
      <x:c r="V855" s="13" t="str">
        <x:v>Strong pattern central to the conclusion and likely to materially distort reasoning.</x:v>
      </x:c>
      <x:c r="W855" s="13" t="str">
        <x:v>uncertainty_acknowledgement; confidence_calibration; scope_limitation</x:v>
      </x:c>
      <x:c r="X855" s="13" t="str">
        <x:v>stanovich_dual_process</x:v>
      </x:c>
      <x:c r="Y855" s="13" t="str">
        <x:v>https://global.oup.com/academic/product/rationality-and-the-reflective-mind-9780195341140</x:v>
      </x:c>
      <x:c r="Z855" s="13" t="str">
        <x:v>Review before enabling. This workbook is a living taxonomy scaffold, not a validated scientific benchmark.</x:v>
      </x:c>
      <x:c r="AA855" s="13" t="str">
        <x:v>0.1.0-draft</x:v>
      </x:c>
      <x:c r="AB855" s="12" t="str">
        <x:f>IF(ISNUMBER(SEARCH("healthy",F855)),"healthy_reasoning_patterns",IF(ISNUMBER(SEARCH("statistical",F855)),"statistical_reasoning",IF(ISNUMBER(SEARCH("causal",F855)),"causal_reasoning",IF(ISNUMBER(SEARCH("social",F855)),"social_influence",IF(ISNUMBER(SEARCH("rhetoric",F855)),"rhetoric_discourse",IF(ISNUMBER(SEARCH("behavior",F855)),"behavioural_economics",IF(ISNUMBER(SEARCH("cognitive",F855)),"cognitive_biases",IF(J855="protective_pattern","healthy_reasoning_patterns",IF(L855="P0","core_mvp","extended_fallacies")))))))))</x:f>
        <x:v>extended_fallacies</x:v>
      </x:c>
      <x:c r="AC855" s="12" t="str">
        <x:f>IF(ISNUMBER(SEARCH("operational",J855)),"operational",IF(ISNUMBER(SEARCH("deprecated",J855)),"deprecated",IF(L855="P0","canonical","recognized_subtype")))</x:f>
        <x:v>operational</x:v>
      </x:c>
      <x:c r="AD855" s="12" t="str">
        <x:f>IF(AC855="canonical","high",IF(AC855="recognized_subtype","medium",IF(AC855="operational","operational_only","debated")))</x:f>
        <x:v>operational_only</x:v>
      </x:c>
      <x:c r="AE855" s="12" t="str">
        <x:f>IF(AC855="deprecated","deprecated",IF(M855="yes","active",IF(M855="review","review_required","backlog")))</x:f>
        <x:v>backlog</x:v>
      </x:c>
      <x:c r="AF855" s="12" t="str">
        <x:f>IF(OR(AE855="active",AE855="review_required"),"yes","no")</x:f>
        <x:v>no</x:v>
      </x:c>
      <x:c r="AG855" s="12" t="str">
        <x:f>IF(AND(AE855="active",M855="yes",NOT(ISNUMBER(SEARCH("healthy",AB855)))),"yes","no")</x:f>
        <x:v>no</x:v>
      </x:c>
      <x:c r="AH855" s="12" t="str">
        <x:f>IF(OR(H855="contextual",H855="dialogue",H855="discourse",I855="claim+context",I855="discourse_segment"),"yes","no")</x:f>
        <x:v>yes</x:v>
      </x:c>
      <x:c r="AI855" s="12" t="str">
        <x:f>IF(OR(AH855="yes",AD855="debated",AC855="operational"),"yes","no")</x:f>
        <x:v>yes</x:v>
      </x:c>
      <x:c r="AJ855" s="12" t="str">
        <x:f>IF(OR(AH855="yes",AC855="operational",AD855="debated"),"high",IF(AND(AG855="yes",L855="P0"),"medium","low"))</x:f>
        <x:v>high</x:v>
      </x:c>
      <x:c r="AK855" s="12" t="str">
        <x:f>IF(ISNUMBER(SEARCH("healthy",AB855)),"yes","no")</x:f>
        <x:v>no</x:v>
      </x:c>
      <x:c r="AL855" s="12" t="str">
        <x:f>IF(AG855="yes","yes","candidate_only")</x:f>
        <x:v>candidate_only</x:v>
      </x:c>
      <x:c r="AM855" s="12" t="str">
        <x:f>IF(OR(AC855="canonical",AG855="yes"),"yes","recommended")</x:f>
        <x:v>recommended</x:v>
      </x:c>
      <x:c r="AN855" s="12" t="str">
        <x:f>IF(AC855="deprecated","exclude",IF(AND(AG855="yes",AJ855="high"),"import_but_human_review_required",IF(AG855="yes","import_as_active","import_as_backlog")))</x:f>
        <x:v>import_as_backlog</x:v>
      </x:c>
      <x:c r="AO855" s="12" t="str">
        <x:f>IF(AND(AG855="yes",OR(P855="",Q855="",R855="",S855="")),"missing_required_mvp_fields",IF(AND(AC855="canonical",Y855=""),"missing_source_ref","ok"))</x:f>
        <x:v>ok</x:v>
      </x:c>
      <x:c r="AP855" s="12" t="str">
        <x:f>IF(AO855="ok","ready_for_codex_import","needs_review")</x:f>
        <x:v>ready_for_codex_import</x:v>
      </x:c>
      <x:c r="AQ855" s="12"/>
      <x:c r="AR855" s="12" t="str">
        <x:v>Added v2 operational fields. Review before classification activation.</x:v>
      </x:c>
    </x:row>
    <x:row r="856">
      <x:c r="A856" s="13" t="str">
        <x:v>trend_extrapolation_overreach_canonical</x:v>
      </x:c>
      <x:c r="B856" s="13" t="str">
        <x:v>trend_extrapolation_overreach</x:v>
      </x:c>
      <x:c r="C856" s="13" t="str">
        <x:v>Trend extrapolation overreach</x:v>
      </x:c>
      <x:c r="D856" s="13" t="str">
        <x:v>برون‌یابی افراطی روند</x:v>
      </x:c>
      <x:c r="E856" s="13" t="str">
        <x:v>Canonical form</x:v>
      </x:c>
      <x:c r="F856" s="13" t="str">
        <x:v>uncertainty_calibration_failures</x:v>
      </x:c>
      <x:c r="G856" s="13" t="str">
        <x:v>canonical</x:v>
      </x:c>
      <x:c r="H856" s="13" t="str">
        <x:v>contextual</x:v>
      </x:c>
      <x:c r="I856" s="13" t="str">
        <x:v>claim+context</x:v>
      </x:c>
      <x:c r="J856" s="13" t="str">
        <x:v>derived_operational_subtype</x:v>
      </x:c>
      <x:c r="K856" s="13" t="str">
        <x:v>derived_from_established_parent_review_required</x:v>
      </x:c>
      <x:c r="L856" s="13" t="str">
        <x:v>P2</x:v>
      </x:c>
      <x:c r="M856" s="13" t="str">
        <x:v>no</x:v>
      </x:c>
      <x:c r="N856" s="13" t="str">
        <x:v>Operational subtype under Trend extrapolation overreach: uncertainty is understated or miscalibrated. Parent definition: Extending a trend beyond evidence without caveats.</x:v>
      </x:c>
      <x:c r="O856" s="13" t="str">
        <x:v>Look for: explicit claim-level evidence; parent-family cues for Trend extrapolation overreach; variant cue: uncertainty is understated or miscalibrated; avoid author-level inference.</x:v>
      </x:c>
      <x:c r="P856" s="13" t="str">
        <x:v>Exact evidence span in text plus claim-level reasoning link; for contextual/discourse entries, require surrounding context.</x:v>
      </x:c>
      <x:c r="Q856" s="13" t="str">
        <x:v>Do not label merely because topic is controversial, emotional, or wrong. Do not judge intent or personality. Require textual evidence and consider healthy-reasoning cues.</x:v>
      </x:c>
      <x:c r="R856" s="13" t="str">
        <x:v>Stub: A claim relies on uncertainty is understated or miscalibrated to support a conclusion without adequate qualification.</x:v>
      </x:c>
      <x:c r="S856" s="13" t="str">
        <x:v>Stub: A claim discusses trend extrapolation overreach with caveats, balanced evidence, or no argumentative use of the pattern.</x:v>
      </x:c>
      <x:c r="T856" s="13" t="str">
        <x:v>Mild or ambiguous cue; do not classify without clear evidence span.</x:v>
      </x:c>
      <x:c r="U856" s="13" t="str">
        <x:v>Clear claim-level pattern with some argumentative impact.</x:v>
      </x:c>
      <x:c r="V856" s="13" t="str">
        <x:v>Strong pattern central to the conclusion and likely to materially distort reasoning.</x:v>
      </x:c>
      <x:c r="W856" s="13" t="str">
        <x:v>cherry_picking; missing_counterevidence; evidence_grading</x:v>
      </x:c>
      <x:c r="X856" s="13" t="str">
        <x:v>stanovich_dual_process</x:v>
      </x:c>
      <x:c r="Y856" s="13" t="str">
        <x:v>https://global.oup.com/academic/product/rationality-and-the-reflective-mind-9780195341140</x:v>
      </x:c>
      <x:c r="Z856" s="13" t="str">
        <x:v>Review before enabling. This workbook is a living taxonomy scaffold, not a validated scientific benchmark.</x:v>
      </x:c>
      <x:c r="AA856" s="13" t="str">
        <x:v>0.1.0-draft</x:v>
      </x:c>
      <x:c r="AB856" s="12" t="str">
        <x:f>IF(ISNUMBER(SEARCH("healthy",F856)),"healthy_reasoning_patterns",IF(ISNUMBER(SEARCH("statistical",F856)),"statistical_reasoning",IF(ISNUMBER(SEARCH("causal",F856)),"causal_reasoning",IF(ISNUMBER(SEARCH("social",F856)),"social_influence",IF(ISNUMBER(SEARCH("rhetoric",F856)),"rhetoric_discourse",IF(ISNUMBER(SEARCH("behavior",F856)),"behavioural_economics",IF(ISNUMBER(SEARCH("cognitive",F856)),"cognitive_biases",IF(J856="protective_pattern","healthy_reasoning_patterns",IF(L856="P0","core_mvp","extended_fallacies")))))))))</x:f>
        <x:v>extended_fallacies</x:v>
      </x:c>
      <x:c r="AC856" s="12" t="str">
        <x:f>IF(ISNUMBER(SEARCH("operational",J856)),"operational",IF(ISNUMBER(SEARCH("deprecated",J856)),"deprecated",IF(L856="P0","canonical","recognized_subtype")))</x:f>
        <x:v>operational</x:v>
      </x:c>
      <x:c r="AD856" s="12" t="str">
        <x:f>IF(AC856="canonical","high",IF(AC856="recognized_subtype","medium",IF(AC856="operational","operational_only","debated")))</x:f>
        <x:v>operational_only</x:v>
      </x:c>
      <x:c r="AE856" s="12" t="str">
        <x:f>IF(AC856="deprecated","deprecated",IF(M856="yes","active",IF(M856="review","review_required","backlog")))</x:f>
        <x:v>backlog</x:v>
      </x:c>
      <x:c r="AF856" s="12" t="str">
        <x:f>IF(OR(AE856="active",AE856="review_required"),"yes","no")</x:f>
        <x:v>no</x:v>
      </x:c>
      <x:c r="AG856" s="12" t="str">
        <x:f>IF(AND(AE856="active",M856="yes",NOT(ISNUMBER(SEARCH("healthy",AB856)))),"yes","no")</x:f>
        <x:v>no</x:v>
      </x:c>
      <x:c r="AH856" s="12" t="str">
        <x:f>IF(OR(H856="contextual",H856="dialogue",H856="discourse",I856="claim+context",I856="discourse_segment"),"yes","no")</x:f>
        <x:v>yes</x:v>
      </x:c>
      <x:c r="AI856" s="12" t="str">
        <x:f>IF(OR(AH856="yes",AD856="debated",AC856="operational"),"yes","no")</x:f>
        <x:v>yes</x:v>
      </x:c>
      <x:c r="AJ856" s="12" t="str">
        <x:f>IF(OR(AH856="yes",AC856="operational",AD856="debated"),"high",IF(AND(AG856="yes",L856="P0"),"medium","low"))</x:f>
        <x:v>high</x:v>
      </x:c>
      <x:c r="AK856" s="12" t="str">
        <x:f>IF(ISNUMBER(SEARCH("healthy",AB856)),"yes","no")</x:f>
        <x:v>no</x:v>
      </x:c>
      <x:c r="AL856" s="12" t="str">
        <x:f>IF(AG856="yes","yes","candidate_only")</x:f>
        <x:v>candidate_only</x:v>
      </x:c>
      <x:c r="AM856" s="12" t="str">
        <x:f>IF(OR(AC856="canonical",AG856="yes"),"yes","recommended")</x:f>
        <x:v>recommended</x:v>
      </x:c>
      <x:c r="AN856" s="12" t="str">
        <x:f>IF(AC856="deprecated","exclude",IF(AND(AG856="yes",AJ856="high"),"import_but_human_review_required",IF(AG856="yes","import_as_active","import_as_backlog")))</x:f>
        <x:v>import_as_backlog</x:v>
      </x:c>
      <x:c r="AO856" s="12" t="str">
        <x:f>IF(AND(AG856="yes",OR(P856="",Q856="",R856="",S856="")),"missing_required_mvp_fields",IF(AND(AC856="canonical",Y856=""),"missing_source_ref","ok"))</x:f>
        <x:v>ok</x:v>
      </x:c>
      <x:c r="AP856" s="12" t="str">
        <x:f>IF(AO856="ok","ready_for_codex_import","needs_review")</x:f>
        <x:v>ready_for_codex_import</x:v>
      </x:c>
      <x:c r="AQ856" s="12"/>
      <x:c r="AR856" s="12" t="str">
        <x:v>Added v2 operational fields. Review before classification activation.</x:v>
      </x:c>
    </x:row>
    <x:row r="857">
      <x:c r="A857" s="13" t="str">
        <x:v>linear_projection_fallacy_canonical</x:v>
      </x:c>
      <x:c r="B857" s="13" t="str">
        <x:v>linear_projection_fallacy</x:v>
      </x:c>
      <x:c r="C857" s="13" t="str">
        <x:v>Linear projection fallacy</x:v>
      </x:c>
      <x:c r="D857" s="13" t="str">
        <x:v>خطای امتداد خطی</x:v>
      </x:c>
      <x:c r="E857" s="13" t="str">
        <x:v>Canonical form</x:v>
      </x:c>
      <x:c r="F857" s="13" t="str">
        <x:v>uncertainty_calibration_failures</x:v>
      </x:c>
      <x:c r="G857" s="13" t="str">
        <x:v>canonical</x:v>
      </x:c>
      <x:c r="H857" s="13" t="str">
        <x:v>contextual</x:v>
      </x:c>
      <x:c r="I857" s="13" t="str">
        <x:v>claim+context</x:v>
      </x:c>
      <x:c r="J857" s="13" t="str">
        <x:v>derived_operational_subtype</x:v>
      </x:c>
      <x:c r="K857" s="13" t="str">
        <x:v>derived_from_established_parent_review_required</x:v>
      </x:c>
      <x:c r="L857" s="13" t="str">
        <x:v>P2</x:v>
      </x:c>
      <x:c r="M857" s="13" t="str">
        <x:v>no</x:v>
      </x:c>
      <x:c r="N857" s="13" t="str">
        <x:v>Operational subtype under Linear projection fallacy: uncertainty is understated or miscalibrated. Parent definition: Assuming linear continuation in a nonlinear domain.</x:v>
      </x:c>
      <x:c r="O857" s="13" t="str">
        <x:v>Look for: explicit claim-level evidence; parent-family cues for Linear projection fallacy; variant cue: uncertainty is understated or miscalibrated; avoid author-level inference.</x:v>
      </x:c>
      <x:c r="P857" s="13" t="str">
        <x:v>Exact evidence span in text plus claim-level reasoning link; for contextual/discourse entries, require surrounding context.</x:v>
      </x:c>
      <x:c r="Q857" s="13" t="str">
        <x:v>Do not label merely because topic is controversial, emotional, or wrong. Do not judge intent or personality. Require textual evidence and consider healthy-reasoning cues.</x:v>
      </x:c>
      <x:c r="R857" s="13" t="str">
        <x:v>Stub: A claim relies on uncertainty is understated or miscalibrated to support a conclusion without adequate qualification.</x:v>
      </x:c>
      <x:c r="S857" s="13" t="str">
        <x:v>Stub: A claim discusses linear projection fallacy with caveats, balanced evidence, or no argumentative use of the pattern.</x:v>
      </x:c>
      <x:c r="T857" s="13" t="str">
        <x:v>Mild or ambiguous cue; do not classify without clear evidence span.</x:v>
      </x:c>
      <x:c r="U857" s="13" t="str">
        <x:v>Clear claim-level pattern with some argumentative impact.</x:v>
      </x:c>
      <x:c r="V857" s="13" t="str">
        <x:v>Strong pattern central to the conclusion and likely to materially distort reasoning.</x:v>
      </x:c>
      <x:c r="W857" s="13" t="str">
        <x:v>uncertainty_acknowledgement; confidence_calibration; scope_limitation</x:v>
      </x:c>
      <x:c r="X857" s="13" t="str">
        <x:v>stanovich_dual_process</x:v>
      </x:c>
      <x:c r="Y857" s="13" t="str">
        <x:v>https://global.oup.com/academic/product/rationality-and-the-reflective-mind-9780195341140</x:v>
      </x:c>
      <x:c r="Z857" s="13" t="str">
        <x:v>Review before enabling. This workbook is a living taxonomy scaffold, not a validated scientific benchmark.</x:v>
      </x:c>
      <x:c r="AA857" s="13" t="str">
        <x:v>0.1.0-draft</x:v>
      </x:c>
      <x:c r="AB857" s="12" t="str">
        <x:f>IF(ISNUMBER(SEARCH("healthy",F857)),"healthy_reasoning_patterns",IF(ISNUMBER(SEARCH("statistical",F857)),"statistical_reasoning",IF(ISNUMBER(SEARCH("causal",F857)),"causal_reasoning",IF(ISNUMBER(SEARCH("social",F857)),"social_influence",IF(ISNUMBER(SEARCH("rhetoric",F857)),"rhetoric_discourse",IF(ISNUMBER(SEARCH("behavior",F857)),"behavioural_economics",IF(ISNUMBER(SEARCH("cognitive",F857)),"cognitive_biases",IF(J857="protective_pattern","healthy_reasoning_patterns",IF(L857="P0","core_mvp","extended_fallacies")))))))))</x:f>
        <x:v>extended_fallacies</x:v>
      </x:c>
      <x:c r="AC857" s="12" t="str">
        <x:f>IF(ISNUMBER(SEARCH("operational",J857)),"operational",IF(ISNUMBER(SEARCH("deprecated",J857)),"deprecated",IF(L857="P0","canonical","recognized_subtype")))</x:f>
        <x:v>operational</x:v>
      </x:c>
      <x:c r="AD857" s="12" t="str">
        <x:f>IF(AC857="canonical","high",IF(AC857="recognized_subtype","medium",IF(AC857="operational","operational_only","debated")))</x:f>
        <x:v>operational_only</x:v>
      </x:c>
      <x:c r="AE857" s="12" t="str">
        <x:f>IF(AC857="deprecated","deprecated",IF(M857="yes","active",IF(M857="review","review_required","backlog")))</x:f>
        <x:v>backlog</x:v>
      </x:c>
      <x:c r="AF857" s="12" t="str">
        <x:f>IF(OR(AE857="active",AE857="review_required"),"yes","no")</x:f>
        <x:v>no</x:v>
      </x:c>
      <x:c r="AG857" s="12" t="str">
        <x:f>IF(AND(AE857="active",M857="yes",NOT(ISNUMBER(SEARCH("healthy",AB857)))),"yes","no")</x:f>
        <x:v>no</x:v>
      </x:c>
      <x:c r="AH857" s="12" t="str">
        <x:f>IF(OR(H857="contextual",H857="dialogue",H857="discourse",I857="claim+context",I857="discourse_segment"),"yes","no")</x:f>
        <x:v>yes</x:v>
      </x:c>
      <x:c r="AI857" s="12" t="str">
        <x:f>IF(OR(AH857="yes",AD857="debated",AC857="operational"),"yes","no")</x:f>
        <x:v>yes</x:v>
      </x:c>
      <x:c r="AJ857" s="12" t="str">
        <x:f>IF(OR(AH857="yes",AC857="operational",AD857="debated"),"high",IF(AND(AG857="yes",L857="P0"),"medium","low"))</x:f>
        <x:v>high</x:v>
      </x:c>
      <x:c r="AK857" s="12" t="str">
        <x:f>IF(ISNUMBER(SEARCH("healthy",AB857)),"yes","no")</x:f>
        <x:v>no</x:v>
      </x:c>
      <x:c r="AL857" s="12" t="str">
        <x:f>IF(AG857="yes","yes","candidate_only")</x:f>
        <x:v>candidate_only</x:v>
      </x:c>
      <x:c r="AM857" s="12" t="str">
        <x:f>IF(OR(AC857="canonical",AG857="yes"),"yes","recommended")</x:f>
        <x:v>recommended</x:v>
      </x:c>
      <x:c r="AN857" s="12" t="str">
        <x:f>IF(AC857="deprecated","exclude",IF(AND(AG857="yes",AJ857="high"),"import_but_human_review_required",IF(AG857="yes","import_as_active","import_as_backlog")))</x:f>
        <x:v>import_as_backlog</x:v>
      </x:c>
      <x:c r="AO857" s="12" t="str">
        <x:f>IF(AND(AG857="yes",OR(P857="",Q857="",R857="",S857="")),"missing_required_mvp_fields",IF(AND(AC857="canonical",Y857=""),"missing_source_ref","ok"))</x:f>
        <x:v>ok</x:v>
      </x:c>
      <x:c r="AP857" s="12" t="str">
        <x:f>IF(AO857="ok","ready_for_codex_import","needs_review")</x:f>
        <x:v>ready_for_codex_import</x:v>
      </x:c>
      <x:c r="AQ857" s="12"/>
      <x:c r="AR857" s="12" t="str">
        <x:v>Added v2 operational fields. Review before classification activation.</x:v>
      </x:c>
    </x:row>
    <x:row r="858">
      <x:c r="A858" s="13" t="str">
        <x:v>scenario_neglect_canonical</x:v>
      </x:c>
      <x:c r="B858" s="13" t="str">
        <x:v>scenario_neglect</x:v>
      </x:c>
      <x:c r="C858" s="13" t="str">
        <x:v>Scenario neglect</x:v>
      </x:c>
      <x:c r="D858" s="13" t="str">
        <x:v>نادیده‌گرفتن سناریوهای بدیل</x:v>
      </x:c>
      <x:c r="E858" s="13" t="str">
        <x:v>Canonical form</x:v>
      </x:c>
      <x:c r="F858" s="13" t="str">
        <x:v>uncertainty_calibration_failures</x:v>
      </x:c>
      <x:c r="G858" s="13" t="str">
        <x:v>canonical</x:v>
      </x:c>
      <x:c r="H858" s="13" t="str">
        <x:v>contextual</x:v>
      </x:c>
      <x:c r="I858" s="13" t="str">
        <x:v>claim+context</x:v>
      </x:c>
      <x:c r="J858" s="13" t="str">
        <x:v>derived_operational_subtype</x:v>
      </x:c>
      <x:c r="K858" s="13" t="str">
        <x:v>derived_from_established_parent_review_required</x:v>
      </x:c>
      <x:c r="L858" s="13" t="str">
        <x:v>P2</x:v>
      </x:c>
      <x:c r="M858" s="13" t="str">
        <x:v>no</x:v>
      </x:c>
      <x:c r="N858" s="13" t="str">
        <x:v>Operational subtype under Scenario neglect: uncertainty is understated or miscalibrated. Parent definition: Failing to consider plausible alternative futures.</x:v>
      </x:c>
      <x:c r="O858" s="13" t="str">
        <x:v>Look for: explicit claim-level evidence; parent-family cues for Scenario neglect; variant cue: uncertainty is understated or miscalibrated; avoid author-level inference.</x:v>
      </x:c>
      <x:c r="P858" s="13" t="str">
        <x:v>Exact evidence span in text plus claim-level reasoning link; for contextual/discourse entries, require surrounding context.</x:v>
      </x:c>
      <x:c r="Q858" s="13" t="str">
        <x:v>Do not label merely because topic is controversial, emotional, or wrong. Do not judge intent or personality. Require textual evidence and consider healthy-reasoning cues.</x:v>
      </x:c>
      <x:c r="R858" s="13" t="str">
        <x:v>Stub: A claim relies on uncertainty is understated or miscalibrated to support a conclusion without adequate qualification.</x:v>
      </x:c>
      <x:c r="S858" s="13" t="str">
        <x:v>Stub: A claim discusses scenario neglect with caveats, balanced evidence, or no argumentative use of the pattern.</x:v>
      </x:c>
      <x:c r="T858" s="13" t="str">
        <x:v>Mild or ambiguous cue; do not classify without clear evidence span.</x:v>
      </x:c>
      <x:c r="U858" s="13" t="str">
        <x:v>Clear claim-level pattern with some argumentative impact.</x:v>
      </x:c>
      <x:c r="V858" s="13" t="str">
        <x:v>Strong pattern central to the conclusion and likely to materially distort reasoning.</x:v>
      </x:c>
      <x:c r="W858" s="13" t="str">
        <x:v>uncertainty_acknowledgement; confidence_calibration; scope_limitation</x:v>
      </x:c>
      <x:c r="X858" s="13" t="str">
        <x:v>stanovich_dual_process</x:v>
      </x:c>
      <x:c r="Y858" s="13" t="str">
        <x:v>https://global.oup.com/academic/product/rationality-and-the-reflective-mind-9780195341140</x:v>
      </x:c>
      <x:c r="Z858" s="13" t="str">
        <x:v>Review before enabling. This workbook is a living taxonomy scaffold, not a validated scientific benchmark.</x:v>
      </x:c>
      <x:c r="AA858" s="13" t="str">
        <x:v>0.1.0-draft</x:v>
      </x:c>
      <x:c r="AB858" s="12" t="str">
        <x:f>IF(ISNUMBER(SEARCH("healthy",F858)),"healthy_reasoning_patterns",IF(ISNUMBER(SEARCH("statistical",F858)),"statistical_reasoning",IF(ISNUMBER(SEARCH("causal",F858)),"causal_reasoning",IF(ISNUMBER(SEARCH("social",F858)),"social_influence",IF(ISNUMBER(SEARCH("rhetoric",F858)),"rhetoric_discourse",IF(ISNUMBER(SEARCH("behavior",F858)),"behavioural_economics",IF(ISNUMBER(SEARCH("cognitive",F858)),"cognitive_biases",IF(J858="protective_pattern","healthy_reasoning_patterns",IF(L858="P0","core_mvp","extended_fallacies")))))))))</x:f>
        <x:v>extended_fallacies</x:v>
      </x:c>
      <x:c r="AC858" s="12" t="str">
        <x:f>IF(ISNUMBER(SEARCH("operational",J858)),"operational",IF(ISNUMBER(SEARCH("deprecated",J858)),"deprecated",IF(L858="P0","canonical","recognized_subtype")))</x:f>
        <x:v>operational</x:v>
      </x:c>
      <x:c r="AD858" s="12" t="str">
        <x:f>IF(AC858="canonical","high",IF(AC858="recognized_subtype","medium",IF(AC858="operational","operational_only","debated")))</x:f>
        <x:v>operational_only</x:v>
      </x:c>
      <x:c r="AE858" s="12" t="str">
        <x:f>IF(AC858="deprecated","deprecated",IF(M858="yes","active",IF(M858="review","review_required","backlog")))</x:f>
        <x:v>backlog</x:v>
      </x:c>
      <x:c r="AF858" s="12" t="str">
        <x:f>IF(OR(AE858="active",AE858="review_required"),"yes","no")</x:f>
        <x:v>no</x:v>
      </x:c>
      <x:c r="AG858" s="12" t="str">
        <x:f>IF(AND(AE858="active",M858="yes",NOT(ISNUMBER(SEARCH("healthy",AB858)))),"yes","no")</x:f>
        <x:v>no</x:v>
      </x:c>
      <x:c r="AH858" s="12" t="str">
        <x:f>IF(OR(H858="contextual",H858="dialogue",H858="discourse",I858="claim+context",I858="discourse_segment"),"yes","no")</x:f>
        <x:v>yes</x:v>
      </x:c>
      <x:c r="AI858" s="12" t="str">
        <x:f>IF(OR(AH858="yes",AD858="debated",AC858="operational"),"yes","no")</x:f>
        <x:v>yes</x:v>
      </x:c>
      <x:c r="AJ858" s="12" t="str">
        <x:f>IF(OR(AH858="yes",AC858="operational",AD858="debated"),"high",IF(AND(AG858="yes",L858="P0"),"medium","low"))</x:f>
        <x:v>high</x:v>
      </x:c>
      <x:c r="AK858" s="12" t="str">
        <x:f>IF(ISNUMBER(SEARCH("healthy",AB858)),"yes","no")</x:f>
        <x:v>no</x:v>
      </x:c>
      <x:c r="AL858" s="12" t="str">
        <x:f>IF(AG858="yes","yes","candidate_only")</x:f>
        <x:v>candidate_only</x:v>
      </x:c>
      <x:c r="AM858" s="12" t="str">
        <x:f>IF(OR(AC858="canonical",AG858="yes"),"yes","recommended")</x:f>
        <x:v>recommended</x:v>
      </x:c>
      <x:c r="AN858" s="12" t="str">
        <x:f>IF(AC858="deprecated","exclude",IF(AND(AG858="yes",AJ858="high"),"import_but_human_review_required",IF(AG858="yes","import_as_active","import_as_backlog")))</x:f>
        <x:v>import_as_backlog</x:v>
      </x:c>
      <x:c r="AO858" s="12" t="str">
        <x:f>IF(AND(AG858="yes",OR(P858="",Q858="",R858="",S858="")),"missing_required_mvp_fields",IF(AND(AC858="canonical",Y858=""),"missing_source_ref","ok"))</x:f>
        <x:v>ok</x:v>
      </x:c>
      <x:c r="AP858" s="12" t="str">
        <x:f>IF(AO858="ok","ready_for_codex_import","needs_review")</x:f>
        <x:v>ready_for_codex_import</x:v>
      </x:c>
      <x:c r="AQ858" s="12"/>
      <x:c r="AR858" s="12" t="str">
        <x:v>Added v2 operational fields. Review before classification activation.</x:v>
      </x:c>
    </x:row>
    <x:row r="859">
      <x:c r="A859" s="13" t="str">
        <x:v>alternative_explanation_neglect_canonical</x:v>
      </x:c>
      <x:c r="B859" s="13" t="str">
        <x:v>alternative_explanation_neglect</x:v>
      </x:c>
      <x:c r="C859" s="13" t="str">
        <x:v>Alternative explanation neglect</x:v>
      </x:c>
      <x:c r="D859" s="13" t="str">
        <x:v>نادیده گرفتن توضیح بدیل</x:v>
      </x:c>
      <x:c r="E859" s="13" t="str">
        <x:v>Canonical form</x:v>
      </x:c>
      <x:c r="F859" s="13" t="str">
        <x:v>uncertainty_calibration_failures</x:v>
      </x:c>
      <x:c r="G859" s="13" t="str">
        <x:v>canonical</x:v>
      </x:c>
      <x:c r="H859" s="13" t="str">
        <x:v>contextual</x:v>
      </x:c>
      <x:c r="I859" s="13" t="str">
        <x:v>claim+context</x:v>
      </x:c>
      <x:c r="J859" s="13" t="str">
        <x:v>derived_operational_subtype</x:v>
      </x:c>
      <x:c r="K859" s="13" t="str">
        <x:v>derived_from_established_parent_review_required</x:v>
      </x:c>
      <x:c r="L859" s="13" t="str">
        <x:v>P2</x:v>
      </x:c>
      <x:c r="M859" s="13" t="str">
        <x:v>no</x:v>
      </x:c>
      <x:c r="N859" s="13" t="str">
        <x:v>Operational subtype under Alternative explanation neglect: uncertainty is understated or miscalibrated. Parent definition: Ignoring plausible alternative explanations for observed evidence.</x:v>
      </x:c>
      <x:c r="O859" s="13" t="str">
        <x:v>Look for: explicit claim-level evidence; parent-family cues for Alternative explanation neglect; variant cue: uncertainty is understated or miscalibrated; avoid author-level inference.</x:v>
      </x:c>
      <x:c r="P859" s="13" t="str">
        <x:v>Exact evidence span in text plus claim-level reasoning link; for contextual/discourse entries, require surrounding context.</x:v>
      </x:c>
      <x:c r="Q859" s="13" t="str">
        <x:v>Do not label merely because topic is controversial, emotional, or wrong. Do not judge intent or personality. Require textual evidence and consider healthy-reasoning cues.</x:v>
      </x:c>
      <x:c r="R859" s="13" t="str">
        <x:v>Stub: A claim relies on uncertainty is understated or miscalibrated to support a conclusion without adequate qualification.</x:v>
      </x:c>
      <x:c r="S859" s="13" t="str">
        <x:v>Stub: A claim discusses alternative explanation neglect with caveats, balanced evidence, or no argumentative use of the pattern.</x:v>
      </x:c>
      <x:c r="T859" s="13" t="str">
        <x:v>Mild or ambiguous cue; do not classify without clear evidence span.</x:v>
      </x:c>
      <x:c r="U859" s="13" t="str">
        <x:v>Clear claim-level pattern with some argumentative impact.</x:v>
      </x:c>
      <x:c r="V859" s="13" t="str">
        <x:v>Strong pattern central to the conclusion and likely to materially distort reasoning.</x:v>
      </x:c>
      <x:c r="W859" s="13" t="str">
        <x:v>cherry_picking; missing_counterevidence; evidence_grading</x:v>
      </x:c>
      <x:c r="X859" s="13" t="str">
        <x:v>toulmin_uses_argument</x:v>
      </x:c>
      <x:c r="Y859" s="13" t="str">
        <x:v>https://doi.org/10.1017/CBO9780511840005</x:v>
      </x:c>
      <x:c r="Z859" s="13" t="str">
        <x:v>Review before enabling. This workbook is a living taxonomy scaffold, not a validated scientific benchmark.</x:v>
      </x:c>
      <x:c r="AA859" s="13" t="str">
        <x:v>0.1.0-draft</x:v>
      </x:c>
      <x:c r="AB859" s="12" t="str">
        <x:f>IF(ISNUMBER(SEARCH("healthy",F859)),"healthy_reasoning_patterns",IF(ISNUMBER(SEARCH("statistical",F859)),"statistical_reasoning",IF(ISNUMBER(SEARCH("causal",F859)),"causal_reasoning",IF(ISNUMBER(SEARCH("social",F859)),"social_influence",IF(ISNUMBER(SEARCH("rhetoric",F859)),"rhetoric_discourse",IF(ISNUMBER(SEARCH("behavior",F859)),"behavioural_economics",IF(ISNUMBER(SEARCH("cognitive",F859)),"cognitive_biases",IF(J859="protective_pattern","healthy_reasoning_patterns",IF(L859="P0","core_mvp","extended_fallacies")))))))))</x:f>
        <x:v>extended_fallacies</x:v>
      </x:c>
      <x:c r="AC859" s="12" t="str">
        <x:f>IF(ISNUMBER(SEARCH("operational",J859)),"operational",IF(ISNUMBER(SEARCH("deprecated",J859)),"deprecated",IF(L859="P0","canonical","recognized_subtype")))</x:f>
        <x:v>operational</x:v>
      </x:c>
      <x:c r="AD859" s="12" t="str">
        <x:f>IF(AC859="canonical","high",IF(AC859="recognized_subtype","medium",IF(AC859="operational","operational_only","debated")))</x:f>
        <x:v>operational_only</x:v>
      </x:c>
      <x:c r="AE859" s="12" t="str">
        <x:f>IF(AC859="deprecated","deprecated",IF(M859="yes","active",IF(M859="review","review_required","backlog")))</x:f>
        <x:v>backlog</x:v>
      </x:c>
      <x:c r="AF859" s="12" t="str">
        <x:f>IF(OR(AE859="active",AE859="review_required"),"yes","no")</x:f>
        <x:v>no</x:v>
      </x:c>
      <x:c r="AG859" s="12" t="str">
        <x:f>IF(AND(AE859="active",M859="yes",NOT(ISNUMBER(SEARCH("healthy",AB859)))),"yes","no")</x:f>
        <x:v>no</x:v>
      </x:c>
      <x:c r="AH859" s="12" t="str">
        <x:f>IF(OR(H859="contextual",H859="dialogue",H859="discourse",I859="claim+context",I859="discourse_segment"),"yes","no")</x:f>
        <x:v>yes</x:v>
      </x:c>
      <x:c r="AI859" s="12" t="str">
        <x:f>IF(OR(AH859="yes",AD859="debated",AC859="operational"),"yes","no")</x:f>
        <x:v>yes</x:v>
      </x:c>
      <x:c r="AJ859" s="12" t="str">
        <x:f>IF(OR(AH859="yes",AC859="operational",AD859="debated"),"high",IF(AND(AG859="yes",L859="P0"),"medium","low"))</x:f>
        <x:v>high</x:v>
      </x:c>
      <x:c r="AK859" s="12" t="str">
        <x:f>IF(ISNUMBER(SEARCH("healthy",AB859)),"yes","no")</x:f>
        <x:v>no</x:v>
      </x:c>
      <x:c r="AL859" s="12" t="str">
        <x:f>IF(AG859="yes","yes","candidate_only")</x:f>
        <x:v>candidate_only</x:v>
      </x:c>
      <x:c r="AM859" s="12" t="str">
        <x:f>IF(OR(AC859="canonical",AG859="yes"),"yes","recommended")</x:f>
        <x:v>recommended</x:v>
      </x:c>
      <x:c r="AN859" s="12" t="str">
        <x:f>IF(AC859="deprecated","exclude",IF(AND(AG859="yes",AJ859="high"),"import_but_human_review_required",IF(AG859="yes","import_as_active","import_as_backlog")))</x:f>
        <x:v>import_as_backlog</x:v>
      </x:c>
      <x:c r="AO859" s="12" t="str">
        <x:f>IF(AND(AG859="yes",OR(P859="",Q859="",R859="",S859="")),"missing_required_mvp_fields",IF(AND(AC859="canonical",Y859=""),"missing_source_ref","ok"))</x:f>
        <x:v>ok</x:v>
      </x:c>
      <x:c r="AP859" s="12" t="str">
        <x:f>IF(AO859="ok","ready_for_codex_import","needs_review")</x:f>
        <x:v>ready_for_codex_import</x:v>
      </x:c>
      <x:c r="AQ859" s="12"/>
      <x:c r="AR859" s="12" t="str">
        <x:v>Added v2 operational fields. Review before classification activation.</x:v>
      </x:c>
    </x:row>
    <x:row r="860">
      <x:c r="A860" s="13" t="str">
        <x:v>model_overfit_claim_canonical</x:v>
      </x:c>
      <x:c r="B860" s="13" t="str">
        <x:v>model_overfit_claim</x:v>
      </x:c>
      <x:c r="C860" s="13" t="str">
        <x:v>Model overfit claim</x:v>
      </x:c>
      <x:c r="D860" s="13" t="str">
        <x:v>ادعای مدل بیش‌برازش‌یافته</x:v>
      </x:c>
      <x:c r="E860" s="13" t="str">
        <x:v>Canonical form</x:v>
      </x:c>
      <x:c r="F860" s="13" t="str">
        <x:v>uncertainty_calibration_failures</x:v>
      </x:c>
      <x:c r="G860" s="13" t="str">
        <x:v>canonical</x:v>
      </x:c>
      <x:c r="H860" s="13" t="str">
        <x:v>contextual</x:v>
      </x:c>
      <x:c r="I860" s="13" t="str">
        <x:v>claim+context</x:v>
      </x:c>
      <x:c r="J860" s="13" t="str">
        <x:v>derived_operational_subtype</x:v>
      </x:c>
      <x:c r="K860" s="13" t="str">
        <x:v>derived_from_established_parent_review_required</x:v>
      </x:c>
      <x:c r="L860" s="13" t="str">
        <x:v>P2</x:v>
      </x:c>
      <x:c r="M860" s="13" t="str">
        <x:v>no</x:v>
      </x:c>
      <x:c r="N860" s="13" t="str">
        <x:v>Operational subtype under Model overfit claim: uncertainty is understated or miscalibrated. Parent definition: Treating model fit as reliable prediction without validation.</x:v>
      </x:c>
      <x:c r="O860" s="13" t="str">
        <x:v>Look for: explicit claim-level evidence; parent-family cues for Model overfit claim; variant cue: uncertainty is understated or miscalibrated; avoid author-level inference.</x:v>
      </x:c>
      <x:c r="P860" s="13" t="str">
        <x:v>Exact evidence span in text plus claim-level reasoning link; for contextual/discourse entries, require surrounding context.</x:v>
      </x:c>
      <x:c r="Q860" s="13" t="str">
        <x:v>Do not label merely because topic is controversial, emotional, or wrong. Do not judge intent or personality. Require textual evidence and consider healthy-reasoning cues.</x:v>
      </x:c>
      <x:c r="R860" s="13" t="str">
        <x:v>Stub: A claim relies on uncertainty is understated or miscalibrated to support a conclusion without adequate qualification.</x:v>
      </x:c>
      <x:c r="S860" s="13" t="str">
        <x:v>Stub: A claim discusses model overfit claim with caveats, balanced evidence, or no argumentative use of the pattern.</x:v>
      </x:c>
      <x:c r="T860" s="13" t="str">
        <x:v>Mild or ambiguous cue; do not classify without clear evidence span.</x:v>
      </x:c>
      <x:c r="U860" s="13" t="str">
        <x:v>Clear claim-level pattern with some argumentative impact.</x:v>
      </x:c>
      <x:c r="V860" s="13" t="str">
        <x:v>Strong pattern central to the conclusion and likely to materially distort reasoning.</x:v>
      </x:c>
      <x:c r="W860" s="13" t="str">
        <x:v>uncertainty_acknowledgement; confidence_calibration; scope_limitation</x:v>
      </x:c>
      <x:c r="X860" s="13" t="str">
        <x:v>stanovich_dual_process</x:v>
      </x:c>
      <x:c r="Y860" s="13" t="str">
        <x:v>https://global.oup.com/academic/product/rationality-and-the-reflective-mind-9780195341140</x:v>
      </x:c>
      <x:c r="Z860" s="13" t="str">
        <x:v>Review before enabling. This workbook is a living taxonomy scaffold, not a validated scientific benchmark.</x:v>
      </x:c>
      <x:c r="AA860" s="13" t="str">
        <x:v>0.1.0-draft</x:v>
      </x:c>
      <x:c r="AB860" s="12" t="str">
        <x:f>IF(ISNUMBER(SEARCH("healthy",F860)),"healthy_reasoning_patterns",IF(ISNUMBER(SEARCH("statistical",F860)),"statistical_reasoning",IF(ISNUMBER(SEARCH("causal",F860)),"causal_reasoning",IF(ISNUMBER(SEARCH("social",F860)),"social_influence",IF(ISNUMBER(SEARCH("rhetoric",F860)),"rhetoric_discourse",IF(ISNUMBER(SEARCH("behavior",F860)),"behavioural_economics",IF(ISNUMBER(SEARCH("cognitive",F860)),"cognitive_biases",IF(J860="protective_pattern","healthy_reasoning_patterns",IF(L860="P0","core_mvp","extended_fallacies")))))))))</x:f>
        <x:v>extended_fallacies</x:v>
      </x:c>
      <x:c r="AC860" s="12" t="str">
        <x:f>IF(ISNUMBER(SEARCH("operational",J860)),"operational",IF(ISNUMBER(SEARCH("deprecated",J860)),"deprecated",IF(L860="P0","canonical","recognized_subtype")))</x:f>
        <x:v>operational</x:v>
      </x:c>
      <x:c r="AD860" s="12" t="str">
        <x:f>IF(AC860="canonical","high",IF(AC860="recognized_subtype","medium",IF(AC860="operational","operational_only","debated")))</x:f>
        <x:v>operational_only</x:v>
      </x:c>
      <x:c r="AE860" s="12" t="str">
        <x:f>IF(AC860="deprecated","deprecated",IF(M860="yes","active",IF(M860="review","review_required","backlog")))</x:f>
        <x:v>backlog</x:v>
      </x:c>
      <x:c r="AF860" s="12" t="str">
        <x:f>IF(OR(AE860="active",AE860="review_required"),"yes","no")</x:f>
        <x:v>no</x:v>
      </x:c>
      <x:c r="AG860" s="12" t="str">
        <x:f>IF(AND(AE860="active",M860="yes",NOT(ISNUMBER(SEARCH("healthy",AB860)))),"yes","no")</x:f>
        <x:v>no</x:v>
      </x:c>
      <x:c r="AH860" s="12" t="str">
        <x:f>IF(OR(H860="contextual",H860="dialogue",H860="discourse",I860="claim+context",I860="discourse_segment"),"yes","no")</x:f>
        <x:v>yes</x:v>
      </x:c>
      <x:c r="AI860" s="12" t="str">
        <x:f>IF(OR(AH860="yes",AD860="debated",AC860="operational"),"yes","no")</x:f>
        <x:v>yes</x:v>
      </x:c>
      <x:c r="AJ860" s="12" t="str">
        <x:f>IF(OR(AH860="yes",AC860="operational",AD860="debated"),"high",IF(AND(AG860="yes",L860="P0"),"medium","low"))</x:f>
        <x:v>high</x:v>
      </x:c>
      <x:c r="AK860" s="12" t="str">
        <x:f>IF(ISNUMBER(SEARCH("healthy",AB860)),"yes","no")</x:f>
        <x:v>no</x:v>
      </x:c>
      <x:c r="AL860" s="12" t="str">
        <x:f>IF(AG860="yes","yes","candidate_only")</x:f>
        <x:v>candidate_only</x:v>
      </x:c>
      <x:c r="AM860" s="12" t="str">
        <x:f>IF(OR(AC860="canonical",AG860="yes"),"yes","recommended")</x:f>
        <x:v>recommended</x:v>
      </x:c>
      <x:c r="AN860" s="12" t="str">
        <x:f>IF(AC860="deprecated","exclude",IF(AND(AG860="yes",AJ860="high"),"import_but_human_review_required",IF(AG860="yes","import_as_active","import_as_backlog")))</x:f>
        <x:v>import_as_backlog</x:v>
      </x:c>
      <x:c r="AO860" s="12" t="str">
        <x:f>IF(AND(AG860="yes",OR(P860="",Q860="",R860="",S860="")),"missing_required_mvp_fields",IF(AND(AC860="canonical",Y860=""),"missing_source_ref","ok"))</x:f>
        <x:v>ok</x:v>
      </x:c>
      <x:c r="AP860" s="12" t="str">
        <x:f>IF(AO860="ok","ready_for_codex_import","needs_review")</x:f>
        <x:v>ready_for_codex_import</x:v>
      </x:c>
      <x:c r="AQ860" s="12"/>
      <x:c r="AR860" s="12" t="str">
        <x:v>Added v2 operational fields. Review before classification activation.</x:v>
      </x:c>
    </x:row>
    <x:row r="861">
      <x:c r="A861" s="13" t="str">
        <x:v>domain_transfer_overreach_canonical</x:v>
      </x:c>
      <x:c r="B861" s="13" t="str">
        <x:v>domain_transfer_overreach</x:v>
      </x:c>
      <x:c r="C861" s="13" t="str">
        <x:v>Domain transfer overreach</x:v>
      </x:c>
      <x:c r="D861" s="13" t="str">
        <x:v>تعمیم بین‌حوزه‌ای افراطی</x:v>
      </x:c>
      <x:c r="E861" s="13" t="str">
        <x:v>Canonical form</x:v>
      </x:c>
      <x:c r="F861" s="13" t="str">
        <x:v>uncertainty_calibration_failures</x:v>
      </x:c>
      <x:c r="G861" s="13" t="str">
        <x:v>canonical</x:v>
      </x:c>
      <x:c r="H861" s="13" t="str">
        <x:v>contextual</x:v>
      </x:c>
      <x:c r="I861" s="13" t="str">
        <x:v>claim+context</x:v>
      </x:c>
      <x:c r="J861" s="13" t="str">
        <x:v>derived_operational_subtype</x:v>
      </x:c>
      <x:c r="K861" s="13" t="str">
        <x:v>derived_from_established_parent_review_required</x:v>
      </x:c>
      <x:c r="L861" s="13" t="str">
        <x:v>P2</x:v>
      </x:c>
      <x:c r="M861" s="13" t="str">
        <x:v>no</x:v>
      </x:c>
      <x:c r="N861" s="13" t="str">
        <x:v>Operational subtype under Domain transfer overreach: uncertainty is understated or miscalibrated. Parent definition: Applying evidence from one domain to another without justification.</x:v>
      </x:c>
      <x:c r="O861" s="13" t="str">
        <x:v>Look for: explicit claim-level evidence; parent-family cues for Domain transfer overreach; variant cue: uncertainty is understated or miscalibrated; avoid author-level inference.</x:v>
      </x:c>
      <x:c r="P861" s="13" t="str">
        <x:v>Exact evidence span in text plus claim-level reasoning link; for contextual/discourse entries, require surrounding context.</x:v>
      </x:c>
      <x:c r="Q861" s="13" t="str">
        <x:v>Do not label merely because topic is controversial, emotional, or wrong. Do not judge intent or personality. Require textual evidence and consider healthy-reasoning cues.</x:v>
      </x:c>
      <x:c r="R861" s="13" t="str">
        <x:v>Stub: A claim relies on uncertainty is understated or miscalibrated to support a conclusion without adequate qualification.</x:v>
      </x:c>
      <x:c r="S861" s="13" t="str">
        <x:v>Stub: A claim discusses domain transfer overreach with caveats, balanced evidence, or no argumentative use of the pattern.</x:v>
      </x:c>
      <x:c r="T861" s="13" t="str">
        <x:v>Mild or ambiguous cue; do not classify without clear evidence span.</x:v>
      </x:c>
      <x:c r="U861" s="13" t="str">
        <x:v>Clear claim-level pattern with some argumentative impact.</x:v>
      </x:c>
      <x:c r="V861" s="13" t="str">
        <x:v>Strong pattern central to the conclusion and likely to materially distort reasoning.</x:v>
      </x:c>
      <x:c r="W861" s="13" t="str">
        <x:v>cherry_picking; missing_counterevidence; evidence_grading</x:v>
      </x:c>
      <x:c r="X861" s="13" t="str">
        <x:v>toulmin_uses_argument</x:v>
      </x:c>
      <x:c r="Y861" s="13" t="str">
        <x:v>https://doi.org/10.1017/CBO9780511840005</x:v>
      </x:c>
      <x:c r="Z861" s="13" t="str">
        <x:v>Review before enabling. This workbook is a living taxonomy scaffold, not a validated scientific benchmark.</x:v>
      </x:c>
      <x:c r="AA861" s="13" t="str">
        <x:v>0.1.0-draft</x:v>
      </x:c>
      <x:c r="AB861" s="12" t="str">
        <x:f>IF(ISNUMBER(SEARCH("healthy",F861)),"healthy_reasoning_patterns",IF(ISNUMBER(SEARCH("statistical",F861)),"statistical_reasoning",IF(ISNUMBER(SEARCH("causal",F861)),"causal_reasoning",IF(ISNUMBER(SEARCH("social",F861)),"social_influence",IF(ISNUMBER(SEARCH("rhetoric",F861)),"rhetoric_discourse",IF(ISNUMBER(SEARCH("behavior",F861)),"behavioural_economics",IF(ISNUMBER(SEARCH("cognitive",F861)),"cognitive_biases",IF(J861="protective_pattern","healthy_reasoning_patterns",IF(L861="P0","core_mvp","extended_fallacies")))))))))</x:f>
        <x:v>extended_fallacies</x:v>
      </x:c>
      <x:c r="AC861" s="12" t="str">
        <x:f>IF(ISNUMBER(SEARCH("operational",J861)),"operational",IF(ISNUMBER(SEARCH("deprecated",J861)),"deprecated",IF(L861="P0","canonical","recognized_subtype")))</x:f>
        <x:v>operational</x:v>
      </x:c>
      <x:c r="AD861" s="12" t="str">
        <x:f>IF(AC861="canonical","high",IF(AC861="recognized_subtype","medium",IF(AC861="operational","operational_only","debated")))</x:f>
        <x:v>operational_only</x:v>
      </x:c>
      <x:c r="AE861" s="12" t="str">
        <x:f>IF(AC861="deprecated","deprecated",IF(M861="yes","active",IF(M861="review","review_required","backlog")))</x:f>
        <x:v>backlog</x:v>
      </x:c>
      <x:c r="AF861" s="12" t="str">
        <x:f>IF(OR(AE861="active",AE861="review_required"),"yes","no")</x:f>
        <x:v>no</x:v>
      </x:c>
      <x:c r="AG861" s="12" t="str">
        <x:f>IF(AND(AE861="active",M861="yes",NOT(ISNUMBER(SEARCH("healthy",AB861)))),"yes","no")</x:f>
        <x:v>no</x:v>
      </x:c>
      <x:c r="AH861" s="12" t="str">
        <x:f>IF(OR(H861="contextual",H861="dialogue",H861="discourse",I861="claim+context",I861="discourse_segment"),"yes","no")</x:f>
        <x:v>yes</x:v>
      </x:c>
      <x:c r="AI861" s="12" t="str">
        <x:f>IF(OR(AH861="yes",AD861="debated",AC861="operational"),"yes","no")</x:f>
        <x:v>yes</x:v>
      </x:c>
      <x:c r="AJ861" s="12" t="str">
        <x:f>IF(OR(AH861="yes",AC861="operational",AD861="debated"),"high",IF(AND(AG861="yes",L861="P0"),"medium","low"))</x:f>
        <x:v>high</x:v>
      </x:c>
      <x:c r="AK861" s="12" t="str">
        <x:f>IF(ISNUMBER(SEARCH("healthy",AB861)),"yes","no")</x:f>
        <x:v>no</x:v>
      </x:c>
      <x:c r="AL861" s="12" t="str">
        <x:f>IF(AG861="yes","yes","candidate_only")</x:f>
        <x:v>candidate_only</x:v>
      </x:c>
      <x:c r="AM861" s="12" t="str">
        <x:f>IF(OR(AC861="canonical",AG861="yes"),"yes","recommended")</x:f>
        <x:v>recommended</x:v>
      </x:c>
      <x:c r="AN861" s="12" t="str">
        <x:f>IF(AC861="deprecated","exclude",IF(AND(AG861="yes",AJ861="high"),"import_but_human_review_required",IF(AG861="yes","import_as_active","import_as_backlog")))</x:f>
        <x:v>import_as_backlog</x:v>
      </x:c>
      <x:c r="AO861" s="12" t="str">
        <x:f>IF(AND(AG861="yes",OR(P861="",Q861="",R861="",S861="")),"missing_required_mvp_fields",IF(AND(AC861="canonical",Y861=""),"missing_source_ref","ok"))</x:f>
        <x:v>ok</x:v>
      </x:c>
      <x:c r="AP861" s="12" t="str">
        <x:f>IF(AO861="ok","ready_for_codex_import","needs_review")</x:f>
        <x:v>ready_for_codex_import</x:v>
      </x:c>
      <x:c r="AQ861" s="12"/>
      <x:c r="AR861" s="12" t="str">
        <x:v>Added v2 operational fields. Review before classification activation.</x:v>
      </x:c>
    </x:row>
    <x:row r="862">
      <x:c r="A862" s="13" t="str">
        <x:v>unqualified_universal_claim_canonical</x:v>
      </x:c>
      <x:c r="B862" s="13" t="str">
        <x:v>unqualified_universal_claim</x:v>
      </x:c>
      <x:c r="C862" s="13" t="str">
        <x:v>Unqualified universal claim</x:v>
      </x:c>
      <x:c r="D862" s="13" t="str">
        <x:v>ادعای کلی بدون قید</x:v>
      </x:c>
      <x:c r="E862" s="13" t="str">
        <x:v>Canonical form</x:v>
      </x:c>
      <x:c r="F862" s="13" t="str">
        <x:v>uncertainty_calibration_failures</x:v>
      </x:c>
      <x:c r="G862" s="13" t="str">
        <x:v>canonical</x:v>
      </x:c>
      <x:c r="H862" s="13" t="str">
        <x:v>lexical</x:v>
      </x:c>
      <x:c r="I862" s="13" t="str">
        <x:v>claim</x:v>
      </x:c>
      <x:c r="J862" s="13" t="str">
        <x:v>derived_operational_subtype</x:v>
      </x:c>
      <x:c r="K862" s="13" t="str">
        <x:v>derived_from_established_parent_review_required</x:v>
      </x:c>
      <x:c r="L862" s="13" t="str">
        <x:v>P2</x:v>
      </x:c>
      <x:c r="M862" s="13" t="str">
        <x:v>no</x:v>
      </x:c>
      <x:c r="N862" s="13" t="str">
        <x:v>Operational subtype under Unqualified universal claim: uncertainty is understated or miscalibrated. Parent definition: Using always, never, all, or none without support.</x:v>
      </x:c>
      <x:c r="O862" s="13" t="str">
        <x:v>Look for: explicit claim-level evidence; parent-family cues for Unqualified universal claim; variant cue: uncertainty is understated or miscalibrated; avoid author-level inference.</x:v>
      </x:c>
      <x:c r="P862" s="13" t="str">
        <x:v>Exact evidence span in text plus claim-level reasoning link; for contextual/discourse entries, require surrounding context.</x:v>
      </x:c>
      <x:c r="Q862" s="13" t="str">
        <x:v>Do not label merely because topic is controversial, emotional, or wrong. Do not judge intent or personality. Require textual evidence and consider healthy-reasoning cues.</x:v>
      </x:c>
      <x:c r="R862" s="13" t="str">
        <x:v>Stub: A claim relies on uncertainty is understated or miscalibrated to support a conclusion without adequate qualification.</x:v>
      </x:c>
      <x:c r="S862" s="13" t="str">
        <x:v>Stub: A claim discusses unqualified universal claim with caveats, balanced evidence, or no argumentative use of the pattern.</x:v>
      </x:c>
      <x:c r="T862" s="13" t="str">
        <x:v>Mild or ambiguous cue; do not classify without clear evidence span.</x:v>
      </x:c>
      <x:c r="U862" s="13" t="str">
        <x:v>Clear claim-level pattern with some argumentative impact.</x:v>
      </x:c>
      <x:c r="V862" s="13" t="str">
        <x:v>Strong pattern central to the conclusion and likely to materially distort reasoning.</x:v>
      </x:c>
      <x:c r="W862" s="13" t="str">
        <x:v>uncertainty_acknowledgement; confidence_calibration; scope_limitation</x:v>
      </x:c>
      <x:c r="X862" s="13" t="str">
        <x:v>sep_informal_logic</x:v>
      </x:c>
      <x:c r="Y862" s="13" t="str">
        <x:v>https://plato.stanford.edu/entries/logic-informal/</x:v>
      </x:c>
      <x:c r="Z862" s="13" t="str">
        <x:v>Review before enabling. This workbook is a living taxonomy scaffold, not a validated scientific benchmark.</x:v>
      </x:c>
      <x:c r="AA862" s="13" t="str">
        <x:v>0.1.0-draft</x:v>
      </x:c>
      <x:c r="AB862" s="12" t="str">
        <x:f>IF(ISNUMBER(SEARCH("healthy",F862)),"healthy_reasoning_patterns",IF(ISNUMBER(SEARCH("statistical",F862)),"statistical_reasoning",IF(ISNUMBER(SEARCH("causal",F862)),"causal_reasoning",IF(ISNUMBER(SEARCH("social",F862)),"social_influence",IF(ISNUMBER(SEARCH("rhetoric",F862)),"rhetoric_discourse",IF(ISNUMBER(SEARCH("behavior",F862)),"behavioural_economics",IF(ISNUMBER(SEARCH("cognitive",F862)),"cognitive_biases",IF(J862="protective_pattern","healthy_reasoning_patterns",IF(L862="P0","core_mvp","extended_fallacies")))))))))</x:f>
        <x:v>extended_fallacies</x:v>
      </x:c>
      <x:c r="AC862" s="12" t="str">
        <x:f>IF(ISNUMBER(SEARCH("operational",J862)),"operational",IF(ISNUMBER(SEARCH("deprecated",J862)),"deprecated",IF(L862="P0","canonical","recognized_subtype")))</x:f>
        <x:v>operational</x:v>
      </x:c>
      <x:c r="AD862" s="12" t="str">
        <x:f>IF(AC862="canonical","high",IF(AC862="recognized_subtype","medium",IF(AC862="operational","operational_only","debated")))</x:f>
        <x:v>operational_only</x:v>
      </x:c>
      <x:c r="AE862" s="12" t="str">
        <x:f>IF(AC862="deprecated","deprecated",IF(M862="yes","active",IF(M862="review","review_required","backlog")))</x:f>
        <x:v>backlog</x:v>
      </x:c>
      <x:c r="AF862" s="12" t="str">
        <x:f>IF(OR(AE862="active",AE862="review_required"),"yes","no")</x:f>
        <x:v>no</x:v>
      </x:c>
      <x:c r="AG862" s="12" t="str">
        <x:f>IF(AND(AE862="active",M862="yes",NOT(ISNUMBER(SEARCH("healthy",AB862)))),"yes","no")</x:f>
        <x:v>no</x:v>
      </x:c>
      <x:c r="AH862" s="12" t="str">
        <x:f>IF(OR(H862="contextual",H862="dialogue",H862="discourse",I862="claim+context",I862="discourse_segment"),"yes","no")</x:f>
        <x:v>no</x:v>
      </x:c>
      <x:c r="AI862" s="12" t="str">
        <x:f>IF(OR(AH862="yes",AD862="debated",AC862="operational"),"yes","no")</x:f>
        <x:v>yes</x:v>
      </x:c>
      <x:c r="AJ862" s="12" t="str">
        <x:f>IF(OR(AH862="yes",AC862="operational",AD862="debated"),"high",IF(AND(AG862="yes",L862="P0"),"medium","low"))</x:f>
        <x:v>high</x:v>
      </x:c>
      <x:c r="AK862" s="12" t="str">
        <x:f>IF(ISNUMBER(SEARCH("healthy",AB862)),"yes","no")</x:f>
        <x:v>no</x:v>
      </x:c>
      <x:c r="AL862" s="12" t="str">
        <x:f>IF(AG862="yes","yes","candidate_only")</x:f>
        <x:v>candidate_only</x:v>
      </x:c>
      <x:c r="AM862" s="12" t="str">
        <x:f>IF(OR(AC862="canonical",AG862="yes"),"yes","recommended")</x:f>
        <x:v>recommended</x:v>
      </x:c>
      <x:c r="AN862" s="12" t="str">
        <x:f>IF(AC862="deprecated","exclude",IF(AND(AG862="yes",AJ862="high"),"import_but_human_review_required",IF(AG862="yes","import_as_active","import_as_backlog")))</x:f>
        <x:v>import_as_backlog</x:v>
      </x:c>
      <x:c r="AO862" s="12" t="str">
        <x:f>IF(AND(AG862="yes",OR(P862="",Q862="",R862="",S862="")),"missing_required_mvp_fields",IF(AND(AC862="canonical",Y862=""),"missing_source_ref","ok"))</x:f>
        <x:v>ok</x:v>
      </x:c>
      <x:c r="AP862" s="12" t="str">
        <x:f>IF(AO862="ok","ready_for_codex_import","needs_review")</x:f>
        <x:v>ready_for_codex_import</x:v>
      </x:c>
      <x:c r="AQ862" s="12"/>
      <x:c r="AR862" s="12" t="str">
        <x:v>Added v2 operational fields. Review before classification activation.</x:v>
      </x:c>
    </x:row>
    <x:row r="863">
      <x:c r="A863" s="13" t="str">
        <x:v>assumption_silence_canonical</x:v>
      </x:c>
      <x:c r="B863" s="13" t="str">
        <x:v>assumption_silence</x:v>
      </x:c>
      <x:c r="C863" s="13" t="str">
        <x:v>Silent assumptions</x:v>
      </x:c>
      <x:c r="D863" s="13" t="str">
        <x:v>فرض‌های ناگفته</x:v>
      </x:c>
      <x:c r="E863" s="13" t="str">
        <x:v>Canonical form</x:v>
      </x:c>
      <x:c r="F863" s="13" t="str">
        <x:v>uncertainty_calibration_failures</x:v>
      </x:c>
      <x:c r="G863" s="13" t="str">
        <x:v>canonical</x:v>
      </x:c>
      <x:c r="H863" s="13" t="str">
        <x:v>contextual</x:v>
      </x:c>
      <x:c r="I863" s="13" t="str">
        <x:v>claim+context</x:v>
      </x:c>
      <x:c r="J863" s="13" t="str">
        <x:v>derived_operational_subtype</x:v>
      </x:c>
      <x:c r="K863" s="13" t="str">
        <x:v>derived_from_established_parent_review_required</x:v>
      </x:c>
      <x:c r="L863" s="13" t="str">
        <x:v>P2</x:v>
      </x:c>
      <x:c r="M863" s="13" t="str">
        <x:v>no</x:v>
      </x:c>
      <x:c r="N863" s="13" t="str">
        <x:v>Operational subtype under Silent assumptions: uncertainty is understated or miscalibrated. Parent definition: Relying on unstated assumptions necessary for the conclusion.</x:v>
      </x:c>
      <x:c r="O863" s="13" t="str">
        <x:v>Look for: explicit claim-level evidence; parent-family cues for Silent assumptions; variant cue: uncertainty is understated or miscalibrated; avoid author-level inference.</x:v>
      </x:c>
      <x:c r="P863" s="13" t="str">
        <x:v>Exact evidence span in text plus claim-level reasoning link; for contextual/discourse entries, require surrounding context.</x:v>
      </x:c>
      <x:c r="Q863" s="13" t="str">
        <x:v>Do not label merely because topic is controversial, emotional, or wrong. Do not judge intent or personality. Require textual evidence and consider healthy-reasoning cues.</x:v>
      </x:c>
      <x:c r="R863" s="13" t="str">
        <x:v>Stub: A claim relies on uncertainty is understated or miscalibrated to support a conclusion without adequate qualification.</x:v>
      </x:c>
      <x:c r="S863" s="13" t="str">
        <x:v>Stub: A claim discusses silent assumptions with caveats, balanced evidence, or no argumentative use of the pattern.</x:v>
      </x:c>
      <x:c r="T863" s="13" t="str">
        <x:v>Mild or ambiguous cue; do not classify without clear evidence span.</x:v>
      </x:c>
      <x:c r="U863" s="13" t="str">
        <x:v>Clear claim-level pattern with some argumentative impact.</x:v>
      </x:c>
      <x:c r="V863" s="13" t="str">
        <x:v>Strong pattern central to the conclusion and likely to materially distort reasoning.</x:v>
      </x:c>
      <x:c r="W863" s="13" t="str">
        <x:v>uncertainty_acknowledgement; confidence_calibration; scope_limitation</x:v>
      </x:c>
      <x:c r="X863" s="13" t="str">
        <x:v>toulmin_uses_argument</x:v>
      </x:c>
      <x:c r="Y863" s="13" t="str">
        <x:v>https://doi.org/10.1017/CBO9780511840005</x:v>
      </x:c>
      <x:c r="Z863" s="13" t="str">
        <x:v>Review before enabling. This workbook is a living taxonomy scaffold, not a validated scientific benchmark.</x:v>
      </x:c>
      <x:c r="AA863" s="13" t="str">
        <x:v>0.1.0-draft</x:v>
      </x:c>
      <x:c r="AB863" s="12" t="str">
        <x:f>IF(ISNUMBER(SEARCH("healthy",F863)),"healthy_reasoning_patterns",IF(ISNUMBER(SEARCH("statistical",F863)),"statistical_reasoning",IF(ISNUMBER(SEARCH("causal",F863)),"causal_reasoning",IF(ISNUMBER(SEARCH("social",F863)),"social_influence",IF(ISNUMBER(SEARCH("rhetoric",F863)),"rhetoric_discourse",IF(ISNUMBER(SEARCH("behavior",F863)),"behavioural_economics",IF(ISNUMBER(SEARCH("cognitive",F863)),"cognitive_biases",IF(J863="protective_pattern","healthy_reasoning_patterns",IF(L863="P0","core_mvp","extended_fallacies")))))))))</x:f>
        <x:v>extended_fallacies</x:v>
      </x:c>
      <x:c r="AC863" s="12" t="str">
        <x:f>IF(ISNUMBER(SEARCH("operational",J863)),"operational",IF(ISNUMBER(SEARCH("deprecated",J863)),"deprecated",IF(L863="P0","canonical","recognized_subtype")))</x:f>
        <x:v>operational</x:v>
      </x:c>
      <x:c r="AD863" s="12" t="str">
        <x:f>IF(AC863="canonical","high",IF(AC863="recognized_subtype","medium",IF(AC863="operational","operational_only","debated")))</x:f>
        <x:v>operational_only</x:v>
      </x:c>
      <x:c r="AE863" s="12" t="str">
        <x:f>IF(AC863="deprecated","deprecated",IF(M863="yes","active",IF(M863="review","review_required","backlog")))</x:f>
        <x:v>backlog</x:v>
      </x:c>
      <x:c r="AF863" s="12" t="str">
        <x:f>IF(OR(AE863="active",AE863="review_required"),"yes","no")</x:f>
        <x:v>no</x:v>
      </x:c>
      <x:c r="AG863" s="12" t="str">
        <x:f>IF(AND(AE863="active",M863="yes",NOT(ISNUMBER(SEARCH("healthy",AB863)))),"yes","no")</x:f>
        <x:v>no</x:v>
      </x:c>
      <x:c r="AH863" s="12" t="str">
        <x:f>IF(OR(H863="contextual",H863="dialogue",H863="discourse",I863="claim+context",I863="discourse_segment"),"yes","no")</x:f>
        <x:v>yes</x:v>
      </x:c>
      <x:c r="AI863" s="12" t="str">
        <x:f>IF(OR(AH863="yes",AD863="debated",AC863="operational"),"yes","no")</x:f>
        <x:v>yes</x:v>
      </x:c>
      <x:c r="AJ863" s="12" t="str">
        <x:f>IF(OR(AH863="yes",AC863="operational",AD863="debated"),"high",IF(AND(AG863="yes",L863="P0"),"medium","low"))</x:f>
        <x:v>high</x:v>
      </x:c>
      <x:c r="AK863" s="12" t="str">
        <x:f>IF(ISNUMBER(SEARCH("healthy",AB863)),"yes","no")</x:f>
        <x:v>no</x:v>
      </x:c>
      <x:c r="AL863" s="12" t="str">
        <x:f>IF(AG863="yes","yes","candidate_only")</x:f>
        <x:v>candidate_only</x:v>
      </x:c>
      <x:c r="AM863" s="12" t="str">
        <x:f>IF(OR(AC863="canonical",AG863="yes"),"yes","recommended")</x:f>
        <x:v>recommended</x:v>
      </x:c>
      <x:c r="AN863" s="12" t="str">
        <x:f>IF(AC863="deprecated","exclude",IF(AND(AG863="yes",AJ863="high"),"import_but_human_review_required",IF(AG863="yes","import_as_active","import_as_backlog")))</x:f>
        <x:v>import_as_backlog</x:v>
      </x:c>
      <x:c r="AO863" s="12" t="str">
        <x:f>IF(AND(AG863="yes",OR(P863="",Q863="",R863="",S863="")),"missing_required_mvp_fields",IF(AND(AC863="canonical",Y863=""),"missing_source_ref","ok"))</x:f>
        <x:v>ok</x:v>
      </x:c>
      <x:c r="AP863" s="12" t="str">
        <x:f>IF(AO863="ok","ready_for_codex_import","needs_review")</x:f>
        <x:v>ready_for_codex_import</x:v>
      </x:c>
      <x:c r="AQ863" s="12"/>
      <x:c r="AR863" s="12" t="str">
        <x:v>Added v2 operational fields. Review before classification activation.</x:v>
      </x:c>
    </x:row>
    <x:row r="864">
      <x:c r="A864" s="13" t="str">
        <x:v>evidence_threshold_undefined_canonical</x:v>
      </x:c>
      <x:c r="B864" s="13" t="str">
        <x:v>evidence_threshold_undefined</x:v>
      </x:c>
      <x:c r="C864" s="13" t="str">
        <x:v>Undefined evidence threshold</x:v>
      </x:c>
      <x:c r="D864" s="13" t="str">
        <x:v>آستانه شواهد نامشخص</x:v>
      </x:c>
      <x:c r="E864" s="13" t="str">
        <x:v>Canonical form</x:v>
      </x:c>
      <x:c r="F864" s="13" t="str">
        <x:v>uncertainty_calibration_failures</x:v>
      </x:c>
      <x:c r="G864" s="13" t="str">
        <x:v>canonical</x:v>
      </x:c>
      <x:c r="H864" s="13" t="str">
        <x:v>dialogue</x:v>
      </x:c>
      <x:c r="I864" s="13" t="str">
        <x:v>discourse_segment</x:v>
      </x:c>
      <x:c r="J864" s="13" t="str">
        <x:v>derived_operational_subtype</x:v>
      </x:c>
      <x:c r="K864" s="13" t="str">
        <x:v>derived_from_established_parent_review_required</x:v>
      </x:c>
      <x:c r="L864" s="13" t="str">
        <x:v>P2</x:v>
      </x:c>
      <x:c r="M864" s="13" t="str">
        <x:v>no</x:v>
      </x:c>
      <x:c r="N864" s="13" t="str">
        <x:v>Operational subtype under Undefined evidence threshold: uncertainty is understated or miscalibrated. Parent definition: Not specifying what evidence would support or change the claim.</x:v>
      </x:c>
      <x:c r="O864" s="13" t="str">
        <x:v>Look for: explicit claim-level evidence; parent-family cues for Undefined evidence threshold; variant cue: uncertainty is understated or miscalibrated; avoid author-level inference.</x:v>
      </x:c>
      <x:c r="P864" s="13" t="str">
        <x:v>Exact evidence span in text plus claim-level reasoning link; for contextual/discourse entries, require surrounding context.</x:v>
      </x:c>
      <x:c r="Q864" s="13" t="str">
        <x:v>Do not label merely because topic is controversial, emotional, or wrong. Do not judge intent or personality. Require textual evidence and consider healthy-reasoning cues.</x:v>
      </x:c>
      <x:c r="R864" s="13" t="str">
        <x:v>Stub: A claim relies on uncertainty is understated or miscalibrated to support a conclusion without adequate qualification.</x:v>
      </x:c>
      <x:c r="S864" s="13" t="str">
        <x:v>Stub: A claim discusses undefined evidence threshold with caveats, balanced evidence, or no argumentative use of the pattern.</x:v>
      </x:c>
      <x:c r="T864" s="13" t="str">
        <x:v>Mild or ambiguous cue; do not classify without clear evidence span.</x:v>
      </x:c>
      <x:c r="U864" s="13" t="str">
        <x:v>Clear claim-level pattern with some argumentative impact.</x:v>
      </x:c>
      <x:c r="V864" s="13" t="str">
        <x:v>Strong pattern central to the conclusion and likely to materially distort reasoning.</x:v>
      </x:c>
      <x:c r="W864" s="13" t="str">
        <x:v>cherry_picking; missing_counterevidence; evidence_grading</x:v>
      </x:c>
      <x:c r="X864" s="13" t="str">
        <x:v>pragmadialectics</x:v>
      </x:c>
      <x:c r="Y864" s="13" t="str">
        <x:v>https://doi.org/10.1017/CBO9780511616389</x:v>
      </x:c>
      <x:c r="Z864" s="13" t="str">
        <x:v>Review before enabling. This workbook is a living taxonomy scaffold, not a validated scientific benchmark.</x:v>
      </x:c>
      <x:c r="AA864" s="13" t="str">
        <x:v>0.1.0-draft</x:v>
      </x:c>
      <x:c r="AB864" s="12" t="str">
        <x:f>IF(ISNUMBER(SEARCH("healthy",F864)),"healthy_reasoning_patterns",IF(ISNUMBER(SEARCH("statistical",F864)),"statistical_reasoning",IF(ISNUMBER(SEARCH("causal",F864)),"causal_reasoning",IF(ISNUMBER(SEARCH("social",F864)),"social_influence",IF(ISNUMBER(SEARCH("rhetoric",F864)),"rhetoric_discourse",IF(ISNUMBER(SEARCH("behavior",F864)),"behavioural_economics",IF(ISNUMBER(SEARCH("cognitive",F864)),"cognitive_biases",IF(J864="protective_pattern","healthy_reasoning_patterns",IF(L864="P0","core_mvp","extended_fallacies")))))))))</x:f>
        <x:v>extended_fallacies</x:v>
      </x:c>
      <x:c r="AC864" s="12" t="str">
        <x:f>IF(ISNUMBER(SEARCH("operational",J864)),"operational",IF(ISNUMBER(SEARCH("deprecated",J864)),"deprecated",IF(L864="P0","canonical","recognized_subtype")))</x:f>
        <x:v>operational</x:v>
      </x:c>
      <x:c r="AD864" s="12" t="str">
        <x:f>IF(AC864="canonical","high",IF(AC864="recognized_subtype","medium",IF(AC864="operational","operational_only","debated")))</x:f>
        <x:v>operational_only</x:v>
      </x:c>
      <x:c r="AE864" s="12" t="str">
        <x:f>IF(AC864="deprecated","deprecated",IF(M864="yes","active",IF(M864="review","review_required","backlog")))</x:f>
        <x:v>backlog</x:v>
      </x:c>
      <x:c r="AF864" s="12" t="str">
        <x:f>IF(OR(AE864="active",AE864="review_required"),"yes","no")</x:f>
        <x:v>no</x:v>
      </x:c>
      <x:c r="AG864" s="12" t="str">
        <x:f>IF(AND(AE864="active",M864="yes",NOT(ISNUMBER(SEARCH("healthy",AB864)))),"yes","no")</x:f>
        <x:v>no</x:v>
      </x:c>
      <x:c r="AH864" s="12" t="str">
        <x:f>IF(OR(H864="contextual",H864="dialogue",H864="discourse",I864="claim+context",I864="discourse_segment"),"yes","no")</x:f>
        <x:v>yes</x:v>
      </x:c>
      <x:c r="AI864" s="12" t="str">
        <x:f>IF(OR(AH864="yes",AD864="debated",AC864="operational"),"yes","no")</x:f>
        <x:v>yes</x:v>
      </x:c>
      <x:c r="AJ864" s="12" t="str">
        <x:f>IF(OR(AH864="yes",AC864="operational",AD864="debated"),"high",IF(AND(AG864="yes",L864="P0"),"medium","low"))</x:f>
        <x:v>high</x:v>
      </x:c>
      <x:c r="AK864" s="12" t="str">
        <x:f>IF(ISNUMBER(SEARCH("healthy",AB864)),"yes","no")</x:f>
        <x:v>no</x:v>
      </x:c>
      <x:c r="AL864" s="12" t="str">
        <x:f>IF(AG864="yes","yes","candidate_only")</x:f>
        <x:v>candidate_only</x:v>
      </x:c>
      <x:c r="AM864" s="12" t="str">
        <x:f>IF(OR(AC864="canonical",AG864="yes"),"yes","recommended")</x:f>
        <x:v>recommended</x:v>
      </x:c>
      <x:c r="AN864" s="12" t="str">
        <x:f>IF(AC864="deprecated","exclude",IF(AND(AG864="yes",AJ864="high"),"import_but_human_review_required",IF(AG864="yes","import_as_active","import_as_backlog")))</x:f>
        <x:v>import_as_backlog</x:v>
      </x:c>
      <x:c r="AO864" s="12" t="str">
        <x:f>IF(AND(AG864="yes",OR(P864="",Q864="",R864="",S864="")),"missing_required_mvp_fields",IF(AND(AC864="canonical",Y864=""),"missing_source_ref","ok"))</x:f>
        <x:v>ok</x:v>
      </x:c>
      <x:c r="AP864" s="12" t="str">
        <x:f>IF(AO864="ok","ready_for_codex_import","needs_review")</x:f>
        <x:v>ready_for_codex_import</x:v>
      </x:c>
      <x:c r="AQ864" s="12"/>
      <x:c r="AR864" s="12" t="str">
        <x:v>Added v2 operational fields. Review before classification activation.</x:v>
      </x:c>
    </x:row>
    <x:row r="865">
      <x:c r="A865" s="13" t="str">
        <x:v>prediction_observation_conflation_canonical</x:v>
      </x:c>
      <x:c r="B865" s="13" t="str">
        <x:v>prediction_observation_conflation</x:v>
      </x:c>
      <x:c r="C865" s="13" t="str">
        <x:v>Prediction-observation conflation</x:v>
      </x:c>
      <x:c r="D865" s="13" t="str">
        <x:v>اختلاط پیش‌بینی و مشاهده</x:v>
      </x:c>
      <x:c r="E865" s="13" t="str">
        <x:v>Canonical form</x:v>
      </x:c>
      <x:c r="F865" s="13" t="str">
        <x:v>uncertainty_calibration_failures</x:v>
      </x:c>
      <x:c r="G865" s="13" t="str">
        <x:v>canonical</x:v>
      </x:c>
      <x:c r="H865" s="13" t="str">
        <x:v>lexical</x:v>
      </x:c>
      <x:c r="I865" s="13" t="str">
        <x:v>claim</x:v>
      </x:c>
      <x:c r="J865" s="13" t="str">
        <x:v>derived_operational_subtype</x:v>
      </x:c>
      <x:c r="K865" s="13" t="str">
        <x:v>derived_from_established_parent_review_required</x:v>
      </x:c>
      <x:c r="L865" s="13" t="str">
        <x:v>P2</x:v>
      </x:c>
      <x:c r="M865" s="13" t="str">
        <x:v>no</x:v>
      </x:c>
      <x:c r="N865" s="13" t="str">
        <x:v>Operational subtype under Prediction-observation conflation: uncertainty is understated or miscalibrated. Parent definition: Treating forecasts as observed facts.</x:v>
      </x:c>
      <x:c r="O865" s="13" t="str">
        <x:v>Look for: explicit claim-level evidence; parent-family cues for Prediction-observation conflation; variant cue: uncertainty is understated or miscalibrated; avoid author-level inference.</x:v>
      </x:c>
      <x:c r="P865" s="13" t="str">
        <x:v>Exact evidence span in text plus claim-level reasoning link; for contextual/discourse entries, require surrounding context.</x:v>
      </x:c>
      <x:c r="Q865" s="13" t="str">
        <x:v>Do not label merely because topic is controversial, emotional, or wrong. Do not judge intent or personality. Require textual evidence and consider healthy-reasoning cues.</x:v>
      </x:c>
      <x:c r="R865" s="13" t="str">
        <x:v>Stub: A claim relies on uncertainty is understated or miscalibrated to support a conclusion without adequate qualification.</x:v>
      </x:c>
      <x:c r="S865" s="13" t="str">
        <x:v>Stub: A claim discusses prediction-observation conflation with caveats, balanced evidence, or no argumentative use of the pattern.</x:v>
      </x:c>
      <x:c r="T865" s="13" t="str">
        <x:v>Mild or ambiguous cue; do not classify without clear evidence span.</x:v>
      </x:c>
      <x:c r="U865" s="13" t="str">
        <x:v>Clear claim-level pattern with some argumentative impact.</x:v>
      </x:c>
      <x:c r="V865" s="13" t="str">
        <x:v>Strong pattern central to the conclusion and likely to materially distort reasoning.</x:v>
      </x:c>
      <x:c r="W865" s="13" t="str">
        <x:v>uncertainty_acknowledgement; confidence_calibration; scope_limitation</x:v>
      </x:c>
      <x:c r="X865" s="13" t="str">
        <x:v>stanovich_dual_process</x:v>
      </x:c>
      <x:c r="Y865" s="13" t="str">
        <x:v>https://global.oup.com/academic/product/rationality-and-the-reflective-mind-9780195341140</x:v>
      </x:c>
      <x:c r="Z865" s="13" t="str">
        <x:v>Review before enabling. This workbook is a living taxonomy scaffold, not a validated scientific benchmark.</x:v>
      </x:c>
      <x:c r="AA865" s="13" t="str">
        <x:v>0.1.0-draft</x:v>
      </x:c>
      <x:c r="AB865" s="12" t="str">
        <x:f>IF(ISNUMBER(SEARCH("healthy",F865)),"healthy_reasoning_patterns",IF(ISNUMBER(SEARCH("statistical",F865)),"statistical_reasoning",IF(ISNUMBER(SEARCH("causal",F865)),"causal_reasoning",IF(ISNUMBER(SEARCH("social",F865)),"social_influence",IF(ISNUMBER(SEARCH("rhetoric",F865)),"rhetoric_discourse",IF(ISNUMBER(SEARCH("behavior",F865)),"behavioural_economics",IF(ISNUMBER(SEARCH("cognitive",F865)),"cognitive_biases",IF(J865="protective_pattern","healthy_reasoning_patterns",IF(L865="P0","core_mvp","extended_fallacies")))))))))</x:f>
        <x:v>extended_fallacies</x:v>
      </x:c>
      <x:c r="AC865" s="12" t="str">
        <x:f>IF(ISNUMBER(SEARCH("operational",J865)),"operational",IF(ISNUMBER(SEARCH("deprecated",J865)),"deprecated",IF(L865="P0","canonical","recognized_subtype")))</x:f>
        <x:v>operational</x:v>
      </x:c>
      <x:c r="AD865" s="12" t="str">
        <x:f>IF(AC865="canonical","high",IF(AC865="recognized_subtype","medium",IF(AC865="operational","operational_only","debated")))</x:f>
        <x:v>operational_only</x:v>
      </x:c>
      <x:c r="AE865" s="12" t="str">
        <x:f>IF(AC865="deprecated","deprecated",IF(M865="yes","active",IF(M865="review","review_required","backlog")))</x:f>
        <x:v>backlog</x:v>
      </x:c>
      <x:c r="AF865" s="12" t="str">
        <x:f>IF(OR(AE865="active",AE865="review_required"),"yes","no")</x:f>
        <x:v>no</x:v>
      </x:c>
      <x:c r="AG865" s="12" t="str">
        <x:f>IF(AND(AE865="active",M865="yes",NOT(ISNUMBER(SEARCH("healthy",AB865)))),"yes","no")</x:f>
        <x:v>no</x:v>
      </x:c>
      <x:c r="AH865" s="12" t="str">
        <x:f>IF(OR(H865="contextual",H865="dialogue",H865="discourse",I865="claim+context",I865="discourse_segment"),"yes","no")</x:f>
        <x:v>no</x:v>
      </x:c>
      <x:c r="AI865" s="12" t="str">
        <x:f>IF(OR(AH865="yes",AD865="debated",AC865="operational"),"yes","no")</x:f>
        <x:v>yes</x:v>
      </x:c>
      <x:c r="AJ865" s="12" t="str">
        <x:f>IF(OR(AH865="yes",AC865="operational",AD865="debated"),"high",IF(AND(AG865="yes",L865="P0"),"medium","low"))</x:f>
        <x:v>high</x:v>
      </x:c>
      <x:c r="AK865" s="12" t="str">
        <x:f>IF(ISNUMBER(SEARCH("healthy",AB865)),"yes","no")</x:f>
        <x:v>no</x:v>
      </x:c>
      <x:c r="AL865" s="12" t="str">
        <x:f>IF(AG865="yes","yes","candidate_only")</x:f>
        <x:v>candidate_only</x:v>
      </x:c>
      <x:c r="AM865" s="12" t="str">
        <x:f>IF(OR(AC865="canonical",AG865="yes"),"yes","recommended")</x:f>
        <x:v>recommended</x:v>
      </x:c>
      <x:c r="AN865" s="12" t="str">
        <x:f>IF(AC865="deprecated","exclude",IF(AND(AG865="yes",AJ865="high"),"import_but_human_review_required",IF(AG865="yes","import_as_active","import_as_backlog")))</x:f>
        <x:v>import_as_backlog</x:v>
      </x:c>
      <x:c r="AO865" s="12" t="str">
        <x:f>IF(AND(AG865="yes",OR(P865="",Q865="",R865="",S865="")),"missing_required_mvp_fields",IF(AND(AC865="canonical",Y865=""),"missing_source_ref","ok"))</x:f>
        <x:v>ok</x:v>
      </x:c>
      <x:c r="AP865" s="12" t="str">
        <x:f>IF(AO865="ok","ready_for_codex_import","needs_review")</x:f>
        <x:v>ready_for_codex_import</x:v>
      </x:c>
      <x:c r="AQ865" s="12"/>
      <x:c r="AR865" s="12" t="str">
        <x:v>Added v2 operational fields. Review before classification activation.</x:v>
      </x:c>
    </x:row>
    <x:row r="866">
      <x:c r="A866" s="13" t="str">
        <x:v>possibility_probability_conflation_canonical</x:v>
      </x:c>
      <x:c r="B866" s="13" t="str">
        <x:v>possibility_probability_conflation</x:v>
      </x:c>
      <x:c r="C866" s="13" t="str">
        <x:v>Possibility-probability conflation</x:v>
      </x:c>
      <x:c r="D866" s="13" t="str">
        <x:v>اختلاط امکان و احتمال</x:v>
      </x:c>
      <x:c r="E866" s="13" t="str">
        <x:v>Canonical form</x:v>
      </x:c>
      <x:c r="F866" s="13" t="str">
        <x:v>uncertainty_calibration_failures</x:v>
      </x:c>
      <x:c r="G866" s="13" t="str">
        <x:v>canonical</x:v>
      </x:c>
      <x:c r="H866" s="13" t="str">
        <x:v>lexical</x:v>
      </x:c>
      <x:c r="I866" s="13" t="str">
        <x:v>claim</x:v>
      </x:c>
      <x:c r="J866" s="13" t="str">
        <x:v>derived_operational_subtype</x:v>
      </x:c>
      <x:c r="K866" s="13" t="str">
        <x:v>derived_from_established_parent_review_required</x:v>
      </x:c>
      <x:c r="L866" s="13" t="str">
        <x:v>P2</x:v>
      </x:c>
      <x:c r="M866" s="13" t="str">
        <x:v>no</x:v>
      </x:c>
      <x:c r="N866" s="13" t="str">
        <x:v>Operational subtype under Possibility-probability conflation: uncertainty is understated or miscalibrated. Parent definition: Treating what could happen as if it is likely.</x:v>
      </x:c>
      <x:c r="O866" s="13" t="str">
        <x:v>Look for: explicit claim-level evidence; parent-family cues for Possibility-probability conflation; variant cue: uncertainty is understated or miscalibrated; avoid author-level inference.</x:v>
      </x:c>
      <x:c r="P866" s="13" t="str">
        <x:v>Exact evidence span in text plus claim-level reasoning link; for contextual/discourse entries, require surrounding context.</x:v>
      </x:c>
      <x:c r="Q866" s="13" t="str">
        <x:v>Do not label merely because topic is controversial, emotional, or wrong. Do not judge intent or personality. Require textual evidence and consider healthy-reasoning cues.</x:v>
      </x:c>
      <x:c r="R866" s="13" t="str">
        <x:v>Stub: A claim relies on uncertainty is understated or miscalibrated to support a conclusion without adequate qualification.</x:v>
      </x:c>
      <x:c r="S866" s="13" t="str">
        <x:v>Stub: A claim discusses possibility-probability conflation with caveats, balanced evidence, or no argumentative use of the pattern.</x:v>
      </x:c>
      <x:c r="T866" s="13" t="str">
        <x:v>Mild or ambiguous cue; do not classify without clear evidence span.</x:v>
      </x:c>
      <x:c r="U866" s="13" t="str">
        <x:v>Clear claim-level pattern with some argumentative impact.</x:v>
      </x:c>
      <x:c r="V866" s="13" t="str">
        <x:v>Strong pattern central to the conclusion and likely to materially distort reasoning.</x:v>
      </x:c>
      <x:c r="W866" s="13" t="str">
        <x:v>uncertainty_acknowledgement; confidence_calibration; scope_limitation</x:v>
      </x:c>
      <x:c r="X866" s="13" t="str">
        <x:v>stanovich_dual_process</x:v>
      </x:c>
      <x:c r="Y866" s="13" t="str">
        <x:v>https://global.oup.com/academic/product/rationality-and-the-reflective-mind-9780195341140</x:v>
      </x:c>
      <x:c r="Z866" s="13" t="str">
        <x:v>Review before enabling. This workbook is a living taxonomy scaffold, not a validated scientific benchmark.</x:v>
      </x:c>
      <x:c r="AA866" s="13" t="str">
        <x:v>0.1.0-draft</x:v>
      </x:c>
      <x:c r="AB866" s="12" t="str">
        <x:f>IF(ISNUMBER(SEARCH("healthy",F866)),"healthy_reasoning_patterns",IF(ISNUMBER(SEARCH("statistical",F866)),"statistical_reasoning",IF(ISNUMBER(SEARCH("causal",F866)),"causal_reasoning",IF(ISNUMBER(SEARCH("social",F866)),"social_influence",IF(ISNUMBER(SEARCH("rhetoric",F866)),"rhetoric_discourse",IF(ISNUMBER(SEARCH("behavior",F866)),"behavioural_economics",IF(ISNUMBER(SEARCH("cognitive",F866)),"cognitive_biases",IF(J866="protective_pattern","healthy_reasoning_patterns",IF(L866="P0","core_mvp","extended_fallacies")))))))))</x:f>
        <x:v>extended_fallacies</x:v>
      </x:c>
      <x:c r="AC866" s="12" t="str">
        <x:f>IF(ISNUMBER(SEARCH("operational",J866)),"operational",IF(ISNUMBER(SEARCH("deprecated",J866)),"deprecated",IF(L866="P0","canonical","recognized_subtype")))</x:f>
        <x:v>operational</x:v>
      </x:c>
      <x:c r="AD866" s="12" t="str">
        <x:f>IF(AC866="canonical","high",IF(AC866="recognized_subtype","medium",IF(AC866="operational","operational_only","debated")))</x:f>
        <x:v>operational_only</x:v>
      </x:c>
      <x:c r="AE866" s="12" t="str">
        <x:f>IF(AC866="deprecated","deprecated",IF(M866="yes","active",IF(M866="review","review_required","backlog")))</x:f>
        <x:v>backlog</x:v>
      </x:c>
      <x:c r="AF866" s="12" t="str">
        <x:f>IF(OR(AE866="active",AE866="review_required"),"yes","no")</x:f>
        <x:v>no</x:v>
      </x:c>
      <x:c r="AG866" s="12" t="str">
        <x:f>IF(AND(AE866="active",M866="yes",NOT(ISNUMBER(SEARCH("healthy",AB866)))),"yes","no")</x:f>
        <x:v>no</x:v>
      </x:c>
      <x:c r="AH866" s="12" t="str">
        <x:f>IF(OR(H866="contextual",H866="dialogue",H866="discourse",I866="claim+context",I866="discourse_segment"),"yes","no")</x:f>
        <x:v>no</x:v>
      </x:c>
      <x:c r="AI866" s="12" t="str">
        <x:f>IF(OR(AH866="yes",AD866="debated",AC866="operational"),"yes","no")</x:f>
        <x:v>yes</x:v>
      </x:c>
      <x:c r="AJ866" s="12" t="str">
        <x:f>IF(OR(AH866="yes",AC866="operational",AD866="debated"),"high",IF(AND(AG866="yes",L866="P0"),"medium","low"))</x:f>
        <x:v>high</x:v>
      </x:c>
      <x:c r="AK866" s="12" t="str">
        <x:f>IF(ISNUMBER(SEARCH("healthy",AB866)),"yes","no")</x:f>
        <x:v>no</x:v>
      </x:c>
      <x:c r="AL866" s="12" t="str">
        <x:f>IF(AG866="yes","yes","candidate_only")</x:f>
        <x:v>candidate_only</x:v>
      </x:c>
      <x:c r="AM866" s="12" t="str">
        <x:f>IF(OR(AC866="canonical",AG866="yes"),"yes","recommended")</x:f>
        <x:v>recommended</x:v>
      </x:c>
      <x:c r="AN866" s="12" t="str">
        <x:f>IF(AC866="deprecated","exclude",IF(AND(AG866="yes",AJ866="high"),"import_but_human_review_required",IF(AG866="yes","import_as_active","import_as_backlog")))</x:f>
        <x:v>import_as_backlog</x:v>
      </x:c>
      <x:c r="AO866" s="12" t="str">
        <x:f>IF(AND(AG866="yes",OR(P866="",Q866="",R866="",S866="")),"missing_required_mvp_fields",IF(AND(AC866="canonical",Y866=""),"missing_source_ref","ok"))</x:f>
        <x:v>ok</x:v>
      </x:c>
      <x:c r="AP866" s="12" t="str">
        <x:f>IF(AO866="ok","ready_for_codex_import","needs_review")</x:f>
        <x:v>ready_for_codex_import</x:v>
      </x:c>
      <x:c r="AQ866" s="12"/>
      <x:c r="AR866" s="12" t="str">
        <x:v>Added v2 operational fields. Review before classification activation.</x:v>
      </x:c>
    </x:row>
    <x:row r="867">
      <x:c r="A867" s="13" t="str">
        <x:v>overclaiming_certainty_certainty_language_variant</x:v>
      </x:c>
      <x:c r="B867" s="13" t="str">
        <x:v>overclaiming_certainty</x:v>
      </x:c>
      <x:c r="C867" s="13" t="str">
        <x:v>Overclaiming certainty</x:v>
      </x:c>
      <x:c r="D867" s="13" t="str">
        <x:v>قطعیت‌نمایی بیش از حد</x:v>
      </x:c>
      <x:c r="E867" s="13" t="str">
        <x:v>Certainty-language variant</x:v>
      </x:c>
      <x:c r="F867" s="13" t="str">
        <x:v>uncertainty_calibration_failures</x:v>
      </x:c>
      <x:c r="G867" s="13" t="str">
        <x:v>operational_variant</x:v>
      </x:c>
      <x:c r="H867" s="13" t="str">
        <x:v>lexical</x:v>
      </x:c>
      <x:c r="I867" s="13" t="str">
        <x:v>claim</x:v>
      </x:c>
      <x:c r="J867" s="13" t="str">
        <x:v>derived_operational_subtype</x:v>
      </x:c>
      <x:c r="K867" s="13" t="str">
        <x:v>derived_from_established_parent_review_required</x:v>
      </x:c>
      <x:c r="L867" s="13" t="str">
        <x:v>P2</x:v>
      </x:c>
      <x:c r="M867" s="13" t="str">
        <x:v>no</x:v>
      </x:c>
      <x:c r="N867" s="13" t="str">
        <x:v>Operational subtype under Overclaiming certainty: absolute language overstates evidence. Parent definition: Stating a conclusion more certainly than evidence warrants.</x:v>
      </x:c>
      <x:c r="O867" s="13" t="str">
        <x:v>Look for: explicit claim-level evidence; parent-family cues for Overclaiming certainty; variant cue: absolute language overstates evidence; avoid author-level inference.</x:v>
      </x:c>
      <x:c r="P867" s="13" t="str">
        <x:v>Exact evidence span in text plus claim-level reasoning link; for contextual/discourse entries, require surrounding context.</x:v>
      </x:c>
      <x:c r="Q867" s="13" t="str">
        <x:v>Do not label merely because topic is controversial, emotional, or wrong. Do not judge intent or personality. Require textual evidence and consider healthy-reasoning cues.</x:v>
      </x:c>
      <x:c r="R867" s="13" t="str">
        <x:v>Stub: A claim relies on absolute language overstates evidence to support a conclusion without adequate qualification.</x:v>
      </x:c>
      <x:c r="S867" s="13" t="str">
        <x:v>Stub: A claim discusses overclaiming certainty with caveats, balanced evidence, or no argumentative use of the pattern.</x:v>
      </x:c>
      <x:c r="T867" s="13" t="str">
        <x:v>Mild or ambiguous cue; do not classify without clear evidence span.</x:v>
      </x:c>
      <x:c r="U867" s="13" t="str">
        <x:v>Clear claim-level pattern with some argumentative impact.</x:v>
      </x:c>
      <x:c r="V867" s="13" t="str">
        <x:v>Strong pattern central to the conclusion and likely to materially distort reasoning.</x:v>
      </x:c>
      <x:c r="W867" s="13" t="str">
        <x:v>cherry_picking; missing_counterevidence; evidence_grading</x:v>
      </x:c>
      <x:c r="X867" s="13" t="str">
        <x:v>stanovich_dual_process</x:v>
      </x:c>
      <x:c r="Y867" s="13" t="str">
        <x:v>https://global.oup.com/academic/product/rationality-and-the-reflective-mind-9780195341140</x:v>
      </x:c>
      <x:c r="Z867" s="13" t="str">
        <x:v>Review before enabling. This workbook is a living taxonomy scaffold, not a validated scientific benchmark.</x:v>
      </x:c>
      <x:c r="AA867" s="13" t="str">
        <x:v>0.1.0-draft</x:v>
      </x:c>
      <x:c r="AB867" s="12" t="str">
        <x:f>IF(ISNUMBER(SEARCH("healthy",F867)),"healthy_reasoning_patterns",IF(ISNUMBER(SEARCH("statistical",F867)),"statistical_reasoning",IF(ISNUMBER(SEARCH("causal",F867)),"causal_reasoning",IF(ISNUMBER(SEARCH("social",F867)),"social_influence",IF(ISNUMBER(SEARCH("rhetoric",F867)),"rhetoric_discourse",IF(ISNUMBER(SEARCH("behavior",F867)),"behavioural_economics",IF(ISNUMBER(SEARCH("cognitive",F867)),"cognitive_biases",IF(J867="protective_pattern","healthy_reasoning_patterns",IF(L867="P0","core_mvp","extended_fallacies")))))))))</x:f>
        <x:v>extended_fallacies</x:v>
      </x:c>
      <x:c r="AC867" s="12" t="str">
        <x:f>IF(ISNUMBER(SEARCH("operational",J867)),"operational",IF(ISNUMBER(SEARCH("deprecated",J867)),"deprecated",IF(L867="P0","canonical","recognized_subtype")))</x:f>
        <x:v>operational</x:v>
      </x:c>
      <x:c r="AD867" s="12" t="str">
        <x:f>IF(AC867="canonical","high",IF(AC867="recognized_subtype","medium",IF(AC867="operational","operational_only","debated")))</x:f>
        <x:v>operational_only</x:v>
      </x:c>
      <x:c r="AE867" s="12" t="str">
        <x:f>IF(AC867="deprecated","deprecated",IF(M867="yes","active",IF(M867="review","review_required","backlog")))</x:f>
        <x:v>backlog</x:v>
      </x:c>
      <x:c r="AF867" s="12" t="str">
        <x:f>IF(OR(AE867="active",AE867="review_required"),"yes","no")</x:f>
        <x:v>no</x:v>
      </x:c>
      <x:c r="AG867" s="12" t="str">
        <x:f>IF(AND(AE867="active",M867="yes",NOT(ISNUMBER(SEARCH("healthy",AB867)))),"yes","no")</x:f>
        <x:v>no</x:v>
      </x:c>
      <x:c r="AH867" s="12" t="str">
        <x:f>IF(OR(H867="contextual",H867="dialogue",H867="discourse",I867="claim+context",I867="discourse_segment"),"yes","no")</x:f>
        <x:v>no</x:v>
      </x:c>
      <x:c r="AI867" s="12" t="str">
        <x:f>IF(OR(AH867="yes",AD867="debated",AC867="operational"),"yes","no")</x:f>
        <x:v>yes</x:v>
      </x:c>
      <x:c r="AJ867" s="12" t="str">
        <x:f>IF(OR(AH867="yes",AC867="operational",AD867="debated"),"high",IF(AND(AG867="yes",L867="P0"),"medium","low"))</x:f>
        <x:v>high</x:v>
      </x:c>
      <x:c r="AK867" s="12" t="str">
        <x:f>IF(ISNUMBER(SEARCH("healthy",AB867)),"yes","no")</x:f>
        <x:v>no</x:v>
      </x:c>
      <x:c r="AL867" s="12" t="str">
        <x:f>IF(AG867="yes","yes","candidate_only")</x:f>
        <x:v>candidate_only</x:v>
      </x:c>
      <x:c r="AM867" s="12" t="str">
        <x:f>IF(OR(AC867="canonical",AG867="yes"),"yes","recommended")</x:f>
        <x:v>recommended</x:v>
      </x:c>
      <x:c r="AN867" s="12" t="str">
        <x:f>IF(AC867="deprecated","exclude",IF(AND(AG867="yes",AJ867="high"),"import_but_human_review_required",IF(AG867="yes","import_as_active","import_as_backlog")))</x:f>
        <x:v>import_as_backlog</x:v>
      </x:c>
      <x:c r="AO867" s="12" t="str">
        <x:f>IF(AND(AG867="yes",OR(P867="",Q867="",R867="",S867="")),"missing_required_mvp_fields",IF(AND(AC867="canonical",Y867=""),"missing_source_ref","ok"))</x:f>
        <x:v>ok</x:v>
      </x:c>
      <x:c r="AP867" s="12" t="str">
        <x:f>IF(AO867="ok","ready_for_codex_import","needs_review")</x:f>
        <x:v>ready_for_codex_import</x:v>
      </x:c>
      <x:c r="AQ867" s="12"/>
      <x:c r="AR867" s="12" t="str">
        <x:v>Added v2 operational fields. Review before classification activation.</x:v>
      </x:c>
    </x:row>
    <x:row r="868">
      <x:c r="A868" s="13" t="str">
        <x:v>false_precision_certainty_language_variant</x:v>
      </x:c>
      <x:c r="B868" s="13" t="str">
        <x:v>false_precision</x:v>
      </x:c>
      <x:c r="C868" s="13" t="str">
        <x:v>False precision</x:v>
      </x:c>
      <x:c r="D868" s="13" t="str">
        <x:v>دقت کاذب</x:v>
      </x:c>
      <x:c r="E868" s="13" t="str">
        <x:v>Certainty-language variant</x:v>
      </x:c>
      <x:c r="F868" s="13" t="str">
        <x:v>uncertainty_calibration_failures</x:v>
      </x:c>
      <x:c r="G868" s="13" t="str">
        <x:v>operational_variant</x:v>
      </x:c>
      <x:c r="H868" s="13" t="str">
        <x:v>lexical</x:v>
      </x:c>
      <x:c r="I868" s="13" t="str">
        <x:v>claim</x:v>
      </x:c>
      <x:c r="J868" s="13" t="str">
        <x:v>derived_operational_subtype</x:v>
      </x:c>
      <x:c r="K868" s="13" t="str">
        <x:v>derived_from_established_parent_review_required</x:v>
      </x:c>
      <x:c r="L868" s="13" t="str">
        <x:v>P2</x:v>
      </x:c>
      <x:c r="M868" s="13" t="str">
        <x:v>no</x:v>
      </x:c>
      <x:c r="N868" s="13" t="str">
        <x:v>Operational subtype under False precision: absolute language overstates evidence. Parent definition: Using precise numbers or terms without evidential basis.</x:v>
      </x:c>
      <x:c r="O868" s="13" t="str">
        <x:v>Look for: explicit claim-level evidence; parent-family cues for False precision; variant cue: absolute language overstates evidence; avoid author-level inference.</x:v>
      </x:c>
      <x:c r="P868" s="13" t="str">
        <x:v>Exact evidence span in text plus claim-level reasoning link; for contextual/discourse entries, require surrounding context.</x:v>
      </x:c>
      <x:c r="Q868" s="13" t="str">
        <x:v>Do not label merely because topic is controversial, emotional, or wrong. Do not judge intent or personality. Require textual evidence and consider healthy-reasoning cues.</x:v>
      </x:c>
      <x:c r="R868" s="13" t="str">
        <x:v>Stub: A claim relies on absolute language overstates evidence to support a conclusion without adequate qualification.</x:v>
      </x:c>
      <x:c r="S868" s="13" t="str">
        <x:v>Stub: A claim discusses false precision with caveats, balanced evidence, or no argumentative use of the pattern.</x:v>
      </x:c>
      <x:c r="T868" s="13" t="str">
        <x:v>Mild or ambiguous cue; do not classify without clear evidence span.</x:v>
      </x:c>
      <x:c r="U868" s="13" t="str">
        <x:v>Clear claim-level pattern with some argumentative impact.</x:v>
      </x:c>
      <x:c r="V868" s="13" t="str">
        <x:v>Strong pattern central to the conclusion and likely to materially distort reasoning.</x:v>
      </x:c>
      <x:c r="W868" s="13" t="str">
        <x:v>uncertainty_acknowledgement; confidence_calibration; scope_limitation</x:v>
      </x:c>
      <x:c r="X868" s="13" t="str">
        <x:v>stanovich_dual_process</x:v>
      </x:c>
      <x:c r="Y868" s="13" t="str">
        <x:v>https://global.oup.com/academic/product/rationality-and-the-reflective-mind-9780195341140</x:v>
      </x:c>
      <x:c r="Z868" s="13" t="str">
        <x:v>Review before enabling. This workbook is a living taxonomy scaffold, not a validated scientific benchmark.</x:v>
      </x:c>
      <x:c r="AA868" s="13" t="str">
        <x:v>0.1.0-draft</x:v>
      </x:c>
      <x:c r="AB868" s="12" t="str">
        <x:f>IF(ISNUMBER(SEARCH("healthy",F868)),"healthy_reasoning_patterns",IF(ISNUMBER(SEARCH("statistical",F868)),"statistical_reasoning",IF(ISNUMBER(SEARCH("causal",F868)),"causal_reasoning",IF(ISNUMBER(SEARCH("social",F868)),"social_influence",IF(ISNUMBER(SEARCH("rhetoric",F868)),"rhetoric_discourse",IF(ISNUMBER(SEARCH("behavior",F868)),"behavioural_economics",IF(ISNUMBER(SEARCH("cognitive",F868)),"cognitive_biases",IF(J868="protective_pattern","healthy_reasoning_patterns",IF(L868="P0","core_mvp","extended_fallacies")))))))))</x:f>
        <x:v>extended_fallacies</x:v>
      </x:c>
      <x:c r="AC868" s="12" t="str">
        <x:f>IF(ISNUMBER(SEARCH("operational",J868)),"operational",IF(ISNUMBER(SEARCH("deprecated",J868)),"deprecated",IF(L868="P0","canonical","recognized_subtype")))</x:f>
        <x:v>operational</x:v>
      </x:c>
      <x:c r="AD868" s="12" t="str">
        <x:f>IF(AC868="canonical","high",IF(AC868="recognized_subtype","medium",IF(AC868="operational","operational_only","debated")))</x:f>
        <x:v>operational_only</x:v>
      </x:c>
      <x:c r="AE868" s="12" t="str">
        <x:f>IF(AC868="deprecated","deprecated",IF(M868="yes","active",IF(M868="review","review_required","backlog")))</x:f>
        <x:v>backlog</x:v>
      </x:c>
      <x:c r="AF868" s="12" t="str">
        <x:f>IF(OR(AE868="active",AE868="review_required"),"yes","no")</x:f>
        <x:v>no</x:v>
      </x:c>
      <x:c r="AG868" s="12" t="str">
        <x:f>IF(AND(AE868="active",M868="yes",NOT(ISNUMBER(SEARCH("healthy",AB868)))),"yes","no")</x:f>
        <x:v>no</x:v>
      </x:c>
      <x:c r="AH868" s="12" t="str">
        <x:f>IF(OR(H868="contextual",H868="dialogue",H868="discourse",I868="claim+context",I868="discourse_segment"),"yes","no")</x:f>
        <x:v>no</x:v>
      </x:c>
      <x:c r="AI868" s="12" t="str">
        <x:f>IF(OR(AH868="yes",AD868="debated",AC868="operational"),"yes","no")</x:f>
        <x:v>yes</x:v>
      </x:c>
      <x:c r="AJ868" s="12" t="str">
        <x:f>IF(OR(AH868="yes",AC868="operational",AD868="debated"),"high",IF(AND(AG868="yes",L868="P0"),"medium","low"))</x:f>
        <x:v>high</x:v>
      </x:c>
      <x:c r="AK868" s="12" t="str">
        <x:f>IF(ISNUMBER(SEARCH("healthy",AB868)),"yes","no")</x:f>
        <x:v>no</x:v>
      </x:c>
      <x:c r="AL868" s="12" t="str">
        <x:f>IF(AG868="yes","yes","candidate_only")</x:f>
        <x:v>candidate_only</x:v>
      </x:c>
      <x:c r="AM868" s="12" t="str">
        <x:f>IF(OR(AC868="canonical",AG868="yes"),"yes","recommended")</x:f>
        <x:v>recommended</x:v>
      </x:c>
      <x:c r="AN868" s="12" t="str">
        <x:f>IF(AC868="deprecated","exclude",IF(AND(AG868="yes",AJ868="high"),"import_but_human_review_required",IF(AG868="yes","import_as_active","import_as_backlog")))</x:f>
        <x:v>import_as_backlog</x:v>
      </x:c>
      <x:c r="AO868" s="12" t="str">
        <x:f>IF(AND(AG868="yes",OR(P868="",Q868="",R868="",S868="")),"missing_required_mvp_fields",IF(AND(AC868="canonical",Y868=""),"missing_source_ref","ok"))</x:f>
        <x:v>ok</x:v>
      </x:c>
      <x:c r="AP868" s="12" t="str">
        <x:f>IF(AO868="ok","ready_for_codex_import","needs_review")</x:f>
        <x:v>ready_for_codex_import</x:v>
      </x:c>
      <x:c r="AQ868" s="12"/>
      <x:c r="AR868" s="12" t="str">
        <x:v>Added v2 operational fields. Review before classification activation.</x:v>
      </x:c>
    </x:row>
    <x:row r="869">
      <x:c r="A869" s="13" t="str">
        <x:v>missing_confidence_level_certainty_language_variant</x:v>
      </x:c>
      <x:c r="B869" s="13" t="str">
        <x:v>missing_confidence_level</x:v>
      </x:c>
      <x:c r="C869" s="13" t="str">
        <x:v>Missing confidence level</x:v>
      </x:c>
      <x:c r="D869" s="13" t="str">
        <x:v>نبود سطح اطمینان</x:v>
      </x:c>
      <x:c r="E869" s="13" t="str">
        <x:v>Certainty-language variant</x:v>
      </x:c>
      <x:c r="F869" s="13" t="str">
        <x:v>uncertainty_calibration_failures</x:v>
      </x:c>
      <x:c r="G869" s="13" t="str">
        <x:v>operational_variant</x:v>
      </x:c>
      <x:c r="H869" s="13" t="str">
        <x:v>lexical</x:v>
      </x:c>
      <x:c r="I869" s="13" t="str">
        <x:v>claim</x:v>
      </x:c>
      <x:c r="J869" s="13" t="str">
        <x:v>derived_operational_subtype</x:v>
      </x:c>
      <x:c r="K869" s="13" t="str">
        <x:v>derived_from_established_parent_review_required</x:v>
      </x:c>
      <x:c r="L869" s="13" t="str">
        <x:v>P2</x:v>
      </x:c>
      <x:c r="M869" s="13" t="str">
        <x:v>no</x:v>
      </x:c>
      <x:c r="N869" s="13" t="str">
        <x:v>Operational subtype under Missing confidence level: absolute language overstates evidence. Parent definition: Presenting estimates without uncertainty or confidence framing.</x:v>
      </x:c>
      <x:c r="O869" s="13" t="str">
        <x:v>Look for: explicit claim-level evidence; parent-family cues for Missing confidence level; variant cue: absolute language overstates evidence; avoid author-level inference.</x:v>
      </x:c>
      <x:c r="P869" s="13" t="str">
        <x:v>Exact evidence span in text plus claim-level reasoning link; for contextual/discourse entries, require surrounding context.</x:v>
      </x:c>
      <x:c r="Q869" s="13" t="str">
        <x:v>Do not label merely because topic is controversial, emotional, or wrong. Do not judge intent or personality. Require textual evidence and consider healthy-reasoning cues.</x:v>
      </x:c>
      <x:c r="R869" s="13" t="str">
        <x:v>Stub: A claim relies on absolute language overstates evidence to support a conclusion without adequate qualification.</x:v>
      </x:c>
      <x:c r="S869" s="13" t="str">
        <x:v>Stub: A claim discusses missing confidence level with caveats, balanced evidence, or no argumentative use of the pattern.</x:v>
      </x:c>
      <x:c r="T869" s="13" t="str">
        <x:v>Mild or ambiguous cue; do not classify without clear evidence span.</x:v>
      </x:c>
      <x:c r="U869" s="13" t="str">
        <x:v>Clear claim-level pattern with some argumentative impact.</x:v>
      </x:c>
      <x:c r="V869" s="13" t="str">
        <x:v>Strong pattern central to the conclusion and likely to materially distort reasoning.</x:v>
      </x:c>
      <x:c r="W869" s="13" t="str">
        <x:v>uncertainty_acknowledgement; confidence_calibration; scope_limitation</x:v>
      </x:c>
      <x:c r="X869" s="13" t="str">
        <x:v>stanovich_dual_process</x:v>
      </x:c>
      <x:c r="Y869" s="13" t="str">
        <x:v>https://global.oup.com/academic/product/rationality-and-the-reflective-mind-9780195341140</x:v>
      </x:c>
      <x:c r="Z869" s="13" t="str">
        <x:v>Review before enabling. This workbook is a living taxonomy scaffold, not a validated scientific benchmark.</x:v>
      </x:c>
      <x:c r="AA869" s="13" t="str">
        <x:v>0.1.0-draft</x:v>
      </x:c>
      <x:c r="AB869" s="12" t="str">
        <x:f>IF(ISNUMBER(SEARCH("healthy",F869)),"healthy_reasoning_patterns",IF(ISNUMBER(SEARCH("statistical",F869)),"statistical_reasoning",IF(ISNUMBER(SEARCH("causal",F869)),"causal_reasoning",IF(ISNUMBER(SEARCH("social",F869)),"social_influence",IF(ISNUMBER(SEARCH("rhetoric",F869)),"rhetoric_discourse",IF(ISNUMBER(SEARCH("behavior",F869)),"behavioural_economics",IF(ISNUMBER(SEARCH("cognitive",F869)),"cognitive_biases",IF(J869="protective_pattern","healthy_reasoning_patterns",IF(L869="P0","core_mvp","extended_fallacies")))))))))</x:f>
        <x:v>extended_fallacies</x:v>
      </x:c>
      <x:c r="AC869" s="12" t="str">
        <x:f>IF(ISNUMBER(SEARCH("operational",J869)),"operational",IF(ISNUMBER(SEARCH("deprecated",J869)),"deprecated",IF(L869="P0","canonical","recognized_subtype")))</x:f>
        <x:v>operational</x:v>
      </x:c>
      <x:c r="AD869" s="12" t="str">
        <x:f>IF(AC869="canonical","high",IF(AC869="recognized_subtype","medium",IF(AC869="operational","operational_only","debated")))</x:f>
        <x:v>operational_only</x:v>
      </x:c>
      <x:c r="AE869" s="12" t="str">
        <x:f>IF(AC869="deprecated","deprecated",IF(M869="yes","active",IF(M869="review","review_required","backlog")))</x:f>
        <x:v>backlog</x:v>
      </x:c>
      <x:c r="AF869" s="12" t="str">
        <x:f>IF(OR(AE869="active",AE869="review_required"),"yes","no")</x:f>
        <x:v>no</x:v>
      </x:c>
      <x:c r="AG869" s="12" t="str">
        <x:f>IF(AND(AE869="active",M869="yes",NOT(ISNUMBER(SEARCH("healthy",AB869)))),"yes","no")</x:f>
        <x:v>no</x:v>
      </x:c>
      <x:c r="AH869" s="12" t="str">
        <x:f>IF(OR(H869="contextual",H869="dialogue",H869="discourse",I869="claim+context",I869="discourse_segment"),"yes","no")</x:f>
        <x:v>no</x:v>
      </x:c>
      <x:c r="AI869" s="12" t="str">
        <x:f>IF(OR(AH869="yes",AD869="debated",AC869="operational"),"yes","no")</x:f>
        <x:v>yes</x:v>
      </x:c>
      <x:c r="AJ869" s="12" t="str">
        <x:f>IF(OR(AH869="yes",AC869="operational",AD869="debated"),"high",IF(AND(AG869="yes",L869="P0"),"medium","low"))</x:f>
        <x:v>high</x:v>
      </x:c>
      <x:c r="AK869" s="12" t="str">
        <x:f>IF(ISNUMBER(SEARCH("healthy",AB869)),"yes","no")</x:f>
        <x:v>no</x:v>
      </x:c>
      <x:c r="AL869" s="12" t="str">
        <x:f>IF(AG869="yes","yes","candidate_only")</x:f>
        <x:v>candidate_only</x:v>
      </x:c>
      <x:c r="AM869" s="12" t="str">
        <x:f>IF(OR(AC869="canonical",AG869="yes"),"yes","recommended")</x:f>
        <x:v>recommended</x:v>
      </x:c>
      <x:c r="AN869" s="12" t="str">
        <x:f>IF(AC869="deprecated","exclude",IF(AND(AG869="yes",AJ869="high"),"import_but_human_review_required",IF(AG869="yes","import_as_active","import_as_backlog")))</x:f>
        <x:v>import_as_backlog</x:v>
      </x:c>
      <x:c r="AO869" s="12" t="str">
        <x:f>IF(AND(AG869="yes",OR(P869="",Q869="",R869="",S869="")),"missing_required_mvp_fields",IF(AND(AC869="canonical",Y869=""),"missing_source_ref","ok"))</x:f>
        <x:v>ok</x:v>
      </x:c>
      <x:c r="AP869" s="12" t="str">
        <x:f>IF(AO869="ok","ready_for_codex_import","needs_review")</x:f>
        <x:v>ready_for_codex_import</x:v>
      </x:c>
      <x:c r="AQ869" s="12"/>
      <x:c r="AR869" s="12" t="str">
        <x:v>Added v2 operational fields. Review before classification activation.</x:v>
      </x:c>
    </x:row>
    <x:row r="870">
      <x:c r="A870" s="13" t="str">
        <x:v>forecast_horizon_neglect_certainty_language_variant</x:v>
      </x:c>
      <x:c r="B870" s="13" t="str">
        <x:v>forecast_horizon_neglect</x:v>
      </x:c>
      <x:c r="C870" s="13" t="str">
        <x:v>Forecast horizon neglect</x:v>
      </x:c>
      <x:c r="D870" s="13" t="str">
        <x:v>نادیده‌گرفتن افق پیش‌بینی</x:v>
      </x:c>
      <x:c r="E870" s="13" t="str">
        <x:v>Certainty-language variant</x:v>
      </x:c>
      <x:c r="F870" s="13" t="str">
        <x:v>uncertainty_calibration_failures</x:v>
      </x:c>
      <x:c r="G870" s="13" t="str">
        <x:v>operational_variant</x:v>
      </x:c>
      <x:c r="H870" s="13" t="str">
        <x:v>contextual</x:v>
      </x:c>
      <x:c r="I870" s="13" t="str">
        <x:v>claim+context</x:v>
      </x:c>
      <x:c r="J870" s="13" t="str">
        <x:v>derived_operational_subtype</x:v>
      </x:c>
      <x:c r="K870" s="13" t="str">
        <x:v>derived_from_established_parent_review_required</x:v>
      </x:c>
      <x:c r="L870" s="13" t="str">
        <x:v>P2</x:v>
      </x:c>
      <x:c r="M870" s="13" t="str">
        <x:v>no</x:v>
      </x:c>
      <x:c r="N870" s="13" t="str">
        <x:v>Operational subtype under Forecast horizon neglect: absolute language overstates evidence. Parent definition: Making forecasts without specifying the time horizon.</x:v>
      </x:c>
      <x:c r="O870" s="13" t="str">
        <x:v>Look for: explicit claim-level evidence; parent-family cues for Forecast horizon neglect; variant cue: absolute language overstates evidence; avoid author-level inference.</x:v>
      </x:c>
      <x:c r="P870" s="13" t="str">
        <x:v>Exact evidence span in text plus claim-level reasoning link; for contextual/discourse entries, require surrounding context.</x:v>
      </x:c>
      <x:c r="Q870" s="13" t="str">
        <x:v>Do not label merely because topic is controversial, emotional, or wrong. Do not judge intent or personality. Require textual evidence and consider healthy-reasoning cues.</x:v>
      </x:c>
      <x:c r="R870" s="13" t="str">
        <x:v>Stub: A claim relies on absolute language overstates evidence to support a conclusion without adequate qualification.</x:v>
      </x:c>
      <x:c r="S870" s="13" t="str">
        <x:v>Stub: A claim discusses forecast horizon neglect with caveats, balanced evidence, or no argumentative use of the pattern.</x:v>
      </x:c>
      <x:c r="T870" s="13" t="str">
        <x:v>Mild or ambiguous cue; do not classify without clear evidence span.</x:v>
      </x:c>
      <x:c r="U870" s="13" t="str">
        <x:v>Clear claim-level pattern with some argumentative impact.</x:v>
      </x:c>
      <x:c r="V870" s="13" t="str">
        <x:v>Strong pattern central to the conclusion and likely to materially distort reasoning.</x:v>
      </x:c>
      <x:c r="W870" s="13" t="str">
        <x:v>uncertainty_acknowledgement; confidence_calibration; scope_limitation</x:v>
      </x:c>
      <x:c r="X870" s="13" t="str">
        <x:v>stanovich_dual_process</x:v>
      </x:c>
      <x:c r="Y870" s="13" t="str">
        <x:v>https://global.oup.com/academic/product/rationality-and-the-reflective-mind-9780195341140</x:v>
      </x:c>
      <x:c r="Z870" s="13" t="str">
        <x:v>Review before enabling. This workbook is a living taxonomy scaffold, not a validated scientific benchmark.</x:v>
      </x:c>
      <x:c r="AA870" s="13" t="str">
        <x:v>0.1.0-draft</x:v>
      </x:c>
      <x:c r="AB870" s="12" t="str">
        <x:f>IF(ISNUMBER(SEARCH("healthy",F870)),"healthy_reasoning_patterns",IF(ISNUMBER(SEARCH("statistical",F870)),"statistical_reasoning",IF(ISNUMBER(SEARCH("causal",F870)),"causal_reasoning",IF(ISNUMBER(SEARCH("social",F870)),"social_influence",IF(ISNUMBER(SEARCH("rhetoric",F870)),"rhetoric_discourse",IF(ISNUMBER(SEARCH("behavior",F870)),"behavioural_economics",IF(ISNUMBER(SEARCH("cognitive",F870)),"cognitive_biases",IF(J870="protective_pattern","healthy_reasoning_patterns",IF(L870="P0","core_mvp","extended_fallacies")))))))))</x:f>
        <x:v>extended_fallacies</x:v>
      </x:c>
      <x:c r="AC870" s="12" t="str">
        <x:f>IF(ISNUMBER(SEARCH("operational",J870)),"operational",IF(ISNUMBER(SEARCH("deprecated",J870)),"deprecated",IF(L870="P0","canonical","recognized_subtype")))</x:f>
        <x:v>operational</x:v>
      </x:c>
      <x:c r="AD870" s="12" t="str">
        <x:f>IF(AC870="canonical","high",IF(AC870="recognized_subtype","medium",IF(AC870="operational","operational_only","debated")))</x:f>
        <x:v>operational_only</x:v>
      </x:c>
      <x:c r="AE870" s="12" t="str">
        <x:f>IF(AC870="deprecated","deprecated",IF(M870="yes","active",IF(M870="review","review_required","backlog")))</x:f>
        <x:v>backlog</x:v>
      </x:c>
      <x:c r="AF870" s="12" t="str">
        <x:f>IF(OR(AE870="active",AE870="review_required"),"yes","no")</x:f>
        <x:v>no</x:v>
      </x:c>
      <x:c r="AG870" s="12" t="str">
        <x:f>IF(AND(AE870="active",M870="yes",NOT(ISNUMBER(SEARCH("healthy",AB870)))),"yes","no")</x:f>
        <x:v>no</x:v>
      </x:c>
      <x:c r="AH870" s="12" t="str">
        <x:f>IF(OR(H870="contextual",H870="dialogue",H870="discourse",I870="claim+context",I870="discourse_segment"),"yes","no")</x:f>
        <x:v>yes</x:v>
      </x:c>
      <x:c r="AI870" s="12" t="str">
        <x:f>IF(OR(AH870="yes",AD870="debated",AC870="operational"),"yes","no")</x:f>
        <x:v>yes</x:v>
      </x:c>
      <x:c r="AJ870" s="12" t="str">
        <x:f>IF(OR(AH870="yes",AC870="operational",AD870="debated"),"high",IF(AND(AG870="yes",L870="P0"),"medium","low"))</x:f>
        <x:v>high</x:v>
      </x:c>
      <x:c r="AK870" s="12" t="str">
        <x:f>IF(ISNUMBER(SEARCH("healthy",AB870)),"yes","no")</x:f>
        <x:v>no</x:v>
      </x:c>
      <x:c r="AL870" s="12" t="str">
        <x:f>IF(AG870="yes","yes","candidate_only")</x:f>
        <x:v>candidate_only</x:v>
      </x:c>
      <x:c r="AM870" s="12" t="str">
        <x:f>IF(OR(AC870="canonical",AG870="yes"),"yes","recommended")</x:f>
        <x:v>recommended</x:v>
      </x:c>
      <x:c r="AN870" s="12" t="str">
        <x:f>IF(AC870="deprecated","exclude",IF(AND(AG870="yes",AJ870="high"),"import_but_human_review_required",IF(AG870="yes","import_as_active","import_as_backlog")))</x:f>
        <x:v>import_as_backlog</x:v>
      </x:c>
      <x:c r="AO870" s="12" t="str">
        <x:f>IF(AND(AG870="yes",OR(P870="",Q870="",R870="",S870="")),"missing_required_mvp_fields",IF(AND(AC870="canonical",Y870=""),"missing_source_ref","ok"))</x:f>
        <x:v>ok</x:v>
      </x:c>
      <x:c r="AP870" s="12" t="str">
        <x:f>IF(AO870="ok","ready_for_codex_import","needs_review")</x:f>
        <x:v>ready_for_codex_import</x:v>
      </x:c>
      <x:c r="AQ870" s="12"/>
      <x:c r="AR870" s="12" t="str">
        <x:v>Added v2 operational fields. Review before classification activation.</x:v>
      </x:c>
    </x:row>
    <x:row r="871">
      <x:c r="A871" s="13" t="str">
        <x:v>trend_extrapolation_overreach_certainty_language_variant</x:v>
      </x:c>
      <x:c r="B871" s="13" t="str">
        <x:v>trend_extrapolation_overreach</x:v>
      </x:c>
      <x:c r="C871" s="13" t="str">
        <x:v>Trend extrapolation overreach</x:v>
      </x:c>
      <x:c r="D871" s="13" t="str">
        <x:v>برون‌یابی افراطی روند</x:v>
      </x:c>
      <x:c r="E871" s="13" t="str">
        <x:v>Certainty-language variant</x:v>
      </x:c>
      <x:c r="F871" s="13" t="str">
        <x:v>uncertainty_calibration_failures</x:v>
      </x:c>
      <x:c r="G871" s="13" t="str">
        <x:v>operational_variant</x:v>
      </x:c>
      <x:c r="H871" s="13" t="str">
        <x:v>contextual</x:v>
      </x:c>
      <x:c r="I871" s="13" t="str">
        <x:v>claim+context</x:v>
      </x:c>
      <x:c r="J871" s="13" t="str">
        <x:v>derived_operational_subtype</x:v>
      </x:c>
      <x:c r="K871" s="13" t="str">
        <x:v>derived_from_established_parent_review_required</x:v>
      </x:c>
      <x:c r="L871" s="13" t="str">
        <x:v>P2</x:v>
      </x:c>
      <x:c r="M871" s="13" t="str">
        <x:v>no</x:v>
      </x:c>
      <x:c r="N871" s="13" t="str">
        <x:v>Operational subtype under Trend extrapolation overreach: absolute language overstates evidence. Parent definition: Extending a trend beyond evidence without caveats.</x:v>
      </x:c>
      <x:c r="O871" s="13" t="str">
        <x:v>Look for: explicit claim-level evidence; parent-family cues for Trend extrapolation overreach; variant cue: absolute language overstates evidence; avoid author-level inference.</x:v>
      </x:c>
      <x:c r="P871" s="13" t="str">
        <x:v>Exact evidence span in text plus claim-level reasoning link; for contextual/discourse entries, require surrounding context.</x:v>
      </x:c>
      <x:c r="Q871" s="13" t="str">
        <x:v>Do not label merely because topic is controversial, emotional, or wrong. Do not judge intent or personality. Require textual evidence and consider healthy-reasoning cues.</x:v>
      </x:c>
      <x:c r="R871" s="13" t="str">
        <x:v>Stub: A claim relies on absolute language overstates evidence to support a conclusion without adequate qualification.</x:v>
      </x:c>
      <x:c r="S871" s="13" t="str">
        <x:v>Stub: A claim discusses trend extrapolation overreach with caveats, balanced evidence, or no argumentative use of the pattern.</x:v>
      </x:c>
      <x:c r="T871" s="13" t="str">
        <x:v>Mild or ambiguous cue; do not classify without clear evidence span.</x:v>
      </x:c>
      <x:c r="U871" s="13" t="str">
        <x:v>Clear claim-level pattern with some argumentative impact.</x:v>
      </x:c>
      <x:c r="V871" s="13" t="str">
        <x:v>Strong pattern central to the conclusion and likely to materially distort reasoning.</x:v>
      </x:c>
      <x:c r="W871" s="13" t="str">
        <x:v>cherry_picking; missing_counterevidence; evidence_grading</x:v>
      </x:c>
      <x:c r="X871" s="13" t="str">
        <x:v>stanovich_dual_process</x:v>
      </x:c>
      <x:c r="Y871" s="13" t="str">
        <x:v>https://global.oup.com/academic/product/rationality-and-the-reflective-mind-9780195341140</x:v>
      </x:c>
      <x:c r="Z871" s="13" t="str">
        <x:v>Review before enabling. This workbook is a living taxonomy scaffold, not a validated scientific benchmark.</x:v>
      </x:c>
      <x:c r="AA871" s="13" t="str">
        <x:v>0.1.0-draft</x:v>
      </x:c>
      <x:c r="AB871" s="12" t="str">
        <x:f>IF(ISNUMBER(SEARCH("healthy",F871)),"healthy_reasoning_patterns",IF(ISNUMBER(SEARCH("statistical",F871)),"statistical_reasoning",IF(ISNUMBER(SEARCH("causal",F871)),"causal_reasoning",IF(ISNUMBER(SEARCH("social",F871)),"social_influence",IF(ISNUMBER(SEARCH("rhetoric",F871)),"rhetoric_discourse",IF(ISNUMBER(SEARCH("behavior",F871)),"behavioural_economics",IF(ISNUMBER(SEARCH("cognitive",F871)),"cognitive_biases",IF(J871="protective_pattern","healthy_reasoning_patterns",IF(L871="P0","core_mvp","extended_fallacies")))))))))</x:f>
        <x:v>extended_fallacies</x:v>
      </x:c>
      <x:c r="AC871" s="12" t="str">
        <x:f>IF(ISNUMBER(SEARCH("operational",J871)),"operational",IF(ISNUMBER(SEARCH("deprecated",J871)),"deprecated",IF(L871="P0","canonical","recognized_subtype")))</x:f>
        <x:v>operational</x:v>
      </x:c>
      <x:c r="AD871" s="12" t="str">
        <x:f>IF(AC871="canonical","high",IF(AC871="recognized_subtype","medium",IF(AC871="operational","operational_only","debated")))</x:f>
        <x:v>operational_only</x:v>
      </x:c>
      <x:c r="AE871" s="12" t="str">
        <x:f>IF(AC871="deprecated","deprecated",IF(M871="yes","active",IF(M871="review","review_required","backlog")))</x:f>
        <x:v>backlog</x:v>
      </x:c>
      <x:c r="AF871" s="12" t="str">
        <x:f>IF(OR(AE871="active",AE871="review_required"),"yes","no")</x:f>
        <x:v>no</x:v>
      </x:c>
      <x:c r="AG871" s="12" t="str">
        <x:f>IF(AND(AE871="active",M871="yes",NOT(ISNUMBER(SEARCH("healthy",AB871)))),"yes","no")</x:f>
        <x:v>no</x:v>
      </x:c>
      <x:c r="AH871" s="12" t="str">
        <x:f>IF(OR(H871="contextual",H871="dialogue",H871="discourse",I871="claim+context",I871="discourse_segment"),"yes","no")</x:f>
        <x:v>yes</x:v>
      </x:c>
      <x:c r="AI871" s="12" t="str">
        <x:f>IF(OR(AH871="yes",AD871="debated",AC871="operational"),"yes","no")</x:f>
        <x:v>yes</x:v>
      </x:c>
      <x:c r="AJ871" s="12" t="str">
        <x:f>IF(OR(AH871="yes",AC871="operational",AD871="debated"),"high",IF(AND(AG871="yes",L871="P0"),"medium","low"))</x:f>
        <x:v>high</x:v>
      </x:c>
      <x:c r="AK871" s="12" t="str">
        <x:f>IF(ISNUMBER(SEARCH("healthy",AB871)),"yes","no")</x:f>
        <x:v>no</x:v>
      </x:c>
      <x:c r="AL871" s="12" t="str">
        <x:f>IF(AG871="yes","yes","candidate_only")</x:f>
        <x:v>candidate_only</x:v>
      </x:c>
      <x:c r="AM871" s="12" t="str">
        <x:f>IF(OR(AC871="canonical",AG871="yes"),"yes","recommended")</x:f>
        <x:v>recommended</x:v>
      </x:c>
      <x:c r="AN871" s="12" t="str">
        <x:f>IF(AC871="deprecated","exclude",IF(AND(AG871="yes",AJ871="high"),"import_but_human_review_required",IF(AG871="yes","import_as_active","import_as_backlog")))</x:f>
        <x:v>import_as_backlog</x:v>
      </x:c>
      <x:c r="AO871" s="12" t="str">
        <x:f>IF(AND(AG871="yes",OR(P871="",Q871="",R871="",S871="")),"missing_required_mvp_fields",IF(AND(AC871="canonical",Y871=""),"missing_source_ref","ok"))</x:f>
        <x:v>ok</x:v>
      </x:c>
      <x:c r="AP871" s="12" t="str">
        <x:f>IF(AO871="ok","ready_for_codex_import","needs_review")</x:f>
        <x:v>ready_for_codex_import</x:v>
      </x:c>
      <x:c r="AQ871" s="12"/>
      <x:c r="AR871" s="12" t="str">
        <x:v>Added v2 operational fields. Review before classification activation.</x:v>
      </x:c>
    </x:row>
    <x:row r="872">
      <x:c r="A872" s="13" t="str">
        <x:v>linear_projection_fallacy_certainty_language_variant</x:v>
      </x:c>
      <x:c r="B872" s="13" t="str">
        <x:v>linear_projection_fallacy</x:v>
      </x:c>
      <x:c r="C872" s="13" t="str">
        <x:v>Linear projection fallacy</x:v>
      </x:c>
      <x:c r="D872" s="13" t="str">
        <x:v>خطای امتداد خطی</x:v>
      </x:c>
      <x:c r="E872" s="13" t="str">
        <x:v>Certainty-language variant</x:v>
      </x:c>
      <x:c r="F872" s="13" t="str">
        <x:v>uncertainty_calibration_failures</x:v>
      </x:c>
      <x:c r="G872" s="13" t="str">
        <x:v>operational_variant</x:v>
      </x:c>
      <x:c r="H872" s="13" t="str">
        <x:v>contextual</x:v>
      </x:c>
      <x:c r="I872" s="13" t="str">
        <x:v>claim+context</x:v>
      </x:c>
      <x:c r="J872" s="13" t="str">
        <x:v>derived_operational_subtype</x:v>
      </x:c>
      <x:c r="K872" s="13" t="str">
        <x:v>derived_from_established_parent_review_required</x:v>
      </x:c>
      <x:c r="L872" s="13" t="str">
        <x:v>P2</x:v>
      </x:c>
      <x:c r="M872" s="13" t="str">
        <x:v>no</x:v>
      </x:c>
      <x:c r="N872" s="13" t="str">
        <x:v>Operational subtype under Linear projection fallacy: absolute language overstates evidence. Parent definition: Assuming linear continuation in a nonlinear domain.</x:v>
      </x:c>
      <x:c r="O872" s="13" t="str">
        <x:v>Look for: explicit claim-level evidence; parent-family cues for Linear projection fallacy; variant cue: absolute language overstates evidence; avoid author-level inference.</x:v>
      </x:c>
      <x:c r="P872" s="13" t="str">
        <x:v>Exact evidence span in text plus claim-level reasoning link; for contextual/discourse entries, require surrounding context.</x:v>
      </x:c>
      <x:c r="Q872" s="13" t="str">
        <x:v>Do not label merely because topic is controversial, emotional, or wrong. Do not judge intent or personality. Require textual evidence and consider healthy-reasoning cues.</x:v>
      </x:c>
      <x:c r="R872" s="13" t="str">
        <x:v>Stub: A claim relies on absolute language overstates evidence to support a conclusion without adequate qualification.</x:v>
      </x:c>
      <x:c r="S872" s="13" t="str">
        <x:v>Stub: A claim discusses linear projection fallacy with caveats, balanced evidence, or no argumentative use of the pattern.</x:v>
      </x:c>
      <x:c r="T872" s="13" t="str">
        <x:v>Mild or ambiguous cue; do not classify without clear evidence span.</x:v>
      </x:c>
      <x:c r="U872" s="13" t="str">
        <x:v>Clear claim-level pattern with some argumentative impact.</x:v>
      </x:c>
      <x:c r="V872" s="13" t="str">
        <x:v>Strong pattern central to the conclusion and likely to materially distort reasoning.</x:v>
      </x:c>
      <x:c r="W872" s="13" t="str">
        <x:v>uncertainty_acknowledgement; confidence_calibration; scope_limitation</x:v>
      </x:c>
      <x:c r="X872" s="13" t="str">
        <x:v>stanovich_dual_process</x:v>
      </x:c>
      <x:c r="Y872" s="13" t="str">
        <x:v>https://global.oup.com/academic/product/rationality-and-the-reflective-mind-9780195341140</x:v>
      </x:c>
      <x:c r="Z872" s="13" t="str">
        <x:v>Review before enabling. This workbook is a living taxonomy scaffold, not a validated scientific benchmark.</x:v>
      </x:c>
      <x:c r="AA872" s="13" t="str">
        <x:v>0.1.0-draft</x:v>
      </x:c>
      <x:c r="AB872" s="12" t="str">
        <x:f>IF(ISNUMBER(SEARCH("healthy",F872)),"healthy_reasoning_patterns",IF(ISNUMBER(SEARCH("statistical",F872)),"statistical_reasoning",IF(ISNUMBER(SEARCH("causal",F872)),"causal_reasoning",IF(ISNUMBER(SEARCH("social",F872)),"social_influence",IF(ISNUMBER(SEARCH("rhetoric",F872)),"rhetoric_discourse",IF(ISNUMBER(SEARCH("behavior",F872)),"behavioural_economics",IF(ISNUMBER(SEARCH("cognitive",F872)),"cognitive_biases",IF(J872="protective_pattern","healthy_reasoning_patterns",IF(L872="P0","core_mvp","extended_fallacies")))))))))</x:f>
        <x:v>extended_fallacies</x:v>
      </x:c>
      <x:c r="AC872" s="12" t="str">
        <x:f>IF(ISNUMBER(SEARCH("operational",J872)),"operational",IF(ISNUMBER(SEARCH("deprecated",J872)),"deprecated",IF(L872="P0","canonical","recognized_subtype")))</x:f>
        <x:v>operational</x:v>
      </x:c>
      <x:c r="AD872" s="12" t="str">
        <x:f>IF(AC872="canonical","high",IF(AC872="recognized_subtype","medium",IF(AC872="operational","operational_only","debated")))</x:f>
        <x:v>operational_only</x:v>
      </x:c>
      <x:c r="AE872" s="12" t="str">
        <x:f>IF(AC872="deprecated","deprecated",IF(M872="yes","active",IF(M872="review","review_required","backlog")))</x:f>
        <x:v>backlog</x:v>
      </x:c>
      <x:c r="AF872" s="12" t="str">
        <x:f>IF(OR(AE872="active",AE872="review_required"),"yes","no")</x:f>
        <x:v>no</x:v>
      </x:c>
      <x:c r="AG872" s="12" t="str">
        <x:f>IF(AND(AE872="active",M872="yes",NOT(ISNUMBER(SEARCH("healthy",AB872)))),"yes","no")</x:f>
        <x:v>no</x:v>
      </x:c>
      <x:c r="AH872" s="12" t="str">
        <x:f>IF(OR(H872="contextual",H872="dialogue",H872="discourse",I872="claim+context",I872="discourse_segment"),"yes","no")</x:f>
        <x:v>yes</x:v>
      </x:c>
      <x:c r="AI872" s="12" t="str">
        <x:f>IF(OR(AH872="yes",AD872="debated",AC872="operational"),"yes","no")</x:f>
        <x:v>yes</x:v>
      </x:c>
      <x:c r="AJ872" s="12" t="str">
        <x:f>IF(OR(AH872="yes",AC872="operational",AD872="debated"),"high",IF(AND(AG872="yes",L872="P0"),"medium","low"))</x:f>
        <x:v>high</x:v>
      </x:c>
      <x:c r="AK872" s="12" t="str">
        <x:f>IF(ISNUMBER(SEARCH("healthy",AB872)),"yes","no")</x:f>
        <x:v>no</x:v>
      </x:c>
      <x:c r="AL872" s="12" t="str">
        <x:f>IF(AG872="yes","yes","candidate_only")</x:f>
        <x:v>candidate_only</x:v>
      </x:c>
      <x:c r="AM872" s="12" t="str">
        <x:f>IF(OR(AC872="canonical",AG872="yes"),"yes","recommended")</x:f>
        <x:v>recommended</x:v>
      </x:c>
      <x:c r="AN872" s="12" t="str">
        <x:f>IF(AC872="deprecated","exclude",IF(AND(AG872="yes",AJ872="high"),"import_but_human_review_required",IF(AG872="yes","import_as_active","import_as_backlog")))</x:f>
        <x:v>import_as_backlog</x:v>
      </x:c>
      <x:c r="AO872" s="12" t="str">
        <x:f>IF(AND(AG872="yes",OR(P872="",Q872="",R872="",S872="")),"missing_required_mvp_fields",IF(AND(AC872="canonical",Y872=""),"missing_source_ref","ok"))</x:f>
        <x:v>ok</x:v>
      </x:c>
      <x:c r="AP872" s="12" t="str">
        <x:f>IF(AO872="ok","ready_for_codex_import","needs_review")</x:f>
        <x:v>ready_for_codex_import</x:v>
      </x:c>
      <x:c r="AQ872" s="12"/>
      <x:c r="AR872" s="12" t="str">
        <x:v>Added v2 operational fields. Review before classification activation.</x:v>
      </x:c>
    </x:row>
    <x:row r="873">
      <x:c r="A873" s="13" t="str">
        <x:v>scenario_neglect_certainty_language_variant</x:v>
      </x:c>
      <x:c r="B873" s="13" t="str">
        <x:v>scenario_neglect</x:v>
      </x:c>
      <x:c r="C873" s="13" t="str">
        <x:v>Scenario neglect</x:v>
      </x:c>
      <x:c r="D873" s="13" t="str">
        <x:v>نادیده‌گرفتن سناریوهای بدیل</x:v>
      </x:c>
      <x:c r="E873" s="13" t="str">
        <x:v>Certainty-language variant</x:v>
      </x:c>
      <x:c r="F873" s="13" t="str">
        <x:v>uncertainty_calibration_failures</x:v>
      </x:c>
      <x:c r="G873" s="13" t="str">
        <x:v>operational_variant</x:v>
      </x:c>
      <x:c r="H873" s="13" t="str">
        <x:v>contextual</x:v>
      </x:c>
      <x:c r="I873" s="13" t="str">
        <x:v>claim+context</x:v>
      </x:c>
      <x:c r="J873" s="13" t="str">
        <x:v>derived_operational_subtype</x:v>
      </x:c>
      <x:c r="K873" s="13" t="str">
        <x:v>derived_from_established_parent_review_required</x:v>
      </x:c>
      <x:c r="L873" s="13" t="str">
        <x:v>P2</x:v>
      </x:c>
      <x:c r="M873" s="13" t="str">
        <x:v>no</x:v>
      </x:c>
      <x:c r="N873" s="13" t="str">
        <x:v>Operational subtype under Scenario neglect: absolute language overstates evidence. Parent definition: Failing to consider plausible alternative futures.</x:v>
      </x:c>
      <x:c r="O873" s="13" t="str">
        <x:v>Look for: explicit claim-level evidence; parent-family cues for Scenario neglect; variant cue: absolute language overstates evidence; avoid author-level inference.</x:v>
      </x:c>
      <x:c r="P873" s="13" t="str">
        <x:v>Exact evidence span in text plus claim-level reasoning link; for contextual/discourse entries, require surrounding context.</x:v>
      </x:c>
      <x:c r="Q873" s="13" t="str">
        <x:v>Do not label merely because topic is controversial, emotional, or wrong. Do not judge intent or personality. Require textual evidence and consider healthy-reasoning cues.</x:v>
      </x:c>
      <x:c r="R873" s="13" t="str">
        <x:v>Stub: A claim relies on absolute language overstates evidence to support a conclusion without adequate qualification.</x:v>
      </x:c>
      <x:c r="S873" s="13" t="str">
        <x:v>Stub: A claim discusses scenario neglect with caveats, balanced evidence, or no argumentative use of the pattern.</x:v>
      </x:c>
      <x:c r="T873" s="13" t="str">
        <x:v>Mild or ambiguous cue; do not classify without clear evidence span.</x:v>
      </x:c>
      <x:c r="U873" s="13" t="str">
        <x:v>Clear claim-level pattern with some argumentative impact.</x:v>
      </x:c>
      <x:c r="V873" s="13" t="str">
        <x:v>Strong pattern central to the conclusion and likely to materially distort reasoning.</x:v>
      </x:c>
      <x:c r="W873" s="13" t="str">
        <x:v>uncertainty_acknowledgement; confidence_calibration; scope_limitation</x:v>
      </x:c>
      <x:c r="X873" s="13" t="str">
        <x:v>stanovich_dual_process</x:v>
      </x:c>
      <x:c r="Y873" s="13" t="str">
        <x:v>https://global.oup.com/academic/product/rationality-and-the-reflective-mind-9780195341140</x:v>
      </x:c>
      <x:c r="Z873" s="13" t="str">
        <x:v>Review before enabling. This workbook is a living taxonomy scaffold, not a validated scientific benchmark.</x:v>
      </x:c>
      <x:c r="AA873" s="13" t="str">
        <x:v>0.1.0-draft</x:v>
      </x:c>
      <x:c r="AB873" s="12" t="str">
        <x:f>IF(ISNUMBER(SEARCH("healthy",F873)),"healthy_reasoning_patterns",IF(ISNUMBER(SEARCH("statistical",F873)),"statistical_reasoning",IF(ISNUMBER(SEARCH("causal",F873)),"causal_reasoning",IF(ISNUMBER(SEARCH("social",F873)),"social_influence",IF(ISNUMBER(SEARCH("rhetoric",F873)),"rhetoric_discourse",IF(ISNUMBER(SEARCH("behavior",F873)),"behavioural_economics",IF(ISNUMBER(SEARCH("cognitive",F873)),"cognitive_biases",IF(J873="protective_pattern","healthy_reasoning_patterns",IF(L873="P0","core_mvp","extended_fallacies")))))))))</x:f>
        <x:v>extended_fallacies</x:v>
      </x:c>
      <x:c r="AC873" s="12" t="str">
        <x:f>IF(ISNUMBER(SEARCH("operational",J873)),"operational",IF(ISNUMBER(SEARCH("deprecated",J873)),"deprecated",IF(L873="P0","canonical","recognized_subtype")))</x:f>
        <x:v>operational</x:v>
      </x:c>
      <x:c r="AD873" s="12" t="str">
        <x:f>IF(AC873="canonical","high",IF(AC873="recognized_subtype","medium",IF(AC873="operational","operational_only","debated")))</x:f>
        <x:v>operational_only</x:v>
      </x:c>
      <x:c r="AE873" s="12" t="str">
        <x:f>IF(AC873="deprecated","deprecated",IF(M873="yes","active",IF(M873="review","review_required","backlog")))</x:f>
        <x:v>backlog</x:v>
      </x:c>
      <x:c r="AF873" s="12" t="str">
        <x:f>IF(OR(AE873="active",AE873="review_required"),"yes","no")</x:f>
        <x:v>no</x:v>
      </x:c>
      <x:c r="AG873" s="12" t="str">
        <x:f>IF(AND(AE873="active",M873="yes",NOT(ISNUMBER(SEARCH("healthy",AB873)))),"yes","no")</x:f>
        <x:v>no</x:v>
      </x:c>
      <x:c r="AH873" s="12" t="str">
        <x:f>IF(OR(H873="contextual",H873="dialogue",H873="discourse",I873="claim+context",I873="discourse_segment"),"yes","no")</x:f>
        <x:v>yes</x:v>
      </x:c>
      <x:c r="AI873" s="12" t="str">
        <x:f>IF(OR(AH873="yes",AD873="debated",AC873="operational"),"yes","no")</x:f>
        <x:v>yes</x:v>
      </x:c>
      <x:c r="AJ873" s="12" t="str">
        <x:f>IF(OR(AH873="yes",AC873="operational",AD873="debated"),"high",IF(AND(AG873="yes",L873="P0"),"medium","low"))</x:f>
        <x:v>high</x:v>
      </x:c>
      <x:c r="AK873" s="12" t="str">
        <x:f>IF(ISNUMBER(SEARCH("healthy",AB873)),"yes","no")</x:f>
        <x:v>no</x:v>
      </x:c>
      <x:c r="AL873" s="12" t="str">
        <x:f>IF(AG873="yes","yes","candidate_only")</x:f>
        <x:v>candidate_only</x:v>
      </x:c>
      <x:c r="AM873" s="12" t="str">
        <x:f>IF(OR(AC873="canonical",AG873="yes"),"yes","recommended")</x:f>
        <x:v>recommended</x:v>
      </x:c>
      <x:c r="AN873" s="12" t="str">
        <x:f>IF(AC873="deprecated","exclude",IF(AND(AG873="yes",AJ873="high"),"import_but_human_review_required",IF(AG873="yes","import_as_active","import_as_backlog")))</x:f>
        <x:v>import_as_backlog</x:v>
      </x:c>
      <x:c r="AO873" s="12" t="str">
        <x:f>IF(AND(AG873="yes",OR(P873="",Q873="",R873="",S873="")),"missing_required_mvp_fields",IF(AND(AC873="canonical",Y873=""),"missing_source_ref","ok"))</x:f>
        <x:v>ok</x:v>
      </x:c>
      <x:c r="AP873" s="12" t="str">
        <x:f>IF(AO873="ok","ready_for_codex_import","needs_review")</x:f>
        <x:v>ready_for_codex_import</x:v>
      </x:c>
      <x:c r="AQ873" s="12"/>
      <x:c r="AR873" s="12" t="str">
        <x:v>Added v2 operational fields. Review before classification activation.</x:v>
      </x:c>
    </x:row>
    <x:row r="874">
      <x:c r="A874" s="13" t="str">
        <x:v>alternative_explanation_neglect_certainty_language_variant</x:v>
      </x:c>
      <x:c r="B874" s="13" t="str">
        <x:v>alternative_explanation_neglect</x:v>
      </x:c>
      <x:c r="C874" s="13" t="str">
        <x:v>Alternative explanation neglect</x:v>
      </x:c>
      <x:c r="D874" s="13" t="str">
        <x:v>نادیده گرفتن توضیح بدیل</x:v>
      </x:c>
      <x:c r="E874" s="13" t="str">
        <x:v>Certainty-language variant</x:v>
      </x:c>
      <x:c r="F874" s="13" t="str">
        <x:v>uncertainty_calibration_failures</x:v>
      </x:c>
      <x:c r="G874" s="13" t="str">
        <x:v>operational_variant</x:v>
      </x:c>
      <x:c r="H874" s="13" t="str">
        <x:v>contextual</x:v>
      </x:c>
      <x:c r="I874" s="13" t="str">
        <x:v>claim+context</x:v>
      </x:c>
      <x:c r="J874" s="13" t="str">
        <x:v>derived_operational_subtype</x:v>
      </x:c>
      <x:c r="K874" s="13" t="str">
        <x:v>derived_from_established_parent_review_required</x:v>
      </x:c>
      <x:c r="L874" s="13" t="str">
        <x:v>P2</x:v>
      </x:c>
      <x:c r="M874" s="13" t="str">
        <x:v>no</x:v>
      </x:c>
      <x:c r="N874" s="13" t="str">
        <x:v>Operational subtype under Alternative explanation neglect: absolute language overstates evidence. Parent definition: Ignoring plausible alternative explanations for observed evidence.</x:v>
      </x:c>
      <x:c r="O874" s="13" t="str">
        <x:v>Look for: explicit claim-level evidence; parent-family cues for Alternative explanation neglect; variant cue: absolute language overstates evidence; avoid author-level inference.</x:v>
      </x:c>
      <x:c r="P874" s="13" t="str">
        <x:v>Exact evidence span in text plus claim-level reasoning link; for contextual/discourse entries, require surrounding context.</x:v>
      </x:c>
      <x:c r="Q874" s="13" t="str">
        <x:v>Do not label merely because topic is controversial, emotional, or wrong. Do not judge intent or personality. Require textual evidence and consider healthy-reasoning cues.</x:v>
      </x:c>
      <x:c r="R874" s="13" t="str">
        <x:v>Stub: A claim relies on absolute language overstates evidence to support a conclusion without adequate qualification.</x:v>
      </x:c>
      <x:c r="S874" s="13" t="str">
        <x:v>Stub: A claim discusses alternative explanation neglect with caveats, balanced evidence, or no argumentative use of the pattern.</x:v>
      </x:c>
      <x:c r="T874" s="13" t="str">
        <x:v>Mild or ambiguous cue; do not classify without clear evidence span.</x:v>
      </x:c>
      <x:c r="U874" s="13" t="str">
        <x:v>Clear claim-level pattern with some argumentative impact.</x:v>
      </x:c>
      <x:c r="V874" s="13" t="str">
        <x:v>Strong pattern central to the conclusion and likely to materially distort reasoning.</x:v>
      </x:c>
      <x:c r="W874" s="13" t="str">
        <x:v>cherry_picking; missing_counterevidence; evidence_grading</x:v>
      </x:c>
      <x:c r="X874" s="13" t="str">
        <x:v>toulmin_uses_argument</x:v>
      </x:c>
      <x:c r="Y874" s="13" t="str">
        <x:v>https://doi.org/10.1017/CBO9780511840005</x:v>
      </x:c>
      <x:c r="Z874" s="13" t="str">
        <x:v>Review before enabling. This workbook is a living taxonomy scaffold, not a validated scientific benchmark.</x:v>
      </x:c>
      <x:c r="AA874" s="13" t="str">
        <x:v>0.1.0-draft</x:v>
      </x:c>
      <x:c r="AB874" s="12" t="str">
        <x:f>IF(ISNUMBER(SEARCH("healthy",F874)),"healthy_reasoning_patterns",IF(ISNUMBER(SEARCH("statistical",F874)),"statistical_reasoning",IF(ISNUMBER(SEARCH("causal",F874)),"causal_reasoning",IF(ISNUMBER(SEARCH("social",F874)),"social_influence",IF(ISNUMBER(SEARCH("rhetoric",F874)),"rhetoric_discourse",IF(ISNUMBER(SEARCH("behavior",F874)),"behavioural_economics",IF(ISNUMBER(SEARCH("cognitive",F874)),"cognitive_biases",IF(J874="protective_pattern","healthy_reasoning_patterns",IF(L874="P0","core_mvp","extended_fallacies")))))))))</x:f>
        <x:v>extended_fallacies</x:v>
      </x:c>
      <x:c r="AC874" s="12" t="str">
        <x:f>IF(ISNUMBER(SEARCH("operational",J874)),"operational",IF(ISNUMBER(SEARCH("deprecated",J874)),"deprecated",IF(L874="P0","canonical","recognized_subtype")))</x:f>
        <x:v>operational</x:v>
      </x:c>
      <x:c r="AD874" s="12" t="str">
        <x:f>IF(AC874="canonical","high",IF(AC874="recognized_subtype","medium",IF(AC874="operational","operational_only","debated")))</x:f>
        <x:v>operational_only</x:v>
      </x:c>
      <x:c r="AE874" s="12" t="str">
        <x:f>IF(AC874="deprecated","deprecated",IF(M874="yes","active",IF(M874="review","review_required","backlog")))</x:f>
        <x:v>backlog</x:v>
      </x:c>
      <x:c r="AF874" s="12" t="str">
        <x:f>IF(OR(AE874="active",AE874="review_required"),"yes","no")</x:f>
        <x:v>no</x:v>
      </x:c>
      <x:c r="AG874" s="12" t="str">
        <x:f>IF(AND(AE874="active",M874="yes",NOT(ISNUMBER(SEARCH("healthy",AB874)))),"yes","no")</x:f>
        <x:v>no</x:v>
      </x:c>
      <x:c r="AH874" s="12" t="str">
        <x:f>IF(OR(H874="contextual",H874="dialogue",H874="discourse",I874="claim+context",I874="discourse_segment"),"yes","no")</x:f>
        <x:v>yes</x:v>
      </x:c>
      <x:c r="AI874" s="12" t="str">
        <x:f>IF(OR(AH874="yes",AD874="debated",AC874="operational"),"yes","no")</x:f>
        <x:v>yes</x:v>
      </x:c>
      <x:c r="AJ874" s="12" t="str">
        <x:f>IF(OR(AH874="yes",AC874="operational",AD874="debated"),"high",IF(AND(AG874="yes",L874="P0"),"medium","low"))</x:f>
        <x:v>high</x:v>
      </x:c>
      <x:c r="AK874" s="12" t="str">
        <x:f>IF(ISNUMBER(SEARCH("healthy",AB874)),"yes","no")</x:f>
        <x:v>no</x:v>
      </x:c>
      <x:c r="AL874" s="12" t="str">
        <x:f>IF(AG874="yes","yes","candidate_only")</x:f>
        <x:v>candidate_only</x:v>
      </x:c>
      <x:c r="AM874" s="12" t="str">
        <x:f>IF(OR(AC874="canonical",AG874="yes"),"yes","recommended")</x:f>
        <x:v>recommended</x:v>
      </x:c>
      <x:c r="AN874" s="12" t="str">
        <x:f>IF(AC874="deprecated","exclude",IF(AND(AG874="yes",AJ874="high"),"import_but_human_review_required",IF(AG874="yes","import_as_active","import_as_backlog")))</x:f>
        <x:v>import_as_backlog</x:v>
      </x:c>
      <x:c r="AO874" s="12" t="str">
        <x:f>IF(AND(AG874="yes",OR(P874="",Q874="",R874="",S874="")),"missing_required_mvp_fields",IF(AND(AC874="canonical",Y874=""),"missing_source_ref","ok"))</x:f>
        <x:v>ok</x:v>
      </x:c>
      <x:c r="AP874" s="12" t="str">
        <x:f>IF(AO874="ok","ready_for_codex_import","needs_review")</x:f>
        <x:v>ready_for_codex_import</x:v>
      </x:c>
      <x:c r="AQ874" s="12"/>
      <x:c r="AR874" s="12" t="str">
        <x:v>Added v2 operational fields. Review before classification activation.</x:v>
      </x:c>
    </x:row>
    <x:row r="875">
      <x:c r="A875" s="13" t="str">
        <x:v>model_overfit_claim_certainty_language_variant</x:v>
      </x:c>
      <x:c r="B875" s="13" t="str">
        <x:v>model_overfit_claim</x:v>
      </x:c>
      <x:c r="C875" s="13" t="str">
        <x:v>Model overfit claim</x:v>
      </x:c>
      <x:c r="D875" s="13" t="str">
        <x:v>ادعای مدل بیش‌برازش‌یافته</x:v>
      </x:c>
      <x:c r="E875" s="13" t="str">
        <x:v>Certainty-language variant</x:v>
      </x:c>
      <x:c r="F875" s="13" t="str">
        <x:v>uncertainty_calibration_failures</x:v>
      </x:c>
      <x:c r="G875" s="13" t="str">
        <x:v>operational_variant</x:v>
      </x:c>
      <x:c r="H875" s="13" t="str">
        <x:v>contextual</x:v>
      </x:c>
      <x:c r="I875" s="13" t="str">
        <x:v>claim+context</x:v>
      </x:c>
      <x:c r="J875" s="13" t="str">
        <x:v>derived_operational_subtype</x:v>
      </x:c>
      <x:c r="K875" s="13" t="str">
        <x:v>derived_from_established_parent_review_required</x:v>
      </x:c>
      <x:c r="L875" s="13" t="str">
        <x:v>P2</x:v>
      </x:c>
      <x:c r="M875" s="13" t="str">
        <x:v>no</x:v>
      </x:c>
      <x:c r="N875" s="13" t="str">
        <x:v>Operational subtype under Model overfit claim: absolute language overstates evidence. Parent definition: Treating model fit as reliable prediction without validation.</x:v>
      </x:c>
      <x:c r="O875" s="13" t="str">
        <x:v>Look for: explicit claim-level evidence; parent-family cues for Model overfit claim; variant cue: absolute language overstates evidence; avoid author-level inference.</x:v>
      </x:c>
      <x:c r="P875" s="13" t="str">
        <x:v>Exact evidence span in text plus claim-level reasoning link; for contextual/discourse entries, require surrounding context.</x:v>
      </x:c>
      <x:c r="Q875" s="13" t="str">
        <x:v>Do not label merely because topic is controversial, emotional, or wrong. Do not judge intent or personality. Require textual evidence and consider healthy-reasoning cues.</x:v>
      </x:c>
      <x:c r="R875" s="13" t="str">
        <x:v>Stub: A claim relies on absolute language overstates evidence to support a conclusion without adequate qualification.</x:v>
      </x:c>
      <x:c r="S875" s="13" t="str">
        <x:v>Stub: A claim discusses model overfit claim with caveats, balanced evidence, or no argumentative use of the pattern.</x:v>
      </x:c>
      <x:c r="T875" s="13" t="str">
        <x:v>Mild or ambiguous cue; do not classify without clear evidence span.</x:v>
      </x:c>
      <x:c r="U875" s="13" t="str">
        <x:v>Clear claim-level pattern with some argumentative impact.</x:v>
      </x:c>
      <x:c r="V875" s="13" t="str">
        <x:v>Strong pattern central to the conclusion and likely to materially distort reasoning.</x:v>
      </x:c>
      <x:c r="W875" s="13" t="str">
        <x:v>uncertainty_acknowledgement; confidence_calibration; scope_limitation</x:v>
      </x:c>
      <x:c r="X875" s="13" t="str">
        <x:v>stanovich_dual_process</x:v>
      </x:c>
      <x:c r="Y875" s="13" t="str">
        <x:v>https://global.oup.com/academic/product/rationality-and-the-reflective-mind-9780195341140</x:v>
      </x:c>
      <x:c r="Z875" s="13" t="str">
        <x:v>Review before enabling. This workbook is a living taxonomy scaffold, not a validated scientific benchmark.</x:v>
      </x:c>
      <x:c r="AA875" s="13" t="str">
        <x:v>0.1.0-draft</x:v>
      </x:c>
      <x:c r="AB875" s="12" t="str">
        <x:f>IF(ISNUMBER(SEARCH("healthy",F875)),"healthy_reasoning_patterns",IF(ISNUMBER(SEARCH("statistical",F875)),"statistical_reasoning",IF(ISNUMBER(SEARCH("causal",F875)),"causal_reasoning",IF(ISNUMBER(SEARCH("social",F875)),"social_influence",IF(ISNUMBER(SEARCH("rhetoric",F875)),"rhetoric_discourse",IF(ISNUMBER(SEARCH("behavior",F875)),"behavioural_economics",IF(ISNUMBER(SEARCH("cognitive",F875)),"cognitive_biases",IF(J875="protective_pattern","healthy_reasoning_patterns",IF(L875="P0","core_mvp","extended_fallacies")))))))))</x:f>
        <x:v>extended_fallacies</x:v>
      </x:c>
      <x:c r="AC875" s="12" t="str">
        <x:f>IF(ISNUMBER(SEARCH("operational",J875)),"operational",IF(ISNUMBER(SEARCH("deprecated",J875)),"deprecated",IF(L875="P0","canonical","recognized_subtype")))</x:f>
        <x:v>operational</x:v>
      </x:c>
      <x:c r="AD875" s="12" t="str">
        <x:f>IF(AC875="canonical","high",IF(AC875="recognized_subtype","medium",IF(AC875="operational","operational_only","debated")))</x:f>
        <x:v>operational_only</x:v>
      </x:c>
      <x:c r="AE875" s="12" t="str">
        <x:f>IF(AC875="deprecated","deprecated",IF(M875="yes","active",IF(M875="review","review_required","backlog")))</x:f>
        <x:v>backlog</x:v>
      </x:c>
      <x:c r="AF875" s="12" t="str">
        <x:f>IF(OR(AE875="active",AE875="review_required"),"yes","no")</x:f>
        <x:v>no</x:v>
      </x:c>
      <x:c r="AG875" s="12" t="str">
        <x:f>IF(AND(AE875="active",M875="yes",NOT(ISNUMBER(SEARCH("healthy",AB875)))),"yes","no")</x:f>
        <x:v>no</x:v>
      </x:c>
      <x:c r="AH875" s="12" t="str">
        <x:f>IF(OR(H875="contextual",H875="dialogue",H875="discourse",I875="claim+context",I875="discourse_segment"),"yes","no")</x:f>
        <x:v>yes</x:v>
      </x:c>
      <x:c r="AI875" s="12" t="str">
        <x:f>IF(OR(AH875="yes",AD875="debated",AC875="operational"),"yes","no")</x:f>
        <x:v>yes</x:v>
      </x:c>
      <x:c r="AJ875" s="12" t="str">
        <x:f>IF(OR(AH875="yes",AC875="operational",AD875="debated"),"high",IF(AND(AG875="yes",L875="P0"),"medium","low"))</x:f>
        <x:v>high</x:v>
      </x:c>
      <x:c r="AK875" s="12" t="str">
        <x:f>IF(ISNUMBER(SEARCH("healthy",AB875)),"yes","no")</x:f>
        <x:v>no</x:v>
      </x:c>
      <x:c r="AL875" s="12" t="str">
        <x:f>IF(AG875="yes","yes","candidate_only")</x:f>
        <x:v>candidate_only</x:v>
      </x:c>
      <x:c r="AM875" s="12" t="str">
        <x:f>IF(OR(AC875="canonical",AG875="yes"),"yes","recommended")</x:f>
        <x:v>recommended</x:v>
      </x:c>
      <x:c r="AN875" s="12" t="str">
        <x:f>IF(AC875="deprecated","exclude",IF(AND(AG875="yes",AJ875="high"),"import_but_human_review_required",IF(AG875="yes","import_as_active","import_as_backlog")))</x:f>
        <x:v>import_as_backlog</x:v>
      </x:c>
      <x:c r="AO875" s="12" t="str">
        <x:f>IF(AND(AG875="yes",OR(P875="",Q875="",R875="",S875="")),"missing_required_mvp_fields",IF(AND(AC875="canonical",Y875=""),"missing_source_ref","ok"))</x:f>
        <x:v>ok</x:v>
      </x:c>
      <x:c r="AP875" s="12" t="str">
        <x:f>IF(AO875="ok","ready_for_codex_import","needs_review")</x:f>
        <x:v>ready_for_codex_import</x:v>
      </x:c>
      <x:c r="AQ875" s="12"/>
      <x:c r="AR875" s="12" t="str">
        <x:v>Added v2 operational fields. Review before classification activation.</x:v>
      </x:c>
    </x:row>
    <x:row r="876">
      <x:c r="A876" s="13" t="str">
        <x:v>domain_transfer_overreach_certainty_language_variant</x:v>
      </x:c>
      <x:c r="B876" s="13" t="str">
        <x:v>domain_transfer_overreach</x:v>
      </x:c>
      <x:c r="C876" s="13" t="str">
        <x:v>Domain transfer overreach</x:v>
      </x:c>
      <x:c r="D876" s="13" t="str">
        <x:v>تعمیم بین‌حوزه‌ای افراطی</x:v>
      </x:c>
      <x:c r="E876" s="13" t="str">
        <x:v>Certainty-language variant</x:v>
      </x:c>
      <x:c r="F876" s="13" t="str">
        <x:v>uncertainty_calibration_failures</x:v>
      </x:c>
      <x:c r="G876" s="13" t="str">
        <x:v>operational_variant</x:v>
      </x:c>
      <x:c r="H876" s="13" t="str">
        <x:v>contextual</x:v>
      </x:c>
      <x:c r="I876" s="13" t="str">
        <x:v>claim+context</x:v>
      </x:c>
      <x:c r="J876" s="13" t="str">
        <x:v>derived_operational_subtype</x:v>
      </x:c>
      <x:c r="K876" s="13" t="str">
        <x:v>derived_from_established_parent_review_required</x:v>
      </x:c>
      <x:c r="L876" s="13" t="str">
        <x:v>P2</x:v>
      </x:c>
      <x:c r="M876" s="13" t="str">
        <x:v>no</x:v>
      </x:c>
      <x:c r="N876" s="13" t="str">
        <x:v>Operational subtype under Domain transfer overreach: absolute language overstates evidence. Parent definition: Applying evidence from one domain to another without justification.</x:v>
      </x:c>
      <x:c r="O876" s="13" t="str">
        <x:v>Look for: explicit claim-level evidence; parent-family cues for Domain transfer overreach; variant cue: absolute language overstates evidence; avoid author-level inference.</x:v>
      </x:c>
      <x:c r="P876" s="13" t="str">
        <x:v>Exact evidence span in text plus claim-level reasoning link; for contextual/discourse entries, require surrounding context.</x:v>
      </x:c>
      <x:c r="Q876" s="13" t="str">
        <x:v>Do not label merely because topic is controversial, emotional, or wrong. Do not judge intent or personality. Require textual evidence and consider healthy-reasoning cues.</x:v>
      </x:c>
      <x:c r="R876" s="13" t="str">
        <x:v>Stub: A claim relies on absolute language overstates evidence to support a conclusion without adequate qualification.</x:v>
      </x:c>
      <x:c r="S876" s="13" t="str">
        <x:v>Stub: A claim discusses domain transfer overreach with caveats, balanced evidence, or no argumentative use of the pattern.</x:v>
      </x:c>
      <x:c r="T876" s="13" t="str">
        <x:v>Mild or ambiguous cue; do not classify without clear evidence span.</x:v>
      </x:c>
      <x:c r="U876" s="13" t="str">
        <x:v>Clear claim-level pattern with some argumentative impact.</x:v>
      </x:c>
      <x:c r="V876" s="13" t="str">
        <x:v>Strong pattern central to the conclusion and likely to materially distort reasoning.</x:v>
      </x:c>
      <x:c r="W876" s="13" t="str">
        <x:v>cherry_picking; missing_counterevidence; evidence_grading</x:v>
      </x:c>
      <x:c r="X876" s="13" t="str">
        <x:v>toulmin_uses_argument</x:v>
      </x:c>
      <x:c r="Y876" s="13" t="str">
        <x:v>https://doi.org/10.1017/CBO9780511840005</x:v>
      </x:c>
      <x:c r="Z876" s="13" t="str">
        <x:v>Review before enabling. This workbook is a living taxonomy scaffold, not a validated scientific benchmark.</x:v>
      </x:c>
      <x:c r="AA876" s="13" t="str">
        <x:v>0.1.0-draft</x:v>
      </x:c>
      <x:c r="AB876" s="12" t="str">
        <x:f>IF(ISNUMBER(SEARCH("healthy",F876)),"healthy_reasoning_patterns",IF(ISNUMBER(SEARCH("statistical",F876)),"statistical_reasoning",IF(ISNUMBER(SEARCH("causal",F876)),"causal_reasoning",IF(ISNUMBER(SEARCH("social",F876)),"social_influence",IF(ISNUMBER(SEARCH("rhetoric",F876)),"rhetoric_discourse",IF(ISNUMBER(SEARCH("behavior",F876)),"behavioural_economics",IF(ISNUMBER(SEARCH("cognitive",F876)),"cognitive_biases",IF(J876="protective_pattern","healthy_reasoning_patterns",IF(L876="P0","core_mvp","extended_fallacies")))))))))</x:f>
        <x:v>extended_fallacies</x:v>
      </x:c>
      <x:c r="AC876" s="12" t="str">
        <x:f>IF(ISNUMBER(SEARCH("operational",J876)),"operational",IF(ISNUMBER(SEARCH("deprecated",J876)),"deprecated",IF(L876="P0","canonical","recognized_subtype")))</x:f>
        <x:v>operational</x:v>
      </x:c>
      <x:c r="AD876" s="12" t="str">
        <x:f>IF(AC876="canonical","high",IF(AC876="recognized_subtype","medium",IF(AC876="operational","operational_only","debated")))</x:f>
        <x:v>operational_only</x:v>
      </x:c>
      <x:c r="AE876" s="12" t="str">
        <x:f>IF(AC876="deprecated","deprecated",IF(M876="yes","active",IF(M876="review","review_required","backlog")))</x:f>
        <x:v>backlog</x:v>
      </x:c>
      <x:c r="AF876" s="12" t="str">
        <x:f>IF(OR(AE876="active",AE876="review_required"),"yes","no")</x:f>
        <x:v>no</x:v>
      </x:c>
      <x:c r="AG876" s="12" t="str">
        <x:f>IF(AND(AE876="active",M876="yes",NOT(ISNUMBER(SEARCH("healthy",AB876)))),"yes","no")</x:f>
        <x:v>no</x:v>
      </x:c>
      <x:c r="AH876" s="12" t="str">
        <x:f>IF(OR(H876="contextual",H876="dialogue",H876="discourse",I876="claim+context",I876="discourse_segment"),"yes","no")</x:f>
        <x:v>yes</x:v>
      </x:c>
      <x:c r="AI876" s="12" t="str">
        <x:f>IF(OR(AH876="yes",AD876="debated",AC876="operational"),"yes","no")</x:f>
        <x:v>yes</x:v>
      </x:c>
      <x:c r="AJ876" s="12" t="str">
        <x:f>IF(OR(AH876="yes",AC876="operational",AD876="debated"),"high",IF(AND(AG876="yes",L876="P0"),"medium","low"))</x:f>
        <x:v>high</x:v>
      </x:c>
      <x:c r="AK876" s="12" t="str">
        <x:f>IF(ISNUMBER(SEARCH("healthy",AB876)),"yes","no")</x:f>
        <x:v>no</x:v>
      </x:c>
      <x:c r="AL876" s="12" t="str">
        <x:f>IF(AG876="yes","yes","candidate_only")</x:f>
        <x:v>candidate_only</x:v>
      </x:c>
      <x:c r="AM876" s="12" t="str">
        <x:f>IF(OR(AC876="canonical",AG876="yes"),"yes","recommended")</x:f>
        <x:v>recommended</x:v>
      </x:c>
      <x:c r="AN876" s="12" t="str">
        <x:f>IF(AC876="deprecated","exclude",IF(AND(AG876="yes",AJ876="high"),"import_but_human_review_required",IF(AG876="yes","import_as_active","import_as_backlog")))</x:f>
        <x:v>import_as_backlog</x:v>
      </x:c>
      <x:c r="AO876" s="12" t="str">
        <x:f>IF(AND(AG876="yes",OR(P876="",Q876="",R876="",S876="")),"missing_required_mvp_fields",IF(AND(AC876="canonical",Y876=""),"missing_source_ref","ok"))</x:f>
        <x:v>ok</x:v>
      </x:c>
      <x:c r="AP876" s="12" t="str">
        <x:f>IF(AO876="ok","ready_for_codex_import","needs_review")</x:f>
        <x:v>ready_for_codex_import</x:v>
      </x:c>
      <x:c r="AQ876" s="12"/>
      <x:c r="AR876" s="12" t="str">
        <x:v>Added v2 operational fields. Review before classification activation.</x:v>
      </x:c>
    </x:row>
    <x:row r="877">
      <x:c r="A877" s="13" t="str">
        <x:v>unqualified_universal_claim_certainty_language_variant</x:v>
      </x:c>
      <x:c r="B877" s="13" t="str">
        <x:v>unqualified_universal_claim</x:v>
      </x:c>
      <x:c r="C877" s="13" t="str">
        <x:v>Unqualified universal claim</x:v>
      </x:c>
      <x:c r="D877" s="13" t="str">
        <x:v>ادعای کلی بدون قید</x:v>
      </x:c>
      <x:c r="E877" s="13" t="str">
        <x:v>Certainty-language variant</x:v>
      </x:c>
      <x:c r="F877" s="13" t="str">
        <x:v>uncertainty_calibration_failures</x:v>
      </x:c>
      <x:c r="G877" s="13" t="str">
        <x:v>operational_variant</x:v>
      </x:c>
      <x:c r="H877" s="13" t="str">
        <x:v>lexical</x:v>
      </x:c>
      <x:c r="I877" s="13" t="str">
        <x:v>claim</x:v>
      </x:c>
      <x:c r="J877" s="13" t="str">
        <x:v>derived_operational_subtype</x:v>
      </x:c>
      <x:c r="K877" s="13" t="str">
        <x:v>derived_from_established_parent_review_required</x:v>
      </x:c>
      <x:c r="L877" s="13" t="str">
        <x:v>P2</x:v>
      </x:c>
      <x:c r="M877" s="13" t="str">
        <x:v>no</x:v>
      </x:c>
      <x:c r="N877" s="13" t="str">
        <x:v>Operational subtype under Unqualified universal claim: absolute language overstates evidence. Parent definition: Using always, never, all, or none without support.</x:v>
      </x:c>
      <x:c r="O877" s="13" t="str">
        <x:v>Look for: explicit claim-level evidence; parent-family cues for Unqualified universal claim; variant cue: absolute language overstates evidence; avoid author-level inference.</x:v>
      </x:c>
      <x:c r="P877" s="13" t="str">
        <x:v>Exact evidence span in text plus claim-level reasoning link; for contextual/discourse entries, require surrounding context.</x:v>
      </x:c>
      <x:c r="Q877" s="13" t="str">
        <x:v>Do not label merely because topic is controversial, emotional, or wrong. Do not judge intent or personality. Require textual evidence and consider healthy-reasoning cues.</x:v>
      </x:c>
      <x:c r="R877" s="13" t="str">
        <x:v>Stub: A claim relies on absolute language overstates evidence to support a conclusion without adequate qualification.</x:v>
      </x:c>
      <x:c r="S877" s="13" t="str">
        <x:v>Stub: A claim discusses unqualified universal claim with caveats, balanced evidence, or no argumentative use of the pattern.</x:v>
      </x:c>
      <x:c r="T877" s="13" t="str">
        <x:v>Mild or ambiguous cue; do not classify without clear evidence span.</x:v>
      </x:c>
      <x:c r="U877" s="13" t="str">
        <x:v>Clear claim-level pattern with some argumentative impact.</x:v>
      </x:c>
      <x:c r="V877" s="13" t="str">
        <x:v>Strong pattern central to the conclusion and likely to materially distort reasoning.</x:v>
      </x:c>
      <x:c r="W877" s="13" t="str">
        <x:v>uncertainty_acknowledgement; confidence_calibration; scope_limitation</x:v>
      </x:c>
      <x:c r="X877" s="13" t="str">
        <x:v>sep_informal_logic</x:v>
      </x:c>
      <x:c r="Y877" s="13" t="str">
        <x:v>https://plato.stanford.edu/entries/logic-informal/</x:v>
      </x:c>
      <x:c r="Z877" s="13" t="str">
        <x:v>Review before enabling. This workbook is a living taxonomy scaffold, not a validated scientific benchmark.</x:v>
      </x:c>
      <x:c r="AA877" s="13" t="str">
        <x:v>0.1.0-draft</x:v>
      </x:c>
      <x:c r="AB877" s="12" t="str">
        <x:f>IF(ISNUMBER(SEARCH("healthy",F877)),"healthy_reasoning_patterns",IF(ISNUMBER(SEARCH("statistical",F877)),"statistical_reasoning",IF(ISNUMBER(SEARCH("causal",F877)),"causal_reasoning",IF(ISNUMBER(SEARCH("social",F877)),"social_influence",IF(ISNUMBER(SEARCH("rhetoric",F877)),"rhetoric_discourse",IF(ISNUMBER(SEARCH("behavior",F877)),"behavioural_economics",IF(ISNUMBER(SEARCH("cognitive",F877)),"cognitive_biases",IF(J877="protective_pattern","healthy_reasoning_patterns",IF(L877="P0","core_mvp","extended_fallacies")))))))))</x:f>
        <x:v>extended_fallacies</x:v>
      </x:c>
      <x:c r="AC877" s="12" t="str">
        <x:f>IF(ISNUMBER(SEARCH("operational",J877)),"operational",IF(ISNUMBER(SEARCH("deprecated",J877)),"deprecated",IF(L877="P0","canonical","recognized_subtype")))</x:f>
        <x:v>operational</x:v>
      </x:c>
      <x:c r="AD877" s="12" t="str">
        <x:f>IF(AC877="canonical","high",IF(AC877="recognized_subtype","medium",IF(AC877="operational","operational_only","debated")))</x:f>
        <x:v>operational_only</x:v>
      </x:c>
      <x:c r="AE877" s="12" t="str">
        <x:f>IF(AC877="deprecated","deprecated",IF(M877="yes","active",IF(M877="review","review_required","backlog")))</x:f>
        <x:v>backlog</x:v>
      </x:c>
      <x:c r="AF877" s="12" t="str">
        <x:f>IF(OR(AE877="active",AE877="review_required"),"yes","no")</x:f>
        <x:v>no</x:v>
      </x:c>
      <x:c r="AG877" s="12" t="str">
        <x:f>IF(AND(AE877="active",M877="yes",NOT(ISNUMBER(SEARCH("healthy",AB877)))),"yes","no")</x:f>
        <x:v>no</x:v>
      </x:c>
      <x:c r="AH877" s="12" t="str">
        <x:f>IF(OR(H877="contextual",H877="dialogue",H877="discourse",I877="claim+context",I877="discourse_segment"),"yes","no")</x:f>
        <x:v>no</x:v>
      </x:c>
      <x:c r="AI877" s="12" t="str">
        <x:f>IF(OR(AH877="yes",AD877="debated",AC877="operational"),"yes","no")</x:f>
        <x:v>yes</x:v>
      </x:c>
      <x:c r="AJ877" s="12" t="str">
        <x:f>IF(OR(AH877="yes",AC877="operational",AD877="debated"),"high",IF(AND(AG877="yes",L877="P0"),"medium","low"))</x:f>
        <x:v>high</x:v>
      </x:c>
      <x:c r="AK877" s="12" t="str">
        <x:f>IF(ISNUMBER(SEARCH("healthy",AB877)),"yes","no")</x:f>
        <x:v>no</x:v>
      </x:c>
      <x:c r="AL877" s="12" t="str">
        <x:f>IF(AG877="yes","yes","candidate_only")</x:f>
        <x:v>candidate_only</x:v>
      </x:c>
      <x:c r="AM877" s="12" t="str">
        <x:f>IF(OR(AC877="canonical",AG877="yes"),"yes","recommended")</x:f>
        <x:v>recommended</x:v>
      </x:c>
      <x:c r="AN877" s="12" t="str">
        <x:f>IF(AC877="deprecated","exclude",IF(AND(AG877="yes",AJ877="high"),"import_but_human_review_required",IF(AG877="yes","import_as_active","import_as_backlog")))</x:f>
        <x:v>import_as_backlog</x:v>
      </x:c>
      <x:c r="AO877" s="12" t="str">
        <x:f>IF(AND(AG877="yes",OR(P877="",Q877="",R877="",S877="")),"missing_required_mvp_fields",IF(AND(AC877="canonical",Y877=""),"missing_source_ref","ok"))</x:f>
        <x:v>ok</x:v>
      </x:c>
      <x:c r="AP877" s="12" t="str">
        <x:f>IF(AO877="ok","ready_for_codex_import","needs_review")</x:f>
        <x:v>ready_for_codex_import</x:v>
      </x:c>
      <x:c r="AQ877" s="12"/>
      <x:c r="AR877" s="12" t="str">
        <x:v>Added v2 operational fields. Review before classification activation.</x:v>
      </x:c>
    </x:row>
    <x:row r="878">
      <x:c r="A878" s="13" t="str">
        <x:v>assumption_silence_certainty_language_variant</x:v>
      </x:c>
      <x:c r="B878" s="13" t="str">
        <x:v>assumption_silence</x:v>
      </x:c>
      <x:c r="C878" s="13" t="str">
        <x:v>Silent assumptions</x:v>
      </x:c>
      <x:c r="D878" s="13" t="str">
        <x:v>فرض‌های ناگفته</x:v>
      </x:c>
      <x:c r="E878" s="13" t="str">
        <x:v>Certainty-language variant</x:v>
      </x:c>
      <x:c r="F878" s="13" t="str">
        <x:v>uncertainty_calibration_failures</x:v>
      </x:c>
      <x:c r="G878" s="13" t="str">
        <x:v>operational_variant</x:v>
      </x:c>
      <x:c r="H878" s="13" t="str">
        <x:v>contextual</x:v>
      </x:c>
      <x:c r="I878" s="13" t="str">
        <x:v>claim+context</x:v>
      </x:c>
      <x:c r="J878" s="13" t="str">
        <x:v>derived_operational_subtype</x:v>
      </x:c>
      <x:c r="K878" s="13" t="str">
        <x:v>derived_from_established_parent_review_required</x:v>
      </x:c>
      <x:c r="L878" s="13" t="str">
        <x:v>P2</x:v>
      </x:c>
      <x:c r="M878" s="13" t="str">
        <x:v>no</x:v>
      </x:c>
      <x:c r="N878" s="13" t="str">
        <x:v>Operational subtype under Silent assumptions: absolute language overstates evidence. Parent definition: Relying on unstated assumptions necessary for the conclusion.</x:v>
      </x:c>
      <x:c r="O878" s="13" t="str">
        <x:v>Look for: explicit claim-level evidence; parent-family cues for Silent assumptions; variant cue: absolute language overstates evidence; avoid author-level inference.</x:v>
      </x:c>
      <x:c r="P878" s="13" t="str">
        <x:v>Exact evidence span in text plus claim-level reasoning link; for contextual/discourse entries, require surrounding context.</x:v>
      </x:c>
      <x:c r="Q878" s="13" t="str">
        <x:v>Do not label merely because topic is controversial, emotional, or wrong. Do not judge intent or personality. Require textual evidence and consider healthy-reasoning cues.</x:v>
      </x:c>
      <x:c r="R878" s="13" t="str">
        <x:v>Stub: A claim relies on absolute language overstates evidence to support a conclusion without adequate qualification.</x:v>
      </x:c>
      <x:c r="S878" s="13" t="str">
        <x:v>Stub: A claim discusses silent assumptions with caveats, balanced evidence, or no argumentative use of the pattern.</x:v>
      </x:c>
      <x:c r="T878" s="13" t="str">
        <x:v>Mild or ambiguous cue; do not classify without clear evidence span.</x:v>
      </x:c>
      <x:c r="U878" s="13" t="str">
        <x:v>Clear claim-level pattern with some argumentative impact.</x:v>
      </x:c>
      <x:c r="V878" s="13" t="str">
        <x:v>Strong pattern central to the conclusion and likely to materially distort reasoning.</x:v>
      </x:c>
      <x:c r="W878" s="13" t="str">
        <x:v>uncertainty_acknowledgement; confidence_calibration; scope_limitation</x:v>
      </x:c>
      <x:c r="X878" s="13" t="str">
        <x:v>toulmin_uses_argument</x:v>
      </x:c>
      <x:c r="Y878" s="13" t="str">
        <x:v>https://doi.org/10.1017/CBO9780511840005</x:v>
      </x:c>
      <x:c r="Z878" s="13" t="str">
        <x:v>Review before enabling. This workbook is a living taxonomy scaffold, not a validated scientific benchmark.</x:v>
      </x:c>
      <x:c r="AA878" s="13" t="str">
        <x:v>0.1.0-draft</x:v>
      </x:c>
      <x:c r="AB878" s="12" t="str">
        <x:f>IF(ISNUMBER(SEARCH("healthy",F878)),"healthy_reasoning_patterns",IF(ISNUMBER(SEARCH("statistical",F878)),"statistical_reasoning",IF(ISNUMBER(SEARCH("causal",F878)),"causal_reasoning",IF(ISNUMBER(SEARCH("social",F878)),"social_influence",IF(ISNUMBER(SEARCH("rhetoric",F878)),"rhetoric_discourse",IF(ISNUMBER(SEARCH("behavior",F878)),"behavioural_economics",IF(ISNUMBER(SEARCH("cognitive",F878)),"cognitive_biases",IF(J878="protective_pattern","healthy_reasoning_patterns",IF(L878="P0","core_mvp","extended_fallacies")))))))))</x:f>
        <x:v>extended_fallacies</x:v>
      </x:c>
      <x:c r="AC878" s="12" t="str">
        <x:f>IF(ISNUMBER(SEARCH("operational",J878)),"operational",IF(ISNUMBER(SEARCH("deprecated",J878)),"deprecated",IF(L878="P0","canonical","recognized_subtype")))</x:f>
        <x:v>operational</x:v>
      </x:c>
      <x:c r="AD878" s="12" t="str">
        <x:f>IF(AC878="canonical","high",IF(AC878="recognized_subtype","medium",IF(AC878="operational","operational_only","debated")))</x:f>
        <x:v>operational_only</x:v>
      </x:c>
      <x:c r="AE878" s="12" t="str">
        <x:f>IF(AC878="deprecated","deprecated",IF(M878="yes","active",IF(M878="review","review_required","backlog")))</x:f>
        <x:v>backlog</x:v>
      </x:c>
      <x:c r="AF878" s="12" t="str">
        <x:f>IF(OR(AE878="active",AE878="review_required"),"yes","no")</x:f>
        <x:v>no</x:v>
      </x:c>
      <x:c r="AG878" s="12" t="str">
        <x:f>IF(AND(AE878="active",M878="yes",NOT(ISNUMBER(SEARCH("healthy",AB878)))),"yes","no")</x:f>
        <x:v>no</x:v>
      </x:c>
      <x:c r="AH878" s="12" t="str">
        <x:f>IF(OR(H878="contextual",H878="dialogue",H878="discourse",I878="claim+context",I878="discourse_segment"),"yes","no")</x:f>
        <x:v>yes</x:v>
      </x:c>
      <x:c r="AI878" s="12" t="str">
        <x:f>IF(OR(AH878="yes",AD878="debated",AC878="operational"),"yes","no")</x:f>
        <x:v>yes</x:v>
      </x:c>
      <x:c r="AJ878" s="12" t="str">
        <x:f>IF(OR(AH878="yes",AC878="operational",AD878="debated"),"high",IF(AND(AG878="yes",L878="P0"),"medium","low"))</x:f>
        <x:v>high</x:v>
      </x:c>
      <x:c r="AK878" s="12" t="str">
        <x:f>IF(ISNUMBER(SEARCH("healthy",AB878)),"yes","no")</x:f>
        <x:v>no</x:v>
      </x:c>
      <x:c r="AL878" s="12" t="str">
        <x:f>IF(AG878="yes","yes","candidate_only")</x:f>
        <x:v>candidate_only</x:v>
      </x:c>
      <x:c r="AM878" s="12" t="str">
        <x:f>IF(OR(AC878="canonical",AG878="yes"),"yes","recommended")</x:f>
        <x:v>recommended</x:v>
      </x:c>
      <x:c r="AN878" s="12" t="str">
        <x:f>IF(AC878="deprecated","exclude",IF(AND(AG878="yes",AJ878="high"),"import_but_human_review_required",IF(AG878="yes","import_as_active","import_as_backlog")))</x:f>
        <x:v>import_as_backlog</x:v>
      </x:c>
      <x:c r="AO878" s="12" t="str">
        <x:f>IF(AND(AG878="yes",OR(P878="",Q878="",R878="",S878="")),"missing_required_mvp_fields",IF(AND(AC878="canonical",Y878=""),"missing_source_ref","ok"))</x:f>
        <x:v>ok</x:v>
      </x:c>
      <x:c r="AP878" s="12" t="str">
        <x:f>IF(AO878="ok","ready_for_codex_import","needs_review")</x:f>
        <x:v>ready_for_codex_import</x:v>
      </x:c>
      <x:c r="AQ878" s="12"/>
      <x:c r="AR878" s="12" t="str">
        <x:v>Added v2 operational fields. Review before classification activation.</x:v>
      </x:c>
    </x:row>
    <x:row r="879">
      <x:c r="A879" s="13" t="str">
        <x:v>evidence_threshold_undefined_certainty_language_variant</x:v>
      </x:c>
      <x:c r="B879" s="13" t="str">
        <x:v>evidence_threshold_undefined</x:v>
      </x:c>
      <x:c r="C879" s="13" t="str">
        <x:v>Undefined evidence threshold</x:v>
      </x:c>
      <x:c r="D879" s="13" t="str">
        <x:v>آستانه شواهد نامشخص</x:v>
      </x:c>
      <x:c r="E879" s="13" t="str">
        <x:v>Certainty-language variant</x:v>
      </x:c>
      <x:c r="F879" s="13" t="str">
        <x:v>uncertainty_calibration_failures</x:v>
      </x:c>
      <x:c r="G879" s="13" t="str">
        <x:v>operational_variant</x:v>
      </x:c>
      <x:c r="H879" s="13" t="str">
        <x:v>dialogue</x:v>
      </x:c>
      <x:c r="I879" s="13" t="str">
        <x:v>discourse_segment</x:v>
      </x:c>
      <x:c r="J879" s="13" t="str">
        <x:v>derived_operational_subtype</x:v>
      </x:c>
      <x:c r="K879" s="13" t="str">
        <x:v>derived_from_established_parent_review_required</x:v>
      </x:c>
      <x:c r="L879" s="13" t="str">
        <x:v>P2</x:v>
      </x:c>
      <x:c r="M879" s="13" t="str">
        <x:v>no</x:v>
      </x:c>
      <x:c r="N879" s="13" t="str">
        <x:v>Operational subtype under Undefined evidence threshold: absolute language overstates evidence. Parent definition: Not specifying what evidence would support or change the claim.</x:v>
      </x:c>
      <x:c r="O879" s="13" t="str">
        <x:v>Look for: explicit claim-level evidence; parent-family cues for Undefined evidence threshold; variant cue: absolute language overstates evidence; avoid author-level inference.</x:v>
      </x:c>
      <x:c r="P879" s="13" t="str">
        <x:v>Exact evidence span in text plus claim-level reasoning link; for contextual/discourse entries, require surrounding context.</x:v>
      </x:c>
      <x:c r="Q879" s="13" t="str">
        <x:v>Do not label merely because topic is controversial, emotional, or wrong. Do not judge intent or personality. Require textual evidence and consider healthy-reasoning cues.</x:v>
      </x:c>
      <x:c r="R879" s="13" t="str">
        <x:v>Stub: A claim relies on absolute language overstates evidence to support a conclusion without adequate qualification.</x:v>
      </x:c>
      <x:c r="S879" s="13" t="str">
        <x:v>Stub: A claim discusses undefined evidence threshold with caveats, balanced evidence, or no argumentative use of the pattern.</x:v>
      </x:c>
      <x:c r="T879" s="13" t="str">
        <x:v>Mild or ambiguous cue; do not classify without clear evidence span.</x:v>
      </x:c>
      <x:c r="U879" s="13" t="str">
        <x:v>Clear claim-level pattern with some argumentative impact.</x:v>
      </x:c>
      <x:c r="V879" s="13" t="str">
        <x:v>Strong pattern central to the conclusion and likely to materially distort reasoning.</x:v>
      </x:c>
      <x:c r="W879" s="13" t="str">
        <x:v>cherry_picking; missing_counterevidence; evidence_grading</x:v>
      </x:c>
      <x:c r="X879" s="13" t="str">
        <x:v>pragmadialectics</x:v>
      </x:c>
      <x:c r="Y879" s="13" t="str">
        <x:v>https://doi.org/10.1017/CBO9780511616389</x:v>
      </x:c>
      <x:c r="Z879" s="13" t="str">
        <x:v>Review before enabling. This workbook is a living taxonomy scaffold, not a validated scientific benchmark.</x:v>
      </x:c>
      <x:c r="AA879" s="13" t="str">
        <x:v>0.1.0-draft</x:v>
      </x:c>
      <x:c r="AB879" s="12" t="str">
        <x:f>IF(ISNUMBER(SEARCH("healthy",F879)),"healthy_reasoning_patterns",IF(ISNUMBER(SEARCH("statistical",F879)),"statistical_reasoning",IF(ISNUMBER(SEARCH("causal",F879)),"causal_reasoning",IF(ISNUMBER(SEARCH("social",F879)),"social_influence",IF(ISNUMBER(SEARCH("rhetoric",F879)),"rhetoric_discourse",IF(ISNUMBER(SEARCH("behavior",F879)),"behavioural_economics",IF(ISNUMBER(SEARCH("cognitive",F879)),"cognitive_biases",IF(J879="protective_pattern","healthy_reasoning_patterns",IF(L879="P0","core_mvp","extended_fallacies")))))))))</x:f>
        <x:v>extended_fallacies</x:v>
      </x:c>
      <x:c r="AC879" s="12" t="str">
        <x:f>IF(ISNUMBER(SEARCH("operational",J879)),"operational",IF(ISNUMBER(SEARCH("deprecated",J879)),"deprecated",IF(L879="P0","canonical","recognized_subtype")))</x:f>
        <x:v>operational</x:v>
      </x:c>
      <x:c r="AD879" s="12" t="str">
        <x:f>IF(AC879="canonical","high",IF(AC879="recognized_subtype","medium",IF(AC879="operational","operational_only","debated")))</x:f>
        <x:v>operational_only</x:v>
      </x:c>
      <x:c r="AE879" s="12" t="str">
        <x:f>IF(AC879="deprecated","deprecated",IF(M879="yes","active",IF(M879="review","review_required","backlog")))</x:f>
        <x:v>backlog</x:v>
      </x:c>
      <x:c r="AF879" s="12" t="str">
        <x:f>IF(OR(AE879="active",AE879="review_required"),"yes","no")</x:f>
        <x:v>no</x:v>
      </x:c>
      <x:c r="AG879" s="12" t="str">
        <x:f>IF(AND(AE879="active",M879="yes",NOT(ISNUMBER(SEARCH("healthy",AB879)))),"yes","no")</x:f>
        <x:v>no</x:v>
      </x:c>
      <x:c r="AH879" s="12" t="str">
        <x:f>IF(OR(H879="contextual",H879="dialogue",H879="discourse",I879="claim+context",I879="discourse_segment"),"yes","no")</x:f>
        <x:v>yes</x:v>
      </x:c>
      <x:c r="AI879" s="12" t="str">
        <x:f>IF(OR(AH879="yes",AD879="debated",AC879="operational"),"yes","no")</x:f>
        <x:v>yes</x:v>
      </x:c>
      <x:c r="AJ879" s="12" t="str">
        <x:f>IF(OR(AH879="yes",AC879="operational",AD879="debated"),"high",IF(AND(AG879="yes",L879="P0"),"medium","low"))</x:f>
        <x:v>high</x:v>
      </x:c>
      <x:c r="AK879" s="12" t="str">
        <x:f>IF(ISNUMBER(SEARCH("healthy",AB879)),"yes","no")</x:f>
        <x:v>no</x:v>
      </x:c>
      <x:c r="AL879" s="12" t="str">
        <x:f>IF(AG879="yes","yes","candidate_only")</x:f>
        <x:v>candidate_only</x:v>
      </x:c>
      <x:c r="AM879" s="12" t="str">
        <x:f>IF(OR(AC879="canonical",AG879="yes"),"yes","recommended")</x:f>
        <x:v>recommended</x:v>
      </x:c>
      <x:c r="AN879" s="12" t="str">
        <x:f>IF(AC879="deprecated","exclude",IF(AND(AG879="yes",AJ879="high"),"import_but_human_review_required",IF(AG879="yes","import_as_active","import_as_backlog")))</x:f>
        <x:v>import_as_backlog</x:v>
      </x:c>
      <x:c r="AO879" s="12" t="str">
        <x:f>IF(AND(AG879="yes",OR(P879="",Q879="",R879="",S879="")),"missing_required_mvp_fields",IF(AND(AC879="canonical",Y879=""),"missing_source_ref","ok"))</x:f>
        <x:v>ok</x:v>
      </x:c>
      <x:c r="AP879" s="12" t="str">
        <x:f>IF(AO879="ok","ready_for_codex_import","needs_review")</x:f>
        <x:v>ready_for_codex_import</x:v>
      </x:c>
      <x:c r="AQ879" s="12"/>
      <x:c r="AR879" s="12" t="str">
        <x:v>Added v2 operational fields. Review before classification activation.</x:v>
      </x:c>
    </x:row>
    <x:row r="880">
      <x:c r="A880" s="13" t="str">
        <x:v>prediction_observation_conflation_certainty_language_variant</x:v>
      </x:c>
      <x:c r="B880" s="13" t="str">
        <x:v>prediction_observation_conflation</x:v>
      </x:c>
      <x:c r="C880" s="13" t="str">
        <x:v>Prediction-observation conflation</x:v>
      </x:c>
      <x:c r="D880" s="13" t="str">
        <x:v>اختلاط پیش‌بینی و مشاهده</x:v>
      </x:c>
      <x:c r="E880" s="13" t="str">
        <x:v>Certainty-language variant</x:v>
      </x:c>
      <x:c r="F880" s="13" t="str">
        <x:v>uncertainty_calibration_failures</x:v>
      </x:c>
      <x:c r="G880" s="13" t="str">
        <x:v>operational_variant</x:v>
      </x:c>
      <x:c r="H880" s="13" t="str">
        <x:v>lexical</x:v>
      </x:c>
      <x:c r="I880" s="13" t="str">
        <x:v>claim</x:v>
      </x:c>
      <x:c r="J880" s="13" t="str">
        <x:v>derived_operational_subtype</x:v>
      </x:c>
      <x:c r="K880" s="13" t="str">
        <x:v>derived_from_established_parent_review_required</x:v>
      </x:c>
      <x:c r="L880" s="13" t="str">
        <x:v>P2</x:v>
      </x:c>
      <x:c r="M880" s="13" t="str">
        <x:v>no</x:v>
      </x:c>
      <x:c r="N880" s="13" t="str">
        <x:v>Operational subtype under Prediction-observation conflation: absolute language overstates evidence. Parent definition: Treating forecasts as observed facts.</x:v>
      </x:c>
      <x:c r="O880" s="13" t="str">
        <x:v>Look for: explicit claim-level evidence; parent-family cues for Prediction-observation conflation; variant cue: absolute language overstates evidence; avoid author-level inference.</x:v>
      </x:c>
      <x:c r="P880" s="13" t="str">
        <x:v>Exact evidence span in text plus claim-level reasoning link; for contextual/discourse entries, require surrounding context.</x:v>
      </x:c>
      <x:c r="Q880" s="13" t="str">
        <x:v>Do not label merely because topic is controversial, emotional, or wrong. Do not judge intent or personality. Require textual evidence and consider healthy-reasoning cues.</x:v>
      </x:c>
      <x:c r="R880" s="13" t="str">
        <x:v>Stub: A claim relies on absolute language overstates evidence to support a conclusion without adequate qualification.</x:v>
      </x:c>
      <x:c r="S880" s="13" t="str">
        <x:v>Stub: A claim discusses prediction-observation conflation with caveats, balanced evidence, or no argumentative use of the pattern.</x:v>
      </x:c>
      <x:c r="T880" s="13" t="str">
        <x:v>Mild or ambiguous cue; do not classify without clear evidence span.</x:v>
      </x:c>
      <x:c r="U880" s="13" t="str">
        <x:v>Clear claim-level pattern with some argumentative impact.</x:v>
      </x:c>
      <x:c r="V880" s="13" t="str">
        <x:v>Strong pattern central to the conclusion and likely to materially distort reasoning.</x:v>
      </x:c>
      <x:c r="W880" s="13" t="str">
        <x:v>uncertainty_acknowledgement; confidence_calibration; scope_limitation</x:v>
      </x:c>
      <x:c r="X880" s="13" t="str">
        <x:v>stanovich_dual_process</x:v>
      </x:c>
      <x:c r="Y880" s="13" t="str">
        <x:v>https://global.oup.com/academic/product/rationality-and-the-reflective-mind-9780195341140</x:v>
      </x:c>
      <x:c r="Z880" s="13" t="str">
        <x:v>Review before enabling. This workbook is a living taxonomy scaffold, not a validated scientific benchmark.</x:v>
      </x:c>
      <x:c r="AA880" s="13" t="str">
        <x:v>0.1.0-draft</x:v>
      </x:c>
      <x:c r="AB880" s="12" t="str">
        <x:f>IF(ISNUMBER(SEARCH("healthy",F880)),"healthy_reasoning_patterns",IF(ISNUMBER(SEARCH("statistical",F880)),"statistical_reasoning",IF(ISNUMBER(SEARCH("causal",F880)),"causal_reasoning",IF(ISNUMBER(SEARCH("social",F880)),"social_influence",IF(ISNUMBER(SEARCH("rhetoric",F880)),"rhetoric_discourse",IF(ISNUMBER(SEARCH("behavior",F880)),"behavioural_economics",IF(ISNUMBER(SEARCH("cognitive",F880)),"cognitive_biases",IF(J880="protective_pattern","healthy_reasoning_patterns",IF(L880="P0","core_mvp","extended_fallacies")))))))))</x:f>
        <x:v>extended_fallacies</x:v>
      </x:c>
      <x:c r="AC880" s="12" t="str">
        <x:f>IF(ISNUMBER(SEARCH("operational",J880)),"operational",IF(ISNUMBER(SEARCH("deprecated",J880)),"deprecated",IF(L880="P0","canonical","recognized_subtype")))</x:f>
        <x:v>operational</x:v>
      </x:c>
      <x:c r="AD880" s="12" t="str">
        <x:f>IF(AC880="canonical","high",IF(AC880="recognized_subtype","medium",IF(AC880="operational","operational_only","debated")))</x:f>
        <x:v>operational_only</x:v>
      </x:c>
      <x:c r="AE880" s="12" t="str">
        <x:f>IF(AC880="deprecated","deprecated",IF(M880="yes","active",IF(M880="review","review_required","backlog")))</x:f>
        <x:v>backlog</x:v>
      </x:c>
      <x:c r="AF880" s="12" t="str">
        <x:f>IF(OR(AE880="active",AE880="review_required"),"yes","no")</x:f>
        <x:v>no</x:v>
      </x:c>
      <x:c r="AG880" s="12" t="str">
        <x:f>IF(AND(AE880="active",M880="yes",NOT(ISNUMBER(SEARCH("healthy",AB880)))),"yes","no")</x:f>
        <x:v>no</x:v>
      </x:c>
      <x:c r="AH880" s="12" t="str">
        <x:f>IF(OR(H880="contextual",H880="dialogue",H880="discourse",I880="claim+context",I880="discourse_segment"),"yes","no")</x:f>
        <x:v>no</x:v>
      </x:c>
      <x:c r="AI880" s="12" t="str">
        <x:f>IF(OR(AH880="yes",AD880="debated",AC880="operational"),"yes","no")</x:f>
        <x:v>yes</x:v>
      </x:c>
      <x:c r="AJ880" s="12" t="str">
        <x:f>IF(OR(AH880="yes",AC880="operational",AD880="debated"),"high",IF(AND(AG880="yes",L880="P0"),"medium","low"))</x:f>
        <x:v>high</x:v>
      </x:c>
      <x:c r="AK880" s="12" t="str">
        <x:f>IF(ISNUMBER(SEARCH("healthy",AB880)),"yes","no")</x:f>
        <x:v>no</x:v>
      </x:c>
      <x:c r="AL880" s="12" t="str">
        <x:f>IF(AG880="yes","yes","candidate_only")</x:f>
        <x:v>candidate_only</x:v>
      </x:c>
      <x:c r="AM880" s="12" t="str">
        <x:f>IF(OR(AC880="canonical",AG880="yes"),"yes","recommended")</x:f>
        <x:v>recommended</x:v>
      </x:c>
      <x:c r="AN880" s="12" t="str">
        <x:f>IF(AC880="deprecated","exclude",IF(AND(AG880="yes",AJ880="high"),"import_but_human_review_required",IF(AG880="yes","import_as_active","import_as_backlog")))</x:f>
        <x:v>import_as_backlog</x:v>
      </x:c>
      <x:c r="AO880" s="12" t="str">
        <x:f>IF(AND(AG880="yes",OR(P880="",Q880="",R880="",S880="")),"missing_required_mvp_fields",IF(AND(AC880="canonical",Y880=""),"missing_source_ref","ok"))</x:f>
        <x:v>ok</x:v>
      </x:c>
      <x:c r="AP880" s="12" t="str">
        <x:f>IF(AO880="ok","ready_for_codex_import","needs_review")</x:f>
        <x:v>ready_for_codex_import</x:v>
      </x:c>
      <x:c r="AQ880" s="12"/>
      <x:c r="AR880" s="12" t="str">
        <x:v>Added v2 operational fields. Review before classification activation.</x:v>
      </x:c>
    </x:row>
    <x:row r="881">
      <x:c r="A881" s="13" t="str">
        <x:v>possibility_probability_conflation_certainty_language_variant</x:v>
      </x:c>
      <x:c r="B881" s="13" t="str">
        <x:v>possibility_probability_conflation</x:v>
      </x:c>
      <x:c r="C881" s="13" t="str">
        <x:v>Possibility-probability conflation</x:v>
      </x:c>
      <x:c r="D881" s="13" t="str">
        <x:v>اختلاط امکان و احتمال</x:v>
      </x:c>
      <x:c r="E881" s="13" t="str">
        <x:v>Certainty-language variant</x:v>
      </x:c>
      <x:c r="F881" s="13" t="str">
        <x:v>uncertainty_calibration_failures</x:v>
      </x:c>
      <x:c r="G881" s="13" t="str">
        <x:v>operational_variant</x:v>
      </x:c>
      <x:c r="H881" s="13" t="str">
        <x:v>lexical</x:v>
      </x:c>
      <x:c r="I881" s="13" t="str">
        <x:v>claim</x:v>
      </x:c>
      <x:c r="J881" s="13" t="str">
        <x:v>derived_operational_subtype</x:v>
      </x:c>
      <x:c r="K881" s="13" t="str">
        <x:v>derived_from_established_parent_review_required</x:v>
      </x:c>
      <x:c r="L881" s="13" t="str">
        <x:v>P2</x:v>
      </x:c>
      <x:c r="M881" s="13" t="str">
        <x:v>no</x:v>
      </x:c>
      <x:c r="N881" s="13" t="str">
        <x:v>Operational subtype under Possibility-probability conflation: absolute language overstates evidence. Parent definition: Treating what could happen as if it is likely.</x:v>
      </x:c>
      <x:c r="O881" s="13" t="str">
        <x:v>Look for: explicit claim-level evidence; parent-family cues for Possibility-probability conflation; variant cue: absolute language overstates evidence; avoid author-level inference.</x:v>
      </x:c>
      <x:c r="P881" s="13" t="str">
        <x:v>Exact evidence span in text plus claim-level reasoning link; for contextual/discourse entries, require surrounding context.</x:v>
      </x:c>
      <x:c r="Q881" s="13" t="str">
        <x:v>Do not label merely because topic is controversial, emotional, or wrong. Do not judge intent or personality. Require textual evidence and consider healthy-reasoning cues.</x:v>
      </x:c>
      <x:c r="R881" s="13" t="str">
        <x:v>Stub: A claim relies on absolute language overstates evidence to support a conclusion without adequate qualification.</x:v>
      </x:c>
      <x:c r="S881" s="13" t="str">
        <x:v>Stub: A claim discusses possibility-probability conflation with caveats, balanced evidence, or no argumentative use of the pattern.</x:v>
      </x:c>
      <x:c r="T881" s="13" t="str">
        <x:v>Mild or ambiguous cue; do not classify without clear evidence span.</x:v>
      </x:c>
      <x:c r="U881" s="13" t="str">
        <x:v>Clear claim-level pattern with some argumentative impact.</x:v>
      </x:c>
      <x:c r="V881" s="13" t="str">
        <x:v>Strong pattern central to the conclusion and likely to materially distort reasoning.</x:v>
      </x:c>
      <x:c r="W881" s="13" t="str">
        <x:v>uncertainty_acknowledgement; confidence_calibration; scope_limitation</x:v>
      </x:c>
      <x:c r="X881" s="13" t="str">
        <x:v>stanovich_dual_process</x:v>
      </x:c>
      <x:c r="Y881" s="13" t="str">
        <x:v>https://global.oup.com/academic/product/rationality-and-the-reflective-mind-9780195341140</x:v>
      </x:c>
      <x:c r="Z881" s="13" t="str">
        <x:v>Review before enabling. This workbook is a living taxonomy scaffold, not a validated scientific benchmark.</x:v>
      </x:c>
      <x:c r="AA881" s="13" t="str">
        <x:v>0.1.0-draft</x:v>
      </x:c>
      <x:c r="AB881" s="12" t="str">
        <x:f>IF(ISNUMBER(SEARCH("healthy",F881)),"healthy_reasoning_patterns",IF(ISNUMBER(SEARCH("statistical",F881)),"statistical_reasoning",IF(ISNUMBER(SEARCH("causal",F881)),"causal_reasoning",IF(ISNUMBER(SEARCH("social",F881)),"social_influence",IF(ISNUMBER(SEARCH("rhetoric",F881)),"rhetoric_discourse",IF(ISNUMBER(SEARCH("behavior",F881)),"behavioural_economics",IF(ISNUMBER(SEARCH("cognitive",F881)),"cognitive_biases",IF(J881="protective_pattern","healthy_reasoning_patterns",IF(L881="P0","core_mvp","extended_fallacies")))))))))</x:f>
        <x:v>extended_fallacies</x:v>
      </x:c>
      <x:c r="AC881" s="12" t="str">
        <x:f>IF(ISNUMBER(SEARCH("operational",J881)),"operational",IF(ISNUMBER(SEARCH("deprecated",J881)),"deprecated",IF(L881="P0","canonical","recognized_subtype")))</x:f>
        <x:v>operational</x:v>
      </x:c>
      <x:c r="AD881" s="12" t="str">
        <x:f>IF(AC881="canonical","high",IF(AC881="recognized_subtype","medium",IF(AC881="operational","operational_only","debated")))</x:f>
        <x:v>operational_only</x:v>
      </x:c>
      <x:c r="AE881" s="12" t="str">
        <x:f>IF(AC881="deprecated","deprecated",IF(M881="yes","active",IF(M881="review","review_required","backlog")))</x:f>
        <x:v>backlog</x:v>
      </x:c>
      <x:c r="AF881" s="12" t="str">
        <x:f>IF(OR(AE881="active",AE881="review_required"),"yes","no")</x:f>
        <x:v>no</x:v>
      </x:c>
      <x:c r="AG881" s="12" t="str">
        <x:f>IF(AND(AE881="active",M881="yes",NOT(ISNUMBER(SEARCH("healthy",AB881)))),"yes","no")</x:f>
        <x:v>no</x:v>
      </x:c>
      <x:c r="AH881" s="12" t="str">
        <x:f>IF(OR(H881="contextual",H881="dialogue",H881="discourse",I881="claim+context",I881="discourse_segment"),"yes","no")</x:f>
        <x:v>no</x:v>
      </x:c>
      <x:c r="AI881" s="12" t="str">
        <x:f>IF(OR(AH881="yes",AD881="debated",AC881="operational"),"yes","no")</x:f>
        <x:v>yes</x:v>
      </x:c>
      <x:c r="AJ881" s="12" t="str">
        <x:f>IF(OR(AH881="yes",AC881="operational",AD881="debated"),"high",IF(AND(AG881="yes",L881="P0"),"medium","low"))</x:f>
        <x:v>high</x:v>
      </x:c>
      <x:c r="AK881" s="12" t="str">
        <x:f>IF(ISNUMBER(SEARCH("healthy",AB881)),"yes","no")</x:f>
        <x:v>no</x:v>
      </x:c>
      <x:c r="AL881" s="12" t="str">
        <x:f>IF(AG881="yes","yes","candidate_only")</x:f>
        <x:v>candidate_only</x:v>
      </x:c>
      <x:c r="AM881" s="12" t="str">
        <x:f>IF(OR(AC881="canonical",AG881="yes"),"yes","recommended")</x:f>
        <x:v>recommended</x:v>
      </x:c>
      <x:c r="AN881" s="12" t="str">
        <x:f>IF(AC881="deprecated","exclude",IF(AND(AG881="yes",AJ881="high"),"import_but_human_review_required",IF(AG881="yes","import_as_active","import_as_backlog")))</x:f>
        <x:v>import_as_backlog</x:v>
      </x:c>
      <x:c r="AO881" s="12" t="str">
        <x:f>IF(AND(AG881="yes",OR(P881="",Q881="",R881="",S881="")),"missing_required_mvp_fields",IF(AND(AC881="canonical",Y881=""),"missing_source_ref","ok"))</x:f>
        <x:v>ok</x:v>
      </x:c>
      <x:c r="AP881" s="12" t="str">
        <x:f>IF(AO881="ok","ready_for_codex_import","needs_review")</x:f>
        <x:v>ready_for_codex_import</x:v>
      </x:c>
      <x:c r="AQ881" s="12"/>
      <x:c r="AR881" s="12" t="str">
        <x:v>Added v2 operational fields. Review before classification activation.</x:v>
      </x:c>
    </x:row>
    <x:row r="882">
      <x:c r="A882" s="13" t="str">
        <x:v>overclaiming_certainty_forecast_variant</x:v>
      </x:c>
      <x:c r="B882" s="13" t="str">
        <x:v>overclaiming_certainty</x:v>
      </x:c>
      <x:c r="C882" s="13" t="str">
        <x:v>Overclaiming certainty</x:v>
      </x:c>
      <x:c r="D882" s="13" t="str">
        <x:v>قطعیت‌نمایی بیش از حد</x:v>
      </x:c>
      <x:c r="E882" s="13" t="str">
        <x:v>Forecasting variant</x:v>
      </x:c>
      <x:c r="F882" s="13" t="str">
        <x:v>uncertainty_calibration_failures</x:v>
      </x:c>
      <x:c r="G882" s="13" t="str">
        <x:v>operational_variant</x:v>
      </x:c>
      <x:c r="H882" s="13" t="str">
        <x:v>lexical</x:v>
      </x:c>
      <x:c r="I882" s="13" t="str">
        <x:v>claim</x:v>
      </x:c>
      <x:c r="J882" s="13" t="str">
        <x:v>derived_operational_subtype</x:v>
      </x:c>
      <x:c r="K882" s="13" t="str">
        <x:v>derived_from_established_parent_review_required</x:v>
      </x:c>
      <x:c r="L882" s="13" t="str">
        <x:v>P2</x:v>
      </x:c>
      <x:c r="M882" s="13" t="str">
        <x:v>no</x:v>
      </x:c>
      <x:c r="N882" s="13" t="str">
        <x:v>Operational subtype under Overclaiming certainty: prediction is made without horizon, assumptions, or alternatives. Parent definition: Stating a conclusion more certainly than evidence warrants.</x:v>
      </x:c>
      <x:c r="O882" s="13" t="str">
        <x:v>Look for: explicit claim-level evidence; parent-family cues for Overclaiming certainty; variant cue: prediction is made without horizon, assumptions, or alternatives; avoid author-level inference.</x:v>
      </x:c>
      <x:c r="P882" s="13" t="str">
        <x:v>Exact evidence span in text plus claim-level reasoning link; for contextual/discourse entries, require surrounding context.</x:v>
      </x:c>
      <x:c r="Q882" s="13" t="str">
        <x:v>Do not label merely because topic is controversial, emotional, or wrong. Do not judge intent or personality. Require textual evidence and consider healthy-reasoning cues.</x:v>
      </x:c>
      <x:c r="R882" s="13" t="str">
        <x:v>Stub: A claim relies on prediction is made without horizon, assumptions, or alternatives to support a conclusion without adequate qualification.</x:v>
      </x:c>
      <x:c r="S882" s="13" t="str">
        <x:v>Stub: A claim discusses overclaiming certainty with caveats, balanced evidence, or no argumentative use of the pattern.</x:v>
      </x:c>
      <x:c r="T882" s="13" t="str">
        <x:v>Mild or ambiguous cue; do not classify without clear evidence span.</x:v>
      </x:c>
      <x:c r="U882" s="13" t="str">
        <x:v>Clear claim-level pattern with some argumentative impact.</x:v>
      </x:c>
      <x:c r="V882" s="13" t="str">
        <x:v>Strong pattern central to the conclusion and likely to materially distort reasoning.</x:v>
      </x:c>
      <x:c r="W882" s="13" t="str">
        <x:v>cherry_picking; missing_counterevidence; evidence_grading</x:v>
      </x:c>
      <x:c r="X882" s="13" t="str">
        <x:v>stanovich_dual_process</x:v>
      </x:c>
      <x:c r="Y882" s="13" t="str">
        <x:v>https://global.oup.com/academic/product/rationality-and-the-reflective-mind-9780195341140</x:v>
      </x:c>
      <x:c r="Z882" s="13" t="str">
        <x:v>Review before enabling. This workbook is a living taxonomy scaffold, not a validated scientific benchmark.</x:v>
      </x:c>
      <x:c r="AA882" s="13" t="str">
        <x:v>0.1.0-draft</x:v>
      </x:c>
      <x:c r="AB882" s="12" t="str">
        <x:f>IF(ISNUMBER(SEARCH("healthy",F882)),"healthy_reasoning_patterns",IF(ISNUMBER(SEARCH("statistical",F882)),"statistical_reasoning",IF(ISNUMBER(SEARCH("causal",F882)),"causal_reasoning",IF(ISNUMBER(SEARCH("social",F882)),"social_influence",IF(ISNUMBER(SEARCH("rhetoric",F882)),"rhetoric_discourse",IF(ISNUMBER(SEARCH("behavior",F882)),"behavioural_economics",IF(ISNUMBER(SEARCH("cognitive",F882)),"cognitive_biases",IF(J882="protective_pattern","healthy_reasoning_patterns",IF(L882="P0","core_mvp","extended_fallacies")))))))))</x:f>
        <x:v>extended_fallacies</x:v>
      </x:c>
      <x:c r="AC882" s="12" t="str">
        <x:f>IF(ISNUMBER(SEARCH("operational",J882)),"operational",IF(ISNUMBER(SEARCH("deprecated",J882)),"deprecated",IF(L882="P0","canonical","recognized_subtype")))</x:f>
        <x:v>operational</x:v>
      </x:c>
      <x:c r="AD882" s="12" t="str">
        <x:f>IF(AC882="canonical","high",IF(AC882="recognized_subtype","medium",IF(AC882="operational","operational_only","debated")))</x:f>
        <x:v>operational_only</x:v>
      </x:c>
      <x:c r="AE882" s="12" t="str">
        <x:f>IF(AC882="deprecated","deprecated",IF(M882="yes","active",IF(M882="review","review_required","backlog")))</x:f>
        <x:v>backlog</x:v>
      </x:c>
      <x:c r="AF882" s="12" t="str">
        <x:f>IF(OR(AE882="active",AE882="review_required"),"yes","no")</x:f>
        <x:v>no</x:v>
      </x:c>
      <x:c r="AG882" s="12" t="str">
        <x:f>IF(AND(AE882="active",M882="yes",NOT(ISNUMBER(SEARCH("healthy",AB882)))),"yes","no")</x:f>
        <x:v>no</x:v>
      </x:c>
      <x:c r="AH882" s="12" t="str">
        <x:f>IF(OR(H882="contextual",H882="dialogue",H882="discourse",I882="claim+context",I882="discourse_segment"),"yes","no")</x:f>
        <x:v>no</x:v>
      </x:c>
      <x:c r="AI882" s="12" t="str">
        <x:f>IF(OR(AH882="yes",AD882="debated",AC882="operational"),"yes","no")</x:f>
        <x:v>yes</x:v>
      </x:c>
      <x:c r="AJ882" s="12" t="str">
        <x:f>IF(OR(AH882="yes",AC882="operational",AD882="debated"),"high",IF(AND(AG882="yes",L882="P0"),"medium","low"))</x:f>
        <x:v>high</x:v>
      </x:c>
      <x:c r="AK882" s="12" t="str">
        <x:f>IF(ISNUMBER(SEARCH("healthy",AB882)),"yes","no")</x:f>
        <x:v>no</x:v>
      </x:c>
      <x:c r="AL882" s="12" t="str">
        <x:f>IF(AG882="yes","yes","candidate_only")</x:f>
        <x:v>candidate_only</x:v>
      </x:c>
      <x:c r="AM882" s="12" t="str">
        <x:f>IF(OR(AC882="canonical",AG882="yes"),"yes","recommended")</x:f>
        <x:v>recommended</x:v>
      </x:c>
      <x:c r="AN882" s="12" t="str">
        <x:f>IF(AC882="deprecated","exclude",IF(AND(AG882="yes",AJ882="high"),"import_but_human_review_required",IF(AG882="yes","import_as_active","import_as_backlog")))</x:f>
        <x:v>import_as_backlog</x:v>
      </x:c>
      <x:c r="AO882" s="12" t="str">
        <x:f>IF(AND(AG882="yes",OR(P882="",Q882="",R882="",S882="")),"missing_required_mvp_fields",IF(AND(AC882="canonical",Y882=""),"missing_source_ref","ok"))</x:f>
        <x:v>ok</x:v>
      </x:c>
      <x:c r="AP882" s="12" t="str">
        <x:f>IF(AO882="ok","ready_for_codex_import","needs_review")</x:f>
        <x:v>ready_for_codex_import</x:v>
      </x:c>
      <x:c r="AQ882" s="12"/>
      <x:c r="AR882" s="12" t="str">
        <x:v>Added v2 operational fields. Review before classification activation.</x:v>
      </x:c>
    </x:row>
    <x:row r="883">
      <x:c r="A883" s="13" t="str">
        <x:v>false_precision_forecast_variant</x:v>
      </x:c>
      <x:c r="B883" s="13" t="str">
        <x:v>false_precision</x:v>
      </x:c>
      <x:c r="C883" s="13" t="str">
        <x:v>False precision</x:v>
      </x:c>
      <x:c r="D883" s="13" t="str">
        <x:v>دقت کاذب</x:v>
      </x:c>
      <x:c r="E883" s="13" t="str">
        <x:v>Forecasting variant</x:v>
      </x:c>
      <x:c r="F883" s="13" t="str">
        <x:v>uncertainty_calibration_failures</x:v>
      </x:c>
      <x:c r="G883" s="13" t="str">
        <x:v>operational_variant</x:v>
      </x:c>
      <x:c r="H883" s="13" t="str">
        <x:v>lexical</x:v>
      </x:c>
      <x:c r="I883" s="13" t="str">
        <x:v>claim</x:v>
      </x:c>
      <x:c r="J883" s="13" t="str">
        <x:v>derived_operational_subtype</x:v>
      </x:c>
      <x:c r="K883" s="13" t="str">
        <x:v>derived_from_established_parent_review_required</x:v>
      </x:c>
      <x:c r="L883" s="13" t="str">
        <x:v>P2</x:v>
      </x:c>
      <x:c r="M883" s="13" t="str">
        <x:v>no</x:v>
      </x:c>
      <x:c r="N883" s="13" t="str">
        <x:v>Operational subtype under False precision: prediction is made without horizon, assumptions, or alternatives. Parent definition: Using precise numbers or terms without evidential basis.</x:v>
      </x:c>
      <x:c r="O883" s="13" t="str">
        <x:v>Look for: explicit claim-level evidence; parent-family cues for False precision; variant cue: prediction is made without horizon, assumptions, or alternatives; avoid author-level inference.</x:v>
      </x:c>
      <x:c r="P883" s="13" t="str">
        <x:v>Exact evidence span in text plus claim-level reasoning link; for contextual/discourse entries, require surrounding context.</x:v>
      </x:c>
      <x:c r="Q883" s="13" t="str">
        <x:v>Do not label merely because topic is controversial, emotional, or wrong. Do not judge intent or personality. Require textual evidence and consider healthy-reasoning cues.</x:v>
      </x:c>
      <x:c r="R883" s="13" t="str">
        <x:v>Stub: A claim relies on prediction is made without horizon, assumptions, or alternatives to support a conclusion without adequate qualification.</x:v>
      </x:c>
      <x:c r="S883" s="13" t="str">
        <x:v>Stub: A claim discusses false precision with caveats, balanced evidence, or no argumentative use of the pattern.</x:v>
      </x:c>
      <x:c r="T883" s="13" t="str">
        <x:v>Mild or ambiguous cue; do not classify without clear evidence span.</x:v>
      </x:c>
      <x:c r="U883" s="13" t="str">
        <x:v>Clear claim-level pattern with some argumentative impact.</x:v>
      </x:c>
      <x:c r="V883" s="13" t="str">
        <x:v>Strong pattern central to the conclusion and likely to materially distort reasoning.</x:v>
      </x:c>
      <x:c r="W883" s="13" t="str">
        <x:v>uncertainty_acknowledgement; confidence_calibration; scope_limitation</x:v>
      </x:c>
      <x:c r="X883" s="13" t="str">
        <x:v>stanovich_dual_process</x:v>
      </x:c>
      <x:c r="Y883" s="13" t="str">
        <x:v>https://global.oup.com/academic/product/rationality-and-the-reflective-mind-9780195341140</x:v>
      </x:c>
      <x:c r="Z883" s="13" t="str">
        <x:v>Review before enabling. This workbook is a living taxonomy scaffold, not a validated scientific benchmark.</x:v>
      </x:c>
      <x:c r="AA883" s="13" t="str">
        <x:v>0.1.0-draft</x:v>
      </x:c>
      <x:c r="AB883" s="12" t="str">
        <x:f>IF(ISNUMBER(SEARCH("healthy",F883)),"healthy_reasoning_patterns",IF(ISNUMBER(SEARCH("statistical",F883)),"statistical_reasoning",IF(ISNUMBER(SEARCH("causal",F883)),"causal_reasoning",IF(ISNUMBER(SEARCH("social",F883)),"social_influence",IF(ISNUMBER(SEARCH("rhetoric",F883)),"rhetoric_discourse",IF(ISNUMBER(SEARCH("behavior",F883)),"behavioural_economics",IF(ISNUMBER(SEARCH("cognitive",F883)),"cognitive_biases",IF(J883="protective_pattern","healthy_reasoning_patterns",IF(L883="P0","core_mvp","extended_fallacies")))))))))</x:f>
        <x:v>extended_fallacies</x:v>
      </x:c>
      <x:c r="AC883" s="12" t="str">
        <x:f>IF(ISNUMBER(SEARCH("operational",J883)),"operational",IF(ISNUMBER(SEARCH("deprecated",J883)),"deprecated",IF(L883="P0","canonical","recognized_subtype")))</x:f>
        <x:v>operational</x:v>
      </x:c>
      <x:c r="AD883" s="12" t="str">
        <x:f>IF(AC883="canonical","high",IF(AC883="recognized_subtype","medium",IF(AC883="operational","operational_only","debated")))</x:f>
        <x:v>operational_only</x:v>
      </x:c>
      <x:c r="AE883" s="12" t="str">
        <x:f>IF(AC883="deprecated","deprecated",IF(M883="yes","active",IF(M883="review","review_required","backlog")))</x:f>
        <x:v>backlog</x:v>
      </x:c>
      <x:c r="AF883" s="12" t="str">
        <x:f>IF(OR(AE883="active",AE883="review_required"),"yes","no")</x:f>
        <x:v>no</x:v>
      </x:c>
      <x:c r="AG883" s="12" t="str">
        <x:f>IF(AND(AE883="active",M883="yes",NOT(ISNUMBER(SEARCH("healthy",AB883)))),"yes","no")</x:f>
        <x:v>no</x:v>
      </x:c>
      <x:c r="AH883" s="12" t="str">
        <x:f>IF(OR(H883="contextual",H883="dialogue",H883="discourse",I883="claim+context",I883="discourse_segment"),"yes","no")</x:f>
        <x:v>no</x:v>
      </x:c>
      <x:c r="AI883" s="12" t="str">
        <x:f>IF(OR(AH883="yes",AD883="debated",AC883="operational"),"yes","no")</x:f>
        <x:v>yes</x:v>
      </x:c>
      <x:c r="AJ883" s="12" t="str">
        <x:f>IF(OR(AH883="yes",AC883="operational",AD883="debated"),"high",IF(AND(AG883="yes",L883="P0"),"medium","low"))</x:f>
        <x:v>high</x:v>
      </x:c>
      <x:c r="AK883" s="12" t="str">
        <x:f>IF(ISNUMBER(SEARCH("healthy",AB883)),"yes","no")</x:f>
        <x:v>no</x:v>
      </x:c>
      <x:c r="AL883" s="12" t="str">
        <x:f>IF(AG883="yes","yes","candidate_only")</x:f>
        <x:v>candidate_only</x:v>
      </x:c>
      <x:c r="AM883" s="12" t="str">
        <x:f>IF(OR(AC883="canonical",AG883="yes"),"yes","recommended")</x:f>
        <x:v>recommended</x:v>
      </x:c>
      <x:c r="AN883" s="12" t="str">
        <x:f>IF(AC883="deprecated","exclude",IF(AND(AG883="yes",AJ883="high"),"import_but_human_review_required",IF(AG883="yes","import_as_active","import_as_backlog")))</x:f>
        <x:v>import_as_backlog</x:v>
      </x:c>
      <x:c r="AO883" s="12" t="str">
        <x:f>IF(AND(AG883="yes",OR(P883="",Q883="",R883="",S883="")),"missing_required_mvp_fields",IF(AND(AC883="canonical",Y883=""),"missing_source_ref","ok"))</x:f>
        <x:v>ok</x:v>
      </x:c>
      <x:c r="AP883" s="12" t="str">
        <x:f>IF(AO883="ok","ready_for_codex_import","needs_review")</x:f>
        <x:v>ready_for_codex_import</x:v>
      </x:c>
      <x:c r="AQ883" s="12"/>
      <x:c r="AR883" s="12" t="str">
        <x:v>Added v2 operational fields. Review before classification activation.</x:v>
      </x:c>
    </x:row>
    <x:row r="884">
      <x:c r="A884" s="13" t="str">
        <x:v>missing_confidence_level_forecast_variant</x:v>
      </x:c>
      <x:c r="B884" s="13" t="str">
        <x:v>missing_confidence_level</x:v>
      </x:c>
      <x:c r="C884" s="13" t="str">
        <x:v>Missing confidence level</x:v>
      </x:c>
      <x:c r="D884" s="13" t="str">
        <x:v>نبود سطح اطمینان</x:v>
      </x:c>
      <x:c r="E884" s="13" t="str">
        <x:v>Forecasting variant</x:v>
      </x:c>
      <x:c r="F884" s="13" t="str">
        <x:v>uncertainty_calibration_failures</x:v>
      </x:c>
      <x:c r="G884" s="13" t="str">
        <x:v>operational_variant</x:v>
      </x:c>
      <x:c r="H884" s="13" t="str">
        <x:v>lexical</x:v>
      </x:c>
      <x:c r="I884" s="13" t="str">
        <x:v>claim</x:v>
      </x:c>
      <x:c r="J884" s="13" t="str">
        <x:v>derived_operational_subtype</x:v>
      </x:c>
      <x:c r="K884" s="13" t="str">
        <x:v>derived_from_established_parent_review_required</x:v>
      </x:c>
      <x:c r="L884" s="13" t="str">
        <x:v>P2</x:v>
      </x:c>
      <x:c r="M884" s="13" t="str">
        <x:v>no</x:v>
      </x:c>
      <x:c r="N884" s="13" t="str">
        <x:v>Operational subtype under Missing confidence level: prediction is made without horizon, assumptions, or alternatives. Parent definition: Presenting estimates without uncertainty or confidence framing.</x:v>
      </x:c>
      <x:c r="O884" s="13" t="str">
        <x:v>Look for: explicit claim-level evidence; parent-family cues for Missing confidence level; variant cue: prediction is made without horizon, assumptions, or alternatives; avoid author-level inference.</x:v>
      </x:c>
      <x:c r="P884" s="13" t="str">
        <x:v>Exact evidence span in text plus claim-level reasoning link; for contextual/discourse entries, require surrounding context.</x:v>
      </x:c>
      <x:c r="Q884" s="13" t="str">
        <x:v>Do not label merely because topic is controversial, emotional, or wrong. Do not judge intent or personality. Require textual evidence and consider healthy-reasoning cues.</x:v>
      </x:c>
      <x:c r="R884" s="13" t="str">
        <x:v>Stub: A claim relies on prediction is made without horizon, assumptions, or alternatives to support a conclusion without adequate qualification.</x:v>
      </x:c>
      <x:c r="S884" s="13" t="str">
        <x:v>Stub: A claim discusses missing confidence level with caveats, balanced evidence, or no argumentative use of the pattern.</x:v>
      </x:c>
      <x:c r="T884" s="13" t="str">
        <x:v>Mild or ambiguous cue; do not classify without clear evidence span.</x:v>
      </x:c>
      <x:c r="U884" s="13" t="str">
        <x:v>Clear claim-level pattern with some argumentative impact.</x:v>
      </x:c>
      <x:c r="V884" s="13" t="str">
        <x:v>Strong pattern central to the conclusion and likely to materially distort reasoning.</x:v>
      </x:c>
      <x:c r="W884" s="13" t="str">
        <x:v>uncertainty_acknowledgement; confidence_calibration; scope_limitation</x:v>
      </x:c>
      <x:c r="X884" s="13" t="str">
        <x:v>stanovich_dual_process</x:v>
      </x:c>
      <x:c r="Y884" s="13" t="str">
        <x:v>https://global.oup.com/academic/product/rationality-and-the-reflective-mind-9780195341140</x:v>
      </x:c>
      <x:c r="Z884" s="13" t="str">
        <x:v>Review before enabling. This workbook is a living taxonomy scaffold, not a validated scientific benchmark.</x:v>
      </x:c>
      <x:c r="AA884" s="13" t="str">
        <x:v>0.1.0-draft</x:v>
      </x:c>
      <x:c r="AB884" s="12" t="str">
        <x:f>IF(ISNUMBER(SEARCH("healthy",F884)),"healthy_reasoning_patterns",IF(ISNUMBER(SEARCH("statistical",F884)),"statistical_reasoning",IF(ISNUMBER(SEARCH("causal",F884)),"causal_reasoning",IF(ISNUMBER(SEARCH("social",F884)),"social_influence",IF(ISNUMBER(SEARCH("rhetoric",F884)),"rhetoric_discourse",IF(ISNUMBER(SEARCH("behavior",F884)),"behavioural_economics",IF(ISNUMBER(SEARCH("cognitive",F884)),"cognitive_biases",IF(J884="protective_pattern","healthy_reasoning_patterns",IF(L884="P0","core_mvp","extended_fallacies")))))))))</x:f>
        <x:v>extended_fallacies</x:v>
      </x:c>
      <x:c r="AC884" s="12" t="str">
        <x:f>IF(ISNUMBER(SEARCH("operational",J884)),"operational",IF(ISNUMBER(SEARCH("deprecated",J884)),"deprecated",IF(L884="P0","canonical","recognized_subtype")))</x:f>
        <x:v>operational</x:v>
      </x:c>
      <x:c r="AD884" s="12" t="str">
        <x:f>IF(AC884="canonical","high",IF(AC884="recognized_subtype","medium",IF(AC884="operational","operational_only","debated")))</x:f>
        <x:v>operational_only</x:v>
      </x:c>
      <x:c r="AE884" s="12" t="str">
        <x:f>IF(AC884="deprecated","deprecated",IF(M884="yes","active",IF(M884="review","review_required","backlog")))</x:f>
        <x:v>backlog</x:v>
      </x:c>
      <x:c r="AF884" s="12" t="str">
        <x:f>IF(OR(AE884="active",AE884="review_required"),"yes","no")</x:f>
        <x:v>no</x:v>
      </x:c>
      <x:c r="AG884" s="12" t="str">
        <x:f>IF(AND(AE884="active",M884="yes",NOT(ISNUMBER(SEARCH("healthy",AB884)))),"yes","no")</x:f>
        <x:v>no</x:v>
      </x:c>
      <x:c r="AH884" s="12" t="str">
        <x:f>IF(OR(H884="contextual",H884="dialogue",H884="discourse",I884="claim+context",I884="discourse_segment"),"yes","no")</x:f>
        <x:v>no</x:v>
      </x:c>
      <x:c r="AI884" s="12" t="str">
        <x:f>IF(OR(AH884="yes",AD884="debated",AC884="operational"),"yes","no")</x:f>
        <x:v>yes</x:v>
      </x:c>
      <x:c r="AJ884" s="12" t="str">
        <x:f>IF(OR(AH884="yes",AC884="operational",AD884="debated"),"high",IF(AND(AG884="yes",L884="P0"),"medium","low"))</x:f>
        <x:v>high</x:v>
      </x:c>
      <x:c r="AK884" s="12" t="str">
        <x:f>IF(ISNUMBER(SEARCH("healthy",AB884)),"yes","no")</x:f>
        <x:v>no</x:v>
      </x:c>
      <x:c r="AL884" s="12" t="str">
        <x:f>IF(AG884="yes","yes","candidate_only")</x:f>
        <x:v>candidate_only</x:v>
      </x:c>
      <x:c r="AM884" s="12" t="str">
        <x:f>IF(OR(AC884="canonical",AG884="yes"),"yes","recommended")</x:f>
        <x:v>recommended</x:v>
      </x:c>
      <x:c r="AN884" s="12" t="str">
        <x:f>IF(AC884="deprecated","exclude",IF(AND(AG884="yes",AJ884="high"),"import_but_human_review_required",IF(AG884="yes","import_as_active","import_as_backlog")))</x:f>
        <x:v>import_as_backlog</x:v>
      </x:c>
      <x:c r="AO884" s="12" t="str">
        <x:f>IF(AND(AG884="yes",OR(P884="",Q884="",R884="",S884="")),"missing_required_mvp_fields",IF(AND(AC884="canonical",Y884=""),"missing_source_ref","ok"))</x:f>
        <x:v>ok</x:v>
      </x:c>
      <x:c r="AP884" s="12" t="str">
        <x:f>IF(AO884="ok","ready_for_codex_import","needs_review")</x:f>
        <x:v>ready_for_codex_import</x:v>
      </x:c>
      <x:c r="AQ884" s="12"/>
      <x:c r="AR884" s="12" t="str">
        <x:v>Added v2 operational fields. Review before classification activation.</x:v>
      </x:c>
    </x:row>
    <x:row r="885">
      <x:c r="A885" s="13" t="str">
        <x:v>forecast_horizon_neglect_forecast_variant</x:v>
      </x:c>
      <x:c r="B885" s="13" t="str">
        <x:v>forecast_horizon_neglect</x:v>
      </x:c>
      <x:c r="C885" s="13" t="str">
        <x:v>Forecast horizon neglect</x:v>
      </x:c>
      <x:c r="D885" s="13" t="str">
        <x:v>نادیده‌گرفتن افق پیش‌بینی</x:v>
      </x:c>
      <x:c r="E885" s="13" t="str">
        <x:v>Forecasting variant</x:v>
      </x:c>
      <x:c r="F885" s="13" t="str">
        <x:v>uncertainty_calibration_failures</x:v>
      </x:c>
      <x:c r="G885" s="13" t="str">
        <x:v>operational_variant</x:v>
      </x:c>
      <x:c r="H885" s="13" t="str">
        <x:v>contextual</x:v>
      </x:c>
      <x:c r="I885" s="13" t="str">
        <x:v>claim+context</x:v>
      </x:c>
      <x:c r="J885" s="13" t="str">
        <x:v>derived_operational_subtype</x:v>
      </x:c>
      <x:c r="K885" s="13" t="str">
        <x:v>derived_from_established_parent_review_required</x:v>
      </x:c>
      <x:c r="L885" s="13" t="str">
        <x:v>P2</x:v>
      </x:c>
      <x:c r="M885" s="13" t="str">
        <x:v>no</x:v>
      </x:c>
      <x:c r="N885" s="13" t="str">
        <x:v>Operational subtype under Forecast horizon neglect: prediction is made without horizon, assumptions, or alternatives. Parent definition: Making forecasts without specifying the time horizon.</x:v>
      </x:c>
      <x:c r="O885" s="13" t="str">
        <x:v>Look for: explicit claim-level evidence; parent-family cues for Forecast horizon neglect; variant cue: prediction is made without horizon, assumptions, or alternatives; avoid author-level inference.</x:v>
      </x:c>
      <x:c r="P885" s="13" t="str">
        <x:v>Exact evidence span in text plus claim-level reasoning link; for contextual/discourse entries, require surrounding context.</x:v>
      </x:c>
      <x:c r="Q885" s="13" t="str">
        <x:v>Do not label merely because topic is controversial, emotional, or wrong. Do not judge intent or personality. Require textual evidence and consider healthy-reasoning cues.</x:v>
      </x:c>
      <x:c r="R885" s="13" t="str">
        <x:v>Stub: A claim relies on prediction is made without horizon, assumptions, or alternatives to support a conclusion without adequate qualification.</x:v>
      </x:c>
      <x:c r="S885" s="13" t="str">
        <x:v>Stub: A claim discusses forecast horizon neglect with caveats, balanced evidence, or no argumentative use of the pattern.</x:v>
      </x:c>
      <x:c r="T885" s="13" t="str">
        <x:v>Mild or ambiguous cue; do not classify without clear evidence span.</x:v>
      </x:c>
      <x:c r="U885" s="13" t="str">
        <x:v>Clear claim-level pattern with some argumentative impact.</x:v>
      </x:c>
      <x:c r="V885" s="13" t="str">
        <x:v>Strong pattern central to the conclusion and likely to materially distort reasoning.</x:v>
      </x:c>
      <x:c r="W885" s="13" t="str">
        <x:v>uncertainty_acknowledgement; confidence_calibration; scope_limitation</x:v>
      </x:c>
      <x:c r="X885" s="13" t="str">
        <x:v>stanovich_dual_process</x:v>
      </x:c>
      <x:c r="Y885" s="13" t="str">
        <x:v>https://global.oup.com/academic/product/rationality-and-the-reflective-mind-9780195341140</x:v>
      </x:c>
      <x:c r="Z885" s="13" t="str">
        <x:v>Review before enabling. This workbook is a living taxonomy scaffold, not a validated scientific benchmark.</x:v>
      </x:c>
      <x:c r="AA885" s="13" t="str">
        <x:v>0.1.0-draft</x:v>
      </x:c>
      <x:c r="AB885" s="12" t="str">
        <x:f>IF(ISNUMBER(SEARCH("healthy",F885)),"healthy_reasoning_patterns",IF(ISNUMBER(SEARCH("statistical",F885)),"statistical_reasoning",IF(ISNUMBER(SEARCH("causal",F885)),"causal_reasoning",IF(ISNUMBER(SEARCH("social",F885)),"social_influence",IF(ISNUMBER(SEARCH("rhetoric",F885)),"rhetoric_discourse",IF(ISNUMBER(SEARCH("behavior",F885)),"behavioural_economics",IF(ISNUMBER(SEARCH("cognitive",F885)),"cognitive_biases",IF(J885="protective_pattern","healthy_reasoning_patterns",IF(L885="P0","core_mvp","extended_fallacies")))))))))</x:f>
        <x:v>extended_fallacies</x:v>
      </x:c>
      <x:c r="AC885" s="12" t="str">
        <x:f>IF(ISNUMBER(SEARCH("operational",J885)),"operational",IF(ISNUMBER(SEARCH("deprecated",J885)),"deprecated",IF(L885="P0","canonical","recognized_subtype")))</x:f>
        <x:v>operational</x:v>
      </x:c>
      <x:c r="AD885" s="12" t="str">
        <x:f>IF(AC885="canonical","high",IF(AC885="recognized_subtype","medium",IF(AC885="operational","operational_only","debated")))</x:f>
        <x:v>operational_only</x:v>
      </x:c>
      <x:c r="AE885" s="12" t="str">
        <x:f>IF(AC885="deprecated","deprecated",IF(M885="yes","active",IF(M885="review","review_required","backlog")))</x:f>
        <x:v>backlog</x:v>
      </x:c>
      <x:c r="AF885" s="12" t="str">
        <x:f>IF(OR(AE885="active",AE885="review_required"),"yes","no")</x:f>
        <x:v>no</x:v>
      </x:c>
      <x:c r="AG885" s="12" t="str">
        <x:f>IF(AND(AE885="active",M885="yes",NOT(ISNUMBER(SEARCH("healthy",AB885)))),"yes","no")</x:f>
        <x:v>no</x:v>
      </x:c>
      <x:c r="AH885" s="12" t="str">
        <x:f>IF(OR(H885="contextual",H885="dialogue",H885="discourse",I885="claim+context",I885="discourse_segment"),"yes","no")</x:f>
        <x:v>yes</x:v>
      </x:c>
      <x:c r="AI885" s="12" t="str">
        <x:f>IF(OR(AH885="yes",AD885="debated",AC885="operational"),"yes","no")</x:f>
        <x:v>yes</x:v>
      </x:c>
      <x:c r="AJ885" s="12" t="str">
        <x:f>IF(OR(AH885="yes",AC885="operational",AD885="debated"),"high",IF(AND(AG885="yes",L885="P0"),"medium","low"))</x:f>
        <x:v>high</x:v>
      </x:c>
      <x:c r="AK885" s="12" t="str">
        <x:f>IF(ISNUMBER(SEARCH("healthy",AB885)),"yes","no")</x:f>
        <x:v>no</x:v>
      </x:c>
      <x:c r="AL885" s="12" t="str">
        <x:f>IF(AG885="yes","yes","candidate_only")</x:f>
        <x:v>candidate_only</x:v>
      </x:c>
      <x:c r="AM885" s="12" t="str">
        <x:f>IF(OR(AC885="canonical",AG885="yes"),"yes","recommended")</x:f>
        <x:v>recommended</x:v>
      </x:c>
      <x:c r="AN885" s="12" t="str">
        <x:f>IF(AC885="deprecated","exclude",IF(AND(AG885="yes",AJ885="high"),"import_but_human_review_required",IF(AG885="yes","import_as_active","import_as_backlog")))</x:f>
        <x:v>import_as_backlog</x:v>
      </x:c>
      <x:c r="AO885" s="12" t="str">
        <x:f>IF(AND(AG885="yes",OR(P885="",Q885="",R885="",S885="")),"missing_required_mvp_fields",IF(AND(AC885="canonical",Y885=""),"missing_source_ref","ok"))</x:f>
        <x:v>ok</x:v>
      </x:c>
      <x:c r="AP885" s="12" t="str">
        <x:f>IF(AO885="ok","ready_for_codex_import","needs_review")</x:f>
        <x:v>ready_for_codex_import</x:v>
      </x:c>
      <x:c r="AQ885" s="12"/>
      <x:c r="AR885" s="12" t="str">
        <x:v>Added v2 operational fields. Review before classification activation.</x:v>
      </x:c>
    </x:row>
    <x:row r="886">
      <x:c r="A886" s="13" t="str">
        <x:v>trend_extrapolation_overreach_forecast_variant</x:v>
      </x:c>
      <x:c r="B886" s="13" t="str">
        <x:v>trend_extrapolation_overreach</x:v>
      </x:c>
      <x:c r="C886" s="13" t="str">
        <x:v>Trend extrapolation overreach</x:v>
      </x:c>
      <x:c r="D886" s="13" t="str">
        <x:v>برون‌یابی افراطی روند</x:v>
      </x:c>
      <x:c r="E886" s="13" t="str">
        <x:v>Forecasting variant</x:v>
      </x:c>
      <x:c r="F886" s="13" t="str">
        <x:v>uncertainty_calibration_failures</x:v>
      </x:c>
      <x:c r="G886" s="13" t="str">
        <x:v>operational_variant</x:v>
      </x:c>
      <x:c r="H886" s="13" t="str">
        <x:v>contextual</x:v>
      </x:c>
      <x:c r="I886" s="13" t="str">
        <x:v>claim+context</x:v>
      </x:c>
      <x:c r="J886" s="13" t="str">
        <x:v>derived_operational_subtype</x:v>
      </x:c>
      <x:c r="K886" s="13" t="str">
        <x:v>derived_from_established_parent_review_required</x:v>
      </x:c>
      <x:c r="L886" s="13" t="str">
        <x:v>P2</x:v>
      </x:c>
      <x:c r="M886" s="13" t="str">
        <x:v>no</x:v>
      </x:c>
      <x:c r="N886" s="13" t="str">
        <x:v>Operational subtype under Trend extrapolation overreach: prediction is made without horizon, assumptions, or alternatives. Parent definition: Extending a trend beyond evidence without caveats.</x:v>
      </x:c>
      <x:c r="O886" s="13" t="str">
        <x:v>Look for: explicit claim-level evidence; parent-family cues for Trend extrapolation overreach; variant cue: prediction is made without horizon, assumptions, or alternatives; avoid author-level inference.</x:v>
      </x:c>
      <x:c r="P886" s="13" t="str">
        <x:v>Exact evidence span in text plus claim-level reasoning link; for contextual/discourse entries, require surrounding context.</x:v>
      </x:c>
      <x:c r="Q886" s="13" t="str">
        <x:v>Do not label merely because topic is controversial, emotional, or wrong. Do not judge intent or personality. Require textual evidence and consider healthy-reasoning cues.</x:v>
      </x:c>
      <x:c r="R886" s="13" t="str">
        <x:v>Stub: A claim relies on prediction is made without horizon, assumptions, or alternatives to support a conclusion without adequate qualification.</x:v>
      </x:c>
      <x:c r="S886" s="13" t="str">
        <x:v>Stub: A claim discusses trend extrapolation overreach with caveats, balanced evidence, or no argumentative use of the pattern.</x:v>
      </x:c>
      <x:c r="T886" s="13" t="str">
        <x:v>Mild or ambiguous cue; do not classify without clear evidence span.</x:v>
      </x:c>
      <x:c r="U886" s="13" t="str">
        <x:v>Clear claim-level pattern with some argumentative impact.</x:v>
      </x:c>
      <x:c r="V886" s="13" t="str">
        <x:v>Strong pattern central to the conclusion and likely to materially distort reasoning.</x:v>
      </x:c>
      <x:c r="W886" s="13" t="str">
        <x:v>cherry_picking; missing_counterevidence; evidence_grading</x:v>
      </x:c>
      <x:c r="X886" s="13" t="str">
        <x:v>stanovich_dual_process</x:v>
      </x:c>
      <x:c r="Y886" s="13" t="str">
        <x:v>https://global.oup.com/academic/product/rationality-and-the-reflective-mind-9780195341140</x:v>
      </x:c>
      <x:c r="Z886" s="13" t="str">
        <x:v>Review before enabling. This workbook is a living taxonomy scaffold, not a validated scientific benchmark.</x:v>
      </x:c>
      <x:c r="AA886" s="13" t="str">
        <x:v>0.1.0-draft</x:v>
      </x:c>
      <x:c r="AB886" s="12" t="str">
        <x:f>IF(ISNUMBER(SEARCH("healthy",F886)),"healthy_reasoning_patterns",IF(ISNUMBER(SEARCH("statistical",F886)),"statistical_reasoning",IF(ISNUMBER(SEARCH("causal",F886)),"causal_reasoning",IF(ISNUMBER(SEARCH("social",F886)),"social_influence",IF(ISNUMBER(SEARCH("rhetoric",F886)),"rhetoric_discourse",IF(ISNUMBER(SEARCH("behavior",F886)),"behavioural_economics",IF(ISNUMBER(SEARCH("cognitive",F886)),"cognitive_biases",IF(J886="protective_pattern","healthy_reasoning_patterns",IF(L886="P0","core_mvp","extended_fallacies")))))))))</x:f>
        <x:v>extended_fallacies</x:v>
      </x:c>
      <x:c r="AC886" s="12" t="str">
        <x:f>IF(ISNUMBER(SEARCH("operational",J886)),"operational",IF(ISNUMBER(SEARCH("deprecated",J886)),"deprecated",IF(L886="P0","canonical","recognized_subtype")))</x:f>
        <x:v>operational</x:v>
      </x:c>
      <x:c r="AD886" s="12" t="str">
        <x:f>IF(AC886="canonical","high",IF(AC886="recognized_subtype","medium",IF(AC886="operational","operational_only","debated")))</x:f>
        <x:v>operational_only</x:v>
      </x:c>
      <x:c r="AE886" s="12" t="str">
        <x:f>IF(AC886="deprecated","deprecated",IF(M886="yes","active",IF(M886="review","review_required","backlog")))</x:f>
        <x:v>backlog</x:v>
      </x:c>
      <x:c r="AF886" s="12" t="str">
        <x:f>IF(OR(AE886="active",AE886="review_required"),"yes","no")</x:f>
        <x:v>no</x:v>
      </x:c>
      <x:c r="AG886" s="12" t="str">
        <x:f>IF(AND(AE886="active",M886="yes",NOT(ISNUMBER(SEARCH("healthy",AB886)))),"yes","no")</x:f>
        <x:v>no</x:v>
      </x:c>
      <x:c r="AH886" s="12" t="str">
        <x:f>IF(OR(H886="contextual",H886="dialogue",H886="discourse",I886="claim+context",I886="discourse_segment"),"yes","no")</x:f>
        <x:v>yes</x:v>
      </x:c>
      <x:c r="AI886" s="12" t="str">
        <x:f>IF(OR(AH886="yes",AD886="debated",AC886="operational"),"yes","no")</x:f>
        <x:v>yes</x:v>
      </x:c>
      <x:c r="AJ886" s="12" t="str">
        <x:f>IF(OR(AH886="yes",AC886="operational",AD886="debated"),"high",IF(AND(AG886="yes",L886="P0"),"medium","low"))</x:f>
        <x:v>high</x:v>
      </x:c>
      <x:c r="AK886" s="12" t="str">
        <x:f>IF(ISNUMBER(SEARCH("healthy",AB886)),"yes","no")</x:f>
        <x:v>no</x:v>
      </x:c>
      <x:c r="AL886" s="12" t="str">
        <x:f>IF(AG886="yes","yes","candidate_only")</x:f>
        <x:v>candidate_only</x:v>
      </x:c>
      <x:c r="AM886" s="12" t="str">
        <x:f>IF(OR(AC886="canonical",AG886="yes"),"yes","recommended")</x:f>
        <x:v>recommended</x:v>
      </x:c>
      <x:c r="AN886" s="12" t="str">
        <x:f>IF(AC886="deprecated","exclude",IF(AND(AG886="yes",AJ886="high"),"import_but_human_review_required",IF(AG886="yes","import_as_active","import_as_backlog")))</x:f>
        <x:v>import_as_backlog</x:v>
      </x:c>
      <x:c r="AO886" s="12" t="str">
        <x:f>IF(AND(AG886="yes",OR(P886="",Q886="",R886="",S886="")),"missing_required_mvp_fields",IF(AND(AC886="canonical",Y886=""),"missing_source_ref","ok"))</x:f>
        <x:v>ok</x:v>
      </x:c>
      <x:c r="AP886" s="12" t="str">
        <x:f>IF(AO886="ok","ready_for_codex_import","needs_review")</x:f>
        <x:v>ready_for_codex_import</x:v>
      </x:c>
      <x:c r="AQ886" s="12"/>
      <x:c r="AR886" s="12" t="str">
        <x:v>Added v2 operational fields. Review before classification activation.</x:v>
      </x:c>
    </x:row>
    <x:row r="887">
      <x:c r="A887" s="13" t="str">
        <x:v>linear_projection_fallacy_forecast_variant</x:v>
      </x:c>
      <x:c r="B887" s="13" t="str">
        <x:v>linear_projection_fallacy</x:v>
      </x:c>
      <x:c r="C887" s="13" t="str">
        <x:v>Linear projection fallacy</x:v>
      </x:c>
      <x:c r="D887" s="13" t="str">
        <x:v>خطای امتداد خطی</x:v>
      </x:c>
      <x:c r="E887" s="13" t="str">
        <x:v>Forecasting variant</x:v>
      </x:c>
      <x:c r="F887" s="13" t="str">
        <x:v>uncertainty_calibration_failures</x:v>
      </x:c>
      <x:c r="G887" s="13" t="str">
        <x:v>operational_variant</x:v>
      </x:c>
      <x:c r="H887" s="13" t="str">
        <x:v>contextual</x:v>
      </x:c>
      <x:c r="I887" s="13" t="str">
        <x:v>claim+context</x:v>
      </x:c>
      <x:c r="J887" s="13" t="str">
        <x:v>derived_operational_subtype</x:v>
      </x:c>
      <x:c r="K887" s="13" t="str">
        <x:v>derived_from_established_parent_review_required</x:v>
      </x:c>
      <x:c r="L887" s="13" t="str">
        <x:v>P2</x:v>
      </x:c>
      <x:c r="M887" s="13" t="str">
        <x:v>no</x:v>
      </x:c>
      <x:c r="N887" s="13" t="str">
        <x:v>Operational subtype under Linear projection fallacy: prediction is made without horizon, assumptions, or alternatives. Parent definition: Assuming linear continuation in a nonlinear domain.</x:v>
      </x:c>
      <x:c r="O887" s="13" t="str">
        <x:v>Look for: explicit claim-level evidence; parent-family cues for Linear projection fallacy; variant cue: prediction is made without horizon, assumptions, or alternatives; avoid author-level inference.</x:v>
      </x:c>
      <x:c r="P887" s="13" t="str">
        <x:v>Exact evidence span in text plus claim-level reasoning link; for contextual/discourse entries, require surrounding context.</x:v>
      </x:c>
      <x:c r="Q887" s="13" t="str">
        <x:v>Do not label merely because topic is controversial, emotional, or wrong. Do not judge intent or personality. Require textual evidence and consider healthy-reasoning cues.</x:v>
      </x:c>
      <x:c r="R887" s="13" t="str">
        <x:v>Stub: A claim relies on prediction is made without horizon, assumptions, or alternatives to support a conclusion without adequate qualification.</x:v>
      </x:c>
      <x:c r="S887" s="13" t="str">
        <x:v>Stub: A claim discusses linear projection fallacy with caveats, balanced evidence, or no argumentative use of the pattern.</x:v>
      </x:c>
      <x:c r="T887" s="13" t="str">
        <x:v>Mild or ambiguous cue; do not classify without clear evidence span.</x:v>
      </x:c>
      <x:c r="U887" s="13" t="str">
        <x:v>Clear claim-level pattern with some argumentative impact.</x:v>
      </x:c>
      <x:c r="V887" s="13" t="str">
        <x:v>Strong pattern central to the conclusion and likely to materially distort reasoning.</x:v>
      </x:c>
      <x:c r="W887" s="13" t="str">
        <x:v>uncertainty_acknowledgement; confidence_calibration; scope_limitation</x:v>
      </x:c>
      <x:c r="X887" s="13" t="str">
        <x:v>stanovich_dual_process</x:v>
      </x:c>
      <x:c r="Y887" s="13" t="str">
        <x:v>https://global.oup.com/academic/product/rationality-and-the-reflective-mind-9780195341140</x:v>
      </x:c>
      <x:c r="Z887" s="13" t="str">
        <x:v>Review before enabling. This workbook is a living taxonomy scaffold, not a validated scientific benchmark.</x:v>
      </x:c>
      <x:c r="AA887" s="13" t="str">
        <x:v>0.1.0-draft</x:v>
      </x:c>
      <x:c r="AB887" s="12" t="str">
        <x:f>IF(ISNUMBER(SEARCH("healthy",F887)),"healthy_reasoning_patterns",IF(ISNUMBER(SEARCH("statistical",F887)),"statistical_reasoning",IF(ISNUMBER(SEARCH("causal",F887)),"causal_reasoning",IF(ISNUMBER(SEARCH("social",F887)),"social_influence",IF(ISNUMBER(SEARCH("rhetoric",F887)),"rhetoric_discourse",IF(ISNUMBER(SEARCH("behavior",F887)),"behavioural_economics",IF(ISNUMBER(SEARCH("cognitive",F887)),"cognitive_biases",IF(J887="protective_pattern","healthy_reasoning_patterns",IF(L887="P0","core_mvp","extended_fallacies")))))))))</x:f>
        <x:v>extended_fallacies</x:v>
      </x:c>
      <x:c r="AC887" s="12" t="str">
        <x:f>IF(ISNUMBER(SEARCH("operational",J887)),"operational",IF(ISNUMBER(SEARCH("deprecated",J887)),"deprecated",IF(L887="P0","canonical","recognized_subtype")))</x:f>
        <x:v>operational</x:v>
      </x:c>
      <x:c r="AD887" s="12" t="str">
        <x:f>IF(AC887="canonical","high",IF(AC887="recognized_subtype","medium",IF(AC887="operational","operational_only","debated")))</x:f>
        <x:v>operational_only</x:v>
      </x:c>
      <x:c r="AE887" s="12" t="str">
        <x:f>IF(AC887="deprecated","deprecated",IF(M887="yes","active",IF(M887="review","review_required","backlog")))</x:f>
        <x:v>backlog</x:v>
      </x:c>
      <x:c r="AF887" s="12" t="str">
        <x:f>IF(OR(AE887="active",AE887="review_required"),"yes","no")</x:f>
        <x:v>no</x:v>
      </x:c>
      <x:c r="AG887" s="12" t="str">
        <x:f>IF(AND(AE887="active",M887="yes",NOT(ISNUMBER(SEARCH("healthy",AB887)))),"yes","no")</x:f>
        <x:v>no</x:v>
      </x:c>
      <x:c r="AH887" s="12" t="str">
        <x:f>IF(OR(H887="contextual",H887="dialogue",H887="discourse",I887="claim+context",I887="discourse_segment"),"yes","no")</x:f>
        <x:v>yes</x:v>
      </x:c>
      <x:c r="AI887" s="12" t="str">
        <x:f>IF(OR(AH887="yes",AD887="debated",AC887="operational"),"yes","no")</x:f>
        <x:v>yes</x:v>
      </x:c>
      <x:c r="AJ887" s="12" t="str">
        <x:f>IF(OR(AH887="yes",AC887="operational",AD887="debated"),"high",IF(AND(AG887="yes",L887="P0"),"medium","low"))</x:f>
        <x:v>high</x:v>
      </x:c>
      <x:c r="AK887" s="12" t="str">
        <x:f>IF(ISNUMBER(SEARCH("healthy",AB887)),"yes","no")</x:f>
        <x:v>no</x:v>
      </x:c>
      <x:c r="AL887" s="12" t="str">
        <x:f>IF(AG887="yes","yes","candidate_only")</x:f>
        <x:v>candidate_only</x:v>
      </x:c>
      <x:c r="AM887" s="12" t="str">
        <x:f>IF(OR(AC887="canonical",AG887="yes"),"yes","recommended")</x:f>
        <x:v>recommended</x:v>
      </x:c>
      <x:c r="AN887" s="12" t="str">
        <x:f>IF(AC887="deprecated","exclude",IF(AND(AG887="yes",AJ887="high"),"import_but_human_review_required",IF(AG887="yes","import_as_active","import_as_backlog")))</x:f>
        <x:v>import_as_backlog</x:v>
      </x:c>
      <x:c r="AO887" s="12" t="str">
        <x:f>IF(AND(AG887="yes",OR(P887="",Q887="",R887="",S887="")),"missing_required_mvp_fields",IF(AND(AC887="canonical",Y887=""),"missing_source_ref","ok"))</x:f>
        <x:v>ok</x:v>
      </x:c>
      <x:c r="AP887" s="12" t="str">
        <x:f>IF(AO887="ok","ready_for_codex_import","needs_review")</x:f>
        <x:v>ready_for_codex_import</x:v>
      </x:c>
      <x:c r="AQ887" s="12"/>
      <x:c r="AR887" s="12" t="str">
        <x:v>Added v2 operational fields. Review before classification activation.</x:v>
      </x:c>
    </x:row>
    <x:row r="888">
      <x:c r="A888" s="13" t="str">
        <x:v>scenario_neglect_forecast_variant</x:v>
      </x:c>
      <x:c r="B888" s="13" t="str">
        <x:v>scenario_neglect</x:v>
      </x:c>
      <x:c r="C888" s="13" t="str">
        <x:v>Scenario neglect</x:v>
      </x:c>
      <x:c r="D888" s="13" t="str">
        <x:v>نادیده‌گرفتن سناریوهای بدیل</x:v>
      </x:c>
      <x:c r="E888" s="13" t="str">
        <x:v>Forecasting variant</x:v>
      </x:c>
      <x:c r="F888" s="13" t="str">
        <x:v>uncertainty_calibration_failures</x:v>
      </x:c>
      <x:c r="G888" s="13" t="str">
        <x:v>operational_variant</x:v>
      </x:c>
      <x:c r="H888" s="13" t="str">
        <x:v>contextual</x:v>
      </x:c>
      <x:c r="I888" s="13" t="str">
        <x:v>claim+context</x:v>
      </x:c>
      <x:c r="J888" s="13" t="str">
        <x:v>derived_operational_subtype</x:v>
      </x:c>
      <x:c r="K888" s="13" t="str">
        <x:v>derived_from_established_parent_review_required</x:v>
      </x:c>
      <x:c r="L888" s="13" t="str">
        <x:v>P2</x:v>
      </x:c>
      <x:c r="M888" s="13" t="str">
        <x:v>no</x:v>
      </x:c>
      <x:c r="N888" s="13" t="str">
        <x:v>Operational subtype under Scenario neglect: prediction is made without horizon, assumptions, or alternatives. Parent definition: Failing to consider plausible alternative futures.</x:v>
      </x:c>
      <x:c r="O888" s="13" t="str">
        <x:v>Look for: explicit claim-level evidence; parent-family cues for Scenario neglect; variant cue: prediction is made without horizon, assumptions, or alternatives; avoid author-level inference.</x:v>
      </x:c>
      <x:c r="P888" s="13" t="str">
        <x:v>Exact evidence span in text plus claim-level reasoning link; for contextual/discourse entries, require surrounding context.</x:v>
      </x:c>
      <x:c r="Q888" s="13" t="str">
        <x:v>Do not label merely because topic is controversial, emotional, or wrong. Do not judge intent or personality. Require textual evidence and consider healthy-reasoning cues.</x:v>
      </x:c>
      <x:c r="R888" s="13" t="str">
        <x:v>Stub: A claim relies on prediction is made without horizon, assumptions, or alternatives to support a conclusion without adequate qualification.</x:v>
      </x:c>
      <x:c r="S888" s="13" t="str">
        <x:v>Stub: A claim discusses scenario neglect with caveats, balanced evidence, or no argumentative use of the pattern.</x:v>
      </x:c>
      <x:c r="T888" s="13" t="str">
        <x:v>Mild or ambiguous cue; do not classify without clear evidence span.</x:v>
      </x:c>
      <x:c r="U888" s="13" t="str">
        <x:v>Clear claim-level pattern with some argumentative impact.</x:v>
      </x:c>
      <x:c r="V888" s="13" t="str">
        <x:v>Strong pattern central to the conclusion and likely to materially distort reasoning.</x:v>
      </x:c>
      <x:c r="W888" s="13" t="str">
        <x:v>uncertainty_acknowledgement; confidence_calibration; scope_limitation</x:v>
      </x:c>
      <x:c r="X888" s="13" t="str">
        <x:v>stanovich_dual_process</x:v>
      </x:c>
      <x:c r="Y888" s="13" t="str">
        <x:v>https://global.oup.com/academic/product/rationality-and-the-reflective-mind-9780195341140</x:v>
      </x:c>
      <x:c r="Z888" s="13" t="str">
        <x:v>Review before enabling. This workbook is a living taxonomy scaffold, not a validated scientific benchmark.</x:v>
      </x:c>
      <x:c r="AA888" s="13" t="str">
        <x:v>0.1.0-draft</x:v>
      </x:c>
      <x:c r="AB888" s="12" t="str">
        <x:f>IF(ISNUMBER(SEARCH("healthy",F888)),"healthy_reasoning_patterns",IF(ISNUMBER(SEARCH("statistical",F888)),"statistical_reasoning",IF(ISNUMBER(SEARCH("causal",F888)),"causal_reasoning",IF(ISNUMBER(SEARCH("social",F888)),"social_influence",IF(ISNUMBER(SEARCH("rhetoric",F888)),"rhetoric_discourse",IF(ISNUMBER(SEARCH("behavior",F888)),"behavioural_economics",IF(ISNUMBER(SEARCH("cognitive",F888)),"cognitive_biases",IF(J888="protective_pattern","healthy_reasoning_patterns",IF(L888="P0","core_mvp","extended_fallacies")))))))))</x:f>
        <x:v>extended_fallacies</x:v>
      </x:c>
      <x:c r="AC888" s="12" t="str">
        <x:f>IF(ISNUMBER(SEARCH("operational",J888)),"operational",IF(ISNUMBER(SEARCH("deprecated",J888)),"deprecated",IF(L888="P0","canonical","recognized_subtype")))</x:f>
        <x:v>operational</x:v>
      </x:c>
      <x:c r="AD888" s="12" t="str">
        <x:f>IF(AC888="canonical","high",IF(AC888="recognized_subtype","medium",IF(AC888="operational","operational_only","debated")))</x:f>
        <x:v>operational_only</x:v>
      </x:c>
      <x:c r="AE888" s="12" t="str">
        <x:f>IF(AC888="deprecated","deprecated",IF(M888="yes","active",IF(M888="review","review_required","backlog")))</x:f>
        <x:v>backlog</x:v>
      </x:c>
      <x:c r="AF888" s="12" t="str">
        <x:f>IF(OR(AE888="active",AE888="review_required"),"yes","no")</x:f>
        <x:v>no</x:v>
      </x:c>
      <x:c r="AG888" s="12" t="str">
        <x:f>IF(AND(AE888="active",M888="yes",NOT(ISNUMBER(SEARCH("healthy",AB888)))),"yes","no")</x:f>
        <x:v>no</x:v>
      </x:c>
      <x:c r="AH888" s="12" t="str">
        <x:f>IF(OR(H888="contextual",H888="dialogue",H888="discourse",I888="claim+context",I888="discourse_segment"),"yes","no")</x:f>
        <x:v>yes</x:v>
      </x:c>
      <x:c r="AI888" s="12" t="str">
        <x:f>IF(OR(AH888="yes",AD888="debated",AC888="operational"),"yes","no")</x:f>
        <x:v>yes</x:v>
      </x:c>
      <x:c r="AJ888" s="12" t="str">
        <x:f>IF(OR(AH888="yes",AC888="operational",AD888="debated"),"high",IF(AND(AG888="yes",L888="P0"),"medium","low"))</x:f>
        <x:v>high</x:v>
      </x:c>
      <x:c r="AK888" s="12" t="str">
        <x:f>IF(ISNUMBER(SEARCH("healthy",AB888)),"yes","no")</x:f>
        <x:v>no</x:v>
      </x:c>
      <x:c r="AL888" s="12" t="str">
        <x:f>IF(AG888="yes","yes","candidate_only")</x:f>
        <x:v>candidate_only</x:v>
      </x:c>
      <x:c r="AM888" s="12" t="str">
        <x:f>IF(OR(AC888="canonical",AG888="yes"),"yes","recommended")</x:f>
        <x:v>recommended</x:v>
      </x:c>
      <x:c r="AN888" s="12" t="str">
        <x:f>IF(AC888="deprecated","exclude",IF(AND(AG888="yes",AJ888="high"),"import_but_human_review_required",IF(AG888="yes","import_as_active","import_as_backlog")))</x:f>
        <x:v>import_as_backlog</x:v>
      </x:c>
      <x:c r="AO888" s="12" t="str">
        <x:f>IF(AND(AG888="yes",OR(P888="",Q888="",R888="",S888="")),"missing_required_mvp_fields",IF(AND(AC888="canonical",Y888=""),"missing_source_ref","ok"))</x:f>
        <x:v>ok</x:v>
      </x:c>
      <x:c r="AP888" s="12" t="str">
        <x:f>IF(AO888="ok","ready_for_codex_import","needs_review")</x:f>
        <x:v>ready_for_codex_import</x:v>
      </x:c>
      <x:c r="AQ888" s="12"/>
      <x:c r="AR888" s="12" t="str">
        <x:v>Added v2 operational fields. Review before classification activation.</x:v>
      </x:c>
    </x:row>
    <x:row r="889">
      <x:c r="A889" s="13" t="str">
        <x:v>alternative_explanation_neglect_forecast_variant</x:v>
      </x:c>
      <x:c r="B889" s="13" t="str">
        <x:v>alternative_explanation_neglect</x:v>
      </x:c>
      <x:c r="C889" s="13" t="str">
        <x:v>Alternative explanation neglect</x:v>
      </x:c>
      <x:c r="D889" s="13" t="str">
        <x:v>نادیده گرفتن توضیح بدیل</x:v>
      </x:c>
      <x:c r="E889" s="13" t="str">
        <x:v>Forecasting variant</x:v>
      </x:c>
      <x:c r="F889" s="13" t="str">
        <x:v>uncertainty_calibration_failures</x:v>
      </x:c>
      <x:c r="G889" s="13" t="str">
        <x:v>operational_variant</x:v>
      </x:c>
      <x:c r="H889" s="13" t="str">
        <x:v>contextual</x:v>
      </x:c>
      <x:c r="I889" s="13" t="str">
        <x:v>claim+context</x:v>
      </x:c>
      <x:c r="J889" s="13" t="str">
        <x:v>derived_operational_subtype</x:v>
      </x:c>
      <x:c r="K889" s="13" t="str">
        <x:v>derived_from_established_parent_review_required</x:v>
      </x:c>
      <x:c r="L889" s="13" t="str">
        <x:v>P2</x:v>
      </x:c>
      <x:c r="M889" s="13" t="str">
        <x:v>no</x:v>
      </x:c>
      <x:c r="N889" s="13" t="str">
        <x:v>Operational subtype under Alternative explanation neglect: prediction is made without horizon, assumptions, or alternatives. Parent definition: Ignoring plausible alternative explanations for observed evidence.</x:v>
      </x:c>
      <x:c r="O889" s="13" t="str">
        <x:v>Look for: explicit claim-level evidence; parent-family cues for Alternative explanation neglect; variant cue: prediction is made without horizon, assumptions, or alternatives; avoid author-level inference.</x:v>
      </x:c>
      <x:c r="P889" s="13" t="str">
        <x:v>Exact evidence span in text plus claim-level reasoning link; for contextual/discourse entries, require surrounding context.</x:v>
      </x:c>
      <x:c r="Q889" s="13" t="str">
        <x:v>Do not label merely because topic is controversial, emotional, or wrong. Do not judge intent or personality. Require textual evidence and consider healthy-reasoning cues.</x:v>
      </x:c>
      <x:c r="R889" s="13" t="str">
        <x:v>Stub: A claim relies on prediction is made without horizon, assumptions, or alternatives to support a conclusion without adequate qualification.</x:v>
      </x:c>
      <x:c r="S889" s="13" t="str">
        <x:v>Stub: A claim discusses alternative explanation neglect with caveats, balanced evidence, or no argumentative use of the pattern.</x:v>
      </x:c>
      <x:c r="T889" s="13" t="str">
        <x:v>Mild or ambiguous cue; do not classify without clear evidence span.</x:v>
      </x:c>
      <x:c r="U889" s="13" t="str">
        <x:v>Clear claim-level pattern with some argumentative impact.</x:v>
      </x:c>
      <x:c r="V889" s="13" t="str">
        <x:v>Strong pattern central to the conclusion and likely to materially distort reasoning.</x:v>
      </x:c>
      <x:c r="W889" s="13" t="str">
        <x:v>cherry_picking; missing_counterevidence; evidence_grading</x:v>
      </x:c>
      <x:c r="X889" s="13" t="str">
        <x:v>toulmin_uses_argument</x:v>
      </x:c>
      <x:c r="Y889" s="13" t="str">
        <x:v>https://doi.org/10.1017/CBO9780511840005</x:v>
      </x:c>
      <x:c r="Z889" s="13" t="str">
        <x:v>Review before enabling. This workbook is a living taxonomy scaffold, not a validated scientific benchmark.</x:v>
      </x:c>
      <x:c r="AA889" s="13" t="str">
        <x:v>0.1.0-draft</x:v>
      </x:c>
      <x:c r="AB889" s="12" t="str">
        <x:f>IF(ISNUMBER(SEARCH("healthy",F889)),"healthy_reasoning_patterns",IF(ISNUMBER(SEARCH("statistical",F889)),"statistical_reasoning",IF(ISNUMBER(SEARCH("causal",F889)),"causal_reasoning",IF(ISNUMBER(SEARCH("social",F889)),"social_influence",IF(ISNUMBER(SEARCH("rhetoric",F889)),"rhetoric_discourse",IF(ISNUMBER(SEARCH("behavior",F889)),"behavioural_economics",IF(ISNUMBER(SEARCH("cognitive",F889)),"cognitive_biases",IF(J889="protective_pattern","healthy_reasoning_patterns",IF(L889="P0","core_mvp","extended_fallacies")))))))))</x:f>
        <x:v>extended_fallacies</x:v>
      </x:c>
      <x:c r="AC889" s="12" t="str">
        <x:f>IF(ISNUMBER(SEARCH("operational",J889)),"operational",IF(ISNUMBER(SEARCH("deprecated",J889)),"deprecated",IF(L889="P0","canonical","recognized_subtype")))</x:f>
        <x:v>operational</x:v>
      </x:c>
      <x:c r="AD889" s="12" t="str">
        <x:f>IF(AC889="canonical","high",IF(AC889="recognized_subtype","medium",IF(AC889="operational","operational_only","debated")))</x:f>
        <x:v>operational_only</x:v>
      </x:c>
      <x:c r="AE889" s="12" t="str">
        <x:f>IF(AC889="deprecated","deprecated",IF(M889="yes","active",IF(M889="review","review_required","backlog")))</x:f>
        <x:v>backlog</x:v>
      </x:c>
      <x:c r="AF889" s="12" t="str">
        <x:f>IF(OR(AE889="active",AE889="review_required"),"yes","no")</x:f>
        <x:v>no</x:v>
      </x:c>
      <x:c r="AG889" s="12" t="str">
        <x:f>IF(AND(AE889="active",M889="yes",NOT(ISNUMBER(SEARCH("healthy",AB889)))),"yes","no")</x:f>
        <x:v>no</x:v>
      </x:c>
      <x:c r="AH889" s="12" t="str">
        <x:f>IF(OR(H889="contextual",H889="dialogue",H889="discourse",I889="claim+context",I889="discourse_segment"),"yes","no")</x:f>
        <x:v>yes</x:v>
      </x:c>
      <x:c r="AI889" s="12" t="str">
        <x:f>IF(OR(AH889="yes",AD889="debated",AC889="operational"),"yes","no")</x:f>
        <x:v>yes</x:v>
      </x:c>
      <x:c r="AJ889" s="12" t="str">
        <x:f>IF(OR(AH889="yes",AC889="operational",AD889="debated"),"high",IF(AND(AG889="yes",L889="P0"),"medium","low"))</x:f>
        <x:v>high</x:v>
      </x:c>
      <x:c r="AK889" s="12" t="str">
        <x:f>IF(ISNUMBER(SEARCH("healthy",AB889)),"yes","no")</x:f>
        <x:v>no</x:v>
      </x:c>
      <x:c r="AL889" s="12" t="str">
        <x:f>IF(AG889="yes","yes","candidate_only")</x:f>
        <x:v>candidate_only</x:v>
      </x:c>
      <x:c r="AM889" s="12" t="str">
        <x:f>IF(OR(AC889="canonical",AG889="yes"),"yes","recommended")</x:f>
        <x:v>recommended</x:v>
      </x:c>
      <x:c r="AN889" s="12" t="str">
        <x:f>IF(AC889="deprecated","exclude",IF(AND(AG889="yes",AJ889="high"),"import_but_human_review_required",IF(AG889="yes","import_as_active","import_as_backlog")))</x:f>
        <x:v>import_as_backlog</x:v>
      </x:c>
      <x:c r="AO889" s="12" t="str">
        <x:f>IF(AND(AG889="yes",OR(P889="",Q889="",R889="",S889="")),"missing_required_mvp_fields",IF(AND(AC889="canonical",Y889=""),"missing_source_ref","ok"))</x:f>
        <x:v>ok</x:v>
      </x:c>
      <x:c r="AP889" s="12" t="str">
        <x:f>IF(AO889="ok","ready_for_codex_import","needs_review")</x:f>
        <x:v>ready_for_codex_import</x:v>
      </x:c>
      <x:c r="AQ889" s="12"/>
      <x:c r="AR889" s="12" t="str">
        <x:v>Added v2 operational fields. Review before classification activation.</x:v>
      </x:c>
    </x:row>
    <x:row r="890">
      <x:c r="A890" s="13" t="str">
        <x:v>model_overfit_claim_forecast_variant</x:v>
      </x:c>
      <x:c r="B890" s="13" t="str">
        <x:v>model_overfit_claim</x:v>
      </x:c>
      <x:c r="C890" s="13" t="str">
        <x:v>Model overfit claim</x:v>
      </x:c>
      <x:c r="D890" s="13" t="str">
        <x:v>ادعای مدل بیش‌برازش‌یافته</x:v>
      </x:c>
      <x:c r="E890" s="13" t="str">
        <x:v>Forecasting variant</x:v>
      </x:c>
      <x:c r="F890" s="13" t="str">
        <x:v>uncertainty_calibration_failures</x:v>
      </x:c>
      <x:c r="G890" s="13" t="str">
        <x:v>operational_variant</x:v>
      </x:c>
      <x:c r="H890" s="13" t="str">
        <x:v>contextual</x:v>
      </x:c>
      <x:c r="I890" s="13" t="str">
        <x:v>claim+context</x:v>
      </x:c>
      <x:c r="J890" s="13" t="str">
        <x:v>derived_operational_subtype</x:v>
      </x:c>
      <x:c r="K890" s="13" t="str">
        <x:v>derived_from_established_parent_review_required</x:v>
      </x:c>
      <x:c r="L890" s="13" t="str">
        <x:v>P2</x:v>
      </x:c>
      <x:c r="M890" s="13" t="str">
        <x:v>no</x:v>
      </x:c>
      <x:c r="N890" s="13" t="str">
        <x:v>Operational subtype under Model overfit claim: prediction is made without horizon, assumptions, or alternatives. Parent definition: Treating model fit as reliable prediction without validation.</x:v>
      </x:c>
      <x:c r="O890" s="13" t="str">
        <x:v>Look for: explicit claim-level evidence; parent-family cues for Model overfit claim; variant cue: prediction is made without horizon, assumptions, or alternatives; avoid author-level inference.</x:v>
      </x:c>
      <x:c r="P890" s="13" t="str">
        <x:v>Exact evidence span in text plus claim-level reasoning link; for contextual/discourse entries, require surrounding context.</x:v>
      </x:c>
      <x:c r="Q890" s="13" t="str">
        <x:v>Do not label merely because topic is controversial, emotional, or wrong. Do not judge intent or personality. Require textual evidence and consider healthy-reasoning cues.</x:v>
      </x:c>
      <x:c r="R890" s="13" t="str">
        <x:v>Stub: A claim relies on prediction is made without horizon, assumptions, or alternatives to support a conclusion without adequate qualification.</x:v>
      </x:c>
      <x:c r="S890" s="13" t="str">
        <x:v>Stub: A claim discusses model overfit claim with caveats, balanced evidence, or no argumentative use of the pattern.</x:v>
      </x:c>
      <x:c r="T890" s="13" t="str">
        <x:v>Mild or ambiguous cue; do not classify without clear evidence span.</x:v>
      </x:c>
      <x:c r="U890" s="13" t="str">
        <x:v>Clear claim-level pattern with some argumentative impact.</x:v>
      </x:c>
      <x:c r="V890" s="13" t="str">
        <x:v>Strong pattern central to the conclusion and likely to materially distort reasoning.</x:v>
      </x:c>
      <x:c r="W890" s="13" t="str">
        <x:v>uncertainty_acknowledgement; confidence_calibration; scope_limitation</x:v>
      </x:c>
      <x:c r="X890" s="13" t="str">
        <x:v>stanovich_dual_process</x:v>
      </x:c>
      <x:c r="Y890" s="13" t="str">
        <x:v>https://global.oup.com/academic/product/rationality-and-the-reflective-mind-9780195341140</x:v>
      </x:c>
      <x:c r="Z890" s="13" t="str">
        <x:v>Review before enabling. This workbook is a living taxonomy scaffold, not a validated scientific benchmark.</x:v>
      </x:c>
      <x:c r="AA890" s="13" t="str">
        <x:v>0.1.0-draft</x:v>
      </x:c>
      <x:c r="AB890" s="12" t="str">
        <x:f>IF(ISNUMBER(SEARCH("healthy",F890)),"healthy_reasoning_patterns",IF(ISNUMBER(SEARCH("statistical",F890)),"statistical_reasoning",IF(ISNUMBER(SEARCH("causal",F890)),"causal_reasoning",IF(ISNUMBER(SEARCH("social",F890)),"social_influence",IF(ISNUMBER(SEARCH("rhetoric",F890)),"rhetoric_discourse",IF(ISNUMBER(SEARCH("behavior",F890)),"behavioural_economics",IF(ISNUMBER(SEARCH("cognitive",F890)),"cognitive_biases",IF(J890="protective_pattern","healthy_reasoning_patterns",IF(L890="P0","core_mvp","extended_fallacies")))))))))</x:f>
        <x:v>extended_fallacies</x:v>
      </x:c>
      <x:c r="AC890" s="12" t="str">
        <x:f>IF(ISNUMBER(SEARCH("operational",J890)),"operational",IF(ISNUMBER(SEARCH("deprecated",J890)),"deprecated",IF(L890="P0","canonical","recognized_subtype")))</x:f>
        <x:v>operational</x:v>
      </x:c>
      <x:c r="AD890" s="12" t="str">
        <x:f>IF(AC890="canonical","high",IF(AC890="recognized_subtype","medium",IF(AC890="operational","operational_only","debated")))</x:f>
        <x:v>operational_only</x:v>
      </x:c>
      <x:c r="AE890" s="12" t="str">
        <x:f>IF(AC890="deprecated","deprecated",IF(M890="yes","active",IF(M890="review","review_required","backlog")))</x:f>
        <x:v>backlog</x:v>
      </x:c>
      <x:c r="AF890" s="12" t="str">
        <x:f>IF(OR(AE890="active",AE890="review_required"),"yes","no")</x:f>
        <x:v>no</x:v>
      </x:c>
      <x:c r="AG890" s="12" t="str">
        <x:f>IF(AND(AE890="active",M890="yes",NOT(ISNUMBER(SEARCH("healthy",AB890)))),"yes","no")</x:f>
        <x:v>no</x:v>
      </x:c>
      <x:c r="AH890" s="12" t="str">
        <x:f>IF(OR(H890="contextual",H890="dialogue",H890="discourse",I890="claim+context",I890="discourse_segment"),"yes","no")</x:f>
        <x:v>yes</x:v>
      </x:c>
      <x:c r="AI890" s="12" t="str">
        <x:f>IF(OR(AH890="yes",AD890="debated",AC890="operational"),"yes","no")</x:f>
        <x:v>yes</x:v>
      </x:c>
      <x:c r="AJ890" s="12" t="str">
        <x:f>IF(OR(AH890="yes",AC890="operational",AD890="debated"),"high",IF(AND(AG890="yes",L890="P0"),"medium","low"))</x:f>
        <x:v>high</x:v>
      </x:c>
      <x:c r="AK890" s="12" t="str">
        <x:f>IF(ISNUMBER(SEARCH("healthy",AB890)),"yes","no")</x:f>
        <x:v>no</x:v>
      </x:c>
      <x:c r="AL890" s="12" t="str">
        <x:f>IF(AG890="yes","yes","candidate_only")</x:f>
        <x:v>candidate_only</x:v>
      </x:c>
      <x:c r="AM890" s="12" t="str">
        <x:f>IF(OR(AC890="canonical",AG890="yes"),"yes","recommended")</x:f>
        <x:v>recommended</x:v>
      </x:c>
      <x:c r="AN890" s="12" t="str">
        <x:f>IF(AC890="deprecated","exclude",IF(AND(AG890="yes",AJ890="high"),"import_but_human_review_required",IF(AG890="yes","import_as_active","import_as_backlog")))</x:f>
        <x:v>import_as_backlog</x:v>
      </x:c>
      <x:c r="AO890" s="12" t="str">
        <x:f>IF(AND(AG890="yes",OR(P890="",Q890="",R890="",S890="")),"missing_required_mvp_fields",IF(AND(AC890="canonical",Y890=""),"missing_source_ref","ok"))</x:f>
        <x:v>ok</x:v>
      </x:c>
      <x:c r="AP890" s="12" t="str">
        <x:f>IF(AO890="ok","ready_for_codex_import","needs_review")</x:f>
        <x:v>ready_for_codex_import</x:v>
      </x:c>
      <x:c r="AQ890" s="12"/>
      <x:c r="AR890" s="12" t="str">
        <x:v>Added v2 operational fields. Review before classification activation.</x:v>
      </x:c>
    </x:row>
    <x:row r="891">
      <x:c r="A891" s="13" t="str">
        <x:v>domain_transfer_overreach_forecast_variant</x:v>
      </x:c>
      <x:c r="B891" s="13" t="str">
        <x:v>domain_transfer_overreach</x:v>
      </x:c>
      <x:c r="C891" s="13" t="str">
        <x:v>Domain transfer overreach</x:v>
      </x:c>
      <x:c r="D891" s="13" t="str">
        <x:v>تعمیم بین‌حوزه‌ای افراطی</x:v>
      </x:c>
      <x:c r="E891" s="13" t="str">
        <x:v>Forecasting variant</x:v>
      </x:c>
      <x:c r="F891" s="13" t="str">
        <x:v>uncertainty_calibration_failures</x:v>
      </x:c>
      <x:c r="G891" s="13" t="str">
        <x:v>operational_variant</x:v>
      </x:c>
      <x:c r="H891" s="13" t="str">
        <x:v>contextual</x:v>
      </x:c>
      <x:c r="I891" s="13" t="str">
        <x:v>claim+context</x:v>
      </x:c>
      <x:c r="J891" s="13" t="str">
        <x:v>derived_operational_subtype</x:v>
      </x:c>
      <x:c r="K891" s="13" t="str">
        <x:v>derived_from_established_parent_review_required</x:v>
      </x:c>
      <x:c r="L891" s="13" t="str">
        <x:v>P2</x:v>
      </x:c>
      <x:c r="M891" s="13" t="str">
        <x:v>no</x:v>
      </x:c>
      <x:c r="N891" s="13" t="str">
        <x:v>Operational subtype under Domain transfer overreach: prediction is made without horizon, assumptions, or alternatives. Parent definition: Applying evidence from one domain to another without justification.</x:v>
      </x:c>
      <x:c r="O891" s="13" t="str">
        <x:v>Look for: explicit claim-level evidence; parent-family cues for Domain transfer overreach; variant cue: prediction is made without horizon, assumptions, or alternatives; avoid author-level inference.</x:v>
      </x:c>
      <x:c r="P891" s="13" t="str">
        <x:v>Exact evidence span in text plus claim-level reasoning link; for contextual/discourse entries, require surrounding context.</x:v>
      </x:c>
      <x:c r="Q891" s="13" t="str">
        <x:v>Do not label merely because topic is controversial, emotional, or wrong. Do not judge intent or personality. Require textual evidence and consider healthy-reasoning cues.</x:v>
      </x:c>
      <x:c r="R891" s="13" t="str">
        <x:v>Stub: A claim relies on prediction is made without horizon, assumptions, or alternatives to support a conclusion without adequate qualification.</x:v>
      </x:c>
      <x:c r="S891" s="13" t="str">
        <x:v>Stub: A claim discusses domain transfer overreach with caveats, balanced evidence, or no argumentative use of the pattern.</x:v>
      </x:c>
      <x:c r="T891" s="13" t="str">
        <x:v>Mild or ambiguous cue; do not classify without clear evidence span.</x:v>
      </x:c>
      <x:c r="U891" s="13" t="str">
        <x:v>Clear claim-level pattern with some argumentative impact.</x:v>
      </x:c>
      <x:c r="V891" s="13" t="str">
        <x:v>Strong pattern central to the conclusion and likely to materially distort reasoning.</x:v>
      </x:c>
      <x:c r="W891" s="13" t="str">
        <x:v>cherry_picking; missing_counterevidence; evidence_grading</x:v>
      </x:c>
      <x:c r="X891" s="13" t="str">
        <x:v>toulmin_uses_argument</x:v>
      </x:c>
      <x:c r="Y891" s="13" t="str">
        <x:v>https://doi.org/10.1017/CBO9780511840005</x:v>
      </x:c>
      <x:c r="Z891" s="13" t="str">
        <x:v>Review before enabling. This workbook is a living taxonomy scaffold, not a validated scientific benchmark.</x:v>
      </x:c>
      <x:c r="AA891" s="13" t="str">
        <x:v>0.1.0-draft</x:v>
      </x:c>
      <x:c r="AB891" s="12" t="str">
        <x:f>IF(ISNUMBER(SEARCH("healthy",F891)),"healthy_reasoning_patterns",IF(ISNUMBER(SEARCH("statistical",F891)),"statistical_reasoning",IF(ISNUMBER(SEARCH("causal",F891)),"causal_reasoning",IF(ISNUMBER(SEARCH("social",F891)),"social_influence",IF(ISNUMBER(SEARCH("rhetoric",F891)),"rhetoric_discourse",IF(ISNUMBER(SEARCH("behavior",F891)),"behavioural_economics",IF(ISNUMBER(SEARCH("cognitive",F891)),"cognitive_biases",IF(J891="protective_pattern","healthy_reasoning_patterns",IF(L891="P0","core_mvp","extended_fallacies")))))))))</x:f>
        <x:v>extended_fallacies</x:v>
      </x:c>
      <x:c r="AC891" s="12" t="str">
        <x:f>IF(ISNUMBER(SEARCH("operational",J891)),"operational",IF(ISNUMBER(SEARCH("deprecated",J891)),"deprecated",IF(L891="P0","canonical","recognized_subtype")))</x:f>
        <x:v>operational</x:v>
      </x:c>
      <x:c r="AD891" s="12" t="str">
        <x:f>IF(AC891="canonical","high",IF(AC891="recognized_subtype","medium",IF(AC891="operational","operational_only","debated")))</x:f>
        <x:v>operational_only</x:v>
      </x:c>
      <x:c r="AE891" s="12" t="str">
        <x:f>IF(AC891="deprecated","deprecated",IF(M891="yes","active",IF(M891="review","review_required","backlog")))</x:f>
        <x:v>backlog</x:v>
      </x:c>
      <x:c r="AF891" s="12" t="str">
        <x:f>IF(OR(AE891="active",AE891="review_required"),"yes","no")</x:f>
        <x:v>no</x:v>
      </x:c>
      <x:c r="AG891" s="12" t="str">
        <x:f>IF(AND(AE891="active",M891="yes",NOT(ISNUMBER(SEARCH("healthy",AB891)))),"yes","no")</x:f>
        <x:v>no</x:v>
      </x:c>
      <x:c r="AH891" s="12" t="str">
        <x:f>IF(OR(H891="contextual",H891="dialogue",H891="discourse",I891="claim+context",I891="discourse_segment"),"yes","no")</x:f>
        <x:v>yes</x:v>
      </x:c>
      <x:c r="AI891" s="12" t="str">
        <x:f>IF(OR(AH891="yes",AD891="debated",AC891="operational"),"yes","no")</x:f>
        <x:v>yes</x:v>
      </x:c>
      <x:c r="AJ891" s="12" t="str">
        <x:f>IF(OR(AH891="yes",AC891="operational",AD891="debated"),"high",IF(AND(AG891="yes",L891="P0"),"medium","low"))</x:f>
        <x:v>high</x:v>
      </x:c>
      <x:c r="AK891" s="12" t="str">
        <x:f>IF(ISNUMBER(SEARCH("healthy",AB891)),"yes","no")</x:f>
        <x:v>no</x:v>
      </x:c>
      <x:c r="AL891" s="12" t="str">
        <x:f>IF(AG891="yes","yes","candidate_only")</x:f>
        <x:v>candidate_only</x:v>
      </x:c>
      <x:c r="AM891" s="12" t="str">
        <x:f>IF(OR(AC891="canonical",AG891="yes"),"yes","recommended")</x:f>
        <x:v>recommended</x:v>
      </x:c>
      <x:c r="AN891" s="12" t="str">
        <x:f>IF(AC891="deprecated","exclude",IF(AND(AG891="yes",AJ891="high"),"import_but_human_review_required",IF(AG891="yes","import_as_active","import_as_backlog")))</x:f>
        <x:v>import_as_backlog</x:v>
      </x:c>
      <x:c r="AO891" s="12" t="str">
        <x:f>IF(AND(AG891="yes",OR(P891="",Q891="",R891="",S891="")),"missing_required_mvp_fields",IF(AND(AC891="canonical",Y891=""),"missing_source_ref","ok"))</x:f>
        <x:v>ok</x:v>
      </x:c>
      <x:c r="AP891" s="12" t="str">
        <x:f>IF(AO891="ok","ready_for_codex_import","needs_review")</x:f>
        <x:v>ready_for_codex_import</x:v>
      </x:c>
      <x:c r="AQ891" s="12"/>
      <x:c r="AR891" s="12" t="str">
        <x:v>Added v2 operational fields. Review before classification activation.</x:v>
      </x:c>
    </x:row>
    <x:row r="892">
      <x:c r="A892" s="13" t="str">
        <x:v>unqualified_universal_claim_forecast_variant</x:v>
      </x:c>
      <x:c r="B892" s="13" t="str">
        <x:v>unqualified_universal_claim</x:v>
      </x:c>
      <x:c r="C892" s="13" t="str">
        <x:v>Unqualified universal claim</x:v>
      </x:c>
      <x:c r="D892" s="13" t="str">
        <x:v>ادعای کلی بدون قید</x:v>
      </x:c>
      <x:c r="E892" s="13" t="str">
        <x:v>Forecasting variant</x:v>
      </x:c>
      <x:c r="F892" s="13" t="str">
        <x:v>uncertainty_calibration_failures</x:v>
      </x:c>
      <x:c r="G892" s="13" t="str">
        <x:v>operational_variant</x:v>
      </x:c>
      <x:c r="H892" s="13" t="str">
        <x:v>lexical</x:v>
      </x:c>
      <x:c r="I892" s="13" t="str">
        <x:v>claim</x:v>
      </x:c>
      <x:c r="J892" s="13" t="str">
        <x:v>derived_operational_subtype</x:v>
      </x:c>
      <x:c r="K892" s="13" t="str">
        <x:v>derived_from_established_parent_review_required</x:v>
      </x:c>
      <x:c r="L892" s="13" t="str">
        <x:v>P2</x:v>
      </x:c>
      <x:c r="M892" s="13" t="str">
        <x:v>no</x:v>
      </x:c>
      <x:c r="N892" s="13" t="str">
        <x:v>Operational subtype under Unqualified universal claim: prediction is made without horizon, assumptions, or alternatives. Parent definition: Using always, never, all, or none without support.</x:v>
      </x:c>
      <x:c r="O892" s="13" t="str">
        <x:v>Look for: explicit claim-level evidence; parent-family cues for Unqualified universal claim; variant cue: prediction is made without horizon, assumptions, or alternatives; avoid author-level inference.</x:v>
      </x:c>
      <x:c r="P892" s="13" t="str">
        <x:v>Exact evidence span in text plus claim-level reasoning link; for contextual/discourse entries, require surrounding context.</x:v>
      </x:c>
      <x:c r="Q892" s="13" t="str">
        <x:v>Do not label merely because topic is controversial, emotional, or wrong. Do not judge intent or personality. Require textual evidence and consider healthy-reasoning cues.</x:v>
      </x:c>
      <x:c r="R892" s="13" t="str">
        <x:v>Stub: A claim relies on prediction is made without horizon, assumptions, or alternatives to support a conclusion without adequate qualification.</x:v>
      </x:c>
      <x:c r="S892" s="13" t="str">
        <x:v>Stub: A claim discusses unqualified universal claim with caveats, balanced evidence, or no argumentative use of the pattern.</x:v>
      </x:c>
      <x:c r="T892" s="13" t="str">
        <x:v>Mild or ambiguous cue; do not classify without clear evidence span.</x:v>
      </x:c>
      <x:c r="U892" s="13" t="str">
        <x:v>Clear claim-level pattern with some argumentative impact.</x:v>
      </x:c>
      <x:c r="V892" s="13" t="str">
        <x:v>Strong pattern central to the conclusion and likely to materially distort reasoning.</x:v>
      </x:c>
      <x:c r="W892" s="13" t="str">
        <x:v>uncertainty_acknowledgement; confidence_calibration; scope_limitation</x:v>
      </x:c>
      <x:c r="X892" s="13" t="str">
        <x:v>sep_informal_logic</x:v>
      </x:c>
      <x:c r="Y892" s="13" t="str">
        <x:v>https://plato.stanford.edu/entries/logic-informal/</x:v>
      </x:c>
      <x:c r="Z892" s="13" t="str">
        <x:v>Review before enabling. This workbook is a living taxonomy scaffold, not a validated scientific benchmark.</x:v>
      </x:c>
      <x:c r="AA892" s="13" t="str">
        <x:v>0.1.0-draft</x:v>
      </x:c>
      <x:c r="AB892" s="12" t="str">
        <x:f>IF(ISNUMBER(SEARCH("healthy",F892)),"healthy_reasoning_patterns",IF(ISNUMBER(SEARCH("statistical",F892)),"statistical_reasoning",IF(ISNUMBER(SEARCH("causal",F892)),"causal_reasoning",IF(ISNUMBER(SEARCH("social",F892)),"social_influence",IF(ISNUMBER(SEARCH("rhetoric",F892)),"rhetoric_discourse",IF(ISNUMBER(SEARCH("behavior",F892)),"behavioural_economics",IF(ISNUMBER(SEARCH("cognitive",F892)),"cognitive_biases",IF(J892="protective_pattern","healthy_reasoning_patterns",IF(L892="P0","core_mvp","extended_fallacies")))))))))</x:f>
        <x:v>extended_fallacies</x:v>
      </x:c>
      <x:c r="AC892" s="12" t="str">
        <x:f>IF(ISNUMBER(SEARCH("operational",J892)),"operational",IF(ISNUMBER(SEARCH("deprecated",J892)),"deprecated",IF(L892="P0","canonical","recognized_subtype")))</x:f>
        <x:v>operational</x:v>
      </x:c>
      <x:c r="AD892" s="12" t="str">
        <x:f>IF(AC892="canonical","high",IF(AC892="recognized_subtype","medium",IF(AC892="operational","operational_only","debated")))</x:f>
        <x:v>operational_only</x:v>
      </x:c>
      <x:c r="AE892" s="12" t="str">
        <x:f>IF(AC892="deprecated","deprecated",IF(M892="yes","active",IF(M892="review","review_required","backlog")))</x:f>
        <x:v>backlog</x:v>
      </x:c>
      <x:c r="AF892" s="12" t="str">
        <x:f>IF(OR(AE892="active",AE892="review_required"),"yes","no")</x:f>
        <x:v>no</x:v>
      </x:c>
      <x:c r="AG892" s="12" t="str">
        <x:f>IF(AND(AE892="active",M892="yes",NOT(ISNUMBER(SEARCH("healthy",AB892)))),"yes","no")</x:f>
        <x:v>no</x:v>
      </x:c>
      <x:c r="AH892" s="12" t="str">
        <x:f>IF(OR(H892="contextual",H892="dialogue",H892="discourse",I892="claim+context",I892="discourse_segment"),"yes","no")</x:f>
        <x:v>no</x:v>
      </x:c>
      <x:c r="AI892" s="12" t="str">
        <x:f>IF(OR(AH892="yes",AD892="debated",AC892="operational"),"yes","no")</x:f>
        <x:v>yes</x:v>
      </x:c>
      <x:c r="AJ892" s="12" t="str">
        <x:f>IF(OR(AH892="yes",AC892="operational",AD892="debated"),"high",IF(AND(AG892="yes",L892="P0"),"medium","low"))</x:f>
        <x:v>high</x:v>
      </x:c>
      <x:c r="AK892" s="12" t="str">
        <x:f>IF(ISNUMBER(SEARCH("healthy",AB892)),"yes","no")</x:f>
        <x:v>no</x:v>
      </x:c>
      <x:c r="AL892" s="12" t="str">
        <x:f>IF(AG892="yes","yes","candidate_only")</x:f>
        <x:v>candidate_only</x:v>
      </x:c>
      <x:c r="AM892" s="12" t="str">
        <x:f>IF(OR(AC892="canonical",AG892="yes"),"yes","recommended")</x:f>
        <x:v>recommended</x:v>
      </x:c>
      <x:c r="AN892" s="12" t="str">
        <x:f>IF(AC892="deprecated","exclude",IF(AND(AG892="yes",AJ892="high"),"import_but_human_review_required",IF(AG892="yes","import_as_active","import_as_backlog")))</x:f>
        <x:v>import_as_backlog</x:v>
      </x:c>
      <x:c r="AO892" s="12" t="str">
        <x:f>IF(AND(AG892="yes",OR(P892="",Q892="",R892="",S892="")),"missing_required_mvp_fields",IF(AND(AC892="canonical",Y892=""),"missing_source_ref","ok"))</x:f>
        <x:v>ok</x:v>
      </x:c>
      <x:c r="AP892" s="12" t="str">
        <x:f>IF(AO892="ok","ready_for_codex_import","needs_review")</x:f>
        <x:v>ready_for_codex_import</x:v>
      </x:c>
      <x:c r="AQ892" s="12"/>
      <x:c r="AR892" s="12" t="str">
        <x:v>Added v2 operational fields. Review before classification activation.</x:v>
      </x:c>
    </x:row>
    <x:row r="893">
      <x:c r="A893" s="13" t="str">
        <x:v>assumption_silence_forecast_variant</x:v>
      </x:c>
      <x:c r="B893" s="13" t="str">
        <x:v>assumption_silence</x:v>
      </x:c>
      <x:c r="C893" s="13" t="str">
        <x:v>Silent assumptions</x:v>
      </x:c>
      <x:c r="D893" s="13" t="str">
        <x:v>فرض‌های ناگفته</x:v>
      </x:c>
      <x:c r="E893" s="13" t="str">
        <x:v>Forecasting variant</x:v>
      </x:c>
      <x:c r="F893" s="13" t="str">
        <x:v>uncertainty_calibration_failures</x:v>
      </x:c>
      <x:c r="G893" s="13" t="str">
        <x:v>operational_variant</x:v>
      </x:c>
      <x:c r="H893" s="13" t="str">
        <x:v>contextual</x:v>
      </x:c>
      <x:c r="I893" s="13" t="str">
        <x:v>claim+context</x:v>
      </x:c>
      <x:c r="J893" s="13" t="str">
        <x:v>derived_operational_subtype</x:v>
      </x:c>
      <x:c r="K893" s="13" t="str">
        <x:v>derived_from_established_parent_review_required</x:v>
      </x:c>
      <x:c r="L893" s="13" t="str">
        <x:v>P2</x:v>
      </x:c>
      <x:c r="M893" s="13" t="str">
        <x:v>no</x:v>
      </x:c>
      <x:c r="N893" s="13" t="str">
        <x:v>Operational subtype under Silent assumptions: prediction is made without horizon, assumptions, or alternatives. Parent definition: Relying on unstated assumptions necessary for the conclusion.</x:v>
      </x:c>
      <x:c r="O893" s="13" t="str">
        <x:v>Look for: explicit claim-level evidence; parent-family cues for Silent assumptions; variant cue: prediction is made without horizon, assumptions, or alternatives; avoid author-level inference.</x:v>
      </x:c>
      <x:c r="P893" s="13" t="str">
        <x:v>Exact evidence span in text plus claim-level reasoning link; for contextual/discourse entries, require surrounding context.</x:v>
      </x:c>
      <x:c r="Q893" s="13" t="str">
        <x:v>Do not label merely because topic is controversial, emotional, or wrong. Do not judge intent or personality. Require textual evidence and consider healthy-reasoning cues.</x:v>
      </x:c>
      <x:c r="R893" s="13" t="str">
        <x:v>Stub: A claim relies on prediction is made without horizon, assumptions, or alternatives to support a conclusion without adequate qualification.</x:v>
      </x:c>
      <x:c r="S893" s="13" t="str">
        <x:v>Stub: A claim discusses silent assumptions with caveats, balanced evidence, or no argumentative use of the pattern.</x:v>
      </x:c>
      <x:c r="T893" s="13" t="str">
        <x:v>Mild or ambiguous cue; do not classify without clear evidence span.</x:v>
      </x:c>
      <x:c r="U893" s="13" t="str">
        <x:v>Clear claim-level pattern with some argumentative impact.</x:v>
      </x:c>
      <x:c r="V893" s="13" t="str">
        <x:v>Strong pattern central to the conclusion and likely to materially distort reasoning.</x:v>
      </x:c>
      <x:c r="W893" s="13" t="str">
        <x:v>uncertainty_acknowledgement; confidence_calibration; scope_limitation</x:v>
      </x:c>
      <x:c r="X893" s="13" t="str">
        <x:v>toulmin_uses_argument</x:v>
      </x:c>
      <x:c r="Y893" s="13" t="str">
        <x:v>https://doi.org/10.1017/CBO9780511840005</x:v>
      </x:c>
      <x:c r="Z893" s="13" t="str">
        <x:v>Review before enabling. This workbook is a living taxonomy scaffold, not a validated scientific benchmark.</x:v>
      </x:c>
      <x:c r="AA893" s="13" t="str">
        <x:v>0.1.0-draft</x:v>
      </x:c>
      <x:c r="AB893" s="12" t="str">
        <x:f>IF(ISNUMBER(SEARCH("healthy",F893)),"healthy_reasoning_patterns",IF(ISNUMBER(SEARCH("statistical",F893)),"statistical_reasoning",IF(ISNUMBER(SEARCH("causal",F893)),"causal_reasoning",IF(ISNUMBER(SEARCH("social",F893)),"social_influence",IF(ISNUMBER(SEARCH("rhetoric",F893)),"rhetoric_discourse",IF(ISNUMBER(SEARCH("behavior",F893)),"behavioural_economics",IF(ISNUMBER(SEARCH("cognitive",F893)),"cognitive_biases",IF(J893="protective_pattern","healthy_reasoning_patterns",IF(L893="P0","core_mvp","extended_fallacies")))))))))</x:f>
        <x:v>extended_fallacies</x:v>
      </x:c>
      <x:c r="AC893" s="12" t="str">
        <x:f>IF(ISNUMBER(SEARCH("operational",J893)),"operational",IF(ISNUMBER(SEARCH("deprecated",J893)),"deprecated",IF(L893="P0","canonical","recognized_subtype")))</x:f>
        <x:v>operational</x:v>
      </x:c>
      <x:c r="AD893" s="12" t="str">
        <x:f>IF(AC893="canonical","high",IF(AC893="recognized_subtype","medium",IF(AC893="operational","operational_only","debated")))</x:f>
        <x:v>operational_only</x:v>
      </x:c>
      <x:c r="AE893" s="12" t="str">
        <x:f>IF(AC893="deprecated","deprecated",IF(M893="yes","active",IF(M893="review","review_required","backlog")))</x:f>
        <x:v>backlog</x:v>
      </x:c>
      <x:c r="AF893" s="12" t="str">
        <x:f>IF(OR(AE893="active",AE893="review_required"),"yes","no")</x:f>
        <x:v>no</x:v>
      </x:c>
      <x:c r="AG893" s="12" t="str">
        <x:f>IF(AND(AE893="active",M893="yes",NOT(ISNUMBER(SEARCH("healthy",AB893)))),"yes","no")</x:f>
        <x:v>no</x:v>
      </x:c>
      <x:c r="AH893" s="12" t="str">
        <x:f>IF(OR(H893="contextual",H893="dialogue",H893="discourse",I893="claim+context",I893="discourse_segment"),"yes","no")</x:f>
        <x:v>yes</x:v>
      </x:c>
      <x:c r="AI893" s="12" t="str">
        <x:f>IF(OR(AH893="yes",AD893="debated",AC893="operational"),"yes","no")</x:f>
        <x:v>yes</x:v>
      </x:c>
      <x:c r="AJ893" s="12" t="str">
        <x:f>IF(OR(AH893="yes",AC893="operational",AD893="debated"),"high",IF(AND(AG893="yes",L893="P0"),"medium","low"))</x:f>
        <x:v>high</x:v>
      </x:c>
      <x:c r="AK893" s="12" t="str">
        <x:f>IF(ISNUMBER(SEARCH("healthy",AB893)),"yes","no")</x:f>
        <x:v>no</x:v>
      </x:c>
      <x:c r="AL893" s="12" t="str">
        <x:f>IF(AG893="yes","yes","candidate_only")</x:f>
        <x:v>candidate_only</x:v>
      </x:c>
      <x:c r="AM893" s="12" t="str">
        <x:f>IF(OR(AC893="canonical",AG893="yes"),"yes","recommended")</x:f>
        <x:v>recommended</x:v>
      </x:c>
      <x:c r="AN893" s="12" t="str">
        <x:f>IF(AC893="deprecated","exclude",IF(AND(AG893="yes",AJ893="high"),"import_but_human_review_required",IF(AG893="yes","import_as_active","import_as_backlog")))</x:f>
        <x:v>import_as_backlog</x:v>
      </x:c>
      <x:c r="AO893" s="12" t="str">
        <x:f>IF(AND(AG893="yes",OR(P893="",Q893="",R893="",S893="")),"missing_required_mvp_fields",IF(AND(AC893="canonical",Y893=""),"missing_source_ref","ok"))</x:f>
        <x:v>ok</x:v>
      </x:c>
      <x:c r="AP893" s="12" t="str">
        <x:f>IF(AO893="ok","ready_for_codex_import","needs_review")</x:f>
        <x:v>ready_for_codex_import</x:v>
      </x:c>
      <x:c r="AQ893" s="12"/>
      <x:c r="AR893" s="12" t="str">
        <x:v>Added v2 operational fields. Review before classification activation.</x:v>
      </x:c>
    </x:row>
    <x:row r="894">
      <x:c r="A894" s="13" t="str">
        <x:v>evidence_threshold_undefined_forecast_variant</x:v>
      </x:c>
      <x:c r="B894" s="13" t="str">
        <x:v>evidence_threshold_undefined</x:v>
      </x:c>
      <x:c r="C894" s="13" t="str">
        <x:v>Undefined evidence threshold</x:v>
      </x:c>
      <x:c r="D894" s="13" t="str">
        <x:v>آستانه شواهد نامشخص</x:v>
      </x:c>
      <x:c r="E894" s="13" t="str">
        <x:v>Forecasting variant</x:v>
      </x:c>
      <x:c r="F894" s="13" t="str">
        <x:v>uncertainty_calibration_failures</x:v>
      </x:c>
      <x:c r="G894" s="13" t="str">
        <x:v>operational_variant</x:v>
      </x:c>
      <x:c r="H894" s="13" t="str">
        <x:v>dialogue</x:v>
      </x:c>
      <x:c r="I894" s="13" t="str">
        <x:v>discourse_segment</x:v>
      </x:c>
      <x:c r="J894" s="13" t="str">
        <x:v>derived_operational_subtype</x:v>
      </x:c>
      <x:c r="K894" s="13" t="str">
        <x:v>derived_from_established_parent_review_required</x:v>
      </x:c>
      <x:c r="L894" s="13" t="str">
        <x:v>P2</x:v>
      </x:c>
      <x:c r="M894" s="13" t="str">
        <x:v>no</x:v>
      </x:c>
      <x:c r="N894" s="13" t="str">
        <x:v>Operational subtype under Undefined evidence threshold: prediction is made without horizon, assumptions, or alternatives. Parent definition: Not specifying what evidence would support or change the claim.</x:v>
      </x:c>
      <x:c r="O894" s="13" t="str">
        <x:v>Look for: explicit claim-level evidence; parent-family cues for Undefined evidence threshold; variant cue: prediction is made without horizon, assumptions, or alternatives; avoid author-level inference.</x:v>
      </x:c>
      <x:c r="P894" s="13" t="str">
        <x:v>Exact evidence span in text plus claim-level reasoning link; for contextual/discourse entries, require surrounding context.</x:v>
      </x:c>
      <x:c r="Q894" s="13" t="str">
        <x:v>Do not label merely because topic is controversial, emotional, or wrong. Do not judge intent or personality. Require textual evidence and consider healthy-reasoning cues.</x:v>
      </x:c>
      <x:c r="R894" s="13" t="str">
        <x:v>Stub: A claim relies on prediction is made without horizon, assumptions, or alternatives to support a conclusion without adequate qualification.</x:v>
      </x:c>
      <x:c r="S894" s="13" t="str">
        <x:v>Stub: A claim discusses undefined evidence threshold with caveats, balanced evidence, or no argumentative use of the pattern.</x:v>
      </x:c>
      <x:c r="T894" s="13" t="str">
        <x:v>Mild or ambiguous cue; do not classify without clear evidence span.</x:v>
      </x:c>
      <x:c r="U894" s="13" t="str">
        <x:v>Clear claim-level pattern with some argumentative impact.</x:v>
      </x:c>
      <x:c r="V894" s="13" t="str">
        <x:v>Strong pattern central to the conclusion and likely to materially distort reasoning.</x:v>
      </x:c>
      <x:c r="W894" s="13" t="str">
        <x:v>cherry_picking; missing_counterevidence; evidence_grading</x:v>
      </x:c>
      <x:c r="X894" s="13" t="str">
        <x:v>pragmadialectics</x:v>
      </x:c>
      <x:c r="Y894" s="13" t="str">
        <x:v>https://doi.org/10.1017/CBO9780511616389</x:v>
      </x:c>
      <x:c r="Z894" s="13" t="str">
        <x:v>Review before enabling. This workbook is a living taxonomy scaffold, not a validated scientific benchmark.</x:v>
      </x:c>
      <x:c r="AA894" s="13" t="str">
        <x:v>0.1.0-draft</x:v>
      </x:c>
      <x:c r="AB894" s="12" t="str">
        <x:f>IF(ISNUMBER(SEARCH("healthy",F894)),"healthy_reasoning_patterns",IF(ISNUMBER(SEARCH("statistical",F894)),"statistical_reasoning",IF(ISNUMBER(SEARCH("causal",F894)),"causal_reasoning",IF(ISNUMBER(SEARCH("social",F894)),"social_influence",IF(ISNUMBER(SEARCH("rhetoric",F894)),"rhetoric_discourse",IF(ISNUMBER(SEARCH("behavior",F894)),"behavioural_economics",IF(ISNUMBER(SEARCH("cognitive",F894)),"cognitive_biases",IF(J894="protective_pattern","healthy_reasoning_patterns",IF(L894="P0","core_mvp","extended_fallacies")))))))))</x:f>
        <x:v>extended_fallacies</x:v>
      </x:c>
      <x:c r="AC894" s="12" t="str">
        <x:f>IF(ISNUMBER(SEARCH("operational",J894)),"operational",IF(ISNUMBER(SEARCH("deprecated",J894)),"deprecated",IF(L894="P0","canonical","recognized_subtype")))</x:f>
        <x:v>operational</x:v>
      </x:c>
      <x:c r="AD894" s="12" t="str">
        <x:f>IF(AC894="canonical","high",IF(AC894="recognized_subtype","medium",IF(AC894="operational","operational_only","debated")))</x:f>
        <x:v>operational_only</x:v>
      </x:c>
      <x:c r="AE894" s="12" t="str">
        <x:f>IF(AC894="deprecated","deprecated",IF(M894="yes","active",IF(M894="review","review_required","backlog")))</x:f>
        <x:v>backlog</x:v>
      </x:c>
      <x:c r="AF894" s="12" t="str">
        <x:f>IF(OR(AE894="active",AE894="review_required"),"yes","no")</x:f>
        <x:v>no</x:v>
      </x:c>
      <x:c r="AG894" s="12" t="str">
        <x:f>IF(AND(AE894="active",M894="yes",NOT(ISNUMBER(SEARCH("healthy",AB894)))),"yes","no")</x:f>
        <x:v>no</x:v>
      </x:c>
      <x:c r="AH894" s="12" t="str">
        <x:f>IF(OR(H894="contextual",H894="dialogue",H894="discourse",I894="claim+context",I894="discourse_segment"),"yes","no")</x:f>
        <x:v>yes</x:v>
      </x:c>
      <x:c r="AI894" s="12" t="str">
        <x:f>IF(OR(AH894="yes",AD894="debated",AC894="operational"),"yes","no")</x:f>
        <x:v>yes</x:v>
      </x:c>
      <x:c r="AJ894" s="12" t="str">
        <x:f>IF(OR(AH894="yes",AC894="operational",AD894="debated"),"high",IF(AND(AG894="yes",L894="P0"),"medium","low"))</x:f>
        <x:v>high</x:v>
      </x:c>
      <x:c r="AK894" s="12" t="str">
        <x:f>IF(ISNUMBER(SEARCH("healthy",AB894)),"yes","no")</x:f>
        <x:v>no</x:v>
      </x:c>
      <x:c r="AL894" s="12" t="str">
        <x:f>IF(AG894="yes","yes","candidate_only")</x:f>
        <x:v>candidate_only</x:v>
      </x:c>
      <x:c r="AM894" s="12" t="str">
        <x:f>IF(OR(AC894="canonical",AG894="yes"),"yes","recommended")</x:f>
        <x:v>recommended</x:v>
      </x:c>
      <x:c r="AN894" s="12" t="str">
        <x:f>IF(AC894="deprecated","exclude",IF(AND(AG894="yes",AJ894="high"),"import_but_human_review_required",IF(AG894="yes","import_as_active","import_as_backlog")))</x:f>
        <x:v>import_as_backlog</x:v>
      </x:c>
      <x:c r="AO894" s="12" t="str">
        <x:f>IF(AND(AG894="yes",OR(P894="",Q894="",R894="",S894="")),"missing_required_mvp_fields",IF(AND(AC894="canonical",Y894=""),"missing_source_ref","ok"))</x:f>
        <x:v>ok</x:v>
      </x:c>
      <x:c r="AP894" s="12" t="str">
        <x:f>IF(AO894="ok","ready_for_codex_import","needs_review")</x:f>
        <x:v>ready_for_codex_import</x:v>
      </x:c>
      <x:c r="AQ894" s="12"/>
      <x:c r="AR894" s="12" t="str">
        <x:v>Added v2 operational fields. Review before classification activation.</x:v>
      </x:c>
    </x:row>
    <x:row r="895">
      <x:c r="A895" s="13" t="str">
        <x:v>prediction_observation_conflation_forecast_variant</x:v>
      </x:c>
      <x:c r="B895" s="13" t="str">
        <x:v>prediction_observation_conflation</x:v>
      </x:c>
      <x:c r="C895" s="13" t="str">
        <x:v>Prediction-observation conflation</x:v>
      </x:c>
      <x:c r="D895" s="13" t="str">
        <x:v>اختلاط پیش‌بینی و مشاهده</x:v>
      </x:c>
      <x:c r="E895" s="13" t="str">
        <x:v>Forecasting variant</x:v>
      </x:c>
      <x:c r="F895" s="13" t="str">
        <x:v>uncertainty_calibration_failures</x:v>
      </x:c>
      <x:c r="G895" s="13" t="str">
        <x:v>operational_variant</x:v>
      </x:c>
      <x:c r="H895" s="13" t="str">
        <x:v>lexical</x:v>
      </x:c>
      <x:c r="I895" s="13" t="str">
        <x:v>claim</x:v>
      </x:c>
      <x:c r="J895" s="13" t="str">
        <x:v>derived_operational_subtype</x:v>
      </x:c>
      <x:c r="K895" s="13" t="str">
        <x:v>derived_from_established_parent_review_required</x:v>
      </x:c>
      <x:c r="L895" s="13" t="str">
        <x:v>P2</x:v>
      </x:c>
      <x:c r="M895" s="13" t="str">
        <x:v>no</x:v>
      </x:c>
      <x:c r="N895" s="13" t="str">
        <x:v>Operational subtype under Prediction-observation conflation: prediction is made without horizon, assumptions, or alternatives. Parent definition: Treating forecasts as observed facts.</x:v>
      </x:c>
      <x:c r="O895" s="13" t="str">
        <x:v>Look for: explicit claim-level evidence; parent-family cues for Prediction-observation conflation; variant cue: prediction is made without horizon, assumptions, or alternatives; avoid author-level inference.</x:v>
      </x:c>
      <x:c r="P895" s="13" t="str">
        <x:v>Exact evidence span in text plus claim-level reasoning link; for contextual/discourse entries, require surrounding context.</x:v>
      </x:c>
      <x:c r="Q895" s="13" t="str">
        <x:v>Do not label merely because topic is controversial, emotional, or wrong. Do not judge intent or personality. Require textual evidence and consider healthy-reasoning cues.</x:v>
      </x:c>
      <x:c r="R895" s="13" t="str">
        <x:v>Stub: A claim relies on prediction is made without horizon, assumptions, or alternatives to support a conclusion without adequate qualification.</x:v>
      </x:c>
      <x:c r="S895" s="13" t="str">
        <x:v>Stub: A claim discusses prediction-observation conflation with caveats, balanced evidence, or no argumentative use of the pattern.</x:v>
      </x:c>
      <x:c r="T895" s="13" t="str">
        <x:v>Mild or ambiguous cue; do not classify without clear evidence span.</x:v>
      </x:c>
      <x:c r="U895" s="13" t="str">
        <x:v>Clear claim-level pattern with some argumentative impact.</x:v>
      </x:c>
      <x:c r="V895" s="13" t="str">
        <x:v>Strong pattern central to the conclusion and likely to materially distort reasoning.</x:v>
      </x:c>
      <x:c r="W895" s="13" t="str">
        <x:v>uncertainty_acknowledgement; confidence_calibration; scope_limitation</x:v>
      </x:c>
      <x:c r="X895" s="13" t="str">
        <x:v>stanovich_dual_process</x:v>
      </x:c>
      <x:c r="Y895" s="13" t="str">
        <x:v>https://global.oup.com/academic/product/rationality-and-the-reflective-mind-9780195341140</x:v>
      </x:c>
      <x:c r="Z895" s="13" t="str">
        <x:v>Review before enabling. This workbook is a living taxonomy scaffold, not a validated scientific benchmark.</x:v>
      </x:c>
      <x:c r="AA895" s="13" t="str">
        <x:v>0.1.0-draft</x:v>
      </x:c>
      <x:c r="AB895" s="12" t="str">
        <x:f>IF(ISNUMBER(SEARCH("healthy",F895)),"healthy_reasoning_patterns",IF(ISNUMBER(SEARCH("statistical",F895)),"statistical_reasoning",IF(ISNUMBER(SEARCH("causal",F895)),"causal_reasoning",IF(ISNUMBER(SEARCH("social",F895)),"social_influence",IF(ISNUMBER(SEARCH("rhetoric",F895)),"rhetoric_discourse",IF(ISNUMBER(SEARCH("behavior",F895)),"behavioural_economics",IF(ISNUMBER(SEARCH("cognitive",F895)),"cognitive_biases",IF(J895="protective_pattern","healthy_reasoning_patterns",IF(L895="P0","core_mvp","extended_fallacies")))))))))</x:f>
        <x:v>extended_fallacies</x:v>
      </x:c>
      <x:c r="AC895" s="12" t="str">
        <x:f>IF(ISNUMBER(SEARCH("operational",J895)),"operational",IF(ISNUMBER(SEARCH("deprecated",J895)),"deprecated",IF(L895="P0","canonical","recognized_subtype")))</x:f>
        <x:v>operational</x:v>
      </x:c>
      <x:c r="AD895" s="12" t="str">
        <x:f>IF(AC895="canonical","high",IF(AC895="recognized_subtype","medium",IF(AC895="operational","operational_only","debated")))</x:f>
        <x:v>operational_only</x:v>
      </x:c>
      <x:c r="AE895" s="12" t="str">
        <x:f>IF(AC895="deprecated","deprecated",IF(M895="yes","active",IF(M895="review","review_required","backlog")))</x:f>
        <x:v>backlog</x:v>
      </x:c>
      <x:c r="AF895" s="12" t="str">
        <x:f>IF(OR(AE895="active",AE895="review_required"),"yes","no")</x:f>
        <x:v>no</x:v>
      </x:c>
      <x:c r="AG895" s="12" t="str">
        <x:f>IF(AND(AE895="active",M895="yes",NOT(ISNUMBER(SEARCH("healthy",AB895)))),"yes","no")</x:f>
        <x:v>no</x:v>
      </x:c>
      <x:c r="AH895" s="12" t="str">
        <x:f>IF(OR(H895="contextual",H895="dialogue",H895="discourse",I895="claim+context",I895="discourse_segment"),"yes","no")</x:f>
        <x:v>no</x:v>
      </x:c>
      <x:c r="AI895" s="12" t="str">
        <x:f>IF(OR(AH895="yes",AD895="debated",AC895="operational"),"yes","no")</x:f>
        <x:v>yes</x:v>
      </x:c>
      <x:c r="AJ895" s="12" t="str">
        <x:f>IF(OR(AH895="yes",AC895="operational",AD895="debated"),"high",IF(AND(AG895="yes",L895="P0"),"medium","low"))</x:f>
        <x:v>high</x:v>
      </x:c>
      <x:c r="AK895" s="12" t="str">
        <x:f>IF(ISNUMBER(SEARCH("healthy",AB895)),"yes","no")</x:f>
        <x:v>no</x:v>
      </x:c>
      <x:c r="AL895" s="12" t="str">
        <x:f>IF(AG895="yes","yes","candidate_only")</x:f>
        <x:v>candidate_only</x:v>
      </x:c>
      <x:c r="AM895" s="12" t="str">
        <x:f>IF(OR(AC895="canonical",AG895="yes"),"yes","recommended")</x:f>
        <x:v>recommended</x:v>
      </x:c>
      <x:c r="AN895" s="12" t="str">
        <x:f>IF(AC895="deprecated","exclude",IF(AND(AG895="yes",AJ895="high"),"import_but_human_review_required",IF(AG895="yes","import_as_active","import_as_backlog")))</x:f>
        <x:v>import_as_backlog</x:v>
      </x:c>
      <x:c r="AO895" s="12" t="str">
        <x:f>IF(AND(AG895="yes",OR(P895="",Q895="",R895="",S895="")),"missing_required_mvp_fields",IF(AND(AC895="canonical",Y895=""),"missing_source_ref","ok"))</x:f>
        <x:v>ok</x:v>
      </x:c>
      <x:c r="AP895" s="12" t="str">
        <x:f>IF(AO895="ok","ready_for_codex_import","needs_review")</x:f>
        <x:v>ready_for_codex_import</x:v>
      </x:c>
      <x:c r="AQ895" s="12"/>
      <x:c r="AR895" s="12" t="str">
        <x:v>Added v2 operational fields. Review before classification activation.</x:v>
      </x:c>
    </x:row>
    <x:row r="896">
      <x:c r="A896" s="13" t="str">
        <x:v>possibility_probability_conflation_forecast_variant</x:v>
      </x:c>
      <x:c r="B896" s="13" t="str">
        <x:v>possibility_probability_conflation</x:v>
      </x:c>
      <x:c r="C896" s="13" t="str">
        <x:v>Possibility-probability conflation</x:v>
      </x:c>
      <x:c r="D896" s="13" t="str">
        <x:v>اختلاط امکان و احتمال</x:v>
      </x:c>
      <x:c r="E896" s="13" t="str">
        <x:v>Forecasting variant</x:v>
      </x:c>
      <x:c r="F896" s="13" t="str">
        <x:v>uncertainty_calibration_failures</x:v>
      </x:c>
      <x:c r="G896" s="13" t="str">
        <x:v>operational_variant</x:v>
      </x:c>
      <x:c r="H896" s="13" t="str">
        <x:v>lexical</x:v>
      </x:c>
      <x:c r="I896" s="13" t="str">
        <x:v>claim</x:v>
      </x:c>
      <x:c r="J896" s="13" t="str">
        <x:v>derived_operational_subtype</x:v>
      </x:c>
      <x:c r="K896" s="13" t="str">
        <x:v>derived_from_established_parent_review_required</x:v>
      </x:c>
      <x:c r="L896" s="13" t="str">
        <x:v>P2</x:v>
      </x:c>
      <x:c r="M896" s="13" t="str">
        <x:v>no</x:v>
      </x:c>
      <x:c r="N896" s="13" t="str">
        <x:v>Operational subtype under Possibility-probability conflation: prediction is made without horizon, assumptions, or alternatives. Parent definition: Treating what could happen as if it is likely.</x:v>
      </x:c>
      <x:c r="O896" s="13" t="str">
        <x:v>Look for: explicit claim-level evidence; parent-family cues for Possibility-probability conflation; variant cue: prediction is made without horizon, assumptions, or alternatives; avoid author-level inference.</x:v>
      </x:c>
      <x:c r="P896" s="13" t="str">
        <x:v>Exact evidence span in text plus claim-level reasoning link; for contextual/discourse entries, require surrounding context.</x:v>
      </x:c>
      <x:c r="Q896" s="13" t="str">
        <x:v>Do not label merely because topic is controversial, emotional, or wrong. Do not judge intent or personality. Require textual evidence and consider healthy-reasoning cues.</x:v>
      </x:c>
      <x:c r="R896" s="13" t="str">
        <x:v>Stub: A claim relies on prediction is made without horizon, assumptions, or alternatives to support a conclusion without adequate qualification.</x:v>
      </x:c>
      <x:c r="S896" s="13" t="str">
        <x:v>Stub: A claim discusses possibility-probability conflation with caveats, balanced evidence, or no argumentative use of the pattern.</x:v>
      </x:c>
      <x:c r="T896" s="13" t="str">
        <x:v>Mild or ambiguous cue; do not classify without clear evidence span.</x:v>
      </x:c>
      <x:c r="U896" s="13" t="str">
        <x:v>Clear claim-level pattern with some argumentative impact.</x:v>
      </x:c>
      <x:c r="V896" s="13" t="str">
        <x:v>Strong pattern central to the conclusion and likely to materially distort reasoning.</x:v>
      </x:c>
      <x:c r="W896" s="13" t="str">
        <x:v>uncertainty_acknowledgement; confidence_calibration; scope_limitation</x:v>
      </x:c>
      <x:c r="X896" s="13" t="str">
        <x:v>stanovich_dual_process</x:v>
      </x:c>
      <x:c r="Y896" s="13" t="str">
        <x:v>https://global.oup.com/academic/product/rationality-and-the-reflective-mind-9780195341140</x:v>
      </x:c>
      <x:c r="Z896" s="13" t="str">
        <x:v>Review before enabling. This workbook is a living taxonomy scaffold, not a validated scientific benchmark.</x:v>
      </x:c>
      <x:c r="AA896" s="13" t="str">
        <x:v>0.1.0-draft</x:v>
      </x:c>
      <x:c r="AB896" s="12" t="str">
        <x:f>IF(ISNUMBER(SEARCH("healthy",F896)),"healthy_reasoning_patterns",IF(ISNUMBER(SEARCH("statistical",F896)),"statistical_reasoning",IF(ISNUMBER(SEARCH("causal",F896)),"causal_reasoning",IF(ISNUMBER(SEARCH("social",F896)),"social_influence",IF(ISNUMBER(SEARCH("rhetoric",F896)),"rhetoric_discourse",IF(ISNUMBER(SEARCH("behavior",F896)),"behavioural_economics",IF(ISNUMBER(SEARCH("cognitive",F896)),"cognitive_biases",IF(J896="protective_pattern","healthy_reasoning_patterns",IF(L896="P0","core_mvp","extended_fallacies")))))))))</x:f>
        <x:v>extended_fallacies</x:v>
      </x:c>
      <x:c r="AC896" s="12" t="str">
        <x:f>IF(ISNUMBER(SEARCH("operational",J896)),"operational",IF(ISNUMBER(SEARCH("deprecated",J896)),"deprecated",IF(L896="P0","canonical","recognized_subtype")))</x:f>
        <x:v>operational</x:v>
      </x:c>
      <x:c r="AD896" s="12" t="str">
        <x:f>IF(AC896="canonical","high",IF(AC896="recognized_subtype","medium",IF(AC896="operational","operational_only","debated")))</x:f>
        <x:v>operational_only</x:v>
      </x:c>
      <x:c r="AE896" s="12" t="str">
        <x:f>IF(AC896="deprecated","deprecated",IF(M896="yes","active",IF(M896="review","review_required","backlog")))</x:f>
        <x:v>backlog</x:v>
      </x:c>
      <x:c r="AF896" s="12" t="str">
        <x:f>IF(OR(AE896="active",AE896="review_required"),"yes","no")</x:f>
        <x:v>no</x:v>
      </x:c>
      <x:c r="AG896" s="12" t="str">
        <x:f>IF(AND(AE896="active",M896="yes",NOT(ISNUMBER(SEARCH("healthy",AB896)))),"yes","no")</x:f>
        <x:v>no</x:v>
      </x:c>
      <x:c r="AH896" s="12" t="str">
        <x:f>IF(OR(H896="contextual",H896="dialogue",H896="discourse",I896="claim+context",I896="discourse_segment"),"yes","no")</x:f>
        <x:v>no</x:v>
      </x:c>
      <x:c r="AI896" s="12" t="str">
        <x:f>IF(OR(AH896="yes",AD896="debated",AC896="operational"),"yes","no")</x:f>
        <x:v>yes</x:v>
      </x:c>
      <x:c r="AJ896" s="12" t="str">
        <x:f>IF(OR(AH896="yes",AC896="operational",AD896="debated"),"high",IF(AND(AG896="yes",L896="P0"),"medium","low"))</x:f>
        <x:v>high</x:v>
      </x:c>
      <x:c r="AK896" s="12" t="str">
        <x:f>IF(ISNUMBER(SEARCH("healthy",AB896)),"yes","no")</x:f>
        <x:v>no</x:v>
      </x:c>
      <x:c r="AL896" s="12" t="str">
        <x:f>IF(AG896="yes","yes","candidate_only")</x:f>
        <x:v>candidate_only</x:v>
      </x:c>
      <x:c r="AM896" s="12" t="str">
        <x:f>IF(OR(AC896="canonical",AG896="yes"),"yes","recommended")</x:f>
        <x:v>recommended</x:v>
      </x:c>
      <x:c r="AN896" s="12" t="str">
        <x:f>IF(AC896="deprecated","exclude",IF(AND(AG896="yes",AJ896="high"),"import_but_human_review_required",IF(AG896="yes","import_as_active","import_as_backlog")))</x:f>
        <x:v>import_as_backlog</x:v>
      </x:c>
      <x:c r="AO896" s="12" t="str">
        <x:f>IF(AND(AG896="yes",OR(P896="",Q896="",R896="",S896="")),"missing_required_mvp_fields",IF(AND(AC896="canonical",Y896=""),"missing_source_ref","ok"))</x:f>
        <x:v>ok</x:v>
      </x:c>
      <x:c r="AP896" s="12" t="str">
        <x:f>IF(AO896="ok","ready_for_codex_import","needs_review")</x:f>
        <x:v>ready_for_codex_import</x:v>
      </x:c>
      <x:c r="AQ896" s="12"/>
      <x:c r="AR896" s="12" t="str">
        <x:v>Added v2 operational fields. Review before classification activation.</x:v>
      </x:c>
    </x:row>
    <x:row r="897">
      <x:c r="A897" s="13" t="str">
        <x:v>overclaiming_certainty_model_or_data_variant</x:v>
      </x:c>
      <x:c r="B897" s="13" t="str">
        <x:v>overclaiming_certainty</x:v>
      </x:c>
      <x:c r="C897" s="13" t="str">
        <x:v>Overclaiming certainty</x:v>
      </x:c>
      <x:c r="D897" s="13" t="str">
        <x:v>قطعیت‌نمایی بیش از حد</x:v>
      </x:c>
      <x:c r="E897" s="13" t="str">
        <x:v>Model/data variant</x:v>
      </x:c>
      <x:c r="F897" s="13" t="str">
        <x:v>uncertainty_calibration_failures</x:v>
      </x:c>
      <x:c r="G897" s="13" t="str">
        <x:v>operational_variant</x:v>
      </x:c>
      <x:c r="H897" s="13" t="str">
        <x:v>lexical</x:v>
      </x:c>
      <x:c r="I897" s="13" t="str">
        <x:v>claim</x:v>
      </x:c>
      <x:c r="J897" s="13" t="str">
        <x:v>derived_operational_subtype</x:v>
      </x:c>
      <x:c r="K897" s="13" t="str">
        <x:v>derived_from_established_parent_review_required</x:v>
      </x:c>
      <x:c r="L897" s="13" t="str">
        <x:v>P2</x:v>
      </x:c>
      <x:c r="M897" s="13" t="str">
        <x:v>no</x:v>
      </x:c>
      <x:c r="N897" s="13" t="str">
        <x:v>Operational subtype under Overclaiming certainty: a model or dataset is overinterpreted. Parent definition: Stating a conclusion more certainly than evidence warrants.</x:v>
      </x:c>
      <x:c r="O897" s="13" t="str">
        <x:v>Look for: explicit claim-level evidence; parent-family cues for Overclaiming certainty; variant cue: a model or dataset is overinterpreted; avoid author-level inference.</x:v>
      </x:c>
      <x:c r="P897" s="13" t="str">
        <x:v>Exact evidence span in text plus claim-level reasoning link; for contextual/discourse entries, require surrounding context.</x:v>
      </x:c>
      <x:c r="Q897" s="13" t="str">
        <x:v>Do not label merely because topic is controversial, emotional, or wrong. Do not judge intent or personality. Require textual evidence and consider healthy-reasoning cues.</x:v>
      </x:c>
      <x:c r="R897" s="13" t="str">
        <x:v>Stub: A claim relies on a model or dataset is overinterpreted to support a conclusion without adequate qualification.</x:v>
      </x:c>
      <x:c r="S897" s="13" t="str">
        <x:v>Stub: A claim discusses overclaiming certainty with caveats, balanced evidence, or no argumentative use of the pattern.</x:v>
      </x:c>
      <x:c r="T897" s="13" t="str">
        <x:v>Mild or ambiguous cue; do not classify without clear evidence span.</x:v>
      </x:c>
      <x:c r="U897" s="13" t="str">
        <x:v>Clear claim-level pattern with some argumentative impact.</x:v>
      </x:c>
      <x:c r="V897" s="13" t="str">
        <x:v>Strong pattern central to the conclusion and likely to materially distort reasoning.</x:v>
      </x:c>
      <x:c r="W897" s="13" t="str">
        <x:v>cherry_picking; missing_counterevidence; evidence_grading</x:v>
      </x:c>
      <x:c r="X897" s="13" t="str">
        <x:v>stanovich_dual_process</x:v>
      </x:c>
      <x:c r="Y897" s="13" t="str">
        <x:v>https://global.oup.com/academic/product/rationality-and-the-reflective-mind-9780195341140</x:v>
      </x:c>
      <x:c r="Z897" s="13" t="str">
        <x:v>Review before enabling. This workbook is a living taxonomy scaffold, not a validated scientific benchmark.</x:v>
      </x:c>
      <x:c r="AA897" s="13" t="str">
        <x:v>0.1.0-draft</x:v>
      </x:c>
      <x:c r="AB897" s="12" t="str">
        <x:f>IF(ISNUMBER(SEARCH("healthy",F897)),"healthy_reasoning_patterns",IF(ISNUMBER(SEARCH("statistical",F897)),"statistical_reasoning",IF(ISNUMBER(SEARCH("causal",F897)),"causal_reasoning",IF(ISNUMBER(SEARCH("social",F897)),"social_influence",IF(ISNUMBER(SEARCH("rhetoric",F897)),"rhetoric_discourse",IF(ISNUMBER(SEARCH("behavior",F897)),"behavioural_economics",IF(ISNUMBER(SEARCH("cognitive",F897)),"cognitive_biases",IF(J897="protective_pattern","healthy_reasoning_patterns",IF(L897="P0","core_mvp","extended_fallacies")))))))))</x:f>
        <x:v>extended_fallacies</x:v>
      </x:c>
      <x:c r="AC897" s="12" t="str">
        <x:f>IF(ISNUMBER(SEARCH("operational",J897)),"operational",IF(ISNUMBER(SEARCH("deprecated",J897)),"deprecated",IF(L897="P0","canonical","recognized_subtype")))</x:f>
        <x:v>operational</x:v>
      </x:c>
      <x:c r="AD897" s="12" t="str">
        <x:f>IF(AC897="canonical","high",IF(AC897="recognized_subtype","medium",IF(AC897="operational","operational_only","debated")))</x:f>
        <x:v>operational_only</x:v>
      </x:c>
      <x:c r="AE897" s="12" t="str">
        <x:f>IF(AC897="deprecated","deprecated",IF(M897="yes","active",IF(M897="review","review_required","backlog")))</x:f>
        <x:v>backlog</x:v>
      </x:c>
      <x:c r="AF897" s="12" t="str">
        <x:f>IF(OR(AE897="active",AE897="review_required"),"yes","no")</x:f>
        <x:v>no</x:v>
      </x:c>
      <x:c r="AG897" s="12" t="str">
        <x:f>IF(AND(AE897="active",M897="yes",NOT(ISNUMBER(SEARCH("healthy",AB897)))),"yes","no")</x:f>
        <x:v>no</x:v>
      </x:c>
      <x:c r="AH897" s="12" t="str">
        <x:f>IF(OR(H897="contextual",H897="dialogue",H897="discourse",I897="claim+context",I897="discourse_segment"),"yes","no")</x:f>
        <x:v>no</x:v>
      </x:c>
      <x:c r="AI897" s="12" t="str">
        <x:f>IF(OR(AH897="yes",AD897="debated",AC897="operational"),"yes","no")</x:f>
        <x:v>yes</x:v>
      </x:c>
      <x:c r="AJ897" s="12" t="str">
        <x:f>IF(OR(AH897="yes",AC897="operational",AD897="debated"),"high",IF(AND(AG897="yes",L897="P0"),"medium","low"))</x:f>
        <x:v>high</x:v>
      </x:c>
      <x:c r="AK897" s="12" t="str">
        <x:f>IF(ISNUMBER(SEARCH("healthy",AB897)),"yes","no")</x:f>
        <x:v>no</x:v>
      </x:c>
      <x:c r="AL897" s="12" t="str">
        <x:f>IF(AG897="yes","yes","candidate_only")</x:f>
        <x:v>candidate_only</x:v>
      </x:c>
      <x:c r="AM897" s="12" t="str">
        <x:f>IF(OR(AC897="canonical",AG897="yes"),"yes","recommended")</x:f>
        <x:v>recommended</x:v>
      </x:c>
      <x:c r="AN897" s="12" t="str">
        <x:f>IF(AC897="deprecated","exclude",IF(AND(AG897="yes",AJ897="high"),"import_but_human_review_required",IF(AG897="yes","import_as_active","import_as_backlog")))</x:f>
        <x:v>import_as_backlog</x:v>
      </x:c>
      <x:c r="AO897" s="12" t="str">
        <x:f>IF(AND(AG897="yes",OR(P897="",Q897="",R897="",S897="")),"missing_required_mvp_fields",IF(AND(AC897="canonical",Y897=""),"missing_source_ref","ok"))</x:f>
        <x:v>ok</x:v>
      </x:c>
      <x:c r="AP897" s="12" t="str">
        <x:f>IF(AO897="ok","ready_for_codex_import","needs_review")</x:f>
        <x:v>ready_for_codex_import</x:v>
      </x:c>
      <x:c r="AQ897" s="12"/>
      <x:c r="AR897" s="12" t="str">
        <x:v>Added v2 operational fields. Review before classification activation.</x:v>
      </x:c>
    </x:row>
    <x:row r="898">
      <x:c r="A898" s="13" t="str">
        <x:v>false_precision_model_or_data_variant</x:v>
      </x:c>
      <x:c r="B898" s="13" t="str">
        <x:v>false_precision</x:v>
      </x:c>
      <x:c r="C898" s="13" t="str">
        <x:v>False precision</x:v>
      </x:c>
      <x:c r="D898" s="13" t="str">
        <x:v>دقت کاذب</x:v>
      </x:c>
      <x:c r="E898" s="13" t="str">
        <x:v>Model/data variant</x:v>
      </x:c>
      <x:c r="F898" s="13" t="str">
        <x:v>uncertainty_calibration_failures</x:v>
      </x:c>
      <x:c r="G898" s="13" t="str">
        <x:v>operational_variant</x:v>
      </x:c>
      <x:c r="H898" s="13" t="str">
        <x:v>lexical</x:v>
      </x:c>
      <x:c r="I898" s="13" t="str">
        <x:v>claim</x:v>
      </x:c>
      <x:c r="J898" s="13" t="str">
        <x:v>derived_operational_subtype</x:v>
      </x:c>
      <x:c r="K898" s="13" t="str">
        <x:v>derived_from_established_parent_review_required</x:v>
      </x:c>
      <x:c r="L898" s="13" t="str">
        <x:v>P2</x:v>
      </x:c>
      <x:c r="M898" s="13" t="str">
        <x:v>no</x:v>
      </x:c>
      <x:c r="N898" s="13" t="str">
        <x:v>Operational subtype under False precision: a model or dataset is overinterpreted. Parent definition: Using precise numbers or terms without evidential basis.</x:v>
      </x:c>
      <x:c r="O898" s="13" t="str">
        <x:v>Look for: explicit claim-level evidence; parent-family cues for False precision; variant cue: a model or dataset is overinterpreted; avoid author-level inference.</x:v>
      </x:c>
      <x:c r="P898" s="13" t="str">
        <x:v>Exact evidence span in text plus claim-level reasoning link; for contextual/discourse entries, require surrounding context.</x:v>
      </x:c>
      <x:c r="Q898" s="13" t="str">
        <x:v>Do not label merely because topic is controversial, emotional, or wrong. Do not judge intent or personality. Require textual evidence and consider healthy-reasoning cues.</x:v>
      </x:c>
      <x:c r="R898" s="13" t="str">
        <x:v>Stub: A claim relies on a model or dataset is overinterpreted to support a conclusion without adequate qualification.</x:v>
      </x:c>
      <x:c r="S898" s="13" t="str">
        <x:v>Stub: A claim discusses false precision with caveats, balanced evidence, or no argumentative use of the pattern.</x:v>
      </x:c>
      <x:c r="T898" s="13" t="str">
        <x:v>Mild or ambiguous cue; do not classify without clear evidence span.</x:v>
      </x:c>
      <x:c r="U898" s="13" t="str">
        <x:v>Clear claim-level pattern with some argumentative impact.</x:v>
      </x:c>
      <x:c r="V898" s="13" t="str">
        <x:v>Strong pattern central to the conclusion and likely to materially distort reasoning.</x:v>
      </x:c>
      <x:c r="W898" s="13" t="str">
        <x:v>uncertainty_acknowledgement; confidence_calibration; scope_limitation</x:v>
      </x:c>
      <x:c r="X898" s="13" t="str">
        <x:v>stanovich_dual_process</x:v>
      </x:c>
      <x:c r="Y898" s="13" t="str">
        <x:v>https://global.oup.com/academic/product/rationality-and-the-reflective-mind-9780195341140</x:v>
      </x:c>
      <x:c r="Z898" s="13" t="str">
        <x:v>Review before enabling. This workbook is a living taxonomy scaffold, not a validated scientific benchmark.</x:v>
      </x:c>
      <x:c r="AA898" s="13" t="str">
        <x:v>0.1.0-draft</x:v>
      </x:c>
      <x:c r="AB898" s="12" t="str">
        <x:f>IF(ISNUMBER(SEARCH("healthy",F898)),"healthy_reasoning_patterns",IF(ISNUMBER(SEARCH("statistical",F898)),"statistical_reasoning",IF(ISNUMBER(SEARCH("causal",F898)),"causal_reasoning",IF(ISNUMBER(SEARCH("social",F898)),"social_influence",IF(ISNUMBER(SEARCH("rhetoric",F898)),"rhetoric_discourse",IF(ISNUMBER(SEARCH("behavior",F898)),"behavioural_economics",IF(ISNUMBER(SEARCH("cognitive",F898)),"cognitive_biases",IF(J898="protective_pattern","healthy_reasoning_patterns",IF(L898="P0","core_mvp","extended_fallacies")))))))))</x:f>
        <x:v>extended_fallacies</x:v>
      </x:c>
      <x:c r="AC898" s="12" t="str">
        <x:f>IF(ISNUMBER(SEARCH("operational",J898)),"operational",IF(ISNUMBER(SEARCH("deprecated",J898)),"deprecated",IF(L898="P0","canonical","recognized_subtype")))</x:f>
        <x:v>operational</x:v>
      </x:c>
      <x:c r="AD898" s="12" t="str">
        <x:f>IF(AC898="canonical","high",IF(AC898="recognized_subtype","medium",IF(AC898="operational","operational_only","debated")))</x:f>
        <x:v>operational_only</x:v>
      </x:c>
      <x:c r="AE898" s="12" t="str">
        <x:f>IF(AC898="deprecated","deprecated",IF(M898="yes","active",IF(M898="review","review_required","backlog")))</x:f>
        <x:v>backlog</x:v>
      </x:c>
      <x:c r="AF898" s="12" t="str">
        <x:f>IF(OR(AE898="active",AE898="review_required"),"yes","no")</x:f>
        <x:v>no</x:v>
      </x:c>
      <x:c r="AG898" s="12" t="str">
        <x:f>IF(AND(AE898="active",M898="yes",NOT(ISNUMBER(SEARCH("healthy",AB898)))),"yes","no")</x:f>
        <x:v>no</x:v>
      </x:c>
      <x:c r="AH898" s="12" t="str">
        <x:f>IF(OR(H898="contextual",H898="dialogue",H898="discourse",I898="claim+context",I898="discourse_segment"),"yes","no")</x:f>
        <x:v>no</x:v>
      </x:c>
      <x:c r="AI898" s="12" t="str">
        <x:f>IF(OR(AH898="yes",AD898="debated",AC898="operational"),"yes","no")</x:f>
        <x:v>yes</x:v>
      </x:c>
      <x:c r="AJ898" s="12" t="str">
        <x:f>IF(OR(AH898="yes",AC898="operational",AD898="debated"),"high",IF(AND(AG898="yes",L898="P0"),"medium","low"))</x:f>
        <x:v>high</x:v>
      </x:c>
      <x:c r="AK898" s="12" t="str">
        <x:f>IF(ISNUMBER(SEARCH("healthy",AB898)),"yes","no")</x:f>
        <x:v>no</x:v>
      </x:c>
      <x:c r="AL898" s="12" t="str">
        <x:f>IF(AG898="yes","yes","candidate_only")</x:f>
        <x:v>candidate_only</x:v>
      </x:c>
      <x:c r="AM898" s="12" t="str">
        <x:f>IF(OR(AC898="canonical",AG898="yes"),"yes","recommended")</x:f>
        <x:v>recommended</x:v>
      </x:c>
      <x:c r="AN898" s="12" t="str">
        <x:f>IF(AC898="deprecated","exclude",IF(AND(AG898="yes",AJ898="high"),"import_but_human_review_required",IF(AG898="yes","import_as_active","import_as_backlog")))</x:f>
        <x:v>import_as_backlog</x:v>
      </x:c>
      <x:c r="AO898" s="12" t="str">
        <x:f>IF(AND(AG898="yes",OR(P898="",Q898="",R898="",S898="")),"missing_required_mvp_fields",IF(AND(AC898="canonical",Y898=""),"missing_source_ref","ok"))</x:f>
        <x:v>ok</x:v>
      </x:c>
      <x:c r="AP898" s="12" t="str">
        <x:f>IF(AO898="ok","ready_for_codex_import","needs_review")</x:f>
        <x:v>ready_for_codex_import</x:v>
      </x:c>
      <x:c r="AQ898" s="12"/>
      <x:c r="AR898" s="12" t="str">
        <x:v>Added v2 operational fields. Review before classification activation.</x:v>
      </x:c>
    </x:row>
    <x:row r="899">
      <x:c r="A899" s="13" t="str">
        <x:v>missing_confidence_level_model_or_data_variant</x:v>
      </x:c>
      <x:c r="B899" s="13" t="str">
        <x:v>missing_confidence_level</x:v>
      </x:c>
      <x:c r="C899" s="13" t="str">
        <x:v>Missing confidence level</x:v>
      </x:c>
      <x:c r="D899" s="13" t="str">
        <x:v>نبود سطح اطمینان</x:v>
      </x:c>
      <x:c r="E899" s="13" t="str">
        <x:v>Model/data variant</x:v>
      </x:c>
      <x:c r="F899" s="13" t="str">
        <x:v>uncertainty_calibration_failures</x:v>
      </x:c>
      <x:c r="G899" s="13" t="str">
        <x:v>operational_variant</x:v>
      </x:c>
      <x:c r="H899" s="13" t="str">
        <x:v>lexical</x:v>
      </x:c>
      <x:c r="I899" s="13" t="str">
        <x:v>claim</x:v>
      </x:c>
      <x:c r="J899" s="13" t="str">
        <x:v>derived_operational_subtype</x:v>
      </x:c>
      <x:c r="K899" s="13" t="str">
        <x:v>derived_from_established_parent_review_required</x:v>
      </x:c>
      <x:c r="L899" s="13" t="str">
        <x:v>P2</x:v>
      </x:c>
      <x:c r="M899" s="13" t="str">
        <x:v>no</x:v>
      </x:c>
      <x:c r="N899" s="13" t="str">
        <x:v>Operational subtype under Missing confidence level: a model or dataset is overinterpreted. Parent definition: Presenting estimates without uncertainty or confidence framing.</x:v>
      </x:c>
      <x:c r="O899" s="13" t="str">
        <x:v>Look for: explicit claim-level evidence; parent-family cues for Missing confidence level; variant cue: a model or dataset is overinterpreted; avoid author-level inference.</x:v>
      </x:c>
      <x:c r="P899" s="13" t="str">
        <x:v>Exact evidence span in text plus claim-level reasoning link; for contextual/discourse entries, require surrounding context.</x:v>
      </x:c>
      <x:c r="Q899" s="13" t="str">
        <x:v>Do not label merely because topic is controversial, emotional, or wrong. Do not judge intent or personality. Require textual evidence and consider healthy-reasoning cues.</x:v>
      </x:c>
      <x:c r="R899" s="13" t="str">
        <x:v>Stub: A claim relies on a model or dataset is overinterpreted to support a conclusion without adequate qualification.</x:v>
      </x:c>
      <x:c r="S899" s="13" t="str">
        <x:v>Stub: A claim discusses missing confidence level with caveats, balanced evidence, or no argumentative use of the pattern.</x:v>
      </x:c>
      <x:c r="T899" s="13" t="str">
        <x:v>Mild or ambiguous cue; do not classify without clear evidence span.</x:v>
      </x:c>
      <x:c r="U899" s="13" t="str">
        <x:v>Clear claim-level pattern with some argumentative impact.</x:v>
      </x:c>
      <x:c r="V899" s="13" t="str">
        <x:v>Strong pattern central to the conclusion and likely to materially distort reasoning.</x:v>
      </x:c>
      <x:c r="W899" s="13" t="str">
        <x:v>uncertainty_acknowledgement; confidence_calibration; scope_limitation</x:v>
      </x:c>
      <x:c r="X899" s="13" t="str">
        <x:v>stanovich_dual_process</x:v>
      </x:c>
      <x:c r="Y899" s="13" t="str">
        <x:v>https://global.oup.com/academic/product/rationality-and-the-reflective-mind-9780195341140</x:v>
      </x:c>
      <x:c r="Z899" s="13" t="str">
        <x:v>Review before enabling. This workbook is a living taxonomy scaffold, not a validated scientific benchmark.</x:v>
      </x:c>
      <x:c r="AA899" s="13" t="str">
        <x:v>0.1.0-draft</x:v>
      </x:c>
      <x:c r="AB899" s="12" t="str">
        <x:f>IF(ISNUMBER(SEARCH("healthy",F899)),"healthy_reasoning_patterns",IF(ISNUMBER(SEARCH("statistical",F899)),"statistical_reasoning",IF(ISNUMBER(SEARCH("causal",F899)),"causal_reasoning",IF(ISNUMBER(SEARCH("social",F899)),"social_influence",IF(ISNUMBER(SEARCH("rhetoric",F899)),"rhetoric_discourse",IF(ISNUMBER(SEARCH("behavior",F899)),"behavioural_economics",IF(ISNUMBER(SEARCH("cognitive",F899)),"cognitive_biases",IF(J899="protective_pattern","healthy_reasoning_patterns",IF(L899="P0","core_mvp","extended_fallacies")))))))))</x:f>
        <x:v>extended_fallacies</x:v>
      </x:c>
      <x:c r="AC899" s="12" t="str">
        <x:f>IF(ISNUMBER(SEARCH("operational",J899)),"operational",IF(ISNUMBER(SEARCH("deprecated",J899)),"deprecated",IF(L899="P0","canonical","recognized_subtype")))</x:f>
        <x:v>operational</x:v>
      </x:c>
      <x:c r="AD899" s="12" t="str">
        <x:f>IF(AC899="canonical","high",IF(AC899="recognized_subtype","medium",IF(AC899="operational","operational_only","debated")))</x:f>
        <x:v>operational_only</x:v>
      </x:c>
      <x:c r="AE899" s="12" t="str">
        <x:f>IF(AC899="deprecated","deprecated",IF(M899="yes","active",IF(M899="review","review_required","backlog")))</x:f>
        <x:v>backlog</x:v>
      </x:c>
      <x:c r="AF899" s="12" t="str">
        <x:f>IF(OR(AE899="active",AE899="review_required"),"yes","no")</x:f>
        <x:v>no</x:v>
      </x:c>
      <x:c r="AG899" s="12" t="str">
        <x:f>IF(AND(AE899="active",M899="yes",NOT(ISNUMBER(SEARCH("healthy",AB899)))),"yes","no")</x:f>
        <x:v>no</x:v>
      </x:c>
      <x:c r="AH899" s="12" t="str">
        <x:f>IF(OR(H899="contextual",H899="dialogue",H899="discourse",I899="claim+context",I899="discourse_segment"),"yes","no")</x:f>
        <x:v>no</x:v>
      </x:c>
      <x:c r="AI899" s="12" t="str">
        <x:f>IF(OR(AH899="yes",AD899="debated",AC899="operational"),"yes","no")</x:f>
        <x:v>yes</x:v>
      </x:c>
      <x:c r="AJ899" s="12" t="str">
        <x:f>IF(OR(AH899="yes",AC899="operational",AD899="debated"),"high",IF(AND(AG899="yes",L899="P0"),"medium","low"))</x:f>
        <x:v>high</x:v>
      </x:c>
      <x:c r="AK899" s="12" t="str">
        <x:f>IF(ISNUMBER(SEARCH("healthy",AB899)),"yes","no")</x:f>
        <x:v>no</x:v>
      </x:c>
      <x:c r="AL899" s="12" t="str">
        <x:f>IF(AG899="yes","yes","candidate_only")</x:f>
        <x:v>candidate_only</x:v>
      </x:c>
      <x:c r="AM899" s="12" t="str">
        <x:f>IF(OR(AC899="canonical",AG899="yes"),"yes","recommended")</x:f>
        <x:v>recommended</x:v>
      </x:c>
      <x:c r="AN899" s="12" t="str">
        <x:f>IF(AC899="deprecated","exclude",IF(AND(AG899="yes",AJ899="high"),"import_but_human_review_required",IF(AG899="yes","import_as_active","import_as_backlog")))</x:f>
        <x:v>import_as_backlog</x:v>
      </x:c>
      <x:c r="AO899" s="12" t="str">
        <x:f>IF(AND(AG899="yes",OR(P899="",Q899="",R899="",S899="")),"missing_required_mvp_fields",IF(AND(AC899="canonical",Y899=""),"missing_source_ref","ok"))</x:f>
        <x:v>ok</x:v>
      </x:c>
      <x:c r="AP899" s="12" t="str">
        <x:f>IF(AO899="ok","ready_for_codex_import","needs_review")</x:f>
        <x:v>ready_for_codex_import</x:v>
      </x:c>
      <x:c r="AQ899" s="12"/>
      <x:c r="AR899" s="12" t="str">
        <x:v>Added v2 operational fields. Review before classification activation.</x:v>
      </x:c>
    </x:row>
    <x:row r="900">
      <x:c r="A900" s="13" t="str">
        <x:v>forecast_horizon_neglect_model_or_data_variant</x:v>
      </x:c>
      <x:c r="B900" s="13" t="str">
        <x:v>forecast_horizon_neglect</x:v>
      </x:c>
      <x:c r="C900" s="13" t="str">
        <x:v>Forecast horizon neglect</x:v>
      </x:c>
      <x:c r="D900" s="13" t="str">
        <x:v>نادیده‌گرفتن افق پیش‌بینی</x:v>
      </x:c>
      <x:c r="E900" s="13" t="str">
        <x:v>Model/data variant</x:v>
      </x:c>
      <x:c r="F900" s="13" t="str">
        <x:v>uncertainty_calibration_failures</x:v>
      </x:c>
      <x:c r="G900" s="13" t="str">
        <x:v>operational_variant</x:v>
      </x:c>
      <x:c r="H900" s="13" t="str">
        <x:v>contextual</x:v>
      </x:c>
      <x:c r="I900" s="13" t="str">
        <x:v>claim+context</x:v>
      </x:c>
      <x:c r="J900" s="13" t="str">
        <x:v>derived_operational_subtype</x:v>
      </x:c>
      <x:c r="K900" s="13" t="str">
        <x:v>derived_from_established_parent_review_required</x:v>
      </x:c>
      <x:c r="L900" s="13" t="str">
        <x:v>P3</x:v>
      </x:c>
      <x:c r="M900" s="13" t="str">
        <x:v>no</x:v>
      </x:c>
      <x:c r="N900" s="13" t="str">
        <x:v>Operational subtype under Forecast horizon neglect: a model or dataset is overinterpreted. Parent definition: Making forecasts without specifying the time horizon.</x:v>
      </x:c>
      <x:c r="O900" s="13" t="str">
        <x:v>Look for: explicit claim-level evidence; parent-family cues for Forecast horizon neglect; variant cue: a model or dataset is overinterpreted; avoid author-level inference.</x:v>
      </x:c>
      <x:c r="P900" s="13" t="str">
        <x:v>Exact evidence span in text plus claim-level reasoning link; for contextual/discourse entries, require surrounding context.</x:v>
      </x:c>
      <x:c r="Q900" s="13" t="str">
        <x:v>Do not label merely because topic is controversial, emotional, or wrong. Do not judge intent or personality. Require textual evidence and consider healthy-reasoning cues.</x:v>
      </x:c>
      <x:c r="R900" s="13" t="str">
        <x:v>Stub: A claim relies on a model or dataset is overinterpreted to support a conclusion without adequate qualification.</x:v>
      </x:c>
      <x:c r="S900" s="13" t="str">
        <x:v>Stub: A claim discusses forecast horizon neglect with caveats, balanced evidence, or no argumentative use of the pattern.</x:v>
      </x:c>
      <x:c r="T900" s="13" t="str">
        <x:v>Mild or ambiguous cue; do not classify without clear evidence span.</x:v>
      </x:c>
      <x:c r="U900" s="13" t="str">
        <x:v>Clear claim-level pattern with some argumentative impact.</x:v>
      </x:c>
      <x:c r="V900" s="13" t="str">
        <x:v>Strong pattern central to the conclusion and likely to materially distort reasoning.</x:v>
      </x:c>
      <x:c r="W900" s="13" t="str">
        <x:v>uncertainty_acknowledgement; confidence_calibration; scope_limitation</x:v>
      </x:c>
      <x:c r="X900" s="13" t="str">
        <x:v>stanovich_dual_process</x:v>
      </x:c>
      <x:c r="Y900" s="13" t="str">
        <x:v>https://global.oup.com/academic/product/rationality-and-the-reflective-mind-9780195341140</x:v>
      </x:c>
      <x:c r="Z900" s="13" t="str">
        <x:v>Review before enabling. This workbook is a living taxonomy scaffold, not a validated scientific benchmark.</x:v>
      </x:c>
      <x:c r="AA900" s="13" t="str">
        <x:v>0.1.0-draft</x:v>
      </x:c>
      <x:c r="AB900" s="12" t="str">
        <x:f>IF(ISNUMBER(SEARCH("healthy",F900)),"healthy_reasoning_patterns",IF(ISNUMBER(SEARCH("statistical",F900)),"statistical_reasoning",IF(ISNUMBER(SEARCH("causal",F900)),"causal_reasoning",IF(ISNUMBER(SEARCH("social",F900)),"social_influence",IF(ISNUMBER(SEARCH("rhetoric",F900)),"rhetoric_discourse",IF(ISNUMBER(SEARCH("behavior",F900)),"behavioural_economics",IF(ISNUMBER(SEARCH("cognitive",F900)),"cognitive_biases",IF(J900="protective_pattern","healthy_reasoning_patterns",IF(L900="P0","core_mvp","extended_fallacies")))))))))</x:f>
        <x:v>extended_fallacies</x:v>
      </x:c>
      <x:c r="AC900" s="12" t="str">
        <x:f>IF(ISNUMBER(SEARCH("operational",J900)),"operational",IF(ISNUMBER(SEARCH("deprecated",J900)),"deprecated",IF(L900="P0","canonical","recognized_subtype")))</x:f>
        <x:v>operational</x:v>
      </x:c>
      <x:c r="AD900" s="12" t="str">
        <x:f>IF(AC900="canonical","high",IF(AC900="recognized_subtype","medium",IF(AC900="operational","operational_only","debated")))</x:f>
        <x:v>operational_only</x:v>
      </x:c>
      <x:c r="AE900" s="12" t="str">
        <x:f>IF(AC900="deprecated","deprecated",IF(M900="yes","active",IF(M900="review","review_required","backlog")))</x:f>
        <x:v>backlog</x:v>
      </x:c>
      <x:c r="AF900" s="12" t="str">
        <x:f>IF(OR(AE900="active",AE900="review_required"),"yes","no")</x:f>
        <x:v>no</x:v>
      </x:c>
      <x:c r="AG900" s="12" t="str">
        <x:f>IF(AND(AE900="active",M900="yes",NOT(ISNUMBER(SEARCH("healthy",AB900)))),"yes","no")</x:f>
        <x:v>no</x:v>
      </x:c>
      <x:c r="AH900" s="12" t="str">
        <x:f>IF(OR(H900="contextual",H900="dialogue",H900="discourse",I900="claim+context",I900="discourse_segment"),"yes","no")</x:f>
        <x:v>yes</x:v>
      </x:c>
      <x:c r="AI900" s="12" t="str">
        <x:f>IF(OR(AH900="yes",AD900="debated",AC900="operational"),"yes","no")</x:f>
        <x:v>yes</x:v>
      </x:c>
      <x:c r="AJ900" s="12" t="str">
        <x:f>IF(OR(AH900="yes",AC900="operational",AD900="debated"),"high",IF(AND(AG900="yes",L900="P0"),"medium","low"))</x:f>
        <x:v>high</x:v>
      </x:c>
      <x:c r="AK900" s="12" t="str">
        <x:f>IF(ISNUMBER(SEARCH("healthy",AB900)),"yes","no")</x:f>
        <x:v>no</x:v>
      </x:c>
      <x:c r="AL900" s="12" t="str">
        <x:f>IF(AG900="yes","yes","candidate_only")</x:f>
        <x:v>candidate_only</x:v>
      </x:c>
      <x:c r="AM900" s="12" t="str">
        <x:f>IF(OR(AC900="canonical",AG900="yes"),"yes","recommended")</x:f>
        <x:v>recommended</x:v>
      </x:c>
      <x:c r="AN900" s="12" t="str">
        <x:f>IF(AC900="deprecated","exclude",IF(AND(AG900="yes",AJ900="high"),"import_but_human_review_required",IF(AG900="yes","import_as_active","import_as_backlog")))</x:f>
        <x:v>import_as_backlog</x:v>
      </x:c>
      <x:c r="AO900" s="12" t="str">
        <x:f>IF(AND(AG900="yes",OR(P900="",Q900="",R900="",S900="")),"missing_required_mvp_fields",IF(AND(AC900="canonical",Y900=""),"missing_source_ref","ok"))</x:f>
        <x:v>ok</x:v>
      </x:c>
      <x:c r="AP900" s="12" t="str">
        <x:f>IF(AO900="ok","ready_for_codex_import","needs_review")</x:f>
        <x:v>ready_for_codex_import</x:v>
      </x:c>
      <x:c r="AQ900" s="12"/>
      <x:c r="AR900" s="12" t="str">
        <x:v>Added v2 operational fields. Review before classification activation.</x:v>
      </x:c>
    </x:row>
    <x:row r="901">
      <x:c r="A901" s="13" t="str">
        <x:v>trend_extrapolation_overreach_model_or_data_variant</x:v>
      </x:c>
      <x:c r="B901" s="13" t="str">
        <x:v>trend_extrapolation_overreach</x:v>
      </x:c>
      <x:c r="C901" s="13" t="str">
        <x:v>Trend extrapolation overreach</x:v>
      </x:c>
      <x:c r="D901" s="13" t="str">
        <x:v>برون‌یابی افراطی روند</x:v>
      </x:c>
      <x:c r="E901" s="13" t="str">
        <x:v>Model/data variant</x:v>
      </x:c>
      <x:c r="F901" s="13" t="str">
        <x:v>uncertainty_calibration_failures</x:v>
      </x:c>
      <x:c r="G901" s="13" t="str">
        <x:v>operational_variant</x:v>
      </x:c>
      <x:c r="H901" s="13" t="str">
        <x:v>contextual</x:v>
      </x:c>
      <x:c r="I901" s="13" t="str">
        <x:v>claim+context</x:v>
      </x:c>
      <x:c r="J901" s="13" t="str">
        <x:v>derived_operational_subtype</x:v>
      </x:c>
      <x:c r="K901" s="13" t="str">
        <x:v>derived_from_established_parent_review_required</x:v>
      </x:c>
      <x:c r="L901" s="13" t="str">
        <x:v>P3</x:v>
      </x:c>
      <x:c r="M901" s="13" t="str">
        <x:v>no</x:v>
      </x:c>
      <x:c r="N901" s="13" t="str">
        <x:v>Operational subtype under Trend extrapolation overreach: a model or dataset is overinterpreted. Parent definition: Extending a trend beyond evidence without caveats.</x:v>
      </x:c>
      <x:c r="O901" s="13" t="str">
        <x:v>Look for: explicit claim-level evidence; parent-family cues for Trend extrapolation overreach; variant cue: a model or dataset is overinterpreted; avoid author-level inference.</x:v>
      </x:c>
      <x:c r="P901" s="13" t="str">
        <x:v>Exact evidence span in text plus claim-level reasoning link; for contextual/discourse entries, require surrounding context.</x:v>
      </x:c>
      <x:c r="Q901" s="13" t="str">
        <x:v>Do not label merely because topic is controversial, emotional, or wrong. Do not judge intent or personality. Require textual evidence and consider healthy-reasoning cues.</x:v>
      </x:c>
      <x:c r="R901" s="13" t="str">
        <x:v>Stub: A claim relies on a model or dataset is overinterpreted to support a conclusion without adequate qualification.</x:v>
      </x:c>
      <x:c r="S901" s="13" t="str">
        <x:v>Stub: A claim discusses trend extrapolation overreach with caveats, balanced evidence, or no argumentative use of the pattern.</x:v>
      </x:c>
      <x:c r="T901" s="13" t="str">
        <x:v>Mild or ambiguous cue; do not classify without clear evidence span.</x:v>
      </x:c>
      <x:c r="U901" s="13" t="str">
        <x:v>Clear claim-level pattern with some argumentative impact.</x:v>
      </x:c>
      <x:c r="V901" s="13" t="str">
        <x:v>Strong pattern central to the conclusion and likely to materially distort reasoning.</x:v>
      </x:c>
      <x:c r="W901" s="13" t="str">
        <x:v>cherry_picking; missing_counterevidence; evidence_grading</x:v>
      </x:c>
      <x:c r="X901" s="13" t="str">
        <x:v>stanovich_dual_process</x:v>
      </x:c>
      <x:c r="Y901" s="13" t="str">
        <x:v>https://global.oup.com/academic/product/rationality-and-the-reflective-mind-9780195341140</x:v>
      </x:c>
      <x:c r="Z901" s="13" t="str">
        <x:v>Review before enabling. This workbook is a living taxonomy scaffold, not a validated scientific benchmark.</x:v>
      </x:c>
      <x:c r="AA901" s="13" t="str">
        <x:v>0.1.0-draft</x:v>
      </x:c>
      <x:c r="AB901" s="12" t="str">
        <x:f>IF(ISNUMBER(SEARCH("healthy",F901)),"healthy_reasoning_patterns",IF(ISNUMBER(SEARCH("statistical",F901)),"statistical_reasoning",IF(ISNUMBER(SEARCH("causal",F901)),"causal_reasoning",IF(ISNUMBER(SEARCH("social",F901)),"social_influence",IF(ISNUMBER(SEARCH("rhetoric",F901)),"rhetoric_discourse",IF(ISNUMBER(SEARCH("behavior",F901)),"behavioural_economics",IF(ISNUMBER(SEARCH("cognitive",F901)),"cognitive_biases",IF(J901="protective_pattern","healthy_reasoning_patterns",IF(L901="P0","core_mvp","extended_fallacies")))))))))</x:f>
        <x:v>extended_fallacies</x:v>
      </x:c>
      <x:c r="AC901" s="12" t="str">
        <x:f>IF(ISNUMBER(SEARCH("operational",J901)),"operational",IF(ISNUMBER(SEARCH("deprecated",J901)),"deprecated",IF(L901="P0","canonical","recognized_subtype")))</x:f>
        <x:v>operational</x:v>
      </x:c>
      <x:c r="AD901" s="12" t="str">
        <x:f>IF(AC901="canonical","high",IF(AC901="recognized_subtype","medium",IF(AC901="operational","operational_only","debated")))</x:f>
        <x:v>operational_only</x:v>
      </x:c>
      <x:c r="AE901" s="12" t="str">
        <x:f>IF(AC901="deprecated","deprecated",IF(M901="yes","active",IF(M901="review","review_required","backlog")))</x:f>
        <x:v>backlog</x:v>
      </x:c>
      <x:c r="AF901" s="12" t="str">
        <x:f>IF(OR(AE901="active",AE901="review_required"),"yes","no")</x:f>
        <x:v>no</x:v>
      </x:c>
      <x:c r="AG901" s="12" t="str">
        <x:f>IF(AND(AE901="active",M901="yes",NOT(ISNUMBER(SEARCH("healthy",AB901)))),"yes","no")</x:f>
        <x:v>no</x:v>
      </x:c>
      <x:c r="AH901" s="12" t="str">
        <x:f>IF(OR(H901="contextual",H901="dialogue",H901="discourse",I901="claim+context",I901="discourse_segment"),"yes","no")</x:f>
        <x:v>yes</x:v>
      </x:c>
      <x:c r="AI901" s="12" t="str">
        <x:f>IF(OR(AH901="yes",AD901="debated",AC901="operational"),"yes","no")</x:f>
        <x:v>yes</x:v>
      </x:c>
      <x:c r="AJ901" s="12" t="str">
        <x:f>IF(OR(AH901="yes",AC901="operational",AD901="debated"),"high",IF(AND(AG901="yes",L901="P0"),"medium","low"))</x:f>
        <x:v>high</x:v>
      </x:c>
      <x:c r="AK901" s="12" t="str">
        <x:f>IF(ISNUMBER(SEARCH("healthy",AB901)),"yes","no")</x:f>
        <x:v>no</x:v>
      </x:c>
      <x:c r="AL901" s="12" t="str">
        <x:f>IF(AG901="yes","yes","candidate_only")</x:f>
        <x:v>candidate_only</x:v>
      </x:c>
      <x:c r="AM901" s="12" t="str">
        <x:f>IF(OR(AC901="canonical",AG901="yes"),"yes","recommended")</x:f>
        <x:v>recommended</x:v>
      </x:c>
      <x:c r="AN901" s="12" t="str">
        <x:f>IF(AC901="deprecated","exclude",IF(AND(AG901="yes",AJ901="high"),"import_but_human_review_required",IF(AG901="yes","import_as_active","import_as_backlog")))</x:f>
        <x:v>import_as_backlog</x:v>
      </x:c>
      <x:c r="AO901" s="12" t="str">
        <x:f>IF(AND(AG901="yes",OR(P901="",Q901="",R901="",S901="")),"missing_required_mvp_fields",IF(AND(AC901="canonical",Y901=""),"missing_source_ref","ok"))</x:f>
        <x:v>ok</x:v>
      </x:c>
      <x:c r="AP901" s="12" t="str">
        <x:f>IF(AO901="ok","ready_for_codex_import","needs_review")</x:f>
        <x:v>ready_for_codex_import</x:v>
      </x:c>
      <x:c r="AQ901" s="12"/>
      <x:c r="AR901" s="12" t="str">
        <x:v>Added v2 operational fields. Review before classification activation.</x:v>
      </x:c>
    </x:row>
    <x:row r="902">
      <x:c r="A902" s="13" t="str">
        <x:v>linear_projection_fallacy_model_or_data_variant</x:v>
      </x:c>
      <x:c r="B902" s="13" t="str">
        <x:v>linear_projection_fallacy</x:v>
      </x:c>
      <x:c r="C902" s="13" t="str">
        <x:v>Linear projection fallacy</x:v>
      </x:c>
      <x:c r="D902" s="13" t="str">
        <x:v>خطای امتداد خطی</x:v>
      </x:c>
      <x:c r="E902" s="13" t="str">
        <x:v>Model/data variant</x:v>
      </x:c>
      <x:c r="F902" s="13" t="str">
        <x:v>uncertainty_calibration_failures</x:v>
      </x:c>
      <x:c r="G902" s="13" t="str">
        <x:v>operational_variant</x:v>
      </x:c>
      <x:c r="H902" s="13" t="str">
        <x:v>contextual</x:v>
      </x:c>
      <x:c r="I902" s="13" t="str">
        <x:v>claim+context</x:v>
      </x:c>
      <x:c r="J902" s="13" t="str">
        <x:v>derived_operational_subtype</x:v>
      </x:c>
      <x:c r="K902" s="13" t="str">
        <x:v>derived_from_established_parent_review_required</x:v>
      </x:c>
      <x:c r="L902" s="13" t="str">
        <x:v>P3</x:v>
      </x:c>
      <x:c r="M902" s="13" t="str">
        <x:v>no</x:v>
      </x:c>
      <x:c r="N902" s="13" t="str">
        <x:v>Operational subtype under Linear projection fallacy: a model or dataset is overinterpreted. Parent definition: Assuming linear continuation in a nonlinear domain.</x:v>
      </x:c>
      <x:c r="O902" s="13" t="str">
        <x:v>Look for: explicit claim-level evidence; parent-family cues for Linear projection fallacy; variant cue: a model or dataset is overinterpreted; avoid author-level inference.</x:v>
      </x:c>
      <x:c r="P902" s="13" t="str">
        <x:v>Exact evidence span in text plus claim-level reasoning link; for contextual/discourse entries, require surrounding context.</x:v>
      </x:c>
      <x:c r="Q902" s="13" t="str">
        <x:v>Do not label merely because topic is controversial, emotional, or wrong. Do not judge intent or personality. Require textual evidence and consider healthy-reasoning cues.</x:v>
      </x:c>
      <x:c r="R902" s="13" t="str">
        <x:v>Stub: A claim relies on a model or dataset is overinterpreted to support a conclusion without adequate qualification.</x:v>
      </x:c>
      <x:c r="S902" s="13" t="str">
        <x:v>Stub: A claim discusses linear projection fallacy with caveats, balanced evidence, or no argumentative use of the pattern.</x:v>
      </x:c>
      <x:c r="T902" s="13" t="str">
        <x:v>Mild or ambiguous cue; do not classify without clear evidence span.</x:v>
      </x:c>
      <x:c r="U902" s="13" t="str">
        <x:v>Clear claim-level pattern with some argumentative impact.</x:v>
      </x:c>
      <x:c r="V902" s="13" t="str">
        <x:v>Strong pattern central to the conclusion and likely to materially distort reasoning.</x:v>
      </x:c>
      <x:c r="W902" s="13" t="str">
        <x:v>uncertainty_acknowledgement; confidence_calibration; scope_limitation</x:v>
      </x:c>
      <x:c r="X902" s="13" t="str">
        <x:v>stanovich_dual_process</x:v>
      </x:c>
      <x:c r="Y902" s="13" t="str">
        <x:v>https://global.oup.com/academic/product/rationality-and-the-reflective-mind-9780195341140</x:v>
      </x:c>
      <x:c r="Z902" s="13" t="str">
        <x:v>Review before enabling. This workbook is a living taxonomy scaffold, not a validated scientific benchmark.</x:v>
      </x:c>
      <x:c r="AA902" s="13" t="str">
        <x:v>0.1.0-draft</x:v>
      </x:c>
      <x:c r="AB902" s="12" t="str">
        <x:f>IF(ISNUMBER(SEARCH("healthy",F902)),"healthy_reasoning_patterns",IF(ISNUMBER(SEARCH("statistical",F902)),"statistical_reasoning",IF(ISNUMBER(SEARCH("causal",F902)),"causal_reasoning",IF(ISNUMBER(SEARCH("social",F902)),"social_influence",IF(ISNUMBER(SEARCH("rhetoric",F902)),"rhetoric_discourse",IF(ISNUMBER(SEARCH("behavior",F902)),"behavioural_economics",IF(ISNUMBER(SEARCH("cognitive",F902)),"cognitive_biases",IF(J902="protective_pattern","healthy_reasoning_patterns",IF(L902="P0","core_mvp","extended_fallacies")))))))))</x:f>
        <x:v>extended_fallacies</x:v>
      </x:c>
      <x:c r="AC902" s="12" t="str">
        <x:f>IF(ISNUMBER(SEARCH("operational",J902)),"operational",IF(ISNUMBER(SEARCH("deprecated",J902)),"deprecated",IF(L902="P0","canonical","recognized_subtype")))</x:f>
        <x:v>operational</x:v>
      </x:c>
      <x:c r="AD902" s="12" t="str">
        <x:f>IF(AC902="canonical","high",IF(AC902="recognized_subtype","medium",IF(AC902="operational","operational_only","debated")))</x:f>
        <x:v>operational_only</x:v>
      </x:c>
      <x:c r="AE902" s="12" t="str">
        <x:f>IF(AC902="deprecated","deprecated",IF(M902="yes","active",IF(M902="review","review_required","backlog")))</x:f>
        <x:v>backlog</x:v>
      </x:c>
      <x:c r="AF902" s="12" t="str">
        <x:f>IF(OR(AE902="active",AE902="review_required"),"yes","no")</x:f>
        <x:v>no</x:v>
      </x:c>
      <x:c r="AG902" s="12" t="str">
        <x:f>IF(AND(AE902="active",M902="yes",NOT(ISNUMBER(SEARCH("healthy",AB902)))),"yes","no")</x:f>
        <x:v>no</x:v>
      </x:c>
      <x:c r="AH902" s="12" t="str">
        <x:f>IF(OR(H902="contextual",H902="dialogue",H902="discourse",I902="claim+context",I902="discourse_segment"),"yes","no")</x:f>
        <x:v>yes</x:v>
      </x:c>
      <x:c r="AI902" s="12" t="str">
        <x:f>IF(OR(AH902="yes",AD902="debated",AC902="operational"),"yes","no")</x:f>
        <x:v>yes</x:v>
      </x:c>
      <x:c r="AJ902" s="12" t="str">
        <x:f>IF(OR(AH902="yes",AC902="operational",AD902="debated"),"high",IF(AND(AG902="yes",L902="P0"),"medium","low"))</x:f>
        <x:v>high</x:v>
      </x:c>
      <x:c r="AK902" s="12" t="str">
        <x:f>IF(ISNUMBER(SEARCH("healthy",AB902)),"yes","no")</x:f>
        <x:v>no</x:v>
      </x:c>
      <x:c r="AL902" s="12" t="str">
        <x:f>IF(AG902="yes","yes","candidate_only")</x:f>
        <x:v>candidate_only</x:v>
      </x:c>
      <x:c r="AM902" s="12" t="str">
        <x:f>IF(OR(AC902="canonical",AG902="yes"),"yes","recommended")</x:f>
        <x:v>recommended</x:v>
      </x:c>
      <x:c r="AN902" s="12" t="str">
        <x:f>IF(AC902="deprecated","exclude",IF(AND(AG902="yes",AJ902="high"),"import_but_human_review_required",IF(AG902="yes","import_as_active","import_as_backlog")))</x:f>
        <x:v>import_as_backlog</x:v>
      </x:c>
      <x:c r="AO902" s="12" t="str">
        <x:f>IF(AND(AG902="yes",OR(P902="",Q902="",R902="",S902="")),"missing_required_mvp_fields",IF(AND(AC902="canonical",Y902=""),"missing_source_ref","ok"))</x:f>
        <x:v>ok</x:v>
      </x:c>
      <x:c r="AP902" s="12" t="str">
        <x:f>IF(AO902="ok","ready_for_codex_import","needs_review")</x:f>
        <x:v>ready_for_codex_import</x:v>
      </x:c>
      <x:c r="AQ902" s="12"/>
      <x:c r="AR902" s="12" t="str">
        <x:v>Added v2 operational fields. Review before classification activation.</x:v>
      </x:c>
    </x:row>
    <x:row r="903">
      <x:c r="A903" s="13" t="str">
        <x:v>scenario_neglect_model_or_data_variant</x:v>
      </x:c>
      <x:c r="B903" s="13" t="str">
        <x:v>scenario_neglect</x:v>
      </x:c>
      <x:c r="C903" s="13" t="str">
        <x:v>Scenario neglect</x:v>
      </x:c>
      <x:c r="D903" s="13" t="str">
        <x:v>نادیده‌گرفتن سناریوهای بدیل</x:v>
      </x:c>
      <x:c r="E903" s="13" t="str">
        <x:v>Model/data variant</x:v>
      </x:c>
      <x:c r="F903" s="13" t="str">
        <x:v>uncertainty_calibration_failures</x:v>
      </x:c>
      <x:c r="G903" s="13" t="str">
        <x:v>operational_variant</x:v>
      </x:c>
      <x:c r="H903" s="13" t="str">
        <x:v>contextual</x:v>
      </x:c>
      <x:c r="I903" s="13" t="str">
        <x:v>claim+context</x:v>
      </x:c>
      <x:c r="J903" s="13" t="str">
        <x:v>derived_operational_subtype</x:v>
      </x:c>
      <x:c r="K903" s="13" t="str">
        <x:v>derived_from_established_parent_review_required</x:v>
      </x:c>
      <x:c r="L903" s="13" t="str">
        <x:v>P3</x:v>
      </x:c>
      <x:c r="M903" s="13" t="str">
        <x:v>no</x:v>
      </x:c>
      <x:c r="N903" s="13" t="str">
        <x:v>Operational subtype under Scenario neglect: a model or dataset is overinterpreted. Parent definition: Failing to consider plausible alternative futures.</x:v>
      </x:c>
      <x:c r="O903" s="13" t="str">
        <x:v>Look for: explicit claim-level evidence; parent-family cues for Scenario neglect; variant cue: a model or dataset is overinterpreted; avoid author-level inference.</x:v>
      </x:c>
      <x:c r="P903" s="13" t="str">
        <x:v>Exact evidence span in text plus claim-level reasoning link; for contextual/discourse entries, require surrounding context.</x:v>
      </x:c>
      <x:c r="Q903" s="13" t="str">
        <x:v>Do not label merely because topic is controversial, emotional, or wrong. Do not judge intent or personality. Require textual evidence and consider healthy-reasoning cues.</x:v>
      </x:c>
      <x:c r="R903" s="13" t="str">
        <x:v>Stub: A claim relies on a model or dataset is overinterpreted to support a conclusion without adequate qualification.</x:v>
      </x:c>
      <x:c r="S903" s="13" t="str">
        <x:v>Stub: A claim discusses scenario neglect with caveats, balanced evidence, or no argumentative use of the pattern.</x:v>
      </x:c>
      <x:c r="T903" s="13" t="str">
        <x:v>Mild or ambiguous cue; do not classify without clear evidence span.</x:v>
      </x:c>
      <x:c r="U903" s="13" t="str">
        <x:v>Clear claim-level pattern with some argumentative impact.</x:v>
      </x:c>
      <x:c r="V903" s="13" t="str">
        <x:v>Strong pattern central to the conclusion and likely to materially distort reasoning.</x:v>
      </x:c>
      <x:c r="W903" s="13" t="str">
        <x:v>uncertainty_acknowledgement; confidence_calibration; scope_limitation</x:v>
      </x:c>
      <x:c r="X903" s="13" t="str">
        <x:v>stanovich_dual_process</x:v>
      </x:c>
      <x:c r="Y903" s="13" t="str">
        <x:v>https://global.oup.com/academic/product/rationality-and-the-reflective-mind-9780195341140</x:v>
      </x:c>
      <x:c r="Z903" s="13" t="str">
        <x:v>Review before enabling. This workbook is a living taxonomy scaffold, not a validated scientific benchmark.</x:v>
      </x:c>
      <x:c r="AA903" s="13" t="str">
        <x:v>0.1.0-draft</x:v>
      </x:c>
      <x:c r="AB903" s="12" t="str">
        <x:f>IF(ISNUMBER(SEARCH("healthy",F903)),"healthy_reasoning_patterns",IF(ISNUMBER(SEARCH("statistical",F903)),"statistical_reasoning",IF(ISNUMBER(SEARCH("causal",F903)),"causal_reasoning",IF(ISNUMBER(SEARCH("social",F903)),"social_influence",IF(ISNUMBER(SEARCH("rhetoric",F903)),"rhetoric_discourse",IF(ISNUMBER(SEARCH("behavior",F903)),"behavioural_economics",IF(ISNUMBER(SEARCH("cognitive",F903)),"cognitive_biases",IF(J903="protective_pattern","healthy_reasoning_patterns",IF(L903="P0","core_mvp","extended_fallacies")))))))))</x:f>
        <x:v>extended_fallacies</x:v>
      </x:c>
      <x:c r="AC903" s="12" t="str">
        <x:f>IF(ISNUMBER(SEARCH("operational",J903)),"operational",IF(ISNUMBER(SEARCH("deprecated",J903)),"deprecated",IF(L903="P0","canonical","recognized_subtype")))</x:f>
        <x:v>operational</x:v>
      </x:c>
      <x:c r="AD903" s="12" t="str">
        <x:f>IF(AC903="canonical","high",IF(AC903="recognized_subtype","medium",IF(AC903="operational","operational_only","debated")))</x:f>
        <x:v>operational_only</x:v>
      </x:c>
      <x:c r="AE903" s="12" t="str">
        <x:f>IF(AC903="deprecated","deprecated",IF(M903="yes","active",IF(M903="review","review_required","backlog")))</x:f>
        <x:v>backlog</x:v>
      </x:c>
      <x:c r="AF903" s="12" t="str">
        <x:f>IF(OR(AE903="active",AE903="review_required"),"yes","no")</x:f>
        <x:v>no</x:v>
      </x:c>
      <x:c r="AG903" s="12" t="str">
        <x:f>IF(AND(AE903="active",M903="yes",NOT(ISNUMBER(SEARCH("healthy",AB903)))),"yes","no")</x:f>
        <x:v>no</x:v>
      </x:c>
      <x:c r="AH903" s="12" t="str">
        <x:f>IF(OR(H903="contextual",H903="dialogue",H903="discourse",I903="claim+context",I903="discourse_segment"),"yes","no")</x:f>
        <x:v>yes</x:v>
      </x:c>
      <x:c r="AI903" s="12" t="str">
        <x:f>IF(OR(AH903="yes",AD903="debated",AC903="operational"),"yes","no")</x:f>
        <x:v>yes</x:v>
      </x:c>
      <x:c r="AJ903" s="12" t="str">
        <x:f>IF(OR(AH903="yes",AC903="operational",AD903="debated"),"high",IF(AND(AG903="yes",L903="P0"),"medium","low"))</x:f>
        <x:v>high</x:v>
      </x:c>
      <x:c r="AK903" s="12" t="str">
        <x:f>IF(ISNUMBER(SEARCH("healthy",AB903)),"yes","no")</x:f>
        <x:v>no</x:v>
      </x:c>
      <x:c r="AL903" s="12" t="str">
        <x:f>IF(AG903="yes","yes","candidate_only")</x:f>
        <x:v>candidate_only</x:v>
      </x:c>
      <x:c r="AM903" s="12" t="str">
        <x:f>IF(OR(AC903="canonical",AG903="yes"),"yes","recommended")</x:f>
        <x:v>recommended</x:v>
      </x:c>
      <x:c r="AN903" s="12" t="str">
        <x:f>IF(AC903="deprecated","exclude",IF(AND(AG903="yes",AJ903="high"),"import_but_human_review_required",IF(AG903="yes","import_as_active","import_as_backlog")))</x:f>
        <x:v>import_as_backlog</x:v>
      </x:c>
      <x:c r="AO903" s="12" t="str">
        <x:f>IF(AND(AG903="yes",OR(P903="",Q903="",R903="",S903="")),"missing_required_mvp_fields",IF(AND(AC903="canonical",Y903=""),"missing_source_ref","ok"))</x:f>
        <x:v>ok</x:v>
      </x:c>
      <x:c r="AP903" s="12" t="str">
        <x:f>IF(AO903="ok","ready_for_codex_import","needs_review")</x:f>
        <x:v>ready_for_codex_import</x:v>
      </x:c>
      <x:c r="AQ903" s="12"/>
      <x:c r="AR903" s="12" t="str">
        <x:v>Added v2 operational fields. Review before classification activation.</x:v>
      </x:c>
    </x:row>
    <x:row r="904">
      <x:c r="A904" s="13" t="str">
        <x:v>alternative_explanation_neglect_model_or_data_variant</x:v>
      </x:c>
      <x:c r="B904" s="13" t="str">
        <x:v>alternative_explanation_neglect</x:v>
      </x:c>
      <x:c r="C904" s="13" t="str">
        <x:v>Alternative explanation neglect</x:v>
      </x:c>
      <x:c r="D904" s="13" t="str">
        <x:v>نادیده گرفتن توضیح بدیل</x:v>
      </x:c>
      <x:c r="E904" s="13" t="str">
        <x:v>Model/data variant</x:v>
      </x:c>
      <x:c r="F904" s="13" t="str">
        <x:v>uncertainty_calibration_failures</x:v>
      </x:c>
      <x:c r="G904" s="13" t="str">
        <x:v>operational_variant</x:v>
      </x:c>
      <x:c r="H904" s="13" t="str">
        <x:v>contextual</x:v>
      </x:c>
      <x:c r="I904" s="13" t="str">
        <x:v>claim+context</x:v>
      </x:c>
      <x:c r="J904" s="13" t="str">
        <x:v>derived_operational_subtype</x:v>
      </x:c>
      <x:c r="K904" s="13" t="str">
        <x:v>derived_from_established_parent_review_required</x:v>
      </x:c>
      <x:c r="L904" s="13" t="str">
        <x:v>P3</x:v>
      </x:c>
      <x:c r="M904" s="13" t="str">
        <x:v>no</x:v>
      </x:c>
      <x:c r="N904" s="13" t="str">
        <x:v>Operational subtype under Alternative explanation neglect: a model or dataset is overinterpreted. Parent definition: Ignoring plausible alternative explanations for observed evidence.</x:v>
      </x:c>
      <x:c r="O904" s="13" t="str">
        <x:v>Look for: explicit claim-level evidence; parent-family cues for Alternative explanation neglect; variant cue: a model or dataset is overinterpreted; avoid author-level inference.</x:v>
      </x:c>
      <x:c r="P904" s="13" t="str">
        <x:v>Exact evidence span in text plus claim-level reasoning link; for contextual/discourse entries, require surrounding context.</x:v>
      </x:c>
      <x:c r="Q904" s="13" t="str">
        <x:v>Do not label merely because topic is controversial, emotional, or wrong. Do not judge intent or personality. Require textual evidence and consider healthy-reasoning cues.</x:v>
      </x:c>
      <x:c r="R904" s="13" t="str">
        <x:v>Stub: A claim relies on a model or dataset is overinterpreted to support a conclusion without adequate qualification.</x:v>
      </x:c>
      <x:c r="S904" s="13" t="str">
        <x:v>Stub: A claim discusses alternative explanation neglect with caveats, balanced evidence, or no argumentative use of the pattern.</x:v>
      </x:c>
      <x:c r="T904" s="13" t="str">
        <x:v>Mild or ambiguous cue; do not classify without clear evidence span.</x:v>
      </x:c>
      <x:c r="U904" s="13" t="str">
        <x:v>Clear claim-level pattern with some argumentative impact.</x:v>
      </x:c>
      <x:c r="V904" s="13" t="str">
        <x:v>Strong pattern central to the conclusion and likely to materially distort reasoning.</x:v>
      </x:c>
      <x:c r="W904" s="13" t="str">
        <x:v>cherry_picking; missing_counterevidence; evidence_grading</x:v>
      </x:c>
      <x:c r="X904" s="13" t="str">
        <x:v>toulmin_uses_argument</x:v>
      </x:c>
      <x:c r="Y904" s="13" t="str">
        <x:v>https://doi.org/10.1017/CBO9780511840005</x:v>
      </x:c>
      <x:c r="Z904" s="13" t="str">
        <x:v>Review before enabling. This workbook is a living taxonomy scaffold, not a validated scientific benchmark.</x:v>
      </x:c>
      <x:c r="AA904" s="13" t="str">
        <x:v>0.1.0-draft</x:v>
      </x:c>
      <x:c r="AB904" s="12" t="str">
        <x:f>IF(ISNUMBER(SEARCH("healthy",F904)),"healthy_reasoning_patterns",IF(ISNUMBER(SEARCH("statistical",F904)),"statistical_reasoning",IF(ISNUMBER(SEARCH("causal",F904)),"causal_reasoning",IF(ISNUMBER(SEARCH("social",F904)),"social_influence",IF(ISNUMBER(SEARCH("rhetoric",F904)),"rhetoric_discourse",IF(ISNUMBER(SEARCH("behavior",F904)),"behavioural_economics",IF(ISNUMBER(SEARCH("cognitive",F904)),"cognitive_biases",IF(J904="protective_pattern","healthy_reasoning_patterns",IF(L904="P0","core_mvp","extended_fallacies")))))))))</x:f>
        <x:v>extended_fallacies</x:v>
      </x:c>
      <x:c r="AC904" s="12" t="str">
        <x:f>IF(ISNUMBER(SEARCH("operational",J904)),"operational",IF(ISNUMBER(SEARCH("deprecated",J904)),"deprecated",IF(L904="P0","canonical","recognized_subtype")))</x:f>
        <x:v>operational</x:v>
      </x:c>
      <x:c r="AD904" s="12" t="str">
        <x:f>IF(AC904="canonical","high",IF(AC904="recognized_subtype","medium",IF(AC904="operational","operational_only","debated")))</x:f>
        <x:v>operational_only</x:v>
      </x:c>
      <x:c r="AE904" s="12" t="str">
        <x:f>IF(AC904="deprecated","deprecated",IF(M904="yes","active",IF(M904="review","review_required","backlog")))</x:f>
        <x:v>backlog</x:v>
      </x:c>
      <x:c r="AF904" s="12" t="str">
        <x:f>IF(OR(AE904="active",AE904="review_required"),"yes","no")</x:f>
        <x:v>no</x:v>
      </x:c>
      <x:c r="AG904" s="12" t="str">
        <x:f>IF(AND(AE904="active",M904="yes",NOT(ISNUMBER(SEARCH("healthy",AB904)))),"yes","no")</x:f>
        <x:v>no</x:v>
      </x:c>
      <x:c r="AH904" s="12" t="str">
        <x:f>IF(OR(H904="contextual",H904="dialogue",H904="discourse",I904="claim+context",I904="discourse_segment"),"yes","no")</x:f>
        <x:v>yes</x:v>
      </x:c>
      <x:c r="AI904" s="12" t="str">
        <x:f>IF(OR(AH904="yes",AD904="debated",AC904="operational"),"yes","no")</x:f>
        <x:v>yes</x:v>
      </x:c>
      <x:c r="AJ904" s="12" t="str">
        <x:f>IF(OR(AH904="yes",AC904="operational",AD904="debated"),"high",IF(AND(AG904="yes",L904="P0"),"medium","low"))</x:f>
        <x:v>high</x:v>
      </x:c>
      <x:c r="AK904" s="12" t="str">
        <x:f>IF(ISNUMBER(SEARCH("healthy",AB904)),"yes","no")</x:f>
        <x:v>no</x:v>
      </x:c>
      <x:c r="AL904" s="12" t="str">
        <x:f>IF(AG904="yes","yes","candidate_only")</x:f>
        <x:v>candidate_only</x:v>
      </x:c>
      <x:c r="AM904" s="12" t="str">
        <x:f>IF(OR(AC904="canonical",AG904="yes"),"yes","recommended")</x:f>
        <x:v>recommended</x:v>
      </x:c>
      <x:c r="AN904" s="12" t="str">
        <x:f>IF(AC904="deprecated","exclude",IF(AND(AG904="yes",AJ904="high"),"import_but_human_review_required",IF(AG904="yes","import_as_active","import_as_backlog")))</x:f>
        <x:v>import_as_backlog</x:v>
      </x:c>
      <x:c r="AO904" s="12" t="str">
        <x:f>IF(AND(AG904="yes",OR(P904="",Q904="",R904="",S904="")),"missing_required_mvp_fields",IF(AND(AC904="canonical",Y904=""),"missing_source_ref","ok"))</x:f>
        <x:v>ok</x:v>
      </x:c>
      <x:c r="AP904" s="12" t="str">
        <x:f>IF(AO904="ok","ready_for_codex_import","needs_review")</x:f>
        <x:v>ready_for_codex_import</x:v>
      </x:c>
      <x:c r="AQ904" s="12"/>
      <x:c r="AR904" s="12" t="str">
        <x:v>Added v2 operational fields. Review before classification activation.</x:v>
      </x:c>
    </x:row>
    <x:row r="905">
      <x:c r="A905" s="13" t="str">
        <x:v>model_overfit_claim_model_or_data_variant</x:v>
      </x:c>
      <x:c r="B905" s="13" t="str">
        <x:v>model_overfit_claim</x:v>
      </x:c>
      <x:c r="C905" s="13" t="str">
        <x:v>Model overfit claim</x:v>
      </x:c>
      <x:c r="D905" s="13" t="str">
        <x:v>ادعای مدل بیش‌برازش‌یافته</x:v>
      </x:c>
      <x:c r="E905" s="13" t="str">
        <x:v>Model/data variant</x:v>
      </x:c>
      <x:c r="F905" s="13" t="str">
        <x:v>uncertainty_calibration_failures</x:v>
      </x:c>
      <x:c r="G905" s="13" t="str">
        <x:v>operational_variant</x:v>
      </x:c>
      <x:c r="H905" s="13" t="str">
        <x:v>contextual</x:v>
      </x:c>
      <x:c r="I905" s="13" t="str">
        <x:v>claim+context</x:v>
      </x:c>
      <x:c r="J905" s="13" t="str">
        <x:v>derived_operational_subtype</x:v>
      </x:c>
      <x:c r="K905" s="13" t="str">
        <x:v>derived_from_established_parent_review_required</x:v>
      </x:c>
      <x:c r="L905" s="13" t="str">
        <x:v>P3</x:v>
      </x:c>
      <x:c r="M905" s="13" t="str">
        <x:v>no</x:v>
      </x:c>
      <x:c r="N905" s="13" t="str">
        <x:v>Operational subtype under Model overfit claim: a model or dataset is overinterpreted. Parent definition: Treating model fit as reliable prediction without validation.</x:v>
      </x:c>
      <x:c r="O905" s="13" t="str">
        <x:v>Look for: explicit claim-level evidence; parent-family cues for Model overfit claim; variant cue: a model or dataset is overinterpreted; avoid author-level inference.</x:v>
      </x:c>
      <x:c r="P905" s="13" t="str">
        <x:v>Exact evidence span in text plus claim-level reasoning link; for contextual/discourse entries, require surrounding context.</x:v>
      </x:c>
      <x:c r="Q905" s="13" t="str">
        <x:v>Do not label merely because topic is controversial, emotional, or wrong. Do not judge intent or personality. Require textual evidence and consider healthy-reasoning cues.</x:v>
      </x:c>
      <x:c r="R905" s="13" t="str">
        <x:v>Stub: A claim relies on a model or dataset is overinterpreted to support a conclusion without adequate qualification.</x:v>
      </x:c>
      <x:c r="S905" s="13" t="str">
        <x:v>Stub: A claim discusses model overfit claim with caveats, balanced evidence, or no argumentative use of the pattern.</x:v>
      </x:c>
      <x:c r="T905" s="13" t="str">
        <x:v>Mild or ambiguous cue; do not classify without clear evidence span.</x:v>
      </x:c>
      <x:c r="U905" s="13" t="str">
        <x:v>Clear claim-level pattern with some argumentative impact.</x:v>
      </x:c>
      <x:c r="V905" s="13" t="str">
        <x:v>Strong pattern central to the conclusion and likely to materially distort reasoning.</x:v>
      </x:c>
      <x:c r="W905" s="13" t="str">
        <x:v>uncertainty_acknowledgement; confidence_calibration; scope_limitation</x:v>
      </x:c>
      <x:c r="X905" s="13" t="str">
        <x:v>stanovich_dual_process</x:v>
      </x:c>
      <x:c r="Y905" s="13" t="str">
        <x:v>https://global.oup.com/academic/product/rationality-and-the-reflective-mind-9780195341140</x:v>
      </x:c>
      <x:c r="Z905" s="13" t="str">
        <x:v>Review before enabling. This workbook is a living taxonomy scaffold, not a validated scientific benchmark.</x:v>
      </x:c>
      <x:c r="AA905" s="13" t="str">
        <x:v>0.1.0-draft</x:v>
      </x:c>
      <x:c r="AB905" s="12" t="str">
        <x:f>IF(ISNUMBER(SEARCH("healthy",F905)),"healthy_reasoning_patterns",IF(ISNUMBER(SEARCH("statistical",F905)),"statistical_reasoning",IF(ISNUMBER(SEARCH("causal",F905)),"causal_reasoning",IF(ISNUMBER(SEARCH("social",F905)),"social_influence",IF(ISNUMBER(SEARCH("rhetoric",F905)),"rhetoric_discourse",IF(ISNUMBER(SEARCH("behavior",F905)),"behavioural_economics",IF(ISNUMBER(SEARCH("cognitive",F905)),"cognitive_biases",IF(J905="protective_pattern","healthy_reasoning_patterns",IF(L905="P0","core_mvp","extended_fallacies")))))))))</x:f>
        <x:v>extended_fallacies</x:v>
      </x:c>
      <x:c r="AC905" s="12" t="str">
        <x:f>IF(ISNUMBER(SEARCH("operational",J905)),"operational",IF(ISNUMBER(SEARCH("deprecated",J905)),"deprecated",IF(L905="P0","canonical","recognized_subtype")))</x:f>
        <x:v>operational</x:v>
      </x:c>
      <x:c r="AD905" s="12" t="str">
        <x:f>IF(AC905="canonical","high",IF(AC905="recognized_subtype","medium",IF(AC905="operational","operational_only","debated")))</x:f>
        <x:v>operational_only</x:v>
      </x:c>
      <x:c r="AE905" s="12" t="str">
        <x:f>IF(AC905="deprecated","deprecated",IF(M905="yes","active",IF(M905="review","review_required","backlog")))</x:f>
        <x:v>backlog</x:v>
      </x:c>
      <x:c r="AF905" s="12" t="str">
        <x:f>IF(OR(AE905="active",AE905="review_required"),"yes","no")</x:f>
        <x:v>no</x:v>
      </x:c>
      <x:c r="AG905" s="12" t="str">
        <x:f>IF(AND(AE905="active",M905="yes",NOT(ISNUMBER(SEARCH("healthy",AB905)))),"yes","no")</x:f>
        <x:v>no</x:v>
      </x:c>
      <x:c r="AH905" s="12" t="str">
        <x:f>IF(OR(H905="contextual",H905="dialogue",H905="discourse",I905="claim+context",I905="discourse_segment"),"yes","no")</x:f>
        <x:v>yes</x:v>
      </x:c>
      <x:c r="AI905" s="12" t="str">
        <x:f>IF(OR(AH905="yes",AD905="debated",AC905="operational"),"yes","no")</x:f>
        <x:v>yes</x:v>
      </x:c>
      <x:c r="AJ905" s="12" t="str">
        <x:f>IF(OR(AH905="yes",AC905="operational",AD905="debated"),"high",IF(AND(AG905="yes",L905="P0"),"medium","low"))</x:f>
        <x:v>high</x:v>
      </x:c>
      <x:c r="AK905" s="12" t="str">
        <x:f>IF(ISNUMBER(SEARCH("healthy",AB905)),"yes","no")</x:f>
        <x:v>no</x:v>
      </x:c>
      <x:c r="AL905" s="12" t="str">
        <x:f>IF(AG905="yes","yes","candidate_only")</x:f>
        <x:v>candidate_only</x:v>
      </x:c>
      <x:c r="AM905" s="12" t="str">
        <x:f>IF(OR(AC905="canonical",AG905="yes"),"yes","recommended")</x:f>
        <x:v>recommended</x:v>
      </x:c>
      <x:c r="AN905" s="12" t="str">
        <x:f>IF(AC905="deprecated","exclude",IF(AND(AG905="yes",AJ905="high"),"import_but_human_review_required",IF(AG905="yes","import_as_active","import_as_backlog")))</x:f>
        <x:v>import_as_backlog</x:v>
      </x:c>
      <x:c r="AO905" s="12" t="str">
        <x:f>IF(AND(AG905="yes",OR(P905="",Q905="",R905="",S905="")),"missing_required_mvp_fields",IF(AND(AC905="canonical",Y905=""),"missing_source_ref","ok"))</x:f>
        <x:v>ok</x:v>
      </x:c>
      <x:c r="AP905" s="12" t="str">
        <x:f>IF(AO905="ok","ready_for_codex_import","needs_review")</x:f>
        <x:v>ready_for_codex_import</x:v>
      </x:c>
      <x:c r="AQ905" s="12"/>
      <x:c r="AR905" s="12" t="str">
        <x:v>Added v2 operational fields. Review before classification activation.</x:v>
      </x:c>
    </x:row>
    <x:row r="906">
      <x:c r="A906" s="13" t="str">
        <x:v>domain_transfer_overreach_model_or_data_variant</x:v>
      </x:c>
      <x:c r="B906" s="13" t="str">
        <x:v>domain_transfer_overreach</x:v>
      </x:c>
      <x:c r="C906" s="13" t="str">
        <x:v>Domain transfer overreach</x:v>
      </x:c>
      <x:c r="D906" s="13" t="str">
        <x:v>تعمیم بین‌حوزه‌ای افراطی</x:v>
      </x:c>
      <x:c r="E906" s="13" t="str">
        <x:v>Model/data variant</x:v>
      </x:c>
      <x:c r="F906" s="13" t="str">
        <x:v>uncertainty_calibration_failures</x:v>
      </x:c>
      <x:c r="G906" s="13" t="str">
        <x:v>operational_variant</x:v>
      </x:c>
      <x:c r="H906" s="13" t="str">
        <x:v>contextual</x:v>
      </x:c>
      <x:c r="I906" s="13" t="str">
        <x:v>claim+context</x:v>
      </x:c>
      <x:c r="J906" s="13" t="str">
        <x:v>derived_operational_subtype</x:v>
      </x:c>
      <x:c r="K906" s="13" t="str">
        <x:v>derived_from_established_parent_review_required</x:v>
      </x:c>
      <x:c r="L906" s="13" t="str">
        <x:v>P3</x:v>
      </x:c>
      <x:c r="M906" s="13" t="str">
        <x:v>no</x:v>
      </x:c>
      <x:c r="N906" s="13" t="str">
        <x:v>Operational subtype under Domain transfer overreach: a model or dataset is overinterpreted. Parent definition: Applying evidence from one domain to another without justification.</x:v>
      </x:c>
      <x:c r="O906" s="13" t="str">
        <x:v>Look for: explicit claim-level evidence; parent-family cues for Domain transfer overreach; variant cue: a model or dataset is overinterpreted; avoid author-level inference.</x:v>
      </x:c>
      <x:c r="P906" s="13" t="str">
        <x:v>Exact evidence span in text plus claim-level reasoning link; for contextual/discourse entries, require surrounding context.</x:v>
      </x:c>
      <x:c r="Q906" s="13" t="str">
        <x:v>Do not label merely because topic is controversial, emotional, or wrong. Do not judge intent or personality. Require textual evidence and consider healthy-reasoning cues.</x:v>
      </x:c>
      <x:c r="R906" s="13" t="str">
        <x:v>Stub: A claim relies on a model or dataset is overinterpreted to support a conclusion without adequate qualification.</x:v>
      </x:c>
      <x:c r="S906" s="13" t="str">
        <x:v>Stub: A claim discusses domain transfer overreach with caveats, balanced evidence, or no argumentative use of the pattern.</x:v>
      </x:c>
      <x:c r="T906" s="13" t="str">
        <x:v>Mild or ambiguous cue; do not classify without clear evidence span.</x:v>
      </x:c>
      <x:c r="U906" s="13" t="str">
        <x:v>Clear claim-level pattern with some argumentative impact.</x:v>
      </x:c>
      <x:c r="V906" s="13" t="str">
        <x:v>Strong pattern central to the conclusion and likely to materially distort reasoning.</x:v>
      </x:c>
      <x:c r="W906" s="13" t="str">
        <x:v>cherry_picking; missing_counterevidence; evidence_grading</x:v>
      </x:c>
      <x:c r="X906" s="13" t="str">
        <x:v>toulmin_uses_argument</x:v>
      </x:c>
      <x:c r="Y906" s="13" t="str">
        <x:v>https://doi.org/10.1017/CBO9780511840005</x:v>
      </x:c>
      <x:c r="Z906" s="13" t="str">
        <x:v>Review before enabling. This workbook is a living taxonomy scaffold, not a validated scientific benchmark.</x:v>
      </x:c>
      <x:c r="AA906" s="13" t="str">
        <x:v>0.1.0-draft</x:v>
      </x:c>
      <x:c r="AB906" s="12" t="str">
        <x:f>IF(ISNUMBER(SEARCH("healthy",F906)),"healthy_reasoning_patterns",IF(ISNUMBER(SEARCH("statistical",F906)),"statistical_reasoning",IF(ISNUMBER(SEARCH("causal",F906)),"causal_reasoning",IF(ISNUMBER(SEARCH("social",F906)),"social_influence",IF(ISNUMBER(SEARCH("rhetoric",F906)),"rhetoric_discourse",IF(ISNUMBER(SEARCH("behavior",F906)),"behavioural_economics",IF(ISNUMBER(SEARCH("cognitive",F906)),"cognitive_biases",IF(J906="protective_pattern","healthy_reasoning_patterns",IF(L906="P0","core_mvp","extended_fallacies")))))))))</x:f>
        <x:v>extended_fallacies</x:v>
      </x:c>
      <x:c r="AC906" s="12" t="str">
        <x:f>IF(ISNUMBER(SEARCH("operational",J906)),"operational",IF(ISNUMBER(SEARCH("deprecated",J906)),"deprecated",IF(L906="P0","canonical","recognized_subtype")))</x:f>
        <x:v>operational</x:v>
      </x:c>
      <x:c r="AD906" s="12" t="str">
        <x:f>IF(AC906="canonical","high",IF(AC906="recognized_subtype","medium",IF(AC906="operational","operational_only","debated")))</x:f>
        <x:v>operational_only</x:v>
      </x:c>
      <x:c r="AE906" s="12" t="str">
        <x:f>IF(AC906="deprecated","deprecated",IF(M906="yes","active",IF(M906="review","review_required","backlog")))</x:f>
        <x:v>backlog</x:v>
      </x:c>
      <x:c r="AF906" s="12" t="str">
        <x:f>IF(OR(AE906="active",AE906="review_required"),"yes","no")</x:f>
        <x:v>no</x:v>
      </x:c>
      <x:c r="AG906" s="12" t="str">
        <x:f>IF(AND(AE906="active",M906="yes",NOT(ISNUMBER(SEARCH("healthy",AB906)))),"yes","no")</x:f>
        <x:v>no</x:v>
      </x:c>
      <x:c r="AH906" s="12" t="str">
        <x:f>IF(OR(H906="contextual",H906="dialogue",H906="discourse",I906="claim+context",I906="discourse_segment"),"yes","no")</x:f>
        <x:v>yes</x:v>
      </x:c>
      <x:c r="AI906" s="12" t="str">
        <x:f>IF(OR(AH906="yes",AD906="debated",AC906="operational"),"yes","no")</x:f>
        <x:v>yes</x:v>
      </x:c>
      <x:c r="AJ906" s="12" t="str">
        <x:f>IF(OR(AH906="yes",AC906="operational",AD906="debated"),"high",IF(AND(AG906="yes",L906="P0"),"medium","low"))</x:f>
        <x:v>high</x:v>
      </x:c>
      <x:c r="AK906" s="12" t="str">
        <x:f>IF(ISNUMBER(SEARCH("healthy",AB906)),"yes","no")</x:f>
        <x:v>no</x:v>
      </x:c>
      <x:c r="AL906" s="12" t="str">
        <x:f>IF(AG906="yes","yes","candidate_only")</x:f>
        <x:v>candidate_only</x:v>
      </x:c>
      <x:c r="AM906" s="12" t="str">
        <x:f>IF(OR(AC906="canonical",AG906="yes"),"yes","recommended")</x:f>
        <x:v>recommended</x:v>
      </x:c>
      <x:c r="AN906" s="12" t="str">
        <x:f>IF(AC906="deprecated","exclude",IF(AND(AG906="yes",AJ906="high"),"import_but_human_review_required",IF(AG906="yes","import_as_active","import_as_backlog")))</x:f>
        <x:v>import_as_backlog</x:v>
      </x:c>
      <x:c r="AO906" s="12" t="str">
        <x:f>IF(AND(AG906="yes",OR(P906="",Q906="",R906="",S906="")),"missing_required_mvp_fields",IF(AND(AC906="canonical",Y906=""),"missing_source_ref","ok"))</x:f>
        <x:v>ok</x:v>
      </x:c>
      <x:c r="AP906" s="12" t="str">
        <x:f>IF(AO906="ok","ready_for_codex_import","needs_review")</x:f>
        <x:v>ready_for_codex_import</x:v>
      </x:c>
      <x:c r="AQ906" s="12"/>
      <x:c r="AR906" s="12" t="str">
        <x:v>Added v2 operational fields. Review before classification activation.</x:v>
      </x:c>
    </x:row>
    <x:row r="907">
      <x:c r="A907" s="13" t="str">
        <x:v>unqualified_universal_claim_model_or_data_variant</x:v>
      </x:c>
      <x:c r="B907" s="13" t="str">
        <x:v>unqualified_universal_claim</x:v>
      </x:c>
      <x:c r="C907" s="13" t="str">
        <x:v>Unqualified universal claim</x:v>
      </x:c>
      <x:c r="D907" s="13" t="str">
        <x:v>ادعای کلی بدون قید</x:v>
      </x:c>
      <x:c r="E907" s="13" t="str">
        <x:v>Model/data variant</x:v>
      </x:c>
      <x:c r="F907" s="13" t="str">
        <x:v>uncertainty_calibration_failures</x:v>
      </x:c>
      <x:c r="G907" s="13" t="str">
        <x:v>operational_variant</x:v>
      </x:c>
      <x:c r="H907" s="13" t="str">
        <x:v>lexical</x:v>
      </x:c>
      <x:c r="I907" s="13" t="str">
        <x:v>claim</x:v>
      </x:c>
      <x:c r="J907" s="13" t="str">
        <x:v>derived_operational_subtype</x:v>
      </x:c>
      <x:c r="K907" s="13" t="str">
        <x:v>derived_from_established_parent_review_required</x:v>
      </x:c>
      <x:c r="L907" s="13" t="str">
        <x:v>P3</x:v>
      </x:c>
      <x:c r="M907" s="13" t="str">
        <x:v>no</x:v>
      </x:c>
      <x:c r="N907" s="13" t="str">
        <x:v>Operational subtype under Unqualified universal claim: a model or dataset is overinterpreted. Parent definition: Using always, never, all, or none without support.</x:v>
      </x:c>
      <x:c r="O907" s="13" t="str">
        <x:v>Look for: explicit claim-level evidence; parent-family cues for Unqualified universal claim; variant cue: a model or dataset is overinterpreted; avoid author-level inference.</x:v>
      </x:c>
      <x:c r="P907" s="13" t="str">
        <x:v>Exact evidence span in text plus claim-level reasoning link; for contextual/discourse entries, require surrounding context.</x:v>
      </x:c>
      <x:c r="Q907" s="13" t="str">
        <x:v>Do not label merely because topic is controversial, emotional, or wrong. Do not judge intent or personality. Require textual evidence and consider healthy-reasoning cues.</x:v>
      </x:c>
      <x:c r="R907" s="13" t="str">
        <x:v>Stub: A claim relies on a model or dataset is overinterpreted to support a conclusion without adequate qualification.</x:v>
      </x:c>
      <x:c r="S907" s="13" t="str">
        <x:v>Stub: A claim discusses unqualified universal claim with caveats, balanced evidence, or no argumentative use of the pattern.</x:v>
      </x:c>
      <x:c r="T907" s="13" t="str">
        <x:v>Mild or ambiguous cue; do not classify without clear evidence span.</x:v>
      </x:c>
      <x:c r="U907" s="13" t="str">
        <x:v>Clear claim-level pattern with some argumentative impact.</x:v>
      </x:c>
      <x:c r="V907" s="13" t="str">
        <x:v>Strong pattern central to the conclusion and likely to materially distort reasoning.</x:v>
      </x:c>
      <x:c r="W907" s="13" t="str">
        <x:v>uncertainty_acknowledgement; confidence_calibration; scope_limitation</x:v>
      </x:c>
      <x:c r="X907" s="13" t="str">
        <x:v>sep_informal_logic</x:v>
      </x:c>
      <x:c r="Y907" s="13" t="str">
        <x:v>https://plato.stanford.edu/entries/logic-informal/</x:v>
      </x:c>
      <x:c r="Z907" s="13" t="str">
        <x:v>Review before enabling. This workbook is a living taxonomy scaffold, not a validated scientific benchmark.</x:v>
      </x:c>
      <x:c r="AA907" s="13" t="str">
        <x:v>0.1.0-draft</x:v>
      </x:c>
      <x:c r="AB907" s="12" t="str">
        <x:f>IF(ISNUMBER(SEARCH("healthy",F907)),"healthy_reasoning_patterns",IF(ISNUMBER(SEARCH("statistical",F907)),"statistical_reasoning",IF(ISNUMBER(SEARCH("causal",F907)),"causal_reasoning",IF(ISNUMBER(SEARCH("social",F907)),"social_influence",IF(ISNUMBER(SEARCH("rhetoric",F907)),"rhetoric_discourse",IF(ISNUMBER(SEARCH("behavior",F907)),"behavioural_economics",IF(ISNUMBER(SEARCH("cognitive",F907)),"cognitive_biases",IF(J907="protective_pattern","healthy_reasoning_patterns",IF(L907="P0","core_mvp","extended_fallacies")))))))))</x:f>
        <x:v>extended_fallacies</x:v>
      </x:c>
      <x:c r="AC907" s="12" t="str">
        <x:f>IF(ISNUMBER(SEARCH("operational",J907)),"operational",IF(ISNUMBER(SEARCH("deprecated",J907)),"deprecated",IF(L907="P0","canonical","recognized_subtype")))</x:f>
        <x:v>operational</x:v>
      </x:c>
      <x:c r="AD907" s="12" t="str">
        <x:f>IF(AC907="canonical","high",IF(AC907="recognized_subtype","medium",IF(AC907="operational","operational_only","debated")))</x:f>
        <x:v>operational_only</x:v>
      </x:c>
      <x:c r="AE907" s="12" t="str">
        <x:f>IF(AC907="deprecated","deprecated",IF(M907="yes","active",IF(M907="review","review_required","backlog")))</x:f>
        <x:v>backlog</x:v>
      </x:c>
      <x:c r="AF907" s="12" t="str">
        <x:f>IF(OR(AE907="active",AE907="review_required"),"yes","no")</x:f>
        <x:v>no</x:v>
      </x:c>
      <x:c r="AG907" s="12" t="str">
        <x:f>IF(AND(AE907="active",M907="yes",NOT(ISNUMBER(SEARCH("healthy",AB907)))),"yes","no")</x:f>
        <x:v>no</x:v>
      </x:c>
      <x:c r="AH907" s="12" t="str">
        <x:f>IF(OR(H907="contextual",H907="dialogue",H907="discourse",I907="claim+context",I907="discourse_segment"),"yes","no")</x:f>
        <x:v>no</x:v>
      </x:c>
      <x:c r="AI907" s="12" t="str">
        <x:f>IF(OR(AH907="yes",AD907="debated",AC907="operational"),"yes","no")</x:f>
        <x:v>yes</x:v>
      </x:c>
      <x:c r="AJ907" s="12" t="str">
        <x:f>IF(OR(AH907="yes",AC907="operational",AD907="debated"),"high",IF(AND(AG907="yes",L907="P0"),"medium","low"))</x:f>
        <x:v>high</x:v>
      </x:c>
      <x:c r="AK907" s="12" t="str">
        <x:f>IF(ISNUMBER(SEARCH("healthy",AB907)),"yes","no")</x:f>
        <x:v>no</x:v>
      </x:c>
      <x:c r="AL907" s="12" t="str">
        <x:f>IF(AG907="yes","yes","candidate_only")</x:f>
        <x:v>candidate_only</x:v>
      </x:c>
      <x:c r="AM907" s="12" t="str">
        <x:f>IF(OR(AC907="canonical",AG907="yes"),"yes","recommended")</x:f>
        <x:v>recommended</x:v>
      </x:c>
      <x:c r="AN907" s="12" t="str">
        <x:f>IF(AC907="deprecated","exclude",IF(AND(AG907="yes",AJ907="high"),"import_but_human_review_required",IF(AG907="yes","import_as_active","import_as_backlog")))</x:f>
        <x:v>import_as_backlog</x:v>
      </x:c>
      <x:c r="AO907" s="12" t="str">
        <x:f>IF(AND(AG907="yes",OR(P907="",Q907="",R907="",S907="")),"missing_required_mvp_fields",IF(AND(AC907="canonical",Y907=""),"missing_source_ref","ok"))</x:f>
        <x:v>ok</x:v>
      </x:c>
      <x:c r="AP907" s="12" t="str">
        <x:f>IF(AO907="ok","ready_for_codex_import","needs_review")</x:f>
        <x:v>ready_for_codex_import</x:v>
      </x:c>
      <x:c r="AQ907" s="12"/>
      <x:c r="AR907" s="12" t="str">
        <x:v>Added v2 operational fields. Review before classification activation.</x:v>
      </x:c>
    </x:row>
    <x:row r="908">
      <x:c r="A908" s="13" t="str">
        <x:v>assumption_silence_model_or_data_variant</x:v>
      </x:c>
      <x:c r="B908" s="13" t="str">
        <x:v>assumption_silence</x:v>
      </x:c>
      <x:c r="C908" s="13" t="str">
        <x:v>Silent assumptions</x:v>
      </x:c>
      <x:c r="D908" s="13" t="str">
        <x:v>فرض‌های ناگفته</x:v>
      </x:c>
      <x:c r="E908" s="13" t="str">
        <x:v>Model/data variant</x:v>
      </x:c>
      <x:c r="F908" s="13" t="str">
        <x:v>uncertainty_calibration_failures</x:v>
      </x:c>
      <x:c r="G908" s="13" t="str">
        <x:v>operational_variant</x:v>
      </x:c>
      <x:c r="H908" s="13" t="str">
        <x:v>contextual</x:v>
      </x:c>
      <x:c r="I908" s="13" t="str">
        <x:v>claim+context</x:v>
      </x:c>
      <x:c r="J908" s="13" t="str">
        <x:v>derived_operational_subtype</x:v>
      </x:c>
      <x:c r="K908" s="13" t="str">
        <x:v>derived_from_established_parent_review_required</x:v>
      </x:c>
      <x:c r="L908" s="13" t="str">
        <x:v>P3</x:v>
      </x:c>
      <x:c r="M908" s="13" t="str">
        <x:v>no</x:v>
      </x:c>
      <x:c r="N908" s="13" t="str">
        <x:v>Operational subtype under Silent assumptions: a model or dataset is overinterpreted. Parent definition: Relying on unstated assumptions necessary for the conclusion.</x:v>
      </x:c>
      <x:c r="O908" s="13" t="str">
        <x:v>Look for: explicit claim-level evidence; parent-family cues for Silent assumptions; variant cue: a model or dataset is overinterpreted; avoid author-level inference.</x:v>
      </x:c>
      <x:c r="P908" s="13" t="str">
        <x:v>Exact evidence span in text plus claim-level reasoning link; for contextual/discourse entries, require surrounding context.</x:v>
      </x:c>
      <x:c r="Q908" s="13" t="str">
        <x:v>Do not label merely because topic is controversial, emotional, or wrong. Do not judge intent or personality. Require textual evidence and consider healthy-reasoning cues.</x:v>
      </x:c>
      <x:c r="R908" s="13" t="str">
        <x:v>Stub: A claim relies on a model or dataset is overinterpreted to support a conclusion without adequate qualification.</x:v>
      </x:c>
      <x:c r="S908" s="13" t="str">
        <x:v>Stub: A claim discusses silent assumptions with caveats, balanced evidence, or no argumentative use of the pattern.</x:v>
      </x:c>
      <x:c r="T908" s="13" t="str">
        <x:v>Mild or ambiguous cue; do not classify without clear evidence span.</x:v>
      </x:c>
      <x:c r="U908" s="13" t="str">
        <x:v>Clear claim-level pattern with some argumentative impact.</x:v>
      </x:c>
      <x:c r="V908" s="13" t="str">
        <x:v>Strong pattern central to the conclusion and likely to materially distort reasoning.</x:v>
      </x:c>
      <x:c r="W908" s="13" t="str">
        <x:v>uncertainty_acknowledgement; confidence_calibration; scope_limitation</x:v>
      </x:c>
      <x:c r="X908" s="13" t="str">
        <x:v>toulmin_uses_argument</x:v>
      </x:c>
      <x:c r="Y908" s="13" t="str">
        <x:v>https://doi.org/10.1017/CBO9780511840005</x:v>
      </x:c>
      <x:c r="Z908" s="13" t="str">
        <x:v>Review before enabling. This workbook is a living taxonomy scaffold, not a validated scientific benchmark.</x:v>
      </x:c>
      <x:c r="AA908" s="13" t="str">
        <x:v>0.1.0-draft</x:v>
      </x:c>
      <x:c r="AB908" s="12" t="str">
        <x:f>IF(ISNUMBER(SEARCH("healthy",F908)),"healthy_reasoning_patterns",IF(ISNUMBER(SEARCH("statistical",F908)),"statistical_reasoning",IF(ISNUMBER(SEARCH("causal",F908)),"causal_reasoning",IF(ISNUMBER(SEARCH("social",F908)),"social_influence",IF(ISNUMBER(SEARCH("rhetoric",F908)),"rhetoric_discourse",IF(ISNUMBER(SEARCH("behavior",F908)),"behavioural_economics",IF(ISNUMBER(SEARCH("cognitive",F908)),"cognitive_biases",IF(J908="protective_pattern","healthy_reasoning_patterns",IF(L908="P0","core_mvp","extended_fallacies")))))))))</x:f>
        <x:v>extended_fallacies</x:v>
      </x:c>
      <x:c r="AC908" s="12" t="str">
        <x:f>IF(ISNUMBER(SEARCH("operational",J908)),"operational",IF(ISNUMBER(SEARCH("deprecated",J908)),"deprecated",IF(L908="P0","canonical","recognized_subtype")))</x:f>
        <x:v>operational</x:v>
      </x:c>
      <x:c r="AD908" s="12" t="str">
        <x:f>IF(AC908="canonical","high",IF(AC908="recognized_subtype","medium",IF(AC908="operational","operational_only","debated")))</x:f>
        <x:v>operational_only</x:v>
      </x:c>
      <x:c r="AE908" s="12" t="str">
        <x:f>IF(AC908="deprecated","deprecated",IF(M908="yes","active",IF(M908="review","review_required","backlog")))</x:f>
        <x:v>backlog</x:v>
      </x:c>
      <x:c r="AF908" s="12" t="str">
        <x:f>IF(OR(AE908="active",AE908="review_required"),"yes","no")</x:f>
        <x:v>no</x:v>
      </x:c>
      <x:c r="AG908" s="12" t="str">
        <x:f>IF(AND(AE908="active",M908="yes",NOT(ISNUMBER(SEARCH("healthy",AB908)))),"yes","no")</x:f>
        <x:v>no</x:v>
      </x:c>
      <x:c r="AH908" s="12" t="str">
        <x:f>IF(OR(H908="contextual",H908="dialogue",H908="discourse",I908="claim+context",I908="discourse_segment"),"yes","no")</x:f>
        <x:v>yes</x:v>
      </x:c>
      <x:c r="AI908" s="12" t="str">
        <x:f>IF(OR(AH908="yes",AD908="debated",AC908="operational"),"yes","no")</x:f>
        <x:v>yes</x:v>
      </x:c>
      <x:c r="AJ908" s="12" t="str">
        <x:f>IF(OR(AH908="yes",AC908="operational",AD908="debated"),"high",IF(AND(AG908="yes",L908="P0"),"medium","low"))</x:f>
        <x:v>high</x:v>
      </x:c>
      <x:c r="AK908" s="12" t="str">
        <x:f>IF(ISNUMBER(SEARCH("healthy",AB908)),"yes","no")</x:f>
        <x:v>no</x:v>
      </x:c>
      <x:c r="AL908" s="12" t="str">
        <x:f>IF(AG908="yes","yes","candidate_only")</x:f>
        <x:v>candidate_only</x:v>
      </x:c>
      <x:c r="AM908" s="12" t="str">
        <x:f>IF(OR(AC908="canonical",AG908="yes"),"yes","recommended")</x:f>
        <x:v>recommended</x:v>
      </x:c>
      <x:c r="AN908" s="12" t="str">
        <x:f>IF(AC908="deprecated","exclude",IF(AND(AG908="yes",AJ908="high"),"import_but_human_review_required",IF(AG908="yes","import_as_active","import_as_backlog")))</x:f>
        <x:v>import_as_backlog</x:v>
      </x:c>
      <x:c r="AO908" s="12" t="str">
        <x:f>IF(AND(AG908="yes",OR(P908="",Q908="",R908="",S908="")),"missing_required_mvp_fields",IF(AND(AC908="canonical",Y908=""),"missing_source_ref","ok"))</x:f>
        <x:v>ok</x:v>
      </x:c>
      <x:c r="AP908" s="12" t="str">
        <x:f>IF(AO908="ok","ready_for_codex_import","needs_review")</x:f>
        <x:v>ready_for_codex_import</x:v>
      </x:c>
      <x:c r="AQ908" s="12"/>
      <x:c r="AR908" s="12" t="str">
        <x:v>Added v2 operational fields. Review before classification activation.</x:v>
      </x:c>
    </x:row>
    <x:row r="909">
      <x:c r="A909" s="13" t="str">
        <x:v>evidence_threshold_undefined_model_or_data_variant</x:v>
      </x:c>
      <x:c r="B909" s="13" t="str">
        <x:v>evidence_threshold_undefined</x:v>
      </x:c>
      <x:c r="C909" s="13" t="str">
        <x:v>Undefined evidence threshold</x:v>
      </x:c>
      <x:c r="D909" s="13" t="str">
        <x:v>آستانه شواهد نامشخص</x:v>
      </x:c>
      <x:c r="E909" s="13" t="str">
        <x:v>Model/data variant</x:v>
      </x:c>
      <x:c r="F909" s="13" t="str">
        <x:v>uncertainty_calibration_failures</x:v>
      </x:c>
      <x:c r="G909" s="13" t="str">
        <x:v>operational_variant</x:v>
      </x:c>
      <x:c r="H909" s="13" t="str">
        <x:v>dialogue</x:v>
      </x:c>
      <x:c r="I909" s="13" t="str">
        <x:v>discourse_segment</x:v>
      </x:c>
      <x:c r="J909" s="13" t="str">
        <x:v>derived_operational_subtype</x:v>
      </x:c>
      <x:c r="K909" s="13" t="str">
        <x:v>derived_from_established_parent_review_required</x:v>
      </x:c>
      <x:c r="L909" s="13" t="str">
        <x:v>P3</x:v>
      </x:c>
      <x:c r="M909" s="13" t="str">
        <x:v>no</x:v>
      </x:c>
      <x:c r="N909" s="13" t="str">
        <x:v>Operational subtype under Undefined evidence threshold: a model or dataset is overinterpreted. Parent definition: Not specifying what evidence would support or change the claim.</x:v>
      </x:c>
      <x:c r="O909" s="13" t="str">
        <x:v>Look for: explicit claim-level evidence; parent-family cues for Undefined evidence threshold; variant cue: a model or dataset is overinterpreted; avoid author-level inference.</x:v>
      </x:c>
      <x:c r="P909" s="13" t="str">
        <x:v>Exact evidence span in text plus claim-level reasoning link; for contextual/discourse entries, require surrounding context.</x:v>
      </x:c>
      <x:c r="Q909" s="13" t="str">
        <x:v>Do not label merely because topic is controversial, emotional, or wrong. Do not judge intent or personality. Require textual evidence and consider healthy-reasoning cues.</x:v>
      </x:c>
      <x:c r="R909" s="13" t="str">
        <x:v>Stub: A claim relies on a model or dataset is overinterpreted to support a conclusion without adequate qualification.</x:v>
      </x:c>
      <x:c r="S909" s="13" t="str">
        <x:v>Stub: A claim discusses undefined evidence threshold with caveats, balanced evidence, or no argumentative use of the pattern.</x:v>
      </x:c>
      <x:c r="T909" s="13" t="str">
        <x:v>Mild or ambiguous cue; do not classify without clear evidence span.</x:v>
      </x:c>
      <x:c r="U909" s="13" t="str">
        <x:v>Clear claim-level pattern with some argumentative impact.</x:v>
      </x:c>
      <x:c r="V909" s="13" t="str">
        <x:v>Strong pattern central to the conclusion and likely to materially distort reasoning.</x:v>
      </x:c>
      <x:c r="W909" s="13" t="str">
        <x:v>cherry_picking; missing_counterevidence; evidence_grading</x:v>
      </x:c>
      <x:c r="X909" s="13" t="str">
        <x:v>pragmadialectics</x:v>
      </x:c>
      <x:c r="Y909" s="13" t="str">
        <x:v>https://doi.org/10.1017/CBO9780511616389</x:v>
      </x:c>
      <x:c r="Z909" s="13" t="str">
        <x:v>Review before enabling. This workbook is a living taxonomy scaffold, not a validated scientific benchmark.</x:v>
      </x:c>
      <x:c r="AA909" s="13" t="str">
        <x:v>0.1.0-draft</x:v>
      </x:c>
      <x:c r="AB909" s="12" t="str">
        <x:f>IF(ISNUMBER(SEARCH("healthy",F909)),"healthy_reasoning_patterns",IF(ISNUMBER(SEARCH("statistical",F909)),"statistical_reasoning",IF(ISNUMBER(SEARCH("causal",F909)),"causal_reasoning",IF(ISNUMBER(SEARCH("social",F909)),"social_influence",IF(ISNUMBER(SEARCH("rhetoric",F909)),"rhetoric_discourse",IF(ISNUMBER(SEARCH("behavior",F909)),"behavioural_economics",IF(ISNUMBER(SEARCH("cognitive",F909)),"cognitive_biases",IF(J909="protective_pattern","healthy_reasoning_patterns",IF(L909="P0","core_mvp","extended_fallacies")))))))))</x:f>
        <x:v>extended_fallacies</x:v>
      </x:c>
      <x:c r="AC909" s="12" t="str">
        <x:f>IF(ISNUMBER(SEARCH("operational",J909)),"operational",IF(ISNUMBER(SEARCH("deprecated",J909)),"deprecated",IF(L909="P0","canonical","recognized_subtype")))</x:f>
        <x:v>operational</x:v>
      </x:c>
      <x:c r="AD909" s="12" t="str">
        <x:f>IF(AC909="canonical","high",IF(AC909="recognized_subtype","medium",IF(AC909="operational","operational_only","debated")))</x:f>
        <x:v>operational_only</x:v>
      </x:c>
      <x:c r="AE909" s="12" t="str">
        <x:f>IF(AC909="deprecated","deprecated",IF(M909="yes","active",IF(M909="review","review_required","backlog")))</x:f>
        <x:v>backlog</x:v>
      </x:c>
      <x:c r="AF909" s="12" t="str">
        <x:f>IF(OR(AE909="active",AE909="review_required"),"yes","no")</x:f>
        <x:v>no</x:v>
      </x:c>
      <x:c r="AG909" s="12" t="str">
        <x:f>IF(AND(AE909="active",M909="yes",NOT(ISNUMBER(SEARCH("healthy",AB909)))),"yes","no")</x:f>
        <x:v>no</x:v>
      </x:c>
      <x:c r="AH909" s="12" t="str">
        <x:f>IF(OR(H909="contextual",H909="dialogue",H909="discourse",I909="claim+context",I909="discourse_segment"),"yes","no")</x:f>
        <x:v>yes</x:v>
      </x:c>
      <x:c r="AI909" s="12" t="str">
        <x:f>IF(OR(AH909="yes",AD909="debated",AC909="operational"),"yes","no")</x:f>
        <x:v>yes</x:v>
      </x:c>
      <x:c r="AJ909" s="12" t="str">
        <x:f>IF(OR(AH909="yes",AC909="operational",AD909="debated"),"high",IF(AND(AG909="yes",L909="P0"),"medium","low"))</x:f>
        <x:v>high</x:v>
      </x:c>
      <x:c r="AK909" s="12" t="str">
        <x:f>IF(ISNUMBER(SEARCH("healthy",AB909)),"yes","no")</x:f>
        <x:v>no</x:v>
      </x:c>
      <x:c r="AL909" s="12" t="str">
        <x:f>IF(AG909="yes","yes","candidate_only")</x:f>
        <x:v>candidate_only</x:v>
      </x:c>
      <x:c r="AM909" s="12" t="str">
        <x:f>IF(OR(AC909="canonical",AG909="yes"),"yes","recommended")</x:f>
        <x:v>recommended</x:v>
      </x:c>
      <x:c r="AN909" s="12" t="str">
        <x:f>IF(AC909="deprecated","exclude",IF(AND(AG909="yes",AJ909="high"),"import_but_human_review_required",IF(AG909="yes","import_as_active","import_as_backlog")))</x:f>
        <x:v>import_as_backlog</x:v>
      </x:c>
      <x:c r="AO909" s="12" t="str">
        <x:f>IF(AND(AG909="yes",OR(P909="",Q909="",R909="",S909="")),"missing_required_mvp_fields",IF(AND(AC909="canonical",Y909=""),"missing_source_ref","ok"))</x:f>
        <x:v>ok</x:v>
      </x:c>
      <x:c r="AP909" s="12" t="str">
        <x:f>IF(AO909="ok","ready_for_codex_import","needs_review")</x:f>
        <x:v>ready_for_codex_import</x:v>
      </x:c>
      <x:c r="AQ909" s="12"/>
      <x:c r="AR909" s="12" t="str">
        <x:v>Added v2 operational fields. Review before classification activation.</x:v>
      </x:c>
    </x:row>
    <x:row r="910">
      <x:c r="A910" s="13" t="str">
        <x:v>prediction_observation_conflation_model_or_data_variant</x:v>
      </x:c>
      <x:c r="B910" s="13" t="str">
        <x:v>prediction_observation_conflation</x:v>
      </x:c>
      <x:c r="C910" s="13" t="str">
        <x:v>Prediction-observation conflation</x:v>
      </x:c>
      <x:c r="D910" s="13" t="str">
        <x:v>اختلاط پیش‌بینی و مشاهده</x:v>
      </x:c>
      <x:c r="E910" s="13" t="str">
        <x:v>Model/data variant</x:v>
      </x:c>
      <x:c r="F910" s="13" t="str">
        <x:v>uncertainty_calibration_failures</x:v>
      </x:c>
      <x:c r="G910" s="13" t="str">
        <x:v>operational_variant</x:v>
      </x:c>
      <x:c r="H910" s="13" t="str">
        <x:v>lexical</x:v>
      </x:c>
      <x:c r="I910" s="13" t="str">
        <x:v>claim</x:v>
      </x:c>
      <x:c r="J910" s="13" t="str">
        <x:v>derived_operational_subtype</x:v>
      </x:c>
      <x:c r="K910" s="13" t="str">
        <x:v>derived_from_established_parent_review_required</x:v>
      </x:c>
      <x:c r="L910" s="13" t="str">
        <x:v>P3</x:v>
      </x:c>
      <x:c r="M910" s="13" t="str">
        <x:v>no</x:v>
      </x:c>
      <x:c r="N910" s="13" t="str">
        <x:v>Operational subtype under Prediction-observation conflation: a model or dataset is overinterpreted. Parent definition: Treating forecasts as observed facts.</x:v>
      </x:c>
      <x:c r="O910" s="13" t="str">
        <x:v>Look for: explicit claim-level evidence; parent-family cues for Prediction-observation conflation; variant cue: a model or dataset is overinterpreted; avoid author-level inference.</x:v>
      </x:c>
      <x:c r="P910" s="13" t="str">
        <x:v>Exact evidence span in text plus claim-level reasoning link; for contextual/discourse entries, require surrounding context.</x:v>
      </x:c>
      <x:c r="Q910" s="13" t="str">
        <x:v>Do not label merely because topic is controversial, emotional, or wrong. Do not judge intent or personality. Require textual evidence and consider healthy-reasoning cues.</x:v>
      </x:c>
      <x:c r="R910" s="13" t="str">
        <x:v>Stub: A claim relies on a model or dataset is overinterpreted to support a conclusion without adequate qualification.</x:v>
      </x:c>
      <x:c r="S910" s="13" t="str">
        <x:v>Stub: A claim discusses prediction-observation conflation with caveats, balanced evidence, or no argumentative use of the pattern.</x:v>
      </x:c>
      <x:c r="T910" s="13" t="str">
        <x:v>Mild or ambiguous cue; do not classify without clear evidence span.</x:v>
      </x:c>
      <x:c r="U910" s="13" t="str">
        <x:v>Clear claim-level pattern with some argumentative impact.</x:v>
      </x:c>
      <x:c r="V910" s="13" t="str">
        <x:v>Strong pattern central to the conclusion and likely to materially distort reasoning.</x:v>
      </x:c>
      <x:c r="W910" s="13" t="str">
        <x:v>uncertainty_acknowledgement; confidence_calibration; scope_limitation</x:v>
      </x:c>
      <x:c r="X910" s="13" t="str">
        <x:v>stanovich_dual_process</x:v>
      </x:c>
      <x:c r="Y910" s="13" t="str">
        <x:v>https://global.oup.com/academic/product/rationality-and-the-reflective-mind-9780195341140</x:v>
      </x:c>
      <x:c r="Z910" s="13" t="str">
        <x:v>Review before enabling. This workbook is a living taxonomy scaffold, not a validated scientific benchmark.</x:v>
      </x:c>
      <x:c r="AA910" s="13" t="str">
        <x:v>0.1.0-draft</x:v>
      </x:c>
      <x:c r="AB910" s="12" t="str">
        <x:f>IF(ISNUMBER(SEARCH("healthy",F910)),"healthy_reasoning_patterns",IF(ISNUMBER(SEARCH("statistical",F910)),"statistical_reasoning",IF(ISNUMBER(SEARCH("causal",F910)),"causal_reasoning",IF(ISNUMBER(SEARCH("social",F910)),"social_influence",IF(ISNUMBER(SEARCH("rhetoric",F910)),"rhetoric_discourse",IF(ISNUMBER(SEARCH("behavior",F910)),"behavioural_economics",IF(ISNUMBER(SEARCH("cognitive",F910)),"cognitive_biases",IF(J910="protective_pattern","healthy_reasoning_patterns",IF(L910="P0","core_mvp","extended_fallacies")))))))))</x:f>
        <x:v>extended_fallacies</x:v>
      </x:c>
      <x:c r="AC910" s="12" t="str">
        <x:f>IF(ISNUMBER(SEARCH("operational",J910)),"operational",IF(ISNUMBER(SEARCH("deprecated",J910)),"deprecated",IF(L910="P0","canonical","recognized_subtype")))</x:f>
        <x:v>operational</x:v>
      </x:c>
      <x:c r="AD910" s="12" t="str">
        <x:f>IF(AC910="canonical","high",IF(AC910="recognized_subtype","medium",IF(AC910="operational","operational_only","debated")))</x:f>
        <x:v>operational_only</x:v>
      </x:c>
      <x:c r="AE910" s="12" t="str">
        <x:f>IF(AC910="deprecated","deprecated",IF(M910="yes","active",IF(M910="review","review_required","backlog")))</x:f>
        <x:v>backlog</x:v>
      </x:c>
      <x:c r="AF910" s="12" t="str">
        <x:f>IF(OR(AE910="active",AE910="review_required"),"yes","no")</x:f>
        <x:v>no</x:v>
      </x:c>
      <x:c r="AG910" s="12" t="str">
        <x:f>IF(AND(AE910="active",M910="yes",NOT(ISNUMBER(SEARCH("healthy",AB910)))),"yes","no")</x:f>
        <x:v>no</x:v>
      </x:c>
      <x:c r="AH910" s="12" t="str">
        <x:f>IF(OR(H910="contextual",H910="dialogue",H910="discourse",I910="claim+context",I910="discourse_segment"),"yes","no")</x:f>
        <x:v>no</x:v>
      </x:c>
      <x:c r="AI910" s="12" t="str">
        <x:f>IF(OR(AH910="yes",AD910="debated",AC910="operational"),"yes","no")</x:f>
        <x:v>yes</x:v>
      </x:c>
      <x:c r="AJ910" s="12" t="str">
        <x:f>IF(OR(AH910="yes",AC910="operational",AD910="debated"),"high",IF(AND(AG910="yes",L910="P0"),"medium","low"))</x:f>
        <x:v>high</x:v>
      </x:c>
      <x:c r="AK910" s="12" t="str">
        <x:f>IF(ISNUMBER(SEARCH("healthy",AB910)),"yes","no")</x:f>
        <x:v>no</x:v>
      </x:c>
      <x:c r="AL910" s="12" t="str">
        <x:f>IF(AG910="yes","yes","candidate_only")</x:f>
        <x:v>candidate_only</x:v>
      </x:c>
      <x:c r="AM910" s="12" t="str">
        <x:f>IF(OR(AC910="canonical",AG910="yes"),"yes","recommended")</x:f>
        <x:v>recommended</x:v>
      </x:c>
      <x:c r="AN910" s="12" t="str">
        <x:f>IF(AC910="deprecated","exclude",IF(AND(AG910="yes",AJ910="high"),"import_but_human_review_required",IF(AG910="yes","import_as_active","import_as_backlog")))</x:f>
        <x:v>import_as_backlog</x:v>
      </x:c>
      <x:c r="AO910" s="12" t="str">
        <x:f>IF(AND(AG910="yes",OR(P910="",Q910="",R910="",S910="")),"missing_required_mvp_fields",IF(AND(AC910="canonical",Y910=""),"missing_source_ref","ok"))</x:f>
        <x:v>ok</x:v>
      </x:c>
      <x:c r="AP910" s="12" t="str">
        <x:f>IF(AO910="ok","ready_for_codex_import","needs_review")</x:f>
        <x:v>ready_for_codex_import</x:v>
      </x:c>
      <x:c r="AQ910" s="12"/>
      <x:c r="AR910" s="12" t="str">
        <x:v>Added v2 operational fields. Review before classification activation.</x:v>
      </x:c>
    </x:row>
    <x:row r="911">
      <x:c r="A911" s="13" t="str">
        <x:v>possibility_probability_conflation_model_or_data_variant</x:v>
      </x:c>
      <x:c r="B911" s="13" t="str">
        <x:v>possibility_probability_conflation</x:v>
      </x:c>
      <x:c r="C911" s="13" t="str">
        <x:v>Possibility-probability conflation</x:v>
      </x:c>
      <x:c r="D911" s="13" t="str">
        <x:v>اختلاط امکان و احتمال</x:v>
      </x:c>
      <x:c r="E911" s="13" t="str">
        <x:v>Model/data variant</x:v>
      </x:c>
      <x:c r="F911" s="13" t="str">
        <x:v>uncertainty_calibration_failures</x:v>
      </x:c>
      <x:c r="G911" s="13" t="str">
        <x:v>operational_variant</x:v>
      </x:c>
      <x:c r="H911" s="13" t="str">
        <x:v>lexical</x:v>
      </x:c>
      <x:c r="I911" s="13" t="str">
        <x:v>claim</x:v>
      </x:c>
      <x:c r="J911" s="13" t="str">
        <x:v>derived_operational_subtype</x:v>
      </x:c>
      <x:c r="K911" s="13" t="str">
        <x:v>derived_from_established_parent_review_required</x:v>
      </x:c>
      <x:c r="L911" s="13" t="str">
        <x:v>P3</x:v>
      </x:c>
      <x:c r="M911" s="13" t="str">
        <x:v>no</x:v>
      </x:c>
      <x:c r="N911" s="13" t="str">
        <x:v>Operational subtype under Possibility-probability conflation: a model or dataset is overinterpreted. Parent definition: Treating what could happen as if it is likely.</x:v>
      </x:c>
      <x:c r="O911" s="13" t="str">
        <x:v>Look for: explicit claim-level evidence; parent-family cues for Possibility-probability conflation; variant cue: a model or dataset is overinterpreted; avoid author-level inference.</x:v>
      </x:c>
      <x:c r="P911" s="13" t="str">
        <x:v>Exact evidence span in text plus claim-level reasoning link; for contextual/discourse entries, require surrounding context.</x:v>
      </x:c>
      <x:c r="Q911" s="13" t="str">
        <x:v>Do not label merely because topic is controversial, emotional, or wrong. Do not judge intent or personality. Require textual evidence and consider healthy-reasoning cues.</x:v>
      </x:c>
      <x:c r="R911" s="13" t="str">
        <x:v>Stub: A claim relies on a model or dataset is overinterpreted to support a conclusion without adequate qualification.</x:v>
      </x:c>
      <x:c r="S911" s="13" t="str">
        <x:v>Stub: A claim discusses possibility-probability conflation with caveats, balanced evidence, or no argumentative use of the pattern.</x:v>
      </x:c>
      <x:c r="T911" s="13" t="str">
        <x:v>Mild or ambiguous cue; do not classify without clear evidence span.</x:v>
      </x:c>
      <x:c r="U911" s="13" t="str">
        <x:v>Clear claim-level pattern with some argumentative impact.</x:v>
      </x:c>
      <x:c r="V911" s="13" t="str">
        <x:v>Strong pattern central to the conclusion and likely to materially distort reasoning.</x:v>
      </x:c>
      <x:c r="W911" s="13" t="str">
        <x:v>uncertainty_acknowledgement; confidence_calibration; scope_limitation</x:v>
      </x:c>
      <x:c r="X911" s="13" t="str">
        <x:v>stanovich_dual_process</x:v>
      </x:c>
      <x:c r="Y911" s="13" t="str">
        <x:v>https://global.oup.com/academic/product/rationality-and-the-reflective-mind-9780195341140</x:v>
      </x:c>
      <x:c r="Z911" s="13" t="str">
        <x:v>Review before enabling. This workbook is a living taxonomy scaffold, not a validated scientific benchmark.</x:v>
      </x:c>
      <x:c r="AA911" s="13" t="str">
        <x:v>0.1.0-draft</x:v>
      </x:c>
      <x:c r="AB911" s="12" t="str">
        <x:f>IF(ISNUMBER(SEARCH("healthy",F911)),"healthy_reasoning_patterns",IF(ISNUMBER(SEARCH("statistical",F911)),"statistical_reasoning",IF(ISNUMBER(SEARCH("causal",F911)),"causal_reasoning",IF(ISNUMBER(SEARCH("social",F911)),"social_influence",IF(ISNUMBER(SEARCH("rhetoric",F911)),"rhetoric_discourse",IF(ISNUMBER(SEARCH("behavior",F911)),"behavioural_economics",IF(ISNUMBER(SEARCH("cognitive",F911)),"cognitive_biases",IF(J911="protective_pattern","healthy_reasoning_patterns",IF(L911="P0","core_mvp","extended_fallacies")))))))))</x:f>
        <x:v>extended_fallacies</x:v>
      </x:c>
      <x:c r="AC911" s="12" t="str">
        <x:f>IF(ISNUMBER(SEARCH("operational",J911)),"operational",IF(ISNUMBER(SEARCH("deprecated",J911)),"deprecated",IF(L911="P0","canonical","recognized_subtype")))</x:f>
        <x:v>operational</x:v>
      </x:c>
      <x:c r="AD911" s="12" t="str">
        <x:f>IF(AC911="canonical","high",IF(AC911="recognized_subtype","medium",IF(AC911="operational","operational_only","debated")))</x:f>
        <x:v>operational_only</x:v>
      </x:c>
      <x:c r="AE911" s="12" t="str">
        <x:f>IF(AC911="deprecated","deprecated",IF(M911="yes","active",IF(M911="review","review_required","backlog")))</x:f>
        <x:v>backlog</x:v>
      </x:c>
      <x:c r="AF911" s="12" t="str">
        <x:f>IF(OR(AE911="active",AE911="review_required"),"yes","no")</x:f>
        <x:v>no</x:v>
      </x:c>
      <x:c r="AG911" s="12" t="str">
        <x:f>IF(AND(AE911="active",M911="yes",NOT(ISNUMBER(SEARCH("healthy",AB911)))),"yes","no")</x:f>
        <x:v>no</x:v>
      </x:c>
      <x:c r="AH911" s="12" t="str">
        <x:f>IF(OR(H911="contextual",H911="dialogue",H911="discourse",I911="claim+context",I911="discourse_segment"),"yes","no")</x:f>
        <x:v>no</x:v>
      </x:c>
      <x:c r="AI911" s="12" t="str">
        <x:f>IF(OR(AH911="yes",AD911="debated",AC911="operational"),"yes","no")</x:f>
        <x:v>yes</x:v>
      </x:c>
      <x:c r="AJ911" s="12" t="str">
        <x:f>IF(OR(AH911="yes",AC911="operational",AD911="debated"),"high",IF(AND(AG911="yes",L911="P0"),"medium","low"))</x:f>
        <x:v>high</x:v>
      </x:c>
      <x:c r="AK911" s="12" t="str">
        <x:f>IF(ISNUMBER(SEARCH("healthy",AB911)),"yes","no")</x:f>
        <x:v>no</x:v>
      </x:c>
      <x:c r="AL911" s="12" t="str">
        <x:f>IF(AG911="yes","yes","candidate_only")</x:f>
        <x:v>candidate_only</x:v>
      </x:c>
      <x:c r="AM911" s="12" t="str">
        <x:f>IF(OR(AC911="canonical",AG911="yes"),"yes","recommended")</x:f>
        <x:v>recommended</x:v>
      </x:c>
      <x:c r="AN911" s="12" t="str">
        <x:f>IF(AC911="deprecated","exclude",IF(AND(AG911="yes",AJ911="high"),"import_but_human_review_required",IF(AG911="yes","import_as_active","import_as_backlog")))</x:f>
        <x:v>import_as_backlog</x:v>
      </x:c>
      <x:c r="AO911" s="12" t="str">
        <x:f>IF(AND(AG911="yes",OR(P911="",Q911="",R911="",S911="")),"missing_required_mvp_fields",IF(AND(AC911="canonical",Y911=""),"missing_source_ref","ok"))</x:f>
        <x:v>ok</x:v>
      </x:c>
      <x:c r="AP911" s="12" t="str">
        <x:f>IF(AO911="ok","ready_for_codex_import","needs_review")</x:f>
        <x:v>ready_for_codex_import</x:v>
      </x:c>
      <x:c r="AQ911" s="12"/>
      <x:c r="AR911" s="12" t="str">
        <x:v>Added v2 operational fields. Review before classification activation.</x:v>
      </x:c>
    </x:row>
    <x:row r="912">
      <x:c r="A912" s="13" t="str">
        <x:v>overclaiming_certainty_scope_transfer_variant</x:v>
      </x:c>
      <x:c r="B912" s="13" t="str">
        <x:v>overclaiming_certainty</x:v>
      </x:c>
      <x:c r="C912" s="13" t="str">
        <x:v>Overclaiming certainty</x:v>
      </x:c>
      <x:c r="D912" s="13" t="str">
        <x:v>قطعیت‌نمایی بیش از حد</x:v>
      </x:c>
      <x:c r="E912" s="13" t="str">
        <x:v>Scope-transfer variant</x:v>
      </x:c>
      <x:c r="F912" s="13" t="str">
        <x:v>uncertainty_calibration_failures</x:v>
      </x:c>
      <x:c r="G912" s="13" t="str">
        <x:v>operational_variant</x:v>
      </x:c>
      <x:c r="H912" s="13" t="str">
        <x:v>lexical</x:v>
      </x:c>
      <x:c r="I912" s="13" t="str">
        <x:v>claim</x:v>
      </x:c>
      <x:c r="J912" s="13" t="str">
        <x:v>derived_operational_subtype</x:v>
      </x:c>
      <x:c r="K912" s="13" t="str">
        <x:v>derived_from_established_parent_review_required</x:v>
      </x:c>
      <x:c r="L912" s="13" t="str">
        <x:v>P3</x:v>
      </x:c>
      <x:c r="M912" s="13" t="str">
        <x:v>no</x:v>
      </x:c>
      <x:c r="N912" s="13" t="str">
        <x:v>Operational subtype under Overclaiming certainty: evidence is transferred beyond its valid domain. Parent definition: Stating a conclusion more certainly than evidence warrants.</x:v>
      </x:c>
      <x:c r="O912" s="13" t="str">
        <x:v>Look for: explicit claim-level evidence; parent-family cues for Overclaiming certainty; variant cue: evidence is transferred beyond its valid domain; avoid author-level inference.</x:v>
      </x:c>
      <x:c r="P912" s="13" t="str">
        <x:v>Exact evidence span in text plus claim-level reasoning link; for contextual/discourse entries, require surrounding context.</x:v>
      </x:c>
      <x:c r="Q912" s="13" t="str">
        <x:v>Do not label merely because topic is controversial, emotional, or wrong. Do not judge intent or personality. Require textual evidence and consider healthy-reasoning cues.</x:v>
      </x:c>
      <x:c r="R912" s="13" t="str">
        <x:v>Stub: A claim relies on evidence is transferred beyond its valid domain to support a conclusion without adequate qualification.</x:v>
      </x:c>
      <x:c r="S912" s="13" t="str">
        <x:v>Stub: A claim discusses overclaiming certainty with caveats, balanced evidence, or no argumentative use of the pattern.</x:v>
      </x:c>
      <x:c r="T912" s="13" t="str">
        <x:v>Mild or ambiguous cue; do not classify without clear evidence span.</x:v>
      </x:c>
      <x:c r="U912" s="13" t="str">
        <x:v>Clear claim-level pattern with some argumentative impact.</x:v>
      </x:c>
      <x:c r="V912" s="13" t="str">
        <x:v>Strong pattern central to the conclusion and likely to materially distort reasoning.</x:v>
      </x:c>
      <x:c r="W912" s="13" t="str">
        <x:v>cherry_picking; missing_counterevidence; evidence_grading</x:v>
      </x:c>
      <x:c r="X912" s="13" t="str">
        <x:v>stanovich_dual_process</x:v>
      </x:c>
      <x:c r="Y912" s="13" t="str">
        <x:v>https://global.oup.com/academic/product/rationality-and-the-reflective-mind-9780195341140</x:v>
      </x:c>
      <x:c r="Z912" s="13" t="str">
        <x:v>Review before enabling. This workbook is a living taxonomy scaffold, not a validated scientific benchmark.</x:v>
      </x:c>
      <x:c r="AA912" s="13" t="str">
        <x:v>0.1.0-draft</x:v>
      </x:c>
      <x:c r="AB912" s="12" t="str">
        <x:f>IF(ISNUMBER(SEARCH("healthy",F912)),"healthy_reasoning_patterns",IF(ISNUMBER(SEARCH("statistical",F912)),"statistical_reasoning",IF(ISNUMBER(SEARCH("causal",F912)),"causal_reasoning",IF(ISNUMBER(SEARCH("social",F912)),"social_influence",IF(ISNUMBER(SEARCH("rhetoric",F912)),"rhetoric_discourse",IF(ISNUMBER(SEARCH("behavior",F912)),"behavioural_economics",IF(ISNUMBER(SEARCH("cognitive",F912)),"cognitive_biases",IF(J912="protective_pattern","healthy_reasoning_patterns",IF(L912="P0","core_mvp","extended_fallacies")))))))))</x:f>
        <x:v>extended_fallacies</x:v>
      </x:c>
      <x:c r="AC912" s="12" t="str">
        <x:f>IF(ISNUMBER(SEARCH("operational",J912)),"operational",IF(ISNUMBER(SEARCH("deprecated",J912)),"deprecated",IF(L912="P0","canonical","recognized_subtype")))</x:f>
        <x:v>operational</x:v>
      </x:c>
      <x:c r="AD912" s="12" t="str">
        <x:f>IF(AC912="canonical","high",IF(AC912="recognized_subtype","medium",IF(AC912="operational","operational_only","debated")))</x:f>
        <x:v>operational_only</x:v>
      </x:c>
      <x:c r="AE912" s="12" t="str">
        <x:f>IF(AC912="deprecated","deprecated",IF(M912="yes","active",IF(M912="review","review_required","backlog")))</x:f>
        <x:v>backlog</x:v>
      </x:c>
      <x:c r="AF912" s="12" t="str">
        <x:f>IF(OR(AE912="active",AE912="review_required"),"yes","no")</x:f>
        <x:v>no</x:v>
      </x:c>
      <x:c r="AG912" s="12" t="str">
        <x:f>IF(AND(AE912="active",M912="yes",NOT(ISNUMBER(SEARCH("healthy",AB912)))),"yes","no")</x:f>
        <x:v>no</x:v>
      </x:c>
      <x:c r="AH912" s="12" t="str">
        <x:f>IF(OR(H912="contextual",H912="dialogue",H912="discourse",I912="claim+context",I912="discourse_segment"),"yes","no")</x:f>
        <x:v>no</x:v>
      </x:c>
      <x:c r="AI912" s="12" t="str">
        <x:f>IF(OR(AH912="yes",AD912="debated",AC912="operational"),"yes","no")</x:f>
        <x:v>yes</x:v>
      </x:c>
      <x:c r="AJ912" s="12" t="str">
        <x:f>IF(OR(AH912="yes",AC912="operational",AD912="debated"),"high",IF(AND(AG912="yes",L912="P0"),"medium","low"))</x:f>
        <x:v>high</x:v>
      </x:c>
      <x:c r="AK912" s="12" t="str">
        <x:f>IF(ISNUMBER(SEARCH("healthy",AB912)),"yes","no")</x:f>
        <x:v>no</x:v>
      </x:c>
      <x:c r="AL912" s="12" t="str">
        <x:f>IF(AG912="yes","yes","candidate_only")</x:f>
        <x:v>candidate_only</x:v>
      </x:c>
      <x:c r="AM912" s="12" t="str">
        <x:f>IF(OR(AC912="canonical",AG912="yes"),"yes","recommended")</x:f>
        <x:v>recommended</x:v>
      </x:c>
      <x:c r="AN912" s="12" t="str">
        <x:f>IF(AC912="deprecated","exclude",IF(AND(AG912="yes",AJ912="high"),"import_but_human_review_required",IF(AG912="yes","import_as_active","import_as_backlog")))</x:f>
        <x:v>import_as_backlog</x:v>
      </x:c>
      <x:c r="AO912" s="12" t="str">
        <x:f>IF(AND(AG912="yes",OR(P912="",Q912="",R912="",S912="")),"missing_required_mvp_fields",IF(AND(AC912="canonical",Y912=""),"missing_source_ref","ok"))</x:f>
        <x:v>ok</x:v>
      </x:c>
      <x:c r="AP912" s="12" t="str">
        <x:f>IF(AO912="ok","ready_for_codex_import","needs_review")</x:f>
        <x:v>ready_for_codex_import</x:v>
      </x:c>
      <x:c r="AQ912" s="12"/>
      <x:c r="AR912" s="12" t="str">
        <x:v>Added v2 operational fields. Review before classification activation.</x:v>
      </x:c>
    </x:row>
    <x:row r="913">
      <x:c r="A913" s="13" t="str">
        <x:v>false_precision_scope_transfer_variant</x:v>
      </x:c>
      <x:c r="B913" s="13" t="str">
        <x:v>false_precision</x:v>
      </x:c>
      <x:c r="C913" s="13" t="str">
        <x:v>False precision</x:v>
      </x:c>
      <x:c r="D913" s="13" t="str">
        <x:v>دقت کاذب</x:v>
      </x:c>
      <x:c r="E913" s="13" t="str">
        <x:v>Scope-transfer variant</x:v>
      </x:c>
      <x:c r="F913" s="13" t="str">
        <x:v>uncertainty_calibration_failures</x:v>
      </x:c>
      <x:c r="G913" s="13" t="str">
        <x:v>operational_variant</x:v>
      </x:c>
      <x:c r="H913" s="13" t="str">
        <x:v>lexical</x:v>
      </x:c>
      <x:c r="I913" s="13" t="str">
        <x:v>claim</x:v>
      </x:c>
      <x:c r="J913" s="13" t="str">
        <x:v>derived_operational_subtype</x:v>
      </x:c>
      <x:c r="K913" s="13" t="str">
        <x:v>derived_from_established_parent_review_required</x:v>
      </x:c>
      <x:c r="L913" s="13" t="str">
        <x:v>P3</x:v>
      </x:c>
      <x:c r="M913" s="13" t="str">
        <x:v>no</x:v>
      </x:c>
      <x:c r="N913" s="13" t="str">
        <x:v>Operational subtype under False precision: evidence is transferred beyond its valid domain. Parent definition: Using precise numbers or terms without evidential basis.</x:v>
      </x:c>
      <x:c r="O913" s="13" t="str">
        <x:v>Look for: explicit claim-level evidence; parent-family cues for False precision; variant cue: evidence is transferred beyond its valid domain; avoid author-level inference.</x:v>
      </x:c>
      <x:c r="P913" s="13" t="str">
        <x:v>Exact evidence span in text plus claim-level reasoning link; for contextual/discourse entries, require surrounding context.</x:v>
      </x:c>
      <x:c r="Q913" s="13" t="str">
        <x:v>Do not label merely because topic is controversial, emotional, or wrong. Do not judge intent or personality. Require textual evidence and consider healthy-reasoning cues.</x:v>
      </x:c>
      <x:c r="R913" s="13" t="str">
        <x:v>Stub: A claim relies on evidence is transferred beyond its valid domain to support a conclusion without adequate qualification.</x:v>
      </x:c>
      <x:c r="S913" s="13" t="str">
        <x:v>Stub: A claim discusses false precision with caveats, balanced evidence, or no argumentative use of the pattern.</x:v>
      </x:c>
      <x:c r="T913" s="13" t="str">
        <x:v>Mild or ambiguous cue; do not classify without clear evidence span.</x:v>
      </x:c>
      <x:c r="U913" s="13" t="str">
        <x:v>Clear claim-level pattern with some argumentative impact.</x:v>
      </x:c>
      <x:c r="V913" s="13" t="str">
        <x:v>Strong pattern central to the conclusion and likely to materially distort reasoning.</x:v>
      </x:c>
      <x:c r="W913" s="13" t="str">
        <x:v>uncertainty_acknowledgement; confidence_calibration; scope_limitation</x:v>
      </x:c>
      <x:c r="X913" s="13" t="str">
        <x:v>stanovich_dual_process</x:v>
      </x:c>
      <x:c r="Y913" s="13" t="str">
        <x:v>https://global.oup.com/academic/product/rationality-and-the-reflective-mind-9780195341140</x:v>
      </x:c>
      <x:c r="Z913" s="13" t="str">
        <x:v>Review before enabling. This workbook is a living taxonomy scaffold, not a validated scientific benchmark.</x:v>
      </x:c>
      <x:c r="AA913" s="13" t="str">
        <x:v>0.1.0-draft</x:v>
      </x:c>
      <x:c r="AB913" s="12" t="str">
        <x:f>IF(ISNUMBER(SEARCH("healthy",F913)),"healthy_reasoning_patterns",IF(ISNUMBER(SEARCH("statistical",F913)),"statistical_reasoning",IF(ISNUMBER(SEARCH("causal",F913)),"causal_reasoning",IF(ISNUMBER(SEARCH("social",F913)),"social_influence",IF(ISNUMBER(SEARCH("rhetoric",F913)),"rhetoric_discourse",IF(ISNUMBER(SEARCH("behavior",F913)),"behavioural_economics",IF(ISNUMBER(SEARCH("cognitive",F913)),"cognitive_biases",IF(J913="protective_pattern","healthy_reasoning_patterns",IF(L913="P0","core_mvp","extended_fallacies")))))))))</x:f>
        <x:v>extended_fallacies</x:v>
      </x:c>
      <x:c r="AC913" s="12" t="str">
        <x:f>IF(ISNUMBER(SEARCH("operational",J913)),"operational",IF(ISNUMBER(SEARCH("deprecated",J913)),"deprecated",IF(L913="P0","canonical","recognized_subtype")))</x:f>
        <x:v>operational</x:v>
      </x:c>
      <x:c r="AD913" s="12" t="str">
        <x:f>IF(AC913="canonical","high",IF(AC913="recognized_subtype","medium",IF(AC913="operational","operational_only","debated")))</x:f>
        <x:v>operational_only</x:v>
      </x:c>
      <x:c r="AE913" s="12" t="str">
        <x:f>IF(AC913="deprecated","deprecated",IF(M913="yes","active",IF(M913="review","review_required","backlog")))</x:f>
        <x:v>backlog</x:v>
      </x:c>
      <x:c r="AF913" s="12" t="str">
        <x:f>IF(OR(AE913="active",AE913="review_required"),"yes","no")</x:f>
        <x:v>no</x:v>
      </x:c>
      <x:c r="AG913" s="12" t="str">
        <x:f>IF(AND(AE913="active",M913="yes",NOT(ISNUMBER(SEARCH("healthy",AB913)))),"yes","no")</x:f>
        <x:v>no</x:v>
      </x:c>
      <x:c r="AH913" s="12" t="str">
        <x:f>IF(OR(H913="contextual",H913="dialogue",H913="discourse",I913="claim+context",I913="discourse_segment"),"yes","no")</x:f>
        <x:v>no</x:v>
      </x:c>
      <x:c r="AI913" s="12" t="str">
        <x:f>IF(OR(AH913="yes",AD913="debated",AC913="operational"),"yes","no")</x:f>
        <x:v>yes</x:v>
      </x:c>
      <x:c r="AJ913" s="12" t="str">
        <x:f>IF(OR(AH913="yes",AC913="operational",AD913="debated"),"high",IF(AND(AG913="yes",L913="P0"),"medium","low"))</x:f>
        <x:v>high</x:v>
      </x:c>
      <x:c r="AK913" s="12" t="str">
        <x:f>IF(ISNUMBER(SEARCH("healthy",AB913)),"yes","no")</x:f>
        <x:v>no</x:v>
      </x:c>
      <x:c r="AL913" s="12" t="str">
        <x:f>IF(AG913="yes","yes","candidate_only")</x:f>
        <x:v>candidate_only</x:v>
      </x:c>
      <x:c r="AM913" s="12" t="str">
        <x:f>IF(OR(AC913="canonical",AG913="yes"),"yes","recommended")</x:f>
        <x:v>recommended</x:v>
      </x:c>
      <x:c r="AN913" s="12" t="str">
        <x:f>IF(AC913="deprecated","exclude",IF(AND(AG913="yes",AJ913="high"),"import_but_human_review_required",IF(AG913="yes","import_as_active","import_as_backlog")))</x:f>
        <x:v>import_as_backlog</x:v>
      </x:c>
      <x:c r="AO913" s="12" t="str">
        <x:f>IF(AND(AG913="yes",OR(P913="",Q913="",R913="",S913="")),"missing_required_mvp_fields",IF(AND(AC913="canonical",Y913=""),"missing_source_ref","ok"))</x:f>
        <x:v>ok</x:v>
      </x:c>
      <x:c r="AP913" s="12" t="str">
        <x:f>IF(AO913="ok","ready_for_codex_import","needs_review")</x:f>
        <x:v>ready_for_codex_import</x:v>
      </x:c>
      <x:c r="AQ913" s="12"/>
      <x:c r="AR913" s="12" t="str">
        <x:v>Added v2 operational fields. Review before classification activation.</x:v>
      </x:c>
    </x:row>
    <x:row r="914">
      <x:c r="A914" s="13" t="str">
        <x:v>missing_confidence_level_scope_transfer_variant</x:v>
      </x:c>
      <x:c r="B914" s="13" t="str">
        <x:v>missing_confidence_level</x:v>
      </x:c>
      <x:c r="C914" s="13" t="str">
        <x:v>Missing confidence level</x:v>
      </x:c>
      <x:c r="D914" s="13" t="str">
        <x:v>نبود سطح اطمینان</x:v>
      </x:c>
      <x:c r="E914" s="13" t="str">
        <x:v>Scope-transfer variant</x:v>
      </x:c>
      <x:c r="F914" s="13" t="str">
        <x:v>uncertainty_calibration_failures</x:v>
      </x:c>
      <x:c r="G914" s="13" t="str">
        <x:v>operational_variant</x:v>
      </x:c>
      <x:c r="H914" s="13" t="str">
        <x:v>lexical</x:v>
      </x:c>
      <x:c r="I914" s="13" t="str">
        <x:v>claim</x:v>
      </x:c>
      <x:c r="J914" s="13" t="str">
        <x:v>derived_operational_subtype</x:v>
      </x:c>
      <x:c r="K914" s="13" t="str">
        <x:v>derived_from_established_parent_review_required</x:v>
      </x:c>
      <x:c r="L914" s="13" t="str">
        <x:v>P3</x:v>
      </x:c>
      <x:c r="M914" s="13" t="str">
        <x:v>no</x:v>
      </x:c>
      <x:c r="N914" s="13" t="str">
        <x:v>Operational subtype under Missing confidence level: evidence is transferred beyond its valid domain. Parent definition: Presenting estimates without uncertainty or confidence framing.</x:v>
      </x:c>
      <x:c r="O914" s="13" t="str">
        <x:v>Look for: explicit claim-level evidence; parent-family cues for Missing confidence level; variant cue: evidence is transferred beyond its valid domain; avoid author-level inference.</x:v>
      </x:c>
      <x:c r="P914" s="13" t="str">
        <x:v>Exact evidence span in text plus claim-level reasoning link; for contextual/discourse entries, require surrounding context.</x:v>
      </x:c>
      <x:c r="Q914" s="13" t="str">
        <x:v>Do not label merely because topic is controversial, emotional, or wrong. Do not judge intent or personality. Require textual evidence and consider healthy-reasoning cues.</x:v>
      </x:c>
      <x:c r="R914" s="13" t="str">
        <x:v>Stub: A claim relies on evidence is transferred beyond its valid domain to support a conclusion without adequate qualification.</x:v>
      </x:c>
      <x:c r="S914" s="13" t="str">
        <x:v>Stub: A claim discusses missing confidence level with caveats, balanced evidence, or no argumentative use of the pattern.</x:v>
      </x:c>
      <x:c r="T914" s="13" t="str">
        <x:v>Mild or ambiguous cue; do not classify without clear evidence span.</x:v>
      </x:c>
      <x:c r="U914" s="13" t="str">
        <x:v>Clear claim-level pattern with some argumentative impact.</x:v>
      </x:c>
      <x:c r="V914" s="13" t="str">
        <x:v>Strong pattern central to the conclusion and likely to materially distort reasoning.</x:v>
      </x:c>
      <x:c r="W914" s="13" t="str">
        <x:v>uncertainty_acknowledgement; confidence_calibration; scope_limitation</x:v>
      </x:c>
      <x:c r="X914" s="13" t="str">
        <x:v>stanovich_dual_process</x:v>
      </x:c>
      <x:c r="Y914" s="13" t="str">
        <x:v>https://global.oup.com/academic/product/rationality-and-the-reflective-mind-9780195341140</x:v>
      </x:c>
      <x:c r="Z914" s="13" t="str">
        <x:v>Review before enabling. This workbook is a living taxonomy scaffold, not a validated scientific benchmark.</x:v>
      </x:c>
      <x:c r="AA914" s="13" t="str">
        <x:v>0.1.0-draft</x:v>
      </x:c>
      <x:c r="AB914" s="12" t="str">
        <x:f>IF(ISNUMBER(SEARCH("healthy",F914)),"healthy_reasoning_patterns",IF(ISNUMBER(SEARCH("statistical",F914)),"statistical_reasoning",IF(ISNUMBER(SEARCH("causal",F914)),"causal_reasoning",IF(ISNUMBER(SEARCH("social",F914)),"social_influence",IF(ISNUMBER(SEARCH("rhetoric",F914)),"rhetoric_discourse",IF(ISNUMBER(SEARCH("behavior",F914)),"behavioural_economics",IF(ISNUMBER(SEARCH("cognitive",F914)),"cognitive_biases",IF(J914="protective_pattern","healthy_reasoning_patterns",IF(L914="P0","core_mvp","extended_fallacies")))))))))</x:f>
        <x:v>extended_fallacies</x:v>
      </x:c>
      <x:c r="AC914" s="12" t="str">
        <x:f>IF(ISNUMBER(SEARCH("operational",J914)),"operational",IF(ISNUMBER(SEARCH("deprecated",J914)),"deprecated",IF(L914="P0","canonical","recognized_subtype")))</x:f>
        <x:v>operational</x:v>
      </x:c>
      <x:c r="AD914" s="12" t="str">
        <x:f>IF(AC914="canonical","high",IF(AC914="recognized_subtype","medium",IF(AC914="operational","operational_only","debated")))</x:f>
        <x:v>operational_only</x:v>
      </x:c>
      <x:c r="AE914" s="12" t="str">
        <x:f>IF(AC914="deprecated","deprecated",IF(M914="yes","active",IF(M914="review","review_required","backlog")))</x:f>
        <x:v>backlog</x:v>
      </x:c>
      <x:c r="AF914" s="12" t="str">
        <x:f>IF(OR(AE914="active",AE914="review_required"),"yes","no")</x:f>
        <x:v>no</x:v>
      </x:c>
      <x:c r="AG914" s="12" t="str">
        <x:f>IF(AND(AE914="active",M914="yes",NOT(ISNUMBER(SEARCH("healthy",AB914)))),"yes","no")</x:f>
        <x:v>no</x:v>
      </x:c>
      <x:c r="AH914" s="12" t="str">
        <x:f>IF(OR(H914="contextual",H914="dialogue",H914="discourse",I914="claim+context",I914="discourse_segment"),"yes","no")</x:f>
        <x:v>no</x:v>
      </x:c>
      <x:c r="AI914" s="12" t="str">
        <x:f>IF(OR(AH914="yes",AD914="debated",AC914="operational"),"yes","no")</x:f>
        <x:v>yes</x:v>
      </x:c>
      <x:c r="AJ914" s="12" t="str">
        <x:f>IF(OR(AH914="yes",AC914="operational",AD914="debated"),"high",IF(AND(AG914="yes",L914="P0"),"medium","low"))</x:f>
        <x:v>high</x:v>
      </x:c>
      <x:c r="AK914" s="12" t="str">
        <x:f>IF(ISNUMBER(SEARCH("healthy",AB914)),"yes","no")</x:f>
        <x:v>no</x:v>
      </x:c>
      <x:c r="AL914" s="12" t="str">
        <x:f>IF(AG914="yes","yes","candidate_only")</x:f>
        <x:v>candidate_only</x:v>
      </x:c>
      <x:c r="AM914" s="12" t="str">
        <x:f>IF(OR(AC914="canonical",AG914="yes"),"yes","recommended")</x:f>
        <x:v>recommended</x:v>
      </x:c>
      <x:c r="AN914" s="12" t="str">
        <x:f>IF(AC914="deprecated","exclude",IF(AND(AG914="yes",AJ914="high"),"import_but_human_review_required",IF(AG914="yes","import_as_active","import_as_backlog")))</x:f>
        <x:v>import_as_backlog</x:v>
      </x:c>
      <x:c r="AO914" s="12" t="str">
        <x:f>IF(AND(AG914="yes",OR(P914="",Q914="",R914="",S914="")),"missing_required_mvp_fields",IF(AND(AC914="canonical",Y914=""),"missing_source_ref","ok"))</x:f>
        <x:v>ok</x:v>
      </x:c>
      <x:c r="AP914" s="12" t="str">
        <x:f>IF(AO914="ok","ready_for_codex_import","needs_review")</x:f>
        <x:v>ready_for_codex_import</x:v>
      </x:c>
      <x:c r="AQ914" s="12"/>
      <x:c r="AR914" s="12" t="str">
        <x:v>Added v2 operational fields. Review before classification activation.</x:v>
      </x:c>
    </x:row>
    <x:row r="915">
      <x:c r="A915" s="13" t="str">
        <x:v>forecast_horizon_neglect_scope_transfer_variant</x:v>
      </x:c>
      <x:c r="B915" s="13" t="str">
        <x:v>forecast_horizon_neglect</x:v>
      </x:c>
      <x:c r="C915" s="13" t="str">
        <x:v>Forecast horizon neglect</x:v>
      </x:c>
      <x:c r="D915" s="13" t="str">
        <x:v>نادیده‌گرفتن افق پیش‌بینی</x:v>
      </x:c>
      <x:c r="E915" s="13" t="str">
        <x:v>Scope-transfer variant</x:v>
      </x:c>
      <x:c r="F915" s="13" t="str">
        <x:v>uncertainty_calibration_failures</x:v>
      </x:c>
      <x:c r="G915" s="13" t="str">
        <x:v>operational_variant</x:v>
      </x:c>
      <x:c r="H915" s="13" t="str">
        <x:v>contextual</x:v>
      </x:c>
      <x:c r="I915" s="13" t="str">
        <x:v>claim+context</x:v>
      </x:c>
      <x:c r="J915" s="13" t="str">
        <x:v>derived_operational_subtype</x:v>
      </x:c>
      <x:c r="K915" s="13" t="str">
        <x:v>derived_from_established_parent_review_required</x:v>
      </x:c>
      <x:c r="L915" s="13" t="str">
        <x:v>P3</x:v>
      </x:c>
      <x:c r="M915" s="13" t="str">
        <x:v>no</x:v>
      </x:c>
      <x:c r="N915" s="13" t="str">
        <x:v>Operational subtype under Forecast horizon neglect: evidence is transferred beyond its valid domain. Parent definition: Making forecasts without specifying the time horizon.</x:v>
      </x:c>
      <x:c r="O915" s="13" t="str">
        <x:v>Look for: explicit claim-level evidence; parent-family cues for Forecast horizon neglect; variant cue: evidence is transferred beyond its valid domain; avoid author-level inference.</x:v>
      </x:c>
      <x:c r="P915" s="13" t="str">
        <x:v>Exact evidence span in text plus claim-level reasoning link; for contextual/discourse entries, require surrounding context.</x:v>
      </x:c>
      <x:c r="Q915" s="13" t="str">
        <x:v>Do not label merely because topic is controversial, emotional, or wrong. Do not judge intent or personality. Require textual evidence and consider healthy-reasoning cues.</x:v>
      </x:c>
      <x:c r="R915" s="13" t="str">
        <x:v>Stub: A claim relies on evidence is transferred beyond its valid domain to support a conclusion without adequate qualification.</x:v>
      </x:c>
      <x:c r="S915" s="13" t="str">
        <x:v>Stub: A claim discusses forecast horizon neglect with caveats, balanced evidence, or no argumentative use of the pattern.</x:v>
      </x:c>
      <x:c r="T915" s="13" t="str">
        <x:v>Mild or ambiguous cue; do not classify without clear evidence span.</x:v>
      </x:c>
      <x:c r="U915" s="13" t="str">
        <x:v>Clear claim-level pattern with some argumentative impact.</x:v>
      </x:c>
      <x:c r="V915" s="13" t="str">
        <x:v>Strong pattern central to the conclusion and likely to materially distort reasoning.</x:v>
      </x:c>
      <x:c r="W915" s="13" t="str">
        <x:v>uncertainty_acknowledgement; confidence_calibration; scope_limitation</x:v>
      </x:c>
      <x:c r="X915" s="13" t="str">
        <x:v>stanovich_dual_process</x:v>
      </x:c>
      <x:c r="Y915" s="13" t="str">
        <x:v>https://global.oup.com/academic/product/rationality-and-the-reflective-mind-9780195341140</x:v>
      </x:c>
      <x:c r="Z915" s="13" t="str">
        <x:v>Review before enabling. This workbook is a living taxonomy scaffold, not a validated scientific benchmark.</x:v>
      </x:c>
      <x:c r="AA915" s="13" t="str">
        <x:v>0.1.0-draft</x:v>
      </x:c>
      <x:c r="AB915" s="12" t="str">
        <x:f>IF(ISNUMBER(SEARCH("healthy",F915)),"healthy_reasoning_patterns",IF(ISNUMBER(SEARCH("statistical",F915)),"statistical_reasoning",IF(ISNUMBER(SEARCH("causal",F915)),"causal_reasoning",IF(ISNUMBER(SEARCH("social",F915)),"social_influence",IF(ISNUMBER(SEARCH("rhetoric",F915)),"rhetoric_discourse",IF(ISNUMBER(SEARCH("behavior",F915)),"behavioural_economics",IF(ISNUMBER(SEARCH("cognitive",F915)),"cognitive_biases",IF(J915="protective_pattern","healthy_reasoning_patterns",IF(L915="P0","core_mvp","extended_fallacies")))))))))</x:f>
        <x:v>extended_fallacies</x:v>
      </x:c>
      <x:c r="AC915" s="12" t="str">
        <x:f>IF(ISNUMBER(SEARCH("operational",J915)),"operational",IF(ISNUMBER(SEARCH("deprecated",J915)),"deprecated",IF(L915="P0","canonical","recognized_subtype")))</x:f>
        <x:v>operational</x:v>
      </x:c>
      <x:c r="AD915" s="12" t="str">
        <x:f>IF(AC915="canonical","high",IF(AC915="recognized_subtype","medium",IF(AC915="operational","operational_only","debated")))</x:f>
        <x:v>operational_only</x:v>
      </x:c>
      <x:c r="AE915" s="12" t="str">
        <x:f>IF(AC915="deprecated","deprecated",IF(M915="yes","active",IF(M915="review","review_required","backlog")))</x:f>
        <x:v>backlog</x:v>
      </x:c>
      <x:c r="AF915" s="12" t="str">
        <x:f>IF(OR(AE915="active",AE915="review_required"),"yes","no")</x:f>
        <x:v>no</x:v>
      </x:c>
      <x:c r="AG915" s="12" t="str">
        <x:f>IF(AND(AE915="active",M915="yes",NOT(ISNUMBER(SEARCH("healthy",AB915)))),"yes","no")</x:f>
        <x:v>no</x:v>
      </x:c>
      <x:c r="AH915" s="12" t="str">
        <x:f>IF(OR(H915="contextual",H915="dialogue",H915="discourse",I915="claim+context",I915="discourse_segment"),"yes","no")</x:f>
        <x:v>yes</x:v>
      </x:c>
      <x:c r="AI915" s="12" t="str">
        <x:f>IF(OR(AH915="yes",AD915="debated",AC915="operational"),"yes","no")</x:f>
        <x:v>yes</x:v>
      </x:c>
      <x:c r="AJ915" s="12" t="str">
        <x:f>IF(OR(AH915="yes",AC915="operational",AD915="debated"),"high",IF(AND(AG915="yes",L915="P0"),"medium","low"))</x:f>
        <x:v>high</x:v>
      </x:c>
      <x:c r="AK915" s="12" t="str">
        <x:f>IF(ISNUMBER(SEARCH("healthy",AB915)),"yes","no")</x:f>
        <x:v>no</x:v>
      </x:c>
      <x:c r="AL915" s="12" t="str">
        <x:f>IF(AG915="yes","yes","candidate_only")</x:f>
        <x:v>candidate_only</x:v>
      </x:c>
      <x:c r="AM915" s="12" t="str">
        <x:f>IF(OR(AC915="canonical",AG915="yes"),"yes","recommended")</x:f>
        <x:v>recommended</x:v>
      </x:c>
      <x:c r="AN915" s="12" t="str">
        <x:f>IF(AC915="deprecated","exclude",IF(AND(AG915="yes",AJ915="high"),"import_but_human_review_required",IF(AG915="yes","import_as_active","import_as_backlog")))</x:f>
        <x:v>import_as_backlog</x:v>
      </x:c>
      <x:c r="AO915" s="12" t="str">
        <x:f>IF(AND(AG915="yes",OR(P915="",Q915="",R915="",S915="")),"missing_required_mvp_fields",IF(AND(AC915="canonical",Y915=""),"missing_source_ref","ok"))</x:f>
        <x:v>ok</x:v>
      </x:c>
      <x:c r="AP915" s="12" t="str">
        <x:f>IF(AO915="ok","ready_for_codex_import","needs_review")</x:f>
        <x:v>ready_for_codex_import</x:v>
      </x:c>
      <x:c r="AQ915" s="12"/>
      <x:c r="AR915" s="12" t="str">
        <x:v>Added v2 operational fields. Review before classification activation.</x:v>
      </x:c>
    </x:row>
    <x:row r="916">
      <x:c r="A916" s="13" t="str">
        <x:v>trend_extrapolation_overreach_scope_transfer_variant</x:v>
      </x:c>
      <x:c r="B916" s="13" t="str">
        <x:v>trend_extrapolation_overreach</x:v>
      </x:c>
      <x:c r="C916" s="13" t="str">
        <x:v>Trend extrapolation overreach</x:v>
      </x:c>
      <x:c r="D916" s="13" t="str">
        <x:v>برون‌یابی افراطی روند</x:v>
      </x:c>
      <x:c r="E916" s="13" t="str">
        <x:v>Scope-transfer variant</x:v>
      </x:c>
      <x:c r="F916" s="13" t="str">
        <x:v>uncertainty_calibration_failures</x:v>
      </x:c>
      <x:c r="G916" s="13" t="str">
        <x:v>operational_variant</x:v>
      </x:c>
      <x:c r="H916" s="13" t="str">
        <x:v>contextual</x:v>
      </x:c>
      <x:c r="I916" s="13" t="str">
        <x:v>claim+context</x:v>
      </x:c>
      <x:c r="J916" s="13" t="str">
        <x:v>derived_operational_subtype</x:v>
      </x:c>
      <x:c r="K916" s="13" t="str">
        <x:v>derived_from_established_parent_review_required</x:v>
      </x:c>
      <x:c r="L916" s="13" t="str">
        <x:v>P3</x:v>
      </x:c>
      <x:c r="M916" s="13" t="str">
        <x:v>no</x:v>
      </x:c>
      <x:c r="N916" s="13" t="str">
        <x:v>Operational subtype under Trend extrapolation overreach: evidence is transferred beyond its valid domain. Parent definition: Extending a trend beyond evidence without caveats.</x:v>
      </x:c>
      <x:c r="O916" s="13" t="str">
        <x:v>Look for: explicit claim-level evidence; parent-family cues for Trend extrapolation overreach; variant cue: evidence is transferred beyond its valid domain; avoid author-level inference.</x:v>
      </x:c>
      <x:c r="P916" s="13" t="str">
        <x:v>Exact evidence span in text plus claim-level reasoning link; for contextual/discourse entries, require surrounding context.</x:v>
      </x:c>
      <x:c r="Q916" s="13" t="str">
        <x:v>Do not label merely because topic is controversial, emotional, or wrong. Do not judge intent or personality. Require textual evidence and consider healthy-reasoning cues.</x:v>
      </x:c>
      <x:c r="R916" s="13" t="str">
        <x:v>Stub: A claim relies on evidence is transferred beyond its valid domain to support a conclusion without adequate qualification.</x:v>
      </x:c>
      <x:c r="S916" s="13" t="str">
        <x:v>Stub: A claim discusses trend extrapolation overreach with caveats, balanced evidence, or no argumentative use of the pattern.</x:v>
      </x:c>
      <x:c r="T916" s="13" t="str">
        <x:v>Mild or ambiguous cue; do not classify without clear evidence span.</x:v>
      </x:c>
      <x:c r="U916" s="13" t="str">
        <x:v>Clear claim-level pattern with some argumentative impact.</x:v>
      </x:c>
      <x:c r="V916" s="13" t="str">
        <x:v>Strong pattern central to the conclusion and likely to materially distort reasoning.</x:v>
      </x:c>
      <x:c r="W916" s="13" t="str">
        <x:v>cherry_picking; missing_counterevidence; evidence_grading</x:v>
      </x:c>
      <x:c r="X916" s="13" t="str">
        <x:v>stanovich_dual_process</x:v>
      </x:c>
      <x:c r="Y916" s="13" t="str">
        <x:v>https://global.oup.com/academic/product/rationality-and-the-reflective-mind-9780195341140</x:v>
      </x:c>
      <x:c r="Z916" s="13" t="str">
        <x:v>Review before enabling. This workbook is a living taxonomy scaffold, not a validated scientific benchmark.</x:v>
      </x:c>
      <x:c r="AA916" s="13" t="str">
        <x:v>0.1.0-draft</x:v>
      </x:c>
      <x:c r="AB916" s="12" t="str">
        <x:f>IF(ISNUMBER(SEARCH("healthy",F916)),"healthy_reasoning_patterns",IF(ISNUMBER(SEARCH("statistical",F916)),"statistical_reasoning",IF(ISNUMBER(SEARCH("causal",F916)),"causal_reasoning",IF(ISNUMBER(SEARCH("social",F916)),"social_influence",IF(ISNUMBER(SEARCH("rhetoric",F916)),"rhetoric_discourse",IF(ISNUMBER(SEARCH("behavior",F916)),"behavioural_economics",IF(ISNUMBER(SEARCH("cognitive",F916)),"cognitive_biases",IF(J916="protective_pattern","healthy_reasoning_patterns",IF(L916="P0","core_mvp","extended_fallacies")))))))))</x:f>
        <x:v>extended_fallacies</x:v>
      </x:c>
      <x:c r="AC916" s="12" t="str">
        <x:f>IF(ISNUMBER(SEARCH("operational",J916)),"operational",IF(ISNUMBER(SEARCH("deprecated",J916)),"deprecated",IF(L916="P0","canonical","recognized_subtype")))</x:f>
        <x:v>operational</x:v>
      </x:c>
      <x:c r="AD916" s="12" t="str">
        <x:f>IF(AC916="canonical","high",IF(AC916="recognized_subtype","medium",IF(AC916="operational","operational_only","debated")))</x:f>
        <x:v>operational_only</x:v>
      </x:c>
      <x:c r="AE916" s="12" t="str">
        <x:f>IF(AC916="deprecated","deprecated",IF(M916="yes","active",IF(M916="review","review_required","backlog")))</x:f>
        <x:v>backlog</x:v>
      </x:c>
      <x:c r="AF916" s="12" t="str">
        <x:f>IF(OR(AE916="active",AE916="review_required"),"yes","no")</x:f>
        <x:v>no</x:v>
      </x:c>
      <x:c r="AG916" s="12" t="str">
        <x:f>IF(AND(AE916="active",M916="yes",NOT(ISNUMBER(SEARCH("healthy",AB916)))),"yes","no")</x:f>
        <x:v>no</x:v>
      </x:c>
      <x:c r="AH916" s="12" t="str">
        <x:f>IF(OR(H916="contextual",H916="dialogue",H916="discourse",I916="claim+context",I916="discourse_segment"),"yes","no")</x:f>
        <x:v>yes</x:v>
      </x:c>
      <x:c r="AI916" s="12" t="str">
        <x:f>IF(OR(AH916="yes",AD916="debated",AC916="operational"),"yes","no")</x:f>
        <x:v>yes</x:v>
      </x:c>
      <x:c r="AJ916" s="12" t="str">
        <x:f>IF(OR(AH916="yes",AC916="operational",AD916="debated"),"high",IF(AND(AG916="yes",L916="P0"),"medium","low"))</x:f>
        <x:v>high</x:v>
      </x:c>
      <x:c r="AK916" s="12" t="str">
        <x:f>IF(ISNUMBER(SEARCH("healthy",AB916)),"yes","no")</x:f>
        <x:v>no</x:v>
      </x:c>
      <x:c r="AL916" s="12" t="str">
        <x:f>IF(AG916="yes","yes","candidate_only")</x:f>
        <x:v>candidate_only</x:v>
      </x:c>
      <x:c r="AM916" s="12" t="str">
        <x:f>IF(OR(AC916="canonical",AG916="yes"),"yes","recommended")</x:f>
        <x:v>recommended</x:v>
      </x:c>
      <x:c r="AN916" s="12" t="str">
        <x:f>IF(AC916="deprecated","exclude",IF(AND(AG916="yes",AJ916="high"),"import_but_human_review_required",IF(AG916="yes","import_as_active","import_as_backlog")))</x:f>
        <x:v>import_as_backlog</x:v>
      </x:c>
      <x:c r="AO916" s="12" t="str">
        <x:f>IF(AND(AG916="yes",OR(P916="",Q916="",R916="",S916="")),"missing_required_mvp_fields",IF(AND(AC916="canonical",Y916=""),"missing_source_ref","ok"))</x:f>
        <x:v>ok</x:v>
      </x:c>
      <x:c r="AP916" s="12" t="str">
        <x:f>IF(AO916="ok","ready_for_codex_import","needs_review")</x:f>
        <x:v>ready_for_codex_import</x:v>
      </x:c>
      <x:c r="AQ916" s="12"/>
      <x:c r="AR916" s="12" t="str">
        <x:v>Added v2 operational fields. Review before classification activation.</x:v>
      </x:c>
    </x:row>
    <x:row r="917">
      <x:c r="A917" s="13" t="str">
        <x:v>linear_projection_fallacy_scope_transfer_variant</x:v>
      </x:c>
      <x:c r="B917" s="13" t="str">
        <x:v>linear_projection_fallacy</x:v>
      </x:c>
      <x:c r="C917" s="13" t="str">
        <x:v>Linear projection fallacy</x:v>
      </x:c>
      <x:c r="D917" s="13" t="str">
        <x:v>خطای امتداد خطی</x:v>
      </x:c>
      <x:c r="E917" s="13" t="str">
        <x:v>Scope-transfer variant</x:v>
      </x:c>
      <x:c r="F917" s="13" t="str">
        <x:v>uncertainty_calibration_failures</x:v>
      </x:c>
      <x:c r="G917" s="13" t="str">
        <x:v>operational_variant</x:v>
      </x:c>
      <x:c r="H917" s="13" t="str">
        <x:v>contextual</x:v>
      </x:c>
      <x:c r="I917" s="13" t="str">
        <x:v>claim+context</x:v>
      </x:c>
      <x:c r="J917" s="13" t="str">
        <x:v>derived_operational_subtype</x:v>
      </x:c>
      <x:c r="K917" s="13" t="str">
        <x:v>derived_from_established_parent_review_required</x:v>
      </x:c>
      <x:c r="L917" s="13" t="str">
        <x:v>P3</x:v>
      </x:c>
      <x:c r="M917" s="13" t="str">
        <x:v>no</x:v>
      </x:c>
      <x:c r="N917" s="13" t="str">
        <x:v>Operational subtype under Linear projection fallacy: evidence is transferred beyond its valid domain. Parent definition: Assuming linear continuation in a nonlinear domain.</x:v>
      </x:c>
      <x:c r="O917" s="13" t="str">
        <x:v>Look for: explicit claim-level evidence; parent-family cues for Linear projection fallacy; variant cue: evidence is transferred beyond its valid domain; avoid author-level inference.</x:v>
      </x:c>
      <x:c r="P917" s="13" t="str">
        <x:v>Exact evidence span in text plus claim-level reasoning link; for contextual/discourse entries, require surrounding context.</x:v>
      </x:c>
      <x:c r="Q917" s="13" t="str">
        <x:v>Do not label merely because topic is controversial, emotional, or wrong. Do not judge intent or personality. Require textual evidence and consider healthy-reasoning cues.</x:v>
      </x:c>
      <x:c r="R917" s="13" t="str">
        <x:v>Stub: A claim relies on evidence is transferred beyond its valid domain to support a conclusion without adequate qualification.</x:v>
      </x:c>
      <x:c r="S917" s="13" t="str">
        <x:v>Stub: A claim discusses linear projection fallacy with caveats, balanced evidence, or no argumentative use of the pattern.</x:v>
      </x:c>
      <x:c r="T917" s="13" t="str">
        <x:v>Mild or ambiguous cue; do not classify without clear evidence span.</x:v>
      </x:c>
      <x:c r="U917" s="13" t="str">
        <x:v>Clear claim-level pattern with some argumentative impact.</x:v>
      </x:c>
      <x:c r="V917" s="13" t="str">
        <x:v>Strong pattern central to the conclusion and likely to materially distort reasoning.</x:v>
      </x:c>
      <x:c r="W917" s="13" t="str">
        <x:v>uncertainty_acknowledgement; confidence_calibration; scope_limitation</x:v>
      </x:c>
      <x:c r="X917" s="13" t="str">
        <x:v>stanovich_dual_process</x:v>
      </x:c>
      <x:c r="Y917" s="13" t="str">
        <x:v>https://global.oup.com/academic/product/rationality-and-the-reflective-mind-9780195341140</x:v>
      </x:c>
      <x:c r="Z917" s="13" t="str">
        <x:v>Review before enabling. This workbook is a living taxonomy scaffold, not a validated scientific benchmark.</x:v>
      </x:c>
      <x:c r="AA917" s="13" t="str">
        <x:v>0.1.0-draft</x:v>
      </x:c>
      <x:c r="AB917" s="12" t="str">
        <x:f>IF(ISNUMBER(SEARCH("healthy",F917)),"healthy_reasoning_patterns",IF(ISNUMBER(SEARCH("statistical",F917)),"statistical_reasoning",IF(ISNUMBER(SEARCH("causal",F917)),"causal_reasoning",IF(ISNUMBER(SEARCH("social",F917)),"social_influence",IF(ISNUMBER(SEARCH("rhetoric",F917)),"rhetoric_discourse",IF(ISNUMBER(SEARCH("behavior",F917)),"behavioural_economics",IF(ISNUMBER(SEARCH("cognitive",F917)),"cognitive_biases",IF(J917="protective_pattern","healthy_reasoning_patterns",IF(L917="P0","core_mvp","extended_fallacies")))))))))</x:f>
        <x:v>extended_fallacies</x:v>
      </x:c>
      <x:c r="AC917" s="12" t="str">
        <x:f>IF(ISNUMBER(SEARCH("operational",J917)),"operational",IF(ISNUMBER(SEARCH("deprecated",J917)),"deprecated",IF(L917="P0","canonical","recognized_subtype")))</x:f>
        <x:v>operational</x:v>
      </x:c>
      <x:c r="AD917" s="12" t="str">
        <x:f>IF(AC917="canonical","high",IF(AC917="recognized_subtype","medium",IF(AC917="operational","operational_only","debated")))</x:f>
        <x:v>operational_only</x:v>
      </x:c>
      <x:c r="AE917" s="12" t="str">
        <x:f>IF(AC917="deprecated","deprecated",IF(M917="yes","active",IF(M917="review","review_required","backlog")))</x:f>
        <x:v>backlog</x:v>
      </x:c>
      <x:c r="AF917" s="12" t="str">
        <x:f>IF(OR(AE917="active",AE917="review_required"),"yes","no")</x:f>
        <x:v>no</x:v>
      </x:c>
      <x:c r="AG917" s="12" t="str">
        <x:f>IF(AND(AE917="active",M917="yes",NOT(ISNUMBER(SEARCH("healthy",AB917)))),"yes","no")</x:f>
        <x:v>no</x:v>
      </x:c>
      <x:c r="AH917" s="12" t="str">
        <x:f>IF(OR(H917="contextual",H917="dialogue",H917="discourse",I917="claim+context",I917="discourse_segment"),"yes","no")</x:f>
        <x:v>yes</x:v>
      </x:c>
      <x:c r="AI917" s="12" t="str">
        <x:f>IF(OR(AH917="yes",AD917="debated",AC917="operational"),"yes","no")</x:f>
        <x:v>yes</x:v>
      </x:c>
      <x:c r="AJ917" s="12" t="str">
        <x:f>IF(OR(AH917="yes",AC917="operational",AD917="debated"),"high",IF(AND(AG917="yes",L917="P0"),"medium","low"))</x:f>
        <x:v>high</x:v>
      </x:c>
      <x:c r="AK917" s="12" t="str">
        <x:f>IF(ISNUMBER(SEARCH("healthy",AB917)),"yes","no")</x:f>
        <x:v>no</x:v>
      </x:c>
      <x:c r="AL917" s="12" t="str">
        <x:f>IF(AG917="yes","yes","candidate_only")</x:f>
        <x:v>candidate_only</x:v>
      </x:c>
      <x:c r="AM917" s="12" t="str">
        <x:f>IF(OR(AC917="canonical",AG917="yes"),"yes","recommended")</x:f>
        <x:v>recommended</x:v>
      </x:c>
      <x:c r="AN917" s="12" t="str">
        <x:f>IF(AC917="deprecated","exclude",IF(AND(AG917="yes",AJ917="high"),"import_but_human_review_required",IF(AG917="yes","import_as_active","import_as_backlog")))</x:f>
        <x:v>import_as_backlog</x:v>
      </x:c>
      <x:c r="AO917" s="12" t="str">
        <x:f>IF(AND(AG917="yes",OR(P917="",Q917="",R917="",S917="")),"missing_required_mvp_fields",IF(AND(AC917="canonical",Y917=""),"missing_source_ref","ok"))</x:f>
        <x:v>ok</x:v>
      </x:c>
      <x:c r="AP917" s="12" t="str">
        <x:f>IF(AO917="ok","ready_for_codex_import","needs_review")</x:f>
        <x:v>ready_for_codex_import</x:v>
      </x:c>
      <x:c r="AQ917" s="12"/>
      <x:c r="AR917" s="12" t="str">
        <x:v>Added v2 operational fields. Review before classification activation.</x:v>
      </x:c>
    </x:row>
    <x:row r="918">
      <x:c r="A918" s="13" t="str">
        <x:v>scenario_neglect_scope_transfer_variant</x:v>
      </x:c>
      <x:c r="B918" s="13" t="str">
        <x:v>scenario_neglect</x:v>
      </x:c>
      <x:c r="C918" s="13" t="str">
        <x:v>Scenario neglect</x:v>
      </x:c>
      <x:c r="D918" s="13" t="str">
        <x:v>نادیده‌گرفتن سناریوهای بدیل</x:v>
      </x:c>
      <x:c r="E918" s="13" t="str">
        <x:v>Scope-transfer variant</x:v>
      </x:c>
      <x:c r="F918" s="13" t="str">
        <x:v>uncertainty_calibration_failures</x:v>
      </x:c>
      <x:c r="G918" s="13" t="str">
        <x:v>operational_variant</x:v>
      </x:c>
      <x:c r="H918" s="13" t="str">
        <x:v>contextual</x:v>
      </x:c>
      <x:c r="I918" s="13" t="str">
        <x:v>claim+context</x:v>
      </x:c>
      <x:c r="J918" s="13" t="str">
        <x:v>derived_operational_subtype</x:v>
      </x:c>
      <x:c r="K918" s="13" t="str">
        <x:v>derived_from_established_parent_review_required</x:v>
      </x:c>
      <x:c r="L918" s="13" t="str">
        <x:v>P3</x:v>
      </x:c>
      <x:c r="M918" s="13" t="str">
        <x:v>no</x:v>
      </x:c>
      <x:c r="N918" s="13" t="str">
        <x:v>Operational subtype under Scenario neglect: evidence is transferred beyond its valid domain. Parent definition: Failing to consider plausible alternative futures.</x:v>
      </x:c>
      <x:c r="O918" s="13" t="str">
        <x:v>Look for: explicit claim-level evidence; parent-family cues for Scenario neglect; variant cue: evidence is transferred beyond its valid domain; avoid author-level inference.</x:v>
      </x:c>
      <x:c r="P918" s="13" t="str">
        <x:v>Exact evidence span in text plus claim-level reasoning link; for contextual/discourse entries, require surrounding context.</x:v>
      </x:c>
      <x:c r="Q918" s="13" t="str">
        <x:v>Do not label merely because topic is controversial, emotional, or wrong. Do not judge intent or personality. Require textual evidence and consider healthy-reasoning cues.</x:v>
      </x:c>
      <x:c r="R918" s="13" t="str">
        <x:v>Stub: A claim relies on evidence is transferred beyond its valid domain to support a conclusion without adequate qualification.</x:v>
      </x:c>
      <x:c r="S918" s="13" t="str">
        <x:v>Stub: A claim discusses scenario neglect with caveats, balanced evidence, or no argumentative use of the pattern.</x:v>
      </x:c>
      <x:c r="T918" s="13" t="str">
        <x:v>Mild or ambiguous cue; do not classify without clear evidence span.</x:v>
      </x:c>
      <x:c r="U918" s="13" t="str">
        <x:v>Clear claim-level pattern with some argumentative impact.</x:v>
      </x:c>
      <x:c r="V918" s="13" t="str">
        <x:v>Strong pattern central to the conclusion and likely to materially distort reasoning.</x:v>
      </x:c>
      <x:c r="W918" s="13" t="str">
        <x:v>uncertainty_acknowledgement; confidence_calibration; scope_limitation</x:v>
      </x:c>
      <x:c r="X918" s="13" t="str">
        <x:v>stanovich_dual_process</x:v>
      </x:c>
      <x:c r="Y918" s="13" t="str">
        <x:v>https://global.oup.com/academic/product/rationality-and-the-reflective-mind-9780195341140</x:v>
      </x:c>
      <x:c r="Z918" s="13" t="str">
        <x:v>Review before enabling. This workbook is a living taxonomy scaffold, not a validated scientific benchmark.</x:v>
      </x:c>
      <x:c r="AA918" s="13" t="str">
        <x:v>0.1.0-draft</x:v>
      </x:c>
      <x:c r="AB918" s="12" t="str">
        <x:f>IF(ISNUMBER(SEARCH("healthy",F918)),"healthy_reasoning_patterns",IF(ISNUMBER(SEARCH("statistical",F918)),"statistical_reasoning",IF(ISNUMBER(SEARCH("causal",F918)),"causal_reasoning",IF(ISNUMBER(SEARCH("social",F918)),"social_influence",IF(ISNUMBER(SEARCH("rhetoric",F918)),"rhetoric_discourse",IF(ISNUMBER(SEARCH("behavior",F918)),"behavioural_economics",IF(ISNUMBER(SEARCH("cognitive",F918)),"cognitive_biases",IF(J918="protective_pattern","healthy_reasoning_patterns",IF(L918="P0","core_mvp","extended_fallacies")))))))))</x:f>
        <x:v>extended_fallacies</x:v>
      </x:c>
      <x:c r="AC918" s="12" t="str">
        <x:f>IF(ISNUMBER(SEARCH("operational",J918)),"operational",IF(ISNUMBER(SEARCH("deprecated",J918)),"deprecated",IF(L918="P0","canonical","recognized_subtype")))</x:f>
        <x:v>operational</x:v>
      </x:c>
      <x:c r="AD918" s="12" t="str">
        <x:f>IF(AC918="canonical","high",IF(AC918="recognized_subtype","medium",IF(AC918="operational","operational_only","debated")))</x:f>
        <x:v>operational_only</x:v>
      </x:c>
      <x:c r="AE918" s="12" t="str">
        <x:f>IF(AC918="deprecated","deprecated",IF(M918="yes","active",IF(M918="review","review_required","backlog")))</x:f>
        <x:v>backlog</x:v>
      </x:c>
      <x:c r="AF918" s="12" t="str">
        <x:f>IF(OR(AE918="active",AE918="review_required"),"yes","no")</x:f>
        <x:v>no</x:v>
      </x:c>
      <x:c r="AG918" s="12" t="str">
        <x:f>IF(AND(AE918="active",M918="yes",NOT(ISNUMBER(SEARCH("healthy",AB918)))),"yes","no")</x:f>
        <x:v>no</x:v>
      </x:c>
      <x:c r="AH918" s="12" t="str">
        <x:f>IF(OR(H918="contextual",H918="dialogue",H918="discourse",I918="claim+context",I918="discourse_segment"),"yes","no")</x:f>
        <x:v>yes</x:v>
      </x:c>
      <x:c r="AI918" s="12" t="str">
        <x:f>IF(OR(AH918="yes",AD918="debated",AC918="operational"),"yes","no")</x:f>
        <x:v>yes</x:v>
      </x:c>
      <x:c r="AJ918" s="12" t="str">
        <x:f>IF(OR(AH918="yes",AC918="operational",AD918="debated"),"high",IF(AND(AG918="yes",L918="P0"),"medium","low"))</x:f>
        <x:v>high</x:v>
      </x:c>
      <x:c r="AK918" s="12" t="str">
        <x:f>IF(ISNUMBER(SEARCH("healthy",AB918)),"yes","no")</x:f>
        <x:v>no</x:v>
      </x:c>
      <x:c r="AL918" s="12" t="str">
        <x:f>IF(AG918="yes","yes","candidate_only")</x:f>
        <x:v>candidate_only</x:v>
      </x:c>
      <x:c r="AM918" s="12" t="str">
        <x:f>IF(OR(AC918="canonical",AG918="yes"),"yes","recommended")</x:f>
        <x:v>recommended</x:v>
      </x:c>
      <x:c r="AN918" s="12" t="str">
        <x:f>IF(AC918="deprecated","exclude",IF(AND(AG918="yes",AJ918="high"),"import_but_human_review_required",IF(AG918="yes","import_as_active","import_as_backlog")))</x:f>
        <x:v>import_as_backlog</x:v>
      </x:c>
      <x:c r="AO918" s="12" t="str">
        <x:f>IF(AND(AG918="yes",OR(P918="",Q918="",R918="",S918="")),"missing_required_mvp_fields",IF(AND(AC918="canonical",Y918=""),"missing_source_ref","ok"))</x:f>
        <x:v>ok</x:v>
      </x:c>
      <x:c r="AP918" s="12" t="str">
        <x:f>IF(AO918="ok","ready_for_codex_import","needs_review")</x:f>
        <x:v>ready_for_codex_import</x:v>
      </x:c>
      <x:c r="AQ918" s="12"/>
      <x:c r="AR918" s="12" t="str">
        <x:v>Added v2 operational fields. Review before classification activation.</x:v>
      </x:c>
    </x:row>
    <x:row r="919">
      <x:c r="A919" s="13" t="str">
        <x:v>alternative_explanation_neglect_scope_transfer_variant</x:v>
      </x:c>
      <x:c r="B919" s="13" t="str">
        <x:v>alternative_explanation_neglect</x:v>
      </x:c>
      <x:c r="C919" s="13" t="str">
        <x:v>Alternative explanation neglect</x:v>
      </x:c>
      <x:c r="D919" s="13" t="str">
        <x:v>نادیده گرفتن توضیح بدیل</x:v>
      </x:c>
      <x:c r="E919" s="13" t="str">
        <x:v>Scope-transfer variant</x:v>
      </x:c>
      <x:c r="F919" s="13" t="str">
        <x:v>uncertainty_calibration_failures</x:v>
      </x:c>
      <x:c r="G919" s="13" t="str">
        <x:v>operational_variant</x:v>
      </x:c>
      <x:c r="H919" s="13" t="str">
        <x:v>contextual</x:v>
      </x:c>
      <x:c r="I919" s="13" t="str">
        <x:v>claim+context</x:v>
      </x:c>
      <x:c r="J919" s="13" t="str">
        <x:v>derived_operational_subtype</x:v>
      </x:c>
      <x:c r="K919" s="13" t="str">
        <x:v>derived_from_established_parent_review_required</x:v>
      </x:c>
      <x:c r="L919" s="13" t="str">
        <x:v>P3</x:v>
      </x:c>
      <x:c r="M919" s="13" t="str">
        <x:v>no</x:v>
      </x:c>
      <x:c r="N919" s="13" t="str">
        <x:v>Operational subtype under Alternative explanation neglect: evidence is transferred beyond its valid domain. Parent definition: Ignoring plausible alternative explanations for observed evidence.</x:v>
      </x:c>
      <x:c r="O919" s="13" t="str">
        <x:v>Look for: explicit claim-level evidence; parent-family cues for Alternative explanation neglect; variant cue: evidence is transferred beyond its valid domain; avoid author-level inference.</x:v>
      </x:c>
      <x:c r="P919" s="13" t="str">
        <x:v>Exact evidence span in text plus claim-level reasoning link; for contextual/discourse entries, require surrounding context.</x:v>
      </x:c>
      <x:c r="Q919" s="13" t="str">
        <x:v>Do not label merely because topic is controversial, emotional, or wrong. Do not judge intent or personality. Require textual evidence and consider healthy-reasoning cues.</x:v>
      </x:c>
      <x:c r="R919" s="13" t="str">
        <x:v>Stub: A claim relies on evidence is transferred beyond its valid domain to support a conclusion without adequate qualification.</x:v>
      </x:c>
      <x:c r="S919" s="13" t="str">
        <x:v>Stub: A claim discusses alternative explanation neglect with caveats, balanced evidence, or no argumentative use of the pattern.</x:v>
      </x:c>
      <x:c r="T919" s="13" t="str">
        <x:v>Mild or ambiguous cue; do not classify without clear evidence span.</x:v>
      </x:c>
      <x:c r="U919" s="13" t="str">
        <x:v>Clear claim-level pattern with some argumentative impact.</x:v>
      </x:c>
      <x:c r="V919" s="13" t="str">
        <x:v>Strong pattern central to the conclusion and likely to materially distort reasoning.</x:v>
      </x:c>
      <x:c r="W919" s="13" t="str">
        <x:v>cherry_picking; missing_counterevidence; evidence_grading</x:v>
      </x:c>
      <x:c r="X919" s="13" t="str">
        <x:v>toulmin_uses_argument</x:v>
      </x:c>
      <x:c r="Y919" s="13" t="str">
        <x:v>https://doi.org/10.1017/CBO9780511840005</x:v>
      </x:c>
      <x:c r="Z919" s="13" t="str">
        <x:v>Review before enabling. This workbook is a living taxonomy scaffold, not a validated scientific benchmark.</x:v>
      </x:c>
      <x:c r="AA919" s="13" t="str">
        <x:v>0.1.0-draft</x:v>
      </x:c>
      <x:c r="AB919" s="12" t="str">
        <x:f>IF(ISNUMBER(SEARCH("healthy",F919)),"healthy_reasoning_patterns",IF(ISNUMBER(SEARCH("statistical",F919)),"statistical_reasoning",IF(ISNUMBER(SEARCH("causal",F919)),"causal_reasoning",IF(ISNUMBER(SEARCH("social",F919)),"social_influence",IF(ISNUMBER(SEARCH("rhetoric",F919)),"rhetoric_discourse",IF(ISNUMBER(SEARCH("behavior",F919)),"behavioural_economics",IF(ISNUMBER(SEARCH("cognitive",F919)),"cognitive_biases",IF(J919="protective_pattern","healthy_reasoning_patterns",IF(L919="P0","core_mvp","extended_fallacies")))))))))</x:f>
        <x:v>extended_fallacies</x:v>
      </x:c>
      <x:c r="AC919" s="12" t="str">
        <x:f>IF(ISNUMBER(SEARCH("operational",J919)),"operational",IF(ISNUMBER(SEARCH("deprecated",J919)),"deprecated",IF(L919="P0","canonical","recognized_subtype")))</x:f>
        <x:v>operational</x:v>
      </x:c>
      <x:c r="AD919" s="12" t="str">
        <x:f>IF(AC919="canonical","high",IF(AC919="recognized_subtype","medium",IF(AC919="operational","operational_only","debated")))</x:f>
        <x:v>operational_only</x:v>
      </x:c>
      <x:c r="AE919" s="12" t="str">
        <x:f>IF(AC919="deprecated","deprecated",IF(M919="yes","active",IF(M919="review","review_required","backlog")))</x:f>
        <x:v>backlog</x:v>
      </x:c>
      <x:c r="AF919" s="12" t="str">
        <x:f>IF(OR(AE919="active",AE919="review_required"),"yes","no")</x:f>
        <x:v>no</x:v>
      </x:c>
      <x:c r="AG919" s="12" t="str">
        <x:f>IF(AND(AE919="active",M919="yes",NOT(ISNUMBER(SEARCH("healthy",AB919)))),"yes","no")</x:f>
        <x:v>no</x:v>
      </x:c>
      <x:c r="AH919" s="12" t="str">
        <x:f>IF(OR(H919="contextual",H919="dialogue",H919="discourse",I919="claim+context",I919="discourse_segment"),"yes","no")</x:f>
        <x:v>yes</x:v>
      </x:c>
      <x:c r="AI919" s="12" t="str">
        <x:f>IF(OR(AH919="yes",AD919="debated",AC919="operational"),"yes","no")</x:f>
        <x:v>yes</x:v>
      </x:c>
      <x:c r="AJ919" s="12" t="str">
        <x:f>IF(OR(AH919="yes",AC919="operational",AD919="debated"),"high",IF(AND(AG919="yes",L919="P0"),"medium","low"))</x:f>
        <x:v>high</x:v>
      </x:c>
      <x:c r="AK919" s="12" t="str">
        <x:f>IF(ISNUMBER(SEARCH("healthy",AB919)),"yes","no")</x:f>
        <x:v>no</x:v>
      </x:c>
      <x:c r="AL919" s="12" t="str">
        <x:f>IF(AG919="yes","yes","candidate_only")</x:f>
        <x:v>candidate_only</x:v>
      </x:c>
      <x:c r="AM919" s="12" t="str">
        <x:f>IF(OR(AC919="canonical",AG919="yes"),"yes","recommended")</x:f>
        <x:v>recommended</x:v>
      </x:c>
      <x:c r="AN919" s="12" t="str">
        <x:f>IF(AC919="deprecated","exclude",IF(AND(AG919="yes",AJ919="high"),"import_but_human_review_required",IF(AG919="yes","import_as_active","import_as_backlog")))</x:f>
        <x:v>import_as_backlog</x:v>
      </x:c>
      <x:c r="AO919" s="12" t="str">
        <x:f>IF(AND(AG919="yes",OR(P919="",Q919="",R919="",S919="")),"missing_required_mvp_fields",IF(AND(AC919="canonical",Y919=""),"missing_source_ref","ok"))</x:f>
        <x:v>ok</x:v>
      </x:c>
      <x:c r="AP919" s="12" t="str">
        <x:f>IF(AO919="ok","ready_for_codex_import","needs_review")</x:f>
        <x:v>ready_for_codex_import</x:v>
      </x:c>
      <x:c r="AQ919" s="12"/>
      <x:c r="AR919" s="12" t="str">
        <x:v>Added v2 operational fields. Review before classification activation.</x:v>
      </x:c>
    </x:row>
    <x:row r="920">
      <x:c r="A920" s="13" t="str">
        <x:v>model_overfit_claim_scope_transfer_variant</x:v>
      </x:c>
      <x:c r="B920" s="13" t="str">
        <x:v>model_overfit_claim</x:v>
      </x:c>
      <x:c r="C920" s="13" t="str">
        <x:v>Model overfit claim</x:v>
      </x:c>
      <x:c r="D920" s="13" t="str">
        <x:v>ادعای مدل بیش‌برازش‌یافته</x:v>
      </x:c>
      <x:c r="E920" s="13" t="str">
        <x:v>Scope-transfer variant</x:v>
      </x:c>
      <x:c r="F920" s="13" t="str">
        <x:v>uncertainty_calibration_failures</x:v>
      </x:c>
      <x:c r="G920" s="13" t="str">
        <x:v>operational_variant</x:v>
      </x:c>
      <x:c r="H920" s="13" t="str">
        <x:v>contextual</x:v>
      </x:c>
      <x:c r="I920" s="13" t="str">
        <x:v>claim+context</x:v>
      </x:c>
      <x:c r="J920" s="13" t="str">
        <x:v>derived_operational_subtype</x:v>
      </x:c>
      <x:c r="K920" s="13" t="str">
        <x:v>derived_from_established_parent_review_required</x:v>
      </x:c>
      <x:c r="L920" s="13" t="str">
        <x:v>P3</x:v>
      </x:c>
      <x:c r="M920" s="13" t="str">
        <x:v>no</x:v>
      </x:c>
      <x:c r="N920" s="13" t="str">
        <x:v>Operational subtype under Model overfit claim: evidence is transferred beyond its valid domain. Parent definition: Treating model fit as reliable prediction without validation.</x:v>
      </x:c>
      <x:c r="O920" s="13" t="str">
        <x:v>Look for: explicit claim-level evidence; parent-family cues for Model overfit claim; variant cue: evidence is transferred beyond its valid domain; avoid author-level inference.</x:v>
      </x:c>
      <x:c r="P920" s="13" t="str">
        <x:v>Exact evidence span in text plus claim-level reasoning link; for contextual/discourse entries, require surrounding context.</x:v>
      </x:c>
      <x:c r="Q920" s="13" t="str">
        <x:v>Do not label merely because topic is controversial, emotional, or wrong. Do not judge intent or personality. Require textual evidence and consider healthy-reasoning cues.</x:v>
      </x:c>
      <x:c r="R920" s="13" t="str">
        <x:v>Stub: A claim relies on evidence is transferred beyond its valid domain to support a conclusion without adequate qualification.</x:v>
      </x:c>
      <x:c r="S920" s="13" t="str">
        <x:v>Stub: A claim discusses model overfit claim with caveats, balanced evidence, or no argumentative use of the pattern.</x:v>
      </x:c>
      <x:c r="T920" s="13" t="str">
        <x:v>Mild or ambiguous cue; do not classify without clear evidence span.</x:v>
      </x:c>
      <x:c r="U920" s="13" t="str">
        <x:v>Clear claim-level pattern with some argumentative impact.</x:v>
      </x:c>
      <x:c r="V920" s="13" t="str">
        <x:v>Strong pattern central to the conclusion and likely to materially distort reasoning.</x:v>
      </x:c>
      <x:c r="W920" s="13" t="str">
        <x:v>uncertainty_acknowledgement; confidence_calibration; scope_limitation</x:v>
      </x:c>
      <x:c r="X920" s="13" t="str">
        <x:v>stanovich_dual_process</x:v>
      </x:c>
      <x:c r="Y920" s="13" t="str">
        <x:v>https://global.oup.com/academic/product/rationality-and-the-reflective-mind-9780195341140</x:v>
      </x:c>
      <x:c r="Z920" s="13" t="str">
        <x:v>Review before enabling. This workbook is a living taxonomy scaffold, not a validated scientific benchmark.</x:v>
      </x:c>
      <x:c r="AA920" s="13" t="str">
        <x:v>0.1.0-draft</x:v>
      </x:c>
      <x:c r="AB920" s="12" t="str">
        <x:f>IF(ISNUMBER(SEARCH("healthy",F920)),"healthy_reasoning_patterns",IF(ISNUMBER(SEARCH("statistical",F920)),"statistical_reasoning",IF(ISNUMBER(SEARCH("causal",F920)),"causal_reasoning",IF(ISNUMBER(SEARCH("social",F920)),"social_influence",IF(ISNUMBER(SEARCH("rhetoric",F920)),"rhetoric_discourse",IF(ISNUMBER(SEARCH("behavior",F920)),"behavioural_economics",IF(ISNUMBER(SEARCH("cognitive",F920)),"cognitive_biases",IF(J920="protective_pattern","healthy_reasoning_patterns",IF(L920="P0","core_mvp","extended_fallacies")))))))))</x:f>
        <x:v>extended_fallacies</x:v>
      </x:c>
      <x:c r="AC920" s="12" t="str">
        <x:f>IF(ISNUMBER(SEARCH("operational",J920)),"operational",IF(ISNUMBER(SEARCH("deprecated",J920)),"deprecated",IF(L920="P0","canonical","recognized_subtype")))</x:f>
        <x:v>operational</x:v>
      </x:c>
      <x:c r="AD920" s="12" t="str">
        <x:f>IF(AC920="canonical","high",IF(AC920="recognized_subtype","medium",IF(AC920="operational","operational_only","debated")))</x:f>
        <x:v>operational_only</x:v>
      </x:c>
      <x:c r="AE920" s="12" t="str">
        <x:f>IF(AC920="deprecated","deprecated",IF(M920="yes","active",IF(M920="review","review_required","backlog")))</x:f>
        <x:v>backlog</x:v>
      </x:c>
      <x:c r="AF920" s="12" t="str">
        <x:f>IF(OR(AE920="active",AE920="review_required"),"yes","no")</x:f>
        <x:v>no</x:v>
      </x:c>
      <x:c r="AG920" s="12" t="str">
        <x:f>IF(AND(AE920="active",M920="yes",NOT(ISNUMBER(SEARCH("healthy",AB920)))),"yes","no")</x:f>
        <x:v>no</x:v>
      </x:c>
      <x:c r="AH920" s="12" t="str">
        <x:f>IF(OR(H920="contextual",H920="dialogue",H920="discourse",I920="claim+context",I920="discourse_segment"),"yes","no")</x:f>
        <x:v>yes</x:v>
      </x:c>
      <x:c r="AI920" s="12" t="str">
        <x:f>IF(OR(AH920="yes",AD920="debated",AC920="operational"),"yes","no")</x:f>
        <x:v>yes</x:v>
      </x:c>
      <x:c r="AJ920" s="12" t="str">
        <x:f>IF(OR(AH920="yes",AC920="operational",AD920="debated"),"high",IF(AND(AG920="yes",L920="P0"),"medium","low"))</x:f>
        <x:v>high</x:v>
      </x:c>
      <x:c r="AK920" s="12" t="str">
        <x:f>IF(ISNUMBER(SEARCH("healthy",AB920)),"yes","no")</x:f>
        <x:v>no</x:v>
      </x:c>
      <x:c r="AL920" s="12" t="str">
        <x:f>IF(AG920="yes","yes","candidate_only")</x:f>
        <x:v>candidate_only</x:v>
      </x:c>
      <x:c r="AM920" s="12" t="str">
        <x:f>IF(OR(AC920="canonical",AG920="yes"),"yes","recommended")</x:f>
        <x:v>recommended</x:v>
      </x:c>
      <x:c r="AN920" s="12" t="str">
        <x:f>IF(AC920="deprecated","exclude",IF(AND(AG920="yes",AJ920="high"),"import_but_human_review_required",IF(AG920="yes","import_as_active","import_as_backlog")))</x:f>
        <x:v>import_as_backlog</x:v>
      </x:c>
      <x:c r="AO920" s="12" t="str">
        <x:f>IF(AND(AG920="yes",OR(P920="",Q920="",R920="",S920="")),"missing_required_mvp_fields",IF(AND(AC920="canonical",Y920=""),"missing_source_ref","ok"))</x:f>
        <x:v>ok</x:v>
      </x:c>
      <x:c r="AP920" s="12" t="str">
        <x:f>IF(AO920="ok","ready_for_codex_import","needs_review")</x:f>
        <x:v>ready_for_codex_import</x:v>
      </x:c>
      <x:c r="AQ920" s="12"/>
      <x:c r="AR920" s="12" t="str">
        <x:v>Added v2 operational fields. Review before classification activation.</x:v>
      </x:c>
    </x:row>
    <x:row r="921">
      <x:c r="A921" s="13" t="str">
        <x:v>domain_transfer_overreach_scope_transfer_variant</x:v>
      </x:c>
      <x:c r="B921" s="13" t="str">
        <x:v>domain_transfer_overreach</x:v>
      </x:c>
      <x:c r="C921" s="13" t="str">
        <x:v>Domain transfer overreach</x:v>
      </x:c>
      <x:c r="D921" s="13" t="str">
        <x:v>تعمیم بین‌حوزه‌ای افراطی</x:v>
      </x:c>
      <x:c r="E921" s="13" t="str">
        <x:v>Scope-transfer variant</x:v>
      </x:c>
      <x:c r="F921" s="13" t="str">
        <x:v>uncertainty_calibration_failures</x:v>
      </x:c>
      <x:c r="G921" s="13" t="str">
        <x:v>operational_variant</x:v>
      </x:c>
      <x:c r="H921" s="13" t="str">
        <x:v>contextual</x:v>
      </x:c>
      <x:c r="I921" s="13" t="str">
        <x:v>claim+context</x:v>
      </x:c>
      <x:c r="J921" s="13" t="str">
        <x:v>derived_operational_subtype</x:v>
      </x:c>
      <x:c r="K921" s="13" t="str">
        <x:v>derived_from_established_parent_review_required</x:v>
      </x:c>
      <x:c r="L921" s="13" t="str">
        <x:v>P3</x:v>
      </x:c>
      <x:c r="M921" s="13" t="str">
        <x:v>no</x:v>
      </x:c>
      <x:c r="N921" s="13" t="str">
        <x:v>Operational subtype under Domain transfer overreach: evidence is transferred beyond its valid domain. Parent definition: Applying evidence from one domain to another without justification.</x:v>
      </x:c>
      <x:c r="O921" s="13" t="str">
        <x:v>Look for: explicit claim-level evidence; parent-family cues for Domain transfer overreach; variant cue: evidence is transferred beyond its valid domain; avoid author-level inference.</x:v>
      </x:c>
      <x:c r="P921" s="13" t="str">
        <x:v>Exact evidence span in text plus claim-level reasoning link; for contextual/discourse entries, require surrounding context.</x:v>
      </x:c>
      <x:c r="Q921" s="13" t="str">
        <x:v>Do not label merely because topic is controversial, emotional, or wrong. Do not judge intent or personality. Require textual evidence and consider healthy-reasoning cues.</x:v>
      </x:c>
      <x:c r="R921" s="13" t="str">
        <x:v>Stub: A claim relies on evidence is transferred beyond its valid domain to support a conclusion without adequate qualification.</x:v>
      </x:c>
      <x:c r="S921" s="13" t="str">
        <x:v>Stub: A claim discusses domain transfer overreach with caveats, balanced evidence, or no argumentative use of the pattern.</x:v>
      </x:c>
      <x:c r="T921" s="13" t="str">
        <x:v>Mild or ambiguous cue; do not classify without clear evidence span.</x:v>
      </x:c>
      <x:c r="U921" s="13" t="str">
        <x:v>Clear claim-level pattern with some argumentative impact.</x:v>
      </x:c>
      <x:c r="V921" s="13" t="str">
        <x:v>Strong pattern central to the conclusion and likely to materially distort reasoning.</x:v>
      </x:c>
      <x:c r="W921" s="13" t="str">
        <x:v>cherry_picking; missing_counterevidence; evidence_grading</x:v>
      </x:c>
      <x:c r="X921" s="13" t="str">
        <x:v>toulmin_uses_argument</x:v>
      </x:c>
      <x:c r="Y921" s="13" t="str">
        <x:v>https://doi.org/10.1017/CBO9780511840005</x:v>
      </x:c>
      <x:c r="Z921" s="13" t="str">
        <x:v>Review before enabling. This workbook is a living taxonomy scaffold, not a validated scientific benchmark.</x:v>
      </x:c>
      <x:c r="AA921" s="13" t="str">
        <x:v>0.1.0-draft</x:v>
      </x:c>
      <x:c r="AB921" s="12" t="str">
        <x:f>IF(ISNUMBER(SEARCH("healthy",F921)),"healthy_reasoning_patterns",IF(ISNUMBER(SEARCH("statistical",F921)),"statistical_reasoning",IF(ISNUMBER(SEARCH("causal",F921)),"causal_reasoning",IF(ISNUMBER(SEARCH("social",F921)),"social_influence",IF(ISNUMBER(SEARCH("rhetoric",F921)),"rhetoric_discourse",IF(ISNUMBER(SEARCH("behavior",F921)),"behavioural_economics",IF(ISNUMBER(SEARCH("cognitive",F921)),"cognitive_biases",IF(J921="protective_pattern","healthy_reasoning_patterns",IF(L921="P0","core_mvp","extended_fallacies")))))))))</x:f>
        <x:v>extended_fallacies</x:v>
      </x:c>
      <x:c r="AC921" s="12" t="str">
        <x:f>IF(ISNUMBER(SEARCH("operational",J921)),"operational",IF(ISNUMBER(SEARCH("deprecated",J921)),"deprecated",IF(L921="P0","canonical","recognized_subtype")))</x:f>
        <x:v>operational</x:v>
      </x:c>
      <x:c r="AD921" s="12" t="str">
        <x:f>IF(AC921="canonical","high",IF(AC921="recognized_subtype","medium",IF(AC921="operational","operational_only","debated")))</x:f>
        <x:v>operational_only</x:v>
      </x:c>
      <x:c r="AE921" s="12" t="str">
        <x:f>IF(AC921="deprecated","deprecated",IF(M921="yes","active",IF(M921="review","review_required","backlog")))</x:f>
        <x:v>backlog</x:v>
      </x:c>
      <x:c r="AF921" s="12" t="str">
        <x:f>IF(OR(AE921="active",AE921="review_required"),"yes","no")</x:f>
        <x:v>no</x:v>
      </x:c>
      <x:c r="AG921" s="12" t="str">
        <x:f>IF(AND(AE921="active",M921="yes",NOT(ISNUMBER(SEARCH("healthy",AB921)))),"yes","no")</x:f>
        <x:v>no</x:v>
      </x:c>
      <x:c r="AH921" s="12" t="str">
        <x:f>IF(OR(H921="contextual",H921="dialogue",H921="discourse",I921="claim+context",I921="discourse_segment"),"yes","no")</x:f>
        <x:v>yes</x:v>
      </x:c>
      <x:c r="AI921" s="12" t="str">
        <x:f>IF(OR(AH921="yes",AD921="debated",AC921="operational"),"yes","no")</x:f>
        <x:v>yes</x:v>
      </x:c>
      <x:c r="AJ921" s="12" t="str">
        <x:f>IF(OR(AH921="yes",AC921="operational",AD921="debated"),"high",IF(AND(AG921="yes",L921="P0"),"medium","low"))</x:f>
        <x:v>high</x:v>
      </x:c>
      <x:c r="AK921" s="12" t="str">
        <x:f>IF(ISNUMBER(SEARCH("healthy",AB921)),"yes","no")</x:f>
        <x:v>no</x:v>
      </x:c>
      <x:c r="AL921" s="12" t="str">
        <x:f>IF(AG921="yes","yes","candidate_only")</x:f>
        <x:v>candidate_only</x:v>
      </x:c>
      <x:c r="AM921" s="12" t="str">
        <x:f>IF(OR(AC921="canonical",AG921="yes"),"yes","recommended")</x:f>
        <x:v>recommended</x:v>
      </x:c>
      <x:c r="AN921" s="12" t="str">
        <x:f>IF(AC921="deprecated","exclude",IF(AND(AG921="yes",AJ921="high"),"import_but_human_review_required",IF(AG921="yes","import_as_active","import_as_backlog")))</x:f>
        <x:v>import_as_backlog</x:v>
      </x:c>
      <x:c r="AO921" s="12" t="str">
        <x:f>IF(AND(AG921="yes",OR(P921="",Q921="",R921="",S921="")),"missing_required_mvp_fields",IF(AND(AC921="canonical",Y921=""),"missing_source_ref","ok"))</x:f>
        <x:v>ok</x:v>
      </x:c>
      <x:c r="AP921" s="12" t="str">
        <x:f>IF(AO921="ok","ready_for_codex_import","needs_review")</x:f>
        <x:v>ready_for_codex_import</x:v>
      </x:c>
      <x:c r="AQ921" s="12"/>
      <x:c r="AR921" s="12" t="str">
        <x:v>Added v2 operational fields. Review before classification activation.</x:v>
      </x:c>
    </x:row>
    <x:row r="922">
      <x:c r="A922" s="13" t="str">
        <x:v>unqualified_universal_claim_scope_transfer_variant</x:v>
      </x:c>
      <x:c r="B922" s="13" t="str">
        <x:v>unqualified_universal_claim</x:v>
      </x:c>
      <x:c r="C922" s="13" t="str">
        <x:v>Unqualified universal claim</x:v>
      </x:c>
      <x:c r="D922" s="13" t="str">
        <x:v>ادعای کلی بدون قید</x:v>
      </x:c>
      <x:c r="E922" s="13" t="str">
        <x:v>Scope-transfer variant</x:v>
      </x:c>
      <x:c r="F922" s="13" t="str">
        <x:v>uncertainty_calibration_failures</x:v>
      </x:c>
      <x:c r="G922" s="13" t="str">
        <x:v>operational_variant</x:v>
      </x:c>
      <x:c r="H922" s="13" t="str">
        <x:v>lexical</x:v>
      </x:c>
      <x:c r="I922" s="13" t="str">
        <x:v>claim</x:v>
      </x:c>
      <x:c r="J922" s="13" t="str">
        <x:v>derived_operational_subtype</x:v>
      </x:c>
      <x:c r="K922" s="13" t="str">
        <x:v>derived_from_established_parent_review_required</x:v>
      </x:c>
      <x:c r="L922" s="13" t="str">
        <x:v>P3</x:v>
      </x:c>
      <x:c r="M922" s="13" t="str">
        <x:v>no</x:v>
      </x:c>
      <x:c r="N922" s="13" t="str">
        <x:v>Operational subtype under Unqualified universal claim: evidence is transferred beyond its valid domain. Parent definition: Using always, never, all, or none without support.</x:v>
      </x:c>
      <x:c r="O922" s="13" t="str">
        <x:v>Look for: explicit claim-level evidence; parent-family cues for Unqualified universal claim; variant cue: evidence is transferred beyond its valid domain; avoid author-level inference.</x:v>
      </x:c>
      <x:c r="P922" s="13" t="str">
        <x:v>Exact evidence span in text plus claim-level reasoning link; for contextual/discourse entries, require surrounding context.</x:v>
      </x:c>
      <x:c r="Q922" s="13" t="str">
        <x:v>Do not label merely because topic is controversial, emotional, or wrong. Do not judge intent or personality. Require textual evidence and consider healthy-reasoning cues.</x:v>
      </x:c>
      <x:c r="R922" s="13" t="str">
        <x:v>Stub: A claim relies on evidence is transferred beyond its valid domain to support a conclusion without adequate qualification.</x:v>
      </x:c>
      <x:c r="S922" s="13" t="str">
        <x:v>Stub: A claim discusses unqualified universal claim with caveats, balanced evidence, or no argumentative use of the pattern.</x:v>
      </x:c>
      <x:c r="T922" s="13" t="str">
        <x:v>Mild or ambiguous cue; do not classify without clear evidence span.</x:v>
      </x:c>
      <x:c r="U922" s="13" t="str">
        <x:v>Clear claim-level pattern with some argumentative impact.</x:v>
      </x:c>
      <x:c r="V922" s="13" t="str">
        <x:v>Strong pattern central to the conclusion and likely to materially distort reasoning.</x:v>
      </x:c>
      <x:c r="W922" s="13" t="str">
        <x:v>uncertainty_acknowledgement; confidence_calibration; scope_limitation</x:v>
      </x:c>
      <x:c r="X922" s="13" t="str">
        <x:v>sep_informal_logic</x:v>
      </x:c>
      <x:c r="Y922" s="13" t="str">
        <x:v>https://plato.stanford.edu/entries/logic-informal/</x:v>
      </x:c>
      <x:c r="Z922" s="13" t="str">
        <x:v>Review before enabling. This workbook is a living taxonomy scaffold, not a validated scientific benchmark.</x:v>
      </x:c>
      <x:c r="AA922" s="13" t="str">
        <x:v>0.1.0-draft</x:v>
      </x:c>
      <x:c r="AB922" s="12" t="str">
        <x:f>IF(ISNUMBER(SEARCH("healthy",F922)),"healthy_reasoning_patterns",IF(ISNUMBER(SEARCH("statistical",F922)),"statistical_reasoning",IF(ISNUMBER(SEARCH("causal",F922)),"causal_reasoning",IF(ISNUMBER(SEARCH("social",F922)),"social_influence",IF(ISNUMBER(SEARCH("rhetoric",F922)),"rhetoric_discourse",IF(ISNUMBER(SEARCH("behavior",F922)),"behavioural_economics",IF(ISNUMBER(SEARCH("cognitive",F922)),"cognitive_biases",IF(J922="protective_pattern","healthy_reasoning_patterns",IF(L922="P0","core_mvp","extended_fallacies")))))))))</x:f>
        <x:v>extended_fallacies</x:v>
      </x:c>
      <x:c r="AC922" s="12" t="str">
        <x:f>IF(ISNUMBER(SEARCH("operational",J922)),"operational",IF(ISNUMBER(SEARCH("deprecated",J922)),"deprecated",IF(L922="P0","canonical","recognized_subtype")))</x:f>
        <x:v>operational</x:v>
      </x:c>
      <x:c r="AD922" s="12" t="str">
        <x:f>IF(AC922="canonical","high",IF(AC922="recognized_subtype","medium",IF(AC922="operational","operational_only","debated")))</x:f>
        <x:v>operational_only</x:v>
      </x:c>
      <x:c r="AE922" s="12" t="str">
        <x:f>IF(AC922="deprecated","deprecated",IF(M922="yes","active",IF(M922="review","review_required","backlog")))</x:f>
        <x:v>backlog</x:v>
      </x:c>
      <x:c r="AF922" s="12" t="str">
        <x:f>IF(OR(AE922="active",AE922="review_required"),"yes","no")</x:f>
        <x:v>no</x:v>
      </x:c>
      <x:c r="AG922" s="12" t="str">
        <x:f>IF(AND(AE922="active",M922="yes",NOT(ISNUMBER(SEARCH("healthy",AB922)))),"yes","no")</x:f>
        <x:v>no</x:v>
      </x:c>
      <x:c r="AH922" s="12" t="str">
        <x:f>IF(OR(H922="contextual",H922="dialogue",H922="discourse",I922="claim+context",I922="discourse_segment"),"yes","no")</x:f>
        <x:v>no</x:v>
      </x:c>
      <x:c r="AI922" s="12" t="str">
        <x:f>IF(OR(AH922="yes",AD922="debated",AC922="operational"),"yes","no")</x:f>
        <x:v>yes</x:v>
      </x:c>
      <x:c r="AJ922" s="12" t="str">
        <x:f>IF(OR(AH922="yes",AC922="operational",AD922="debated"),"high",IF(AND(AG922="yes",L922="P0"),"medium","low"))</x:f>
        <x:v>high</x:v>
      </x:c>
      <x:c r="AK922" s="12" t="str">
        <x:f>IF(ISNUMBER(SEARCH("healthy",AB922)),"yes","no")</x:f>
        <x:v>no</x:v>
      </x:c>
      <x:c r="AL922" s="12" t="str">
        <x:f>IF(AG922="yes","yes","candidate_only")</x:f>
        <x:v>candidate_only</x:v>
      </x:c>
      <x:c r="AM922" s="12" t="str">
        <x:f>IF(OR(AC922="canonical",AG922="yes"),"yes","recommended")</x:f>
        <x:v>recommended</x:v>
      </x:c>
      <x:c r="AN922" s="12" t="str">
        <x:f>IF(AC922="deprecated","exclude",IF(AND(AG922="yes",AJ922="high"),"import_but_human_review_required",IF(AG922="yes","import_as_active","import_as_backlog")))</x:f>
        <x:v>import_as_backlog</x:v>
      </x:c>
      <x:c r="AO922" s="12" t="str">
        <x:f>IF(AND(AG922="yes",OR(P922="",Q922="",R922="",S922="")),"missing_required_mvp_fields",IF(AND(AC922="canonical",Y922=""),"missing_source_ref","ok"))</x:f>
        <x:v>ok</x:v>
      </x:c>
      <x:c r="AP922" s="12" t="str">
        <x:f>IF(AO922="ok","ready_for_codex_import","needs_review")</x:f>
        <x:v>ready_for_codex_import</x:v>
      </x:c>
      <x:c r="AQ922" s="12"/>
      <x:c r="AR922" s="12" t="str">
        <x:v>Added v2 operational fields. Review before classification activation.</x:v>
      </x:c>
    </x:row>
    <x:row r="923">
      <x:c r="A923" s="13" t="str">
        <x:v>assumption_silence_scope_transfer_variant</x:v>
      </x:c>
      <x:c r="B923" s="13" t="str">
        <x:v>assumption_silence</x:v>
      </x:c>
      <x:c r="C923" s="13" t="str">
        <x:v>Silent assumptions</x:v>
      </x:c>
      <x:c r="D923" s="13" t="str">
        <x:v>فرض‌های ناگفته</x:v>
      </x:c>
      <x:c r="E923" s="13" t="str">
        <x:v>Scope-transfer variant</x:v>
      </x:c>
      <x:c r="F923" s="13" t="str">
        <x:v>uncertainty_calibration_failures</x:v>
      </x:c>
      <x:c r="G923" s="13" t="str">
        <x:v>operational_variant</x:v>
      </x:c>
      <x:c r="H923" s="13" t="str">
        <x:v>contextual</x:v>
      </x:c>
      <x:c r="I923" s="13" t="str">
        <x:v>claim+context</x:v>
      </x:c>
      <x:c r="J923" s="13" t="str">
        <x:v>derived_operational_subtype</x:v>
      </x:c>
      <x:c r="K923" s="13" t="str">
        <x:v>derived_from_established_parent_review_required</x:v>
      </x:c>
      <x:c r="L923" s="13" t="str">
        <x:v>P3</x:v>
      </x:c>
      <x:c r="M923" s="13" t="str">
        <x:v>no</x:v>
      </x:c>
      <x:c r="N923" s="13" t="str">
        <x:v>Operational subtype under Silent assumptions: evidence is transferred beyond its valid domain. Parent definition: Relying on unstated assumptions necessary for the conclusion.</x:v>
      </x:c>
      <x:c r="O923" s="13" t="str">
        <x:v>Look for: explicit claim-level evidence; parent-family cues for Silent assumptions; variant cue: evidence is transferred beyond its valid domain; avoid author-level inference.</x:v>
      </x:c>
      <x:c r="P923" s="13" t="str">
        <x:v>Exact evidence span in text plus claim-level reasoning link; for contextual/discourse entries, require surrounding context.</x:v>
      </x:c>
      <x:c r="Q923" s="13" t="str">
        <x:v>Do not label merely because topic is controversial, emotional, or wrong. Do not judge intent or personality. Require textual evidence and consider healthy-reasoning cues.</x:v>
      </x:c>
      <x:c r="R923" s="13" t="str">
        <x:v>Stub: A claim relies on evidence is transferred beyond its valid domain to support a conclusion without adequate qualification.</x:v>
      </x:c>
      <x:c r="S923" s="13" t="str">
        <x:v>Stub: A claim discusses silent assumptions with caveats, balanced evidence, or no argumentative use of the pattern.</x:v>
      </x:c>
      <x:c r="T923" s="13" t="str">
        <x:v>Mild or ambiguous cue; do not classify without clear evidence span.</x:v>
      </x:c>
      <x:c r="U923" s="13" t="str">
        <x:v>Clear claim-level pattern with some argumentative impact.</x:v>
      </x:c>
      <x:c r="V923" s="13" t="str">
        <x:v>Strong pattern central to the conclusion and likely to materially distort reasoning.</x:v>
      </x:c>
      <x:c r="W923" s="13" t="str">
        <x:v>uncertainty_acknowledgement; confidence_calibration; scope_limitation</x:v>
      </x:c>
      <x:c r="X923" s="13" t="str">
        <x:v>toulmin_uses_argument</x:v>
      </x:c>
      <x:c r="Y923" s="13" t="str">
        <x:v>https://doi.org/10.1017/CBO9780511840005</x:v>
      </x:c>
      <x:c r="Z923" s="13" t="str">
        <x:v>Review before enabling. This workbook is a living taxonomy scaffold, not a validated scientific benchmark.</x:v>
      </x:c>
      <x:c r="AA923" s="13" t="str">
        <x:v>0.1.0-draft</x:v>
      </x:c>
      <x:c r="AB923" s="12" t="str">
        <x:f>IF(ISNUMBER(SEARCH("healthy",F923)),"healthy_reasoning_patterns",IF(ISNUMBER(SEARCH("statistical",F923)),"statistical_reasoning",IF(ISNUMBER(SEARCH("causal",F923)),"causal_reasoning",IF(ISNUMBER(SEARCH("social",F923)),"social_influence",IF(ISNUMBER(SEARCH("rhetoric",F923)),"rhetoric_discourse",IF(ISNUMBER(SEARCH("behavior",F923)),"behavioural_economics",IF(ISNUMBER(SEARCH("cognitive",F923)),"cognitive_biases",IF(J923="protective_pattern","healthy_reasoning_patterns",IF(L923="P0","core_mvp","extended_fallacies")))))))))</x:f>
        <x:v>extended_fallacies</x:v>
      </x:c>
      <x:c r="AC923" s="12" t="str">
        <x:f>IF(ISNUMBER(SEARCH("operational",J923)),"operational",IF(ISNUMBER(SEARCH("deprecated",J923)),"deprecated",IF(L923="P0","canonical","recognized_subtype")))</x:f>
        <x:v>operational</x:v>
      </x:c>
      <x:c r="AD923" s="12" t="str">
        <x:f>IF(AC923="canonical","high",IF(AC923="recognized_subtype","medium",IF(AC923="operational","operational_only","debated")))</x:f>
        <x:v>operational_only</x:v>
      </x:c>
      <x:c r="AE923" s="12" t="str">
        <x:f>IF(AC923="deprecated","deprecated",IF(M923="yes","active",IF(M923="review","review_required","backlog")))</x:f>
        <x:v>backlog</x:v>
      </x:c>
      <x:c r="AF923" s="12" t="str">
        <x:f>IF(OR(AE923="active",AE923="review_required"),"yes","no")</x:f>
        <x:v>no</x:v>
      </x:c>
      <x:c r="AG923" s="12" t="str">
        <x:f>IF(AND(AE923="active",M923="yes",NOT(ISNUMBER(SEARCH("healthy",AB923)))),"yes","no")</x:f>
        <x:v>no</x:v>
      </x:c>
      <x:c r="AH923" s="12" t="str">
        <x:f>IF(OR(H923="contextual",H923="dialogue",H923="discourse",I923="claim+context",I923="discourse_segment"),"yes","no")</x:f>
        <x:v>yes</x:v>
      </x:c>
      <x:c r="AI923" s="12" t="str">
        <x:f>IF(OR(AH923="yes",AD923="debated",AC923="operational"),"yes","no")</x:f>
        <x:v>yes</x:v>
      </x:c>
      <x:c r="AJ923" s="12" t="str">
        <x:f>IF(OR(AH923="yes",AC923="operational",AD923="debated"),"high",IF(AND(AG923="yes",L923="P0"),"medium","low"))</x:f>
        <x:v>high</x:v>
      </x:c>
      <x:c r="AK923" s="12" t="str">
        <x:f>IF(ISNUMBER(SEARCH("healthy",AB923)),"yes","no")</x:f>
        <x:v>no</x:v>
      </x:c>
      <x:c r="AL923" s="12" t="str">
        <x:f>IF(AG923="yes","yes","candidate_only")</x:f>
        <x:v>candidate_only</x:v>
      </x:c>
      <x:c r="AM923" s="12" t="str">
        <x:f>IF(OR(AC923="canonical",AG923="yes"),"yes","recommended")</x:f>
        <x:v>recommended</x:v>
      </x:c>
      <x:c r="AN923" s="12" t="str">
        <x:f>IF(AC923="deprecated","exclude",IF(AND(AG923="yes",AJ923="high"),"import_but_human_review_required",IF(AG923="yes","import_as_active","import_as_backlog")))</x:f>
        <x:v>import_as_backlog</x:v>
      </x:c>
      <x:c r="AO923" s="12" t="str">
        <x:f>IF(AND(AG923="yes",OR(P923="",Q923="",R923="",S923="")),"missing_required_mvp_fields",IF(AND(AC923="canonical",Y923=""),"missing_source_ref","ok"))</x:f>
        <x:v>ok</x:v>
      </x:c>
      <x:c r="AP923" s="12" t="str">
        <x:f>IF(AO923="ok","ready_for_codex_import","needs_review")</x:f>
        <x:v>ready_for_codex_import</x:v>
      </x:c>
      <x:c r="AQ923" s="12"/>
      <x:c r="AR923" s="12" t="str">
        <x:v>Added v2 operational fields. Review before classification activation.</x:v>
      </x:c>
    </x:row>
    <x:row r="924">
      <x:c r="A924" s="13" t="str">
        <x:v>evidence_threshold_undefined_scope_transfer_variant</x:v>
      </x:c>
      <x:c r="B924" s="13" t="str">
        <x:v>evidence_threshold_undefined</x:v>
      </x:c>
      <x:c r="C924" s="13" t="str">
        <x:v>Undefined evidence threshold</x:v>
      </x:c>
      <x:c r="D924" s="13" t="str">
        <x:v>آستانه شواهد نامشخص</x:v>
      </x:c>
      <x:c r="E924" s="13" t="str">
        <x:v>Scope-transfer variant</x:v>
      </x:c>
      <x:c r="F924" s="13" t="str">
        <x:v>uncertainty_calibration_failures</x:v>
      </x:c>
      <x:c r="G924" s="13" t="str">
        <x:v>operational_variant</x:v>
      </x:c>
      <x:c r="H924" s="13" t="str">
        <x:v>dialogue</x:v>
      </x:c>
      <x:c r="I924" s="13" t="str">
        <x:v>discourse_segment</x:v>
      </x:c>
      <x:c r="J924" s="13" t="str">
        <x:v>derived_operational_subtype</x:v>
      </x:c>
      <x:c r="K924" s="13" t="str">
        <x:v>derived_from_established_parent_review_required</x:v>
      </x:c>
      <x:c r="L924" s="13" t="str">
        <x:v>P3</x:v>
      </x:c>
      <x:c r="M924" s="13" t="str">
        <x:v>no</x:v>
      </x:c>
      <x:c r="N924" s="13" t="str">
        <x:v>Operational subtype under Undefined evidence threshold: evidence is transferred beyond its valid domain. Parent definition: Not specifying what evidence would support or change the claim.</x:v>
      </x:c>
      <x:c r="O924" s="13" t="str">
        <x:v>Look for: explicit claim-level evidence; parent-family cues for Undefined evidence threshold; variant cue: evidence is transferred beyond its valid domain; avoid author-level inference.</x:v>
      </x:c>
      <x:c r="P924" s="13" t="str">
        <x:v>Exact evidence span in text plus claim-level reasoning link; for contextual/discourse entries, require surrounding context.</x:v>
      </x:c>
      <x:c r="Q924" s="13" t="str">
        <x:v>Do not label merely because topic is controversial, emotional, or wrong. Do not judge intent or personality. Require textual evidence and consider healthy-reasoning cues.</x:v>
      </x:c>
      <x:c r="R924" s="13" t="str">
        <x:v>Stub: A claim relies on evidence is transferred beyond its valid domain to support a conclusion without adequate qualification.</x:v>
      </x:c>
      <x:c r="S924" s="13" t="str">
        <x:v>Stub: A claim discusses undefined evidence threshold with caveats, balanced evidence, or no argumentative use of the pattern.</x:v>
      </x:c>
      <x:c r="T924" s="13" t="str">
        <x:v>Mild or ambiguous cue; do not classify without clear evidence span.</x:v>
      </x:c>
      <x:c r="U924" s="13" t="str">
        <x:v>Clear claim-level pattern with some argumentative impact.</x:v>
      </x:c>
      <x:c r="V924" s="13" t="str">
        <x:v>Strong pattern central to the conclusion and likely to materially distort reasoning.</x:v>
      </x:c>
      <x:c r="W924" s="13" t="str">
        <x:v>cherry_picking; missing_counterevidence; evidence_grading</x:v>
      </x:c>
      <x:c r="X924" s="13" t="str">
        <x:v>pragmadialectics</x:v>
      </x:c>
      <x:c r="Y924" s="13" t="str">
        <x:v>https://doi.org/10.1017/CBO9780511616389</x:v>
      </x:c>
      <x:c r="Z924" s="13" t="str">
        <x:v>Review before enabling. This workbook is a living taxonomy scaffold, not a validated scientific benchmark.</x:v>
      </x:c>
      <x:c r="AA924" s="13" t="str">
        <x:v>0.1.0-draft</x:v>
      </x:c>
      <x:c r="AB924" s="12" t="str">
        <x:f>IF(ISNUMBER(SEARCH("healthy",F924)),"healthy_reasoning_patterns",IF(ISNUMBER(SEARCH("statistical",F924)),"statistical_reasoning",IF(ISNUMBER(SEARCH("causal",F924)),"causal_reasoning",IF(ISNUMBER(SEARCH("social",F924)),"social_influence",IF(ISNUMBER(SEARCH("rhetoric",F924)),"rhetoric_discourse",IF(ISNUMBER(SEARCH("behavior",F924)),"behavioural_economics",IF(ISNUMBER(SEARCH("cognitive",F924)),"cognitive_biases",IF(J924="protective_pattern","healthy_reasoning_patterns",IF(L924="P0","core_mvp","extended_fallacies")))))))))</x:f>
        <x:v>extended_fallacies</x:v>
      </x:c>
      <x:c r="AC924" s="12" t="str">
        <x:f>IF(ISNUMBER(SEARCH("operational",J924)),"operational",IF(ISNUMBER(SEARCH("deprecated",J924)),"deprecated",IF(L924="P0","canonical","recognized_subtype")))</x:f>
        <x:v>operational</x:v>
      </x:c>
      <x:c r="AD924" s="12" t="str">
        <x:f>IF(AC924="canonical","high",IF(AC924="recognized_subtype","medium",IF(AC924="operational","operational_only","debated")))</x:f>
        <x:v>operational_only</x:v>
      </x:c>
      <x:c r="AE924" s="12" t="str">
        <x:f>IF(AC924="deprecated","deprecated",IF(M924="yes","active",IF(M924="review","review_required","backlog")))</x:f>
        <x:v>backlog</x:v>
      </x:c>
      <x:c r="AF924" s="12" t="str">
        <x:f>IF(OR(AE924="active",AE924="review_required"),"yes","no")</x:f>
        <x:v>no</x:v>
      </x:c>
      <x:c r="AG924" s="12" t="str">
        <x:f>IF(AND(AE924="active",M924="yes",NOT(ISNUMBER(SEARCH("healthy",AB924)))),"yes","no")</x:f>
        <x:v>no</x:v>
      </x:c>
      <x:c r="AH924" s="12" t="str">
        <x:f>IF(OR(H924="contextual",H924="dialogue",H924="discourse",I924="claim+context",I924="discourse_segment"),"yes","no")</x:f>
        <x:v>yes</x:v>
      </x:c>
      <x:c r="AI924" s="12" t="str">
        <x:f>IF(OR(AH924="yes",AD924="debated",AC924="operational"),"yes","no")</x:f>
        <x:v>yes</x:v>
      </x:c>
      <x:c r="AJ924" s="12" t="str">
        <x:f>IF(OR(AH924="yes",AC924="operational",AD924="debated"),"high",IF(AND(AG924="yes",L924="P0"),"medium","low"))</x:f>
        <x:v>high</x:v>
      </x:c>
      <x:c r="AK924" s="12" t="str">
        <x:f>IF(ISNUMBER(SEARCH("healthy",AB924)),"yes","no")</x:f>
        <x:v>no</x:v>
      </x:c>
      <x:c r="AL924" s="12" t="str">
        <x:f>IF(AG924="yes","yes","candidate_only")</x:f>
        <x:v>candidate_only</x:v>
      </x:c>
      <x:c r="AM924" s="12" t="str">
        <x:f>IF(OR(AC924="canonical",AG924="yes"),"yes","recommended")</x:f>
        <x:v>recommended</x:v>
      </x:c>
      <x:c r="AN924" s="12" t="str">
        <x:f>IF(AC924="deprecated","exclude",IF(AND(AG924="yes",AJ924="high"),"import_but_human_review_required",IF(AG924="yes","import_as_active","import_as_backlog")))</x:f>
        <x:v>import_as_backlog</x:v>
      </x:c>
      <x:c r="AO924" s="12" t="str">
        <x:f>IF(AND(AG924="yes",OR(P924="",Q924="",R924="",S924="")),"missing_required_mvp_fields",IF(AND(AC924="canonical",Y924=""),"missing_source_ref","ok"))</x:f>
        <x:v>ok</x:v>
      </x:c>
      <x:c r="AP924" s="12" t="str">
        <x:f>IF(AO924="ok","ready_for_codex_import","needs_review")</x:f>
        <x:v>ready_for_codex_import</x:v>
      </x:c>
      <x:c r="AQ924" s="12"/>
      <x:c r="AR924" s="12" t="str">
        <x:v>Added v2 operational fields. Review before classification activation.</x:v>
      </x:c>
    </x:row>
    <x:row r="925">
      <x:c r="A925" s="13" t="str">
        <x:v>prediction_observation_conflation_scope_transfer_variant</x:v>
      </x:c>
      <x:c r="B925" s="13" t="str">
        <x:v>prediction_observation_conflation</x:v>
      </x:c>
      <x:c r="C925" s="13" t="str">
        <x:v>Prediction-observation conflation</x:v>
      </x:c>
      <x:c r="D925" s="13" t="str">
        <x:v>اختلاط پیش‌بینی و مشاهده</x:v>
      </x:c>
      <x:c r="E925" s="13" t="str">
        <x:v>Scope-transfer variant</x:v>
      </x:c>
      <x:c r="F925" s="13" t="str">
        <x:v>uncertainty_calibration_failures</x:v>
      </x:c>
      <x:c r="G925" s="13" t="str">
        <x:v>operational_variant</x:v>
      </x:c>
      <x:c r="H925" s="13" t="str">
        <x:v>lexical</x:v>
      </x:c>
      <x:c r="I925" s="13" t="str">
        <x:v>claim</x:v>
      </x:c>
      <x:c r="J925" s="13" t="str">
        <x:v>derived_operational_subtype</x:v>
      </x:c>
      <x:c r="K925" s="13" t="str">
        <x:v>derived_from_established_parent_review_required</x:v>
      </x:c>
      <x:c r="L925" s="13" t="str">
        <x:v>P3</x:v>
      </x:c>
      <x:c r="M925" s="13" t="str">
        <x:v>no</x:v>
      </x:c>
      <x:c r="N925" s="13" t="str">
        <x:v>Operational subtype under Prediction-observation conflation: evidence is transferred beyond its valid domain. Parent definition: Treating forecasts as observed facts.</x:v>
      </x:c>
      <x:c r="O925" s="13" t="str">
        <x:v>Look for: explicit claim-level evidence; parent-family cues for Prediction-observation conflation; variant cue: evidence is transferred beyond its valid domain; avoid author-level inference.</x:v>
      </x:c>
      <x:c r="P925" s="13" t="str">
        <x:v>Exact evidence span in text plus claim-level reasoning link; for contextual/discourse entries, require surrounding context.</x:v>
      </x:c>
      <x:c r="Q925" s="13" t="str">
        <x:v>Do not label merely because topic is controversial, emotional, or wrong. Do not judge intent or personality. Require textual evidence and consider healthy-reasoning cues.</x:v>
      </x:c>
      <x:c r="R925" s="13" t="str">
        <x:v>Stub: A claim relies on evidence is transferred beyond its valid domain to support a conclusion without adequate qualification.</x:v>
      </x:c>
      <x:c r="S925" s="13" t="str">
        <x:v>Stub: A claim discusses prediction-observation conflation with caveats, balanced evidence, or no argumentative use of the pattern.</x:v>
      </x:c>
      <x:c r="T925" s="13" t="str">
        <x:v>Mild or ambiguous cue; do not classify without clear evidence span.</x:v>
      </x:c>
      <x:c r="U925" s="13" t="str">
        <x:v>Clear claim-level pattern with some argumentative impact.</x:v>
      </x:c>
      <x:c r="V925" s="13" t="str">
        <x:v>Strong pattern central to the conclusion and likely to materially distort reasoning.</x:v>
      </x:c>
      <x:c r="W925" s="13" t="str">
        <x:v>uncertainty_acknowledgement; confidence_calibration; scope_limitation</x:v>
      </x:c>
      <x:c r="X925" s="13" t="str">
        <x:v>stanovich_dual_process</x:v>
      </x:c>
      <x:c r="Y925" s="13" t="str">
        <x:v>https://global.oup.com/academic/product/rationality-and-the-reflective-mind-9780195341140</x:v>
      </x:c>
      <x:c r="Z925" s="13" t="str">
        <x:v>Review before enabling. This workbook is a living taxonomy scaffold, not a validated scientific benchmark.</x:v>
      </x:c>
      <x:c r="AA925" s="13" t="str">
        <x:v>0.1.0-draft</x:v>
      </x:c>
      <x:c r="AB925" s="12" t="str">
        <x:f>IF(ISNUMBER(SEARCH("healthy",F925)),"healthy_reasoning_patterns",IF(ISNUMBER(SEARCH("statistical",F925)),"statistical_reasoning",IF(ISNUMBER(SEARCH("causal",F925)),"causal_reasoning",IF(ISNUMBER(SEARCH("social",F925)),"social_influence",IF(ISNUMBER(SEARCH("rhetoric",F925)),"rhetoric_discourse",IF(ISNUMBER(SEARCH("behavior",F925)),"behavioural_economics",IF(ISNUMBER(SEARCH("cognitive",F925)),"cognitive_biases",IF(J925="protective_pattern","healthy_reasoning_patterns",IF(L925="P0","core_mvp","extended_fallacies")))))))))</x:f>
        <x:v>extended_fallacies</x:v>
      </x:c>
      <x:c r="AC925" s="12" t="str">
        <x:f>IF(ISNUMBER(SEARCH("operational",J925)),"operational",IF(ISNUMBER(SEARCH("deprecated",J925)),"deprecated",IF(L925="P0","canonical","recognized_subtype")))</x:f>
        <x:v>operational</x:v>
      </x:c>
      <x:c r="AD925" s="12" t="str">
        <x:f>IF(AC925="canonical","high",IF(AC925="recognized_subtype","medium",IF(AC925="operational","operational_only","debated")))</x:f>
        <x:v>operational_only</x:v>
      </x:c>
      <x:c r="AE925" s="12" t="str">
        <x:f>IF(AC925="deprecated","deprecated",IF(M925="yes","active",IF(M925="review","review_required","backlog")))</x:f>
        <x:v>backlog</x:v>
      </x:c>
      <x:c r="AF925" s="12" t="str">
        <x:f>IF(OR(AE925="active",AE925="review_required"),"yes","no")</x:f>
        <x:v>no</x:v>
      </x:c>
      <x:c r="AG925" s="12" t="str">
        <x:f>IF(AND(AE925="active",M925="yes",NOT(ISNUMBER(SEARCH("healthy",AB925)))),"yes","no")</x:f>
        <x:v>no</x:v>
      </x:c>
      <x:c r="AH925" s="12" t="str">
        <x:f>IF(OR(H925="contextual",H925="dialogue",H925="discourse",I925="claim+context",I925="discourse_segment"),"yes","no")</x:f>
        <x:v>no</x:v>
      </x:c>
      <x:c r="AI925" s="12" t="str">
        <x:f>IF(OR(AH925="yes",AD925="debated",AC925="operational"),"yes","no")</x:f>
        <x:v>yes</x:v>
      </x:c>
      <x:c r="AJ925" s="12" t="str">
        <x:f>IF(OR(AH925="yes",AC925="operational",AD925="debated"),"high",IF(AND(AG925="yes",L925="P0"),"medium","low"))</x:f>
        <x:v>high</x:v>
      </x:c>
      <x:c r="AK925" s="12" t="str">
        <x:f>IF(ISNUMBER(SEARCH("healthy",AB925)),"yes","no")</x:f>
        <x:v>no</x:v>
      </x:c>
      <x:c r="AL925" s="12" t="str">
        <x:f>IF(AG925="yes","yes","candidate_only")</x:f>
        <x:v>candidate_only</x:v>
      </x:c>
      <x:c r="AM925" s="12" t="str">
        <x:f>IF(OR(AC925="canonical",AG925="yes"),"yes","recommended")</x:f>
        <x:v>recommended</x:v>
      </x:c>
      <x:c r="AN925" s="12" t="str">
        <x:f>IF(AC925="deprecated","exclude",IF(AND(AG925="yes",AJ925="high"),"import_but_human_review_required",IF(AG925="yes","import_as_active","import_as_backlog")))</x:f>
        <x:v>import_as_backlog</x:v>
      </x:c>
      <x:c r="AO925" s="12" t="str">
        <x:f>IF(AND(AG925="yes",OR(P925="",Q925="",R925="",S925="")),"missing_required_mvp_fields",IF(AND(AC925="canonical",Y925=""),"missing_source_ref","ok"))</x:f>
        <x:v>ok</x:v>
      </x:c>
      <x:c r="AP925" s="12" t="str">
        <x:f>IF(AO925="ok","ready_for_codex_import","needs_review")</x:f>
        <x:v>ready_for_codex_import</x:v>
      </x:c>
      <x:c r="AQ925" s="12"/>
      <x:c r="AR925" s="12" t="str">
        <x:v>Added v2 operational fields. Review before classification activation.</x:v>
      </x:c>
    </x:row>
    <x:row r="926">
      <x:c r="A926" s="13" t="str">
        <x:v>possibility_probability_conflation_scope_transfer_variant</x:v>
      </x:c>
      <x:c r="B926" s="13" t="str">
        <x:v>possibility_probability_conflation</x:v>
      </x:c>
      <x:c r="C926" s="13" t="str">
        <x:v>Possibility-probability conflation</x:v>
      </x:c>
      <x:c r="D926" s="13" t="str">
        <x:v>اختلاط امکان و احتمال</x:v>
      </x:c>
      <x:c r="E926" s="13" t="str">
        <x:v>Scope-transfer variant</x:v>
      </x:c>
      <x:c r="F926" s="13" t="str">
        <x:v>uncertainty_calibration_failures</x:v>
      </x:c>
      <x:c r="G926" s="13" t="str">
        <x:v>operational_variant</x:v>
      </x:c>
      <x:c r="H926" s="13" t="str">
        <x:v>lexical</x:v>
      </x:c>
      <x:c r="I926" s="13" t="str">
        <x:v>claim</x:v>
      </x:c>
      <x:c r="J926" s="13" t="str">
        <x:v>derived_operational_subtype</x:v>
      </x:c>
      <x:c r="K926" s="13" t="str">
        <x:v>derived_from_established_parent_review_required</x:v>
      </x:c>
      <x:c r="L926" s="13" t="str">
        <x:v>P3</x:v>
      </x:c>
      <x:c r="M926" s="13" t="str">
        <x:v>no</x:v>
      </x:c>
      <x:c r="N926" s="13" t="str">
        <x:v>Operational subtype under Possibility-probability conflation: evidence is transferred beyond its valid domain. Parent definition: Treating what could happen as if it is likely.</x:v>
      </x:c>
      <x:c r="O926" s="13" t="str">
        <x:v>Look for: explicit claim-level evidence; parent-family cues for Possibility-probability conflation; variant cue: evidence is transferred beyond its valid domain; avoid author-level inference.</x:v>
      </x:c>
      <x:c r="P926" s="13" t="str">
        <x:v>Exact evidence span in text plus claim-level reasoning link; for contextual/discourse entries, require surrounding context.</x:v>
      </x:c>
      <x:c r="Q926" s="13" t="str">
        <x:v>Do not label merely because topic is controversial, emotional, or wrong. Do not judge intent or personality. Require textual evidence and consider healthy-reasoning cues.</x:v>
      </x:c>
      <x:c r="R926" s="13" t="str">
        <x:v>Stub: A claim relies on evidence is transferred beyond its valid domain to support a conclusion without adequate qualification.</x:v>
      </x:c>
      <x:c r="S926" s="13" t="str">
        <x:v>Stub: A claim discusses possibility-probability conflation with caveats, balanced evidence, or no argumentative use of the pattern.</x:v>
      </x:c>
      <x:c r="T926" s="13" t="str">
        <x:v>Mild or ambiguous cue; do not classify without clear evidence span.</x:v>
      </x:c>
      <x:c r="U926" s="13" t="str">
        <x:v>Clear claim-level pattern with some argumentative impact.</x:v>
      </x:c>
      <x:c r="V926" s="13" t="str">
        <x:v>Strong pattern central to the conclusion and likely to materially distort reasoning.</x:v>
      </x:c>
      <x:c r="W926" s="13" t="str">
        <x:v>uncertainty_acknowledgement; confidence_calibration; scope_limitation</x:v>
      </x:c>
      <x:c r="X926" s="13" t="str">
        <x:v>stanovich_dual_process</x:v>
      </x:c>
      <x:c r="Y926" s="13" t="str">
        <x:v>https://global.oup.com/academic/product/rationality-and-the-reflective-mind-9780195341140</x:v>
      </x:c>
      <x:c r="Z926" s="13" t="str">
        <x:v>Review before enabling. This workbook is a living taxonomy scaffold, not a validated scientific benchmark.</x:v>
      </x:c>
      <x:c r="AA926" s="13" t="str">
        <x:v>0.1.0-draft</x:v>
      </x:c>
      <x:c r="AB926" s="12" t="str">
        <x:f>IF(ISNUMBER(SEARCH("healthy",F926)),"healthy_reasoning_patterns",IF(ISNUMBER(SEARCH("statistical",F926)),"statistical_reasoning",IF(ISNUMBER(SEARCH("causal",F926)),"causal_reasoning",IF(ISNUMBER(SEARCH("social",F926)),"social_influence",IF(ISNUMBER(SEARCH("rhetoric",F926)),"rhetoric_discourse",IF(ISNUMBER(SEARCH("behavior",F926)),"behavioural_economics",IF(ISNUMBER(SEARCH("cognitive",F926)),"cognitive_biases",IF(J926="protective_pattern","healthy_reasoning_patterns",IF(L926="P0","core_mvp","extended_fallacies")))))))))</x:f>
        <x:v>extended_fallacies</x:v>
      </x:c>
      <x:c r="AC926" s="12" t="str">
        <x:f>IF(ISNUMBER(SEARCH("operational",J926)),"operational",IF(ISNUMBER(SEARCH("deprecated",J926)),"deprecated",IF(L926="P0","canonical","recognized_subtype")))</x:f>
        <x:v>operational</x:v>
      </x:c>
      <x:c r="AD926" s="12" t="str">
        <x:f>IF(AC926="canonical","high",IF(AC926="recognized_subtype","medium",IF(AC926="operational","operational_only","debated")))</x:f>
        <x:v>operational_only</x:v>
      </x:c>
      <x:c r="AE926" s="12" t="str">
        <x:f>IF(AC926="deprecated","deprecated",IF(M926="yes","active",IF(M926="review","review_required","backlog")))</x:f>
        <x:v>backlog</x:v>
      </x:c>
      <x:c r="AF926" s="12" t="str">
        <x:f>IF(OR(AE926="active",AE926="review_required"),"yes","no")</x:f>
        <x:v>no</x:v>
      </x:c>
      <x:c r="AG926" s="12" t="str">
        <x:f>IF(AND(AE926="active",M926="yes",NOT(ISNUMBER(SEARCH("healthy",AB926)))),"yes","no")</x:f>
        <x:v>no</x:v>
      </x:c>
      <x:c r="AH926" s="12" t="str">
        <x:f>IF(OR(H926="contextual",H926="dialogue",H926="discourse",I926="claim+context",I926="discourse_segment"),"yes","no")</x:f>
        <x:v>no</x:v>
      </x:c>
      <x:c r="AI926" s="12" t="str">
        <x:f>IF(OR(AH926="yes",AD926="debated",AC926="operational"),"yes","no")</x:f>
        <x:v>yes</x:v>
      </x:c>
      <x:c r="AJ926" s="12" t="str">
        <x:f>IF(OR(AH926="yes",AC926="operational",AD926="debated"),"high",IF(AND(AG926="yes",L926="P0"),"medium","low"))</x:f>
        <x:v>high</x:v>
      </x:c>
      <x:c r="AK926" s="12" t="str">
        <x:f>IF(ISNUMBER(SEARCH("healthy",AB926)),"yes","no")</x:f>
        <x:v>no</x:v>
      </x:c>
      <x:c r="AL926" s="12" t="str">
        <x:f>IF(AG926="yes","yes","candidate_only")</x:f>
        <x:v>candidate_only</x:v>
      </x:c>
      <x:c r="AM926" s="12" t="str">
        <x:f>IF(OR(AC926="canonical",AG926="yes"),"yes","recommended")</x:f>
        <x:v>recommended</x:v>
      </x:c>
      <x:c r="AN926" s="12" t="str">
        <x:f>IF(AC926="deprecated","exclude",IF(AND(AG926="yes",AJ926="high"),"import_but_human_review_required",IF(AG926="yes","import_as_active","import_as_backlog")))</x:f>
        <x:v>import_as_backlog</x:v>
      </x:c>
      <x:c r="AO926" s="12" t="str">
        <x:f>IF(AND(AG926="yes",OR(P926="",Q926="",R926="",S926="")),"missing_required_mvp_fields",IF(AND(AC926="canonical",Y926=""),"missing_source_ref","ok"))</x:f>
        <x:v>ok</x:v>
      </x:c>
      <x:c r="AP926" s="12" t="str">
        <x:f>IF(AO926="ok","ready_for_codex_import","needs_review")</x:f>
        <x:v>ready_for_codex_import</x:v>
      </x:c>
      <x:c r="AQ926" s="12"/>
      <x:c r="AR926" s="12" t="str">
        <x:v>Added v2 operational fields. Review before classification activation.</x:v>
      </x:c>
    </x:row>
    <x:row r="927">
      <x:c r="A927" s="13" t="str">
        <x:v>overclaiming_certainty_canonical_76</x:v>
      </x:c>
      <x:c r="B927" s="13" t="str">
        <x:v>overclaiming_certainty</x:v>
      </x:c>
      <x:c r="C927" s="13" t="str">
        <x:v>Overclaiming certainty</x:v>
      </x:c>
      <x:c r="D927" s="13" t="str">
        <x:v>قطعیت‌نمایی بیش از حد</x:v>
      </x:c>
      <x:c r="E927" s="13" t="str">
        <x:v>Canonical form</x:v>
      </x:c>
      <x:c r="F927" s="13" t="str">
        <x:v>uncertainty_calibration_failures</x:v>
      </x:c>
      <x:c r="G927" s="13" t="str">
        <x:v>canonical</x:v>
      </x:c>
      <x:c r="H927" s="13" t="str">
        <x:v>lexical</x:v>
      </x:c>
      <x:c r="I927" s="13" t="str">
        <x:v>claim</x:v>
      </x:c>
      <x:c r="J927" s="13" t="str">
        <x:v>derived_operational_subtype</x:v>
      </x:c>
      <x:c r="K927" s="13" t="str">
        <x:v>derived_from_established_parent_review_required</x:v>
      </x:c>
      <x:c r="L927" s="13" t="str">
        <x:v>P3</x:v>
      </x:c>
      <x:c r="M927" s="13" t="str">
        <x:v>no</x:v>
      </x:c>
      <x:c r="N927" s="13" t="str">
        <x:v>Operational subtype under Overclaiming certainty: uncertainty is understated or miscalibrated. Parent definition: Stating a conclusion more certainly than evidence warrants.</x:v>
      </x:c>
      <x:c r="O927" s="13" t="str">
        <x:v>Look for: explicit claim-level evidence; parent-family cues for Overclaiming certainty; variant cue: uncertainty is understated or miscalibrated; avoid author-level inference.</x:v>
      </x:c>
      <x:c r="P927" s="13" t="str">
        <x:v>Exact evidence span in text plus claim-level reasoning link; for contextual/discourse entries, require surrounding context.</x:v>
      </x:c>
      <x:c r="Q927" s="13" t="str">
        <x:v>Do not label merely because topic is controversial, emotional, or wrong. Do not judge intent or personality. Require textual evidence and consider healthy-reasoning cues.</x:v>
      </x:c>
      <x:c r="R927" s="13" t="str">
        <x:v>Stub: A claim relies on uncertainty is understated or miscalibrated to support a conclusion without adequate qualification.</x:v>
      </x:c>
      <x:c r="S927" s="13" t="str">
        <x:v>Stub: A claim discusses overclaiming certainty with caveats, balanced evidence, or no argumentative use of the pattern.</x:v>
      </x:c>
      <x:c r="T927" s="13" t="str">
        <x:v>Mild or ambiguous cue; do not classify without clear evidence span.</x:v>
      </x:c>
      <x:c r="U927" s="13" t="str">
        <x:v>Clear claim-level pattern with some argumentative impact.</x:v>
      </x:c>
      <x:c r="V927" s="13" t="str">
        <x:v>Strong pattern central to the conclusion and likely to materially distort reasoning.</x:v>
      </x:c>
      <x:c r="W927" s="13" t="str">
        <x:v>cherry_picking; missing_counterevidence; evidence_grading</x:v>
      </x:c>
      <x:c r="X927" s="13" t="str">
        <x:v>stanovich_dual_process</x:v>
      </x:c>
      <x:c r="Y927" s="13" t="str">
        <x:v>https://global.oup.com/academic/product/rationality-and-the-reflective-mind-9780195341140</x:v>
      </x:c>
      <x:c r="Z927" s="13" t="str">
        <x:v>Review before enabling. This workbook is a living taxonomy scaffold, not a validated scientific benchmark.</x:v>
      </x:c>
      <x:c r="AA927" s="13" t="str">
        <x:v>0.1.0-draft</x:v>
      </x:c>
      <x:c r="AB927" s="12" t="str">
        <x:f>IF(ISNUMBER(SEARCH("healthy",F927)),"healthy_reasoning_patterns",IF(ISNUMBER(SEARCH("statistical",F927)),"statistical_reasoning",IF(ISNUMBER(SEARCH("causal",F927)),"causal_reasoning",IF(ISNUMBER(SEARCH("social",F927)),"social_influence",IF(ISNUMBER(SEARCH("rhetoric",F927)),"rhetoric_discourse",IF(ISNUMBER(SEARCH("behavior",F927)),"behavioural_economics",IF(ISNUMBER(SEARCH("cognitive",F927)),"cognitive_biases",IF(J927="protective_pattern","healthy_reasoning_patterns",IF(L927="P0","core_mvp","extended_fallacies")))))))))</x:f>
        <x:v>extended_fallacies</x:v>
      </x:c>
      <x:c r="AC927" s="12" t="str">
        <x:f>IF(ISNUMBER(SEARCH("operational",J927)),"operational",IF(ISNUMBER(SEARCH("deprecated",J927)),"deprecated",IF(L927="P0","canonical","recognized_subtype")))</x:f>
        <x:v>operational</x:v>
      </x:c>
      <x:c r="AD927" s="12" t="str">
        <x:f>IF(AC927="canonical","high",IF(AC927="recognized_subtype","medium",IF(AC927="operational","operational_only","debated")))</x:f>
        <x:v>operational_only</x:v>
      </x:c>
      <x:c r="AE927" s="12" t="str">
        <x:f>IF(AC927="deprecated","deprecated",IF(M927="yes","active",IF(M927="review","review_required","backlog")))</x:f>
        <x:v>backlog</x:v>
      </x:c>
      <x:c r="AF927" s="12" t="str">
        <x:f>IF(OR(AE927="active",AE927="review_required"),"yes","no")</x:f>
        <x:v>no</x:v>
      </x:c>
      <x:c r="AG927" s="12" t="str">
        <x:f>IF(AND(AE927="active",M927="yes",NOT(ISNUMBER(SEARCH("healthy",AB927)))),"yes","no")</x:f>
        <x:v>no</x:v>
      </x:c>
      <x:c r="AH927" s="12" t="str">
        <x:f>IF(OR(H927="contextual",H927="dialogue",H927="discourse",I927="claim+context",I927="discourse_segment"),"yes","no")</x:f>
        <x:v>no</x:v>
      </x:c>
      <x:c r="AI927" s="12" t="str">
        <x:f>IF(OR(AH927="yes",AD927="debated",AC927="operational"),"yes","no")</x:f>
        <x:v>yes</x:v>
      </x:c>
      <x:c r="AJ927" s="12" t="str">
        <x:f>IF(OR(AH927="yes",AC927="operational",AD927="debated"),"high",IF(AND(AG927="yes",L927="P0"),"medium","low"))</x:f>
        <x:v>high</x:v>
      </x:c>
      <x:c r="AK927" s="12" t="str">
        <x:f>IF(ISNUMBER(SEARCH("healthy",AB927)),"yes","no")</x:f>
        <x:v>no</x:v>
      </x:c>
      <x:c r="AL927" s="12" t="str">
        <x:f>IF(AG927="yes","yes","candidate_only")</x:f>
        <x:v>candidate_only</x:v>
      </x:c>
      <x:c r="AM927" s="12" t="str">
        <x:f>IF(OR(AC927="canonical",AG927="yes"),"yes","recommended")</x:f>
        <x:v>recommended</x:v>
      </x:c>
      <x:c r="AN927" s="12" t="str">
        <x:f>IF(AC927="deprecated","exclude",IF(AND(AG927="yes",AJ927="high"),"import_but_human_review_required",IF(AG927="yes","import_as_active","import_as_backlog")))</x:f>
        <x:v>import_as_backlog</x:v>
      </x:c>
      <x:c r="AO927" s="12" t="str">
        <x:f>IF(AND(AG927="yes",OR(P927="",Q927="",R927="",S927="")),"missing_required_mvp_fields",IF(AND(AC927="canonical",Y927=""),"missing_source_ref","ok"))</x:f>
        <x:v>ok</x:v>
      </x:c>
      <x:c r="AP927" s="12" t="str">
        <x:f>IF(AO927="ok","ready_for_codex_import","needs_review")</x:f>
        <x:v>ready_for_codex_import</x:v>
      </x:c>
      <x:c r="AQ927" s="12"/>
      <x:c r="AR927" s="12" t="str">
        <x:v>Added v2 operational fields. Review before classification activation.</x:v>
      </x:c>
    </x:row>
    <x:row r="928">
      <x:c r="A928" s="13" t="str">
        <x:v>false_precision_canonical_77</x:v>
      </x:c>
      <x:c r="B928" s="13" t="str">
        <x:v>false_precision</x:v>
      </x:c>
      <x:c r="C928" s="13" t="str">
        <x:v>False precision</x:v>
      </x:c>
      <x:c r="D928" s="13" t="str">
        <x:v>دقت کاذب</x:v>
      </x:c>
      <x:c r="E928" s="13" t="str">
        <x:v>Canonical form</x:v>
      </x:c>
      <x:c r="F928" s="13" t="str">
        <x:v>uncertainty_calibration_failures</x:v>
      </x:c>
      <x:c r="G928" s="13" t="str">
        <x:v>canonical</x:v>
      </x:c>
      <x:c r="H928" s="13" t="str">
        <x:v>lexical</x:v>
      </x:c>
      <x:c r="I928" s="13" t="str">
        <x:v>claim</x:v>
      </x:c>
      <x:c r="J928" s="13" t="str">
        <x:v>derived_operational_subtype</x:v>
      </x:c>
      <x:c r="K928" s="13" t="str">
        <x:v>derived_from_established_parent_review_required</x:v>
      </x:c>
      <x:c r="L928" s="13" t="str">
        <x:v>P3</x:v>
      </x:c>
      <x:c r="M928" s="13" t="str">
        <x:v>no</x:v>
      </x:c>
      <x:c r="N928" s="13" t="str">
        <x:v>Operational subtype under False precision: uncertainty is understated or miscalibrated. Parent definition: Using precise numbers or terms without evidential basis.</x:v>
      </x:c>
      <x:c r="O928" s="13" t="str">
        <x:v>Look for: explicit claim-level evidence; parent-family cues for False precision; variant cue: uncertainty is understated or miscalibrated; avoid author-level inference.</x:v>
      </x:c>
      <x:c r="P928" s="13" t="str">
        <x:v>Exact evidence span in text plus claim-level reasoning link; for contextual/discourse entries, require surrounding context.</x:v>
      </x:c>
      <x:c r="Q928" s="13" t="str">
        <x:v>Do not label merely because topic is controversial, emotional, or wrong. Do not judge intent or personality. Require textual evidence and consider healthy-reasoning cues.</x:v>
      </x:c>
      <x:c r="R928" s="13" t="str">
        <x:v>Stub: A claim relies on uncertainty is understated or miscalibrated to support a conclusion without adequate qualification.</x:v>
      </x:c>
      <x:c r="S928" s="13" t="str">
        <x:v>Stub: A claim discusses false precision with caveats, balanced evidence, or no argumentative use of the pattern.</x:v>
      </x:c>
      <x:c r="T928" s="13" t="str">
        <x:v>Mild or ambiguous cue; do not classify without clear evidence span.</x:v>
      </x:c>
      <x:c r="U928" s="13" t="str">
        <x:v>Clear claim-level pattern with some argumentative impact.</x:v>
      </x:c>
      <x:c r="V928" s="13" t="str">
        <x:v>Strong pattern central to the conclusion and likely to materially distort reasoning.</x:v>
      </x:c>
      <x:c r="W928" s="13" t="str">
        <x:v>uncertainty_acknowledgement; confidence_calibration; scope_limitation</x:v>
      </x:c>
      <x:c r="X928" s="13" t="str">
        <x:v>stanovich_dual_process</x:v>
      </x:c>
      <x:c r="Y928" s="13" t="str">
        <x:v>https://global.oup.com/academic/product/rationality-and-the-reflective-mind-9780195341140</x:v>
      </x:c>
      <x:c r="Z928" s="13" t="str">
        <x:v>Review before enabling. This workbook is a living taxonomy scaffold, not a validated scientific benchmark.</x:v>
      </x:c>
      <x:c r="AA928" s="13" t="str">
        <x:v>0.1.0-draft</x:v>
      </x:c>
      <x:c r="AB928" s="12" t="str">
        <x:f>IF(ISNUMBER(SEARCH("healthy",F928)),"healthy_reasoning_patterns",IF(ISNUMBER(SEARCH("statistical",F928)),"statistical_reasoning",IF(ISNUMBER(SEARCH("causal",F928)),"causal_reasoning",IF(ISNUMBER(SEARCH("social",F928)),"social_influence",IF(ISNUMBER(SEARCH("rhetoric",F928)),"rhetoric_discourse",IF(ISNUMBER(SEARCH("behavior",F928)),"behavioural_economics",IF(ISNUMBER(SEARCH("cognitive",F928)),"cognitive_biases",IF(J928="protective_pattern","healthy_reasoning_patterns",IF(L928="P0","core_mvp","extended_fallacies")))))))))</x:f>
        <x:v>extended_fallacies</x:v>
      </x:c>
      <x:c r="AC928" s="12" t="str">
        <x:f>IF(ISNUMBER(SEARCH("operational",J928)),"operational",IF(ISNUMBER(SEARCH("deprecated",J928)),"deprecated",IF(L928="P0","canonical","recognized_subtype")))</x:f>
        <x:v>operational</x:v>
      </x:c>
      <x:c r="AD928" s="12" t="str">
        <x:f>IF(AC928="canonical","high",IF(AC928="recognized_subtype","medium",IF(AC928="operational","operational_only","debated")))</x:f>
        <x:v>operational_only</x:v>
      </x:c>
      <x:c r="AE928" s="12" t="str">
        <x:f>IF(AC928="deprecated","deprecated",IF(M928="yes","active",IF(M928="review","review_required","backlog")))</x:f>
        <x:v>backlog</x:v>
      </x:c>
      <x:c r="AF928" s="12" t="str">
        <x:f>IF(OR(AE928="active",AE928="review_required"),"yes","no")</x:f>
        <x:v>no</x:v>
      </x:c>
      <x:c r="AG928" s="12" t="str">
        <x:f>IF(AND(AE928="active",M928="yes",NOT(ISNUMBER(SEARCH("healthy",AB928)))),"yes","no")</x:f>
        <x:v>no</x:v>
      </x:c>
      <x:c r="AH928" s="12" t="str">
        <x:f>IF(OR(H928="contextual",H928="dialogue",H928="discourse",I928="claim+context",I928="discourse_segment"),"yes","no")</x:f>
        <x:v>no</x:v>
      </x:c>
      <x:c r="AI928" s="12" t="str">
        <x:f>IF(OR(AH928="yes",AD928="debated",AC928="operational"),"yes","no")</x:f>
        <x:v>yes</x:v>
      </x:c>
      <x:c r="AJ928" s="12" t="str">
        <x:f>IF(OR(AH928="yes",AC928="operational",AD928="debated"),"high",IF(AND(AG928="yes",L928="P0"),"medium","low"))</x:f>
        <x:v>high</x:v>
      </x:c>
      <x:c r="AK928" s="12" t="str">
        <x:f>IF(ISNUMBER(SEARCH("healthy",AB928)),"yes","no")</x:f>
        <x:v>no</x:v>
      </x:c>
      <x:c r="AL928" s="12" t="str">
        <x:f>IF(AG928="yes","yes","candidate_only")</x:f>
        <x:v>candidate_only</x:v>
      </x:c>
      <x:c r="AM928" s="12" t="str">
        <x:f>IF(OR(AC928="canonical",AG928="yes"),"yes","recommended")</x:f>
        <x:v>recommended</x:v>
      </x:c>
      <x:c r="AN928" s="12" t="str">
        <x:f>IF(AC928="deprecated","exclude",IF(AND(AG928="yes",AJ928="high"),"import_but_human_review_required",IF(AG928="yes","import_as_active","import_as_backlog")))</x:f>
        <x:v>import_as_backlog</x:v>
      </x:c>
      <x:c r="AO928" s="12" t="str">
        <x:f>IF(AND(AG928="yes",OR(P928="",Q928="",R928="",S928="")),"missing_required_mvp_fields",IF(AND(AC928="canonical",Y928=""),"missing_source_ref","ok"))</x:f>
        <x:v>ok</x:v>
      </x:c>
      <x:c r="AP928" s="12" t="str">
        <x:f>IF(AO928="ok","ready_for_codex_import","needs_review")</x:f>
        <x:v>ready_for_codex_import</x:v>
      </x:c>
      <x:c r="AQ928" s="12"/>
      <x:c r="AR928" s="12" t="str">
        <x:v>Added v2 operational fields. Review before classification activation.</x:v>
      </x:c>
    </x:row>
    <x:row r="929">
      <x:c r="A929" s="13" t="str">
        <x:v>missing_confidence_level_canonical_78</x:v>
      </x:c>
      <x:c r="B929" s="13" t="str">
        <x:v>missing_confidence_level</x:v>
      </x:c>
      <x:c r="C929" s="13" t="str">
        <x:v>Missing confidence level</x:v>
      </x:c>
      <x:c r="D929" s="13" t="str">
        <x:v>نبود سطح اطمینان</x:v>
      </x:c>
      <x:c r="E929" s="13" t="str">
        <x:v>Canonical form</x:v>
      </x:c>
      <x:c r="F929" s="13" t="str">
        <x:v>uncertainty_calibration_failures</x:v>
      </x:c>
      <x:c r="G929" s="13" t="str">
        <x:v>canonical</x:v>
      </x:c>
      <x:c r="H929" s="13" t="str">
        <x:v>lexical</x:v>
      </x:c>
      <x:c r="I929" s="13" t="str">
        <x:v>claim</x:v>
      </x:c>
      <x:c r="J929" s="13" t="str">
        <x:v>derived_operational_subtype</x:v>
      </x:c>
      <x:c r="K929" s="13" t="str">
        <x:v>derived_from_established_parent_review_required</x:v>
      </x:c>
      <x:c r="L929" s="13" t="str">
        <x:v>P3</x:v>
      </x:c>
      <x:c r="M929" s="13" t="str">
        <x:v>no</x:v>
      </x:c>
      <x:c r="N929" s="13" t="str">
        <x:v>Operational subtype under Missing confidence level: uncertainty is understated or miscalibrated. Parent definition: Presenting estimates without uncertainty or confidence framing.</x:v>
      </x:c>
      <x:c r="O929" s="13" t="str">
        <x:v>Look for: explicit claim-level evidence; parent-family cues for Missing confidence level; variant cue: uncertainty is understated or miscalibrated; avoid author-level inference.</x:v>
      </x:c>
      <x:c r="P929" s="13" t="str">
        <x:v>Exact evidence span in text plus claim-level reasoning link; for contextual/discourse entries, require surrounding context.</x:v>
      </x:c>
      <x:c r="Q929" s="13" t="str">
        <x:v>Do not label merely because topic is controversial, emotional, or wrong. Do not judge intent or personality. Require textual evidence and consider healthy-reasoning cues.</x:v>
      </x:c>
      <x:c r="R929" s="13" t="str">
        <x:v>Stub: A claim relies on uncertainty is understated or miscalibrated to support a conclusion without adequate qualification.</x:v>
      </x:c>
      <x:c r="S929" s="13" t="str">
        <x:v>Stub: A claim discusses missing confidence level with caveats, balanced evidence, or no argumentative use of the pattern.</x:v>
      </x:c>
      <x:c r="T929" s="13" t="str">
        <x:v>Mild or ambiguous cue; do not classify without clear evidence span.</x:v>
      </x:c>
      <x:c r="U929" s="13" t="str">
        <x:v>Clear claim-level pattern with some argumentative impact.</x:v>
      </x:c>
      <x:c r="V929" s="13" t="str">
        <x:v>Strong pattern central to the conclusion and likely to materially distort reasoning.</x:v>
      </x:c>
      <x:c r="W929" s="13" t="str">
        <x:v>uncertainty_acknowledgement; confidence_calibration; scope_limitation</x:v>
      </x:c>
      <x:c r="X929" s="13" t="str">
        <x:v>stanovich_dual_process</x:v>
      </x:c>
      <x:c r="Y929" s="13" t="str">
        <x:v>https://global.oup.com/academic/product/rationality-and-the-reflective-mind-9780195341140</x:v>
      </x:c>
      <x:c r="Z929" s="13" t="str">
        <x:v>Review before enabling. This workbook is a living taxonomy scaffold, not a validated scientific benchmark.</x:v>
      </x:c>
      <x:c r="AA929" s="13" t="str">
        <x:v>0.1.0-draft</x:v>
      </x:c>
      <x:c r="AB929" s="12" t="str">
        <x:f>IF(ISNUMBER(SEARCH("healthy",F929)),"healthy_reasoning_patterns",IF(ISNUMBER(SEARCH("statistical",F929)),"statistical_reasoning",IF(ISNUMBER(SEARCH("causal",F929)),"causal_reasoning",IF(ISNUMBER(SEARCH("social",F929)),"social_influence",IF(ISNUMBER(SEARCH("rhetoric",F929)),"rhetoric_discourse",IF(ISNUMBER(SEARCH("behavior",F929)),"behavioural_economics",IF(ISNUMBER(SEARCH("cognitive",F929)),"cognitive_biases",IF(J929="protective_pattern","healthy_reasoning_patterns",IF(L929="P0","core_mvp","extended_fallacies")))))))))</x:f>
        <x:v>extended_fallacies</x:v>
      </x:c>
      <x:c r="AC929" s="12" t="str">
        <x:f>IF(ISNUMBER(SEARCH("operational",J929)),"operational",IF(ISNUMBER(SEARCH("deprecated",J929)),"deprecated",IF(L929="P0","canonical","recognized_subtype")))</x:f>
        <x:v>operational</x:v>
      </x:c>
      <x:c r="AD929" s="12" t="str">
        <x:f>IF(AC929="canonical","high",IF(AC929="recognized_subtype","medium",IF(AC929="operational","operational_only","debated")))</x:f>
        <x:v>operational_only</x:v>
      </x:c>
      <x:c r="AE929" s="12" t="str">
        <x:f>IF(AC929="deprecated","deprecated",IF(M929="yes","active",IF(M929="review","review_required","backlog")))</x:f>
        <x:v>backlog</x:v>
      </x:c>
      <x:c r="AF929" s="12" t="str">
        <x:f>IF(OR(AE929="active",AE929="review_required"),"yes","no")</x:f>
        <x:v>no</x:v>
      </x:c>
      <x:c r="AG929" s="12" t="str">
        <x:f>IF(AND(AE929="active",M929="yes",NOT(ISNUMBER(SEARCH("healthy",AB929)))),"yes","no")</x:f>
        <x:v>no</x:v>
      </x:c>
      <x:c r="AH929" s="12" t="str">
        <x:f>IF(OR(H929="contextual",H929="dialogue",H929="discourse",I929="claim+context",I929="discourse_segment"),"yes","no")</x:f>
        <x:v>no</x:v>
      </x:c>
      <x:c r="AI929" s="12" t="str">
        <x:f>IF(OR(AH929="yes",AD929="debated",AC929="operational"),"yes","no")</x:f>
        <x:v>yes</x:v>
      </x:c>
      <x:c r="AJ929" s="12" t="str">
        <x:f>IF(OR(AH929="yes",AC929="operational",AD929="debated"),"high",IF(AND(AG929="yes",L929="P0"),"medium","low"))</x:f>
        <x:v>high</x:v>
      </x:c>
      <x:c r="AK929" s="12" t="str">
        <x:f>IF(ISNUMBER(SEARCH("healthy",AB929)),"yes","no")</x:f>
        <x:v>no</x:v>
      </x:c>
      <x:c r="AL929" s="12" t="str">
        <x:f>IF(AG929="yes","yes","candidate_only")</x:f>
        <x:v>candidate_only</x:v>
      </x:c>
      <x:c r="AM929" s="12" t="str">
        <x:f>IF(OR(AC929="canonical",AG929="yes"),"yes","recommended")</x:f>
        <x:v>recommended</x:v>
      </x:c>
      <x:c r="AN929" s="12" t="str">
        <x:f>IF(AC929="deprecated","exclude",IF(AND(AG929="yes",AJ929="high"),"import_but_human_review_required",IF(AG929="yes","import_as_active","import_as_backlog")))</x:f>
        <x:v>import_as_backlog</x:v>
      </x:c>
      <x:c r="AO929" s="12" t="str">
        <x:f>IF(AND(AG929="yes",OR(P929="",Q929="",R929="",S929="")),"missing_required_mvp_fields",IF(AND(AC929="canonical",Y929=""),"missing_source_ref","ok"))</x:f>
        <x:v>ok</x:v>
      </x:c>
      <x:c r="AP929" s="12" t="str">
        <x:f>IF(AO929="ok","ready_for_codex_import","needs_review")</x:f>
        <x:v>ready_for_codex_import</x:v>
      </x:c>
      <x:c r="AQ929" s="12"/>
      <x:c r="AR929" s="12" t="str">
        <x:v>Added v2 operational fields. Review before classification activation.</x:v>
      </x:c>
    </x:row>
    <x:row r="930">
      <x:c r="A930" s="13" t="str">
        <x:v>forecast_horizon_neglect_canonical_79</x:v>
      </x:c>
      <x:c r="B930" s="13" t="str">
        <x:v>forecast_horizon_neglect</x:v>
      </x:c>
      <x:c r="C930" s="13" t="str">
        <x:v>Forecast horizon neglect</x:v>
      </x:c>
      <x:c r="D930" s="13" t="str">
        <x:v>نادیده‌گرفتن افق پیش‌بینی</x:v>
      </x:c>
      <x:c r="E930" s="13" t="str">
        <x:v>Canonical form</x:v>
      </x:c>
      <x:c r="F930" s="13" t="str">
        <x:v>uncertainty_calibration_failures</x:v>
      </x:c>
      <x:c r="G930" s="13" t="str">
        <x:v>canonical</x:v>
      </x:c>
      <x:c r="H930" s="13" t="str">
        <x:v>contextual</x:v>
      </x:c>
      <x:c r="I930" s="13" t="str">
        <x:v>claim+context</x:v>
      </x:c>
      <x:c r="J930" s="13" t="str">
        <x:v>derived_operational_subtype</x:v>
      </x:c>
      <x:c r="K930" s="13" t="str">
        <x:v>derived_from_established_parent_review_required</x:v>
      </x:c>
      <x:c r="L930" s="13" t="str">
        <x:v>P3</x:v>
      </x:c>
      <x:c r="M930" s="13" t="str">
        <x:v>no</x:v>
      </x:c>
      <x:c r="N930" s="13" t="str">
        <x:v>Operational subtype under Forecast horizon neglect: uncertainty is understated or miscalibrated. Parent definition: Making forecasts without specifying the time horizon.</x:v>
      </x:c>
      <x:c r="O930" s="13" t="str">
        <x:v>Look for: explicit claim-level evidence; parent-family cues for Forecast horizon neglect; variant cue: uncertainty is understated or miscalibrated; avoid author-level inference.</x:v>
      </x:c>
      <x:c r="P930" s="13" t="str">
        <x:v>Exact evidence span in text plus claim-level reasoning link; for contextual/discourse entries, require surrounding context.</x:v>
      </x:c>
      <x:c r="Q930" s="13" t="str">
        <x:v>Do not label merely because topic is controversial, emotional, or wrong. Do not judge intent or personality. Require textual evidence and consider healthy-reasoning cues.</x:v>
      </x:c>
      <x:c r="R930" s="13" t="str">
        <x:v>Stub: A claim relies on uncertainty is understated or miscalibrated to support a conclusion without adequate qualification.</x:v>
      </x:c>
      <x:c r="S930" s="13" t="str">
        <x:v>Stub: A claim discusses forecast horizon neglect with caveats, balanced evidence, or no argumentative use of the pattern.</x:v>
      </x:c>
      <x:c r="T930" s="13" t="str">
        <x:v>Mild or ambiguous cue; do not classify without clear evidence span.</x:v>
      </x:c>
      <x:c r="U930" s="13" t="str">
        <x:v>Clear claim-level pattern with some argumentative impact.</x:v>
      </x:c>
      <x:c r="V930" s="13" t="str">
        <x:v>Strong pattern central to the conclusion and likely to materially distort reasoning.</x:v>
      </x:c>
      <x:c r="W930" s="13" t="str">
        <x:v>uncertainty_acknowledgement; confidence_calibration; scope_limitation</x:v>
      </x:c>
      <x:c r="X930" s="13" t="str">
        <x:v>stanovich_dual_process</x:v>
      </x:c>
      <x:c r="Y930" s="13" t="str">
        <x:v>https://global.oup.com/academic/product/rationality-and-the-reflective-mind-9780195341140</x:v>
      </x:c>
      <x:c r="Z930" s="13" t="str">
        <x:v>Review before enabling. This workbook is a living taxonomy scaffold, not a validated scientific benchmark.</x:v>
      </x:c>
      <x:c r="AA930" s="13" t="str">
        <x:v>0.1.0-draft</x:v>
      </x:c>
      <x:c r="AB930" s="12" t="str">
        <x:f>IF(ISNUMBER(SEARCH("healthy",F930)),"healthy_reasoning_patterns",IF(ISNUMBER(SEARCH("statistical",F930)),"statistical_reasoning",IF(ISNUMBER(SEARCH("causal",F930)),"causal_reasoning",IF(ISNUMBER(SEARCH("social",F930)),"social_influence",IF(ISNUMBER(SEARCH("rhetoric",F930)),"rhetoric_discourse",IF(ISNUMBER(SEARCH("behavior",F930)),"behavioural_economics",IF(ISNUMBER(SEARCH("cognitive",F930)),"cognitive_biases",IF(J930="protective_pattern","healthy_reasoning_patterns",IF(L930="P0","core_mvp","extended_fallacies")))))))))</x:f>
        <x:v>extended_fallacies</x:v>
      </x:c>
      <x:c r="AC930" s="12" t="str">
        <x:f>IF(ISNUMBER(SEARCH("operational",J930)),"operational",IF(ISNUMBER(SEARCH("deprecated",J930)),"deprecated",IF(L930="P0","canonical","recognized_subtype")))</x:f>
        <x:v>operational</x:v>
      </x:c>
      <x:c r="AD930" s="12" t="str">
        <x:f>IF(AC930="canonical","high",IF(AC930="recognized_subtype","medium",IF(AC930="operational","operational_only","debated")))</x:f>
        <x:v>operational_only</x:v>
      </x:c>
      <x:c r="AE930" s="12" t="str">
        <x:f>IF(AC930="deprecated","deprecated",IF(M930="yes","active",IF(M930="review","review_required","backlog")))</x:f>
        <x:v>backlog</x:v>
      </x:c>
      <x:c r="AF930" s="12" t="str">
        <x:f>IF(OR(AE930="active",AE930="review_required"),"yes","no")</x:f>
        <x:v>no</x:v>
      </x:c>
      <x:c r="AG930" s="12" t="str">
        <x:f>IF(AND(AE930="active",M930="yes",NOT(ISNUMBER(SEARCH("healthy",AB930)))),"yes","no")</x:f>
        <x:v>no</x:v>
      </x:c>
      <x:c r="AH930" s="12" t="str">
        <x:f>IF(OR(H930="contextual",H930="dialogue",H930="discourse",I930="claim+context",I930="discourse_segment"),"yes","no")</x:f>
        <x:v>yes</x:v>
      </x:c>
      <x:c r="AI930" s="12" t="str">
        <x:f>IF(OR(AH930="yes",AD930="debated",AC930="operational"),"yes","no")</x:f>
        <x:v>yes</x:v>
      </x:c>
      <x:c r="AJ930" s="12" t="str">
        <x:f>IF(OR(AH930="yes",AC930="operational",AD930="debated"),"high",IF(AND(AG930="yes",L930="P0"),"medium","low"))</x:f>
        <x:v>high</x:v>
      </x:c>
      <x:c r="AK930" s="12" t="str">
        <x:f>IF(ISNUMBER(SEARCH("healthy",AB930)),"yes","no")</x:f>
        <x:v>no</x:v>
      </x:c>
      <x:c r="AL930" s="12" t="str">
        <x:f>IF(AG930="yes","yes","candidate_only")</x:f>
        <x:v>candidate_only</x:v>
      </x:c>
      <x:c r="AM930" s="12" t="str">
        <x:f>IF(OR(AC930="canonical",AG930="yes"),"yes","recommended")</x:f>
        <x:v>recommended</x:v>
      </x:c>
      <x:c r="AN930" s="12" t="str">
        <x:f>IF(AC930="deprecated","exclude",IF(AND(AG930="yes",AJ930="high"),"import_but_human_review_required",IF(AG930="yes","import_as_active","import_as_backlog")))</x:f>
        <x:v>import_as_backlog</x:v>
      </x:c>
      <x:c r="AO930" s="12" t="str">
        <x:f>IF(AND(AG930="yes",OR(P930="",Q930="",R930="",S930="")),"missing_required_mvp_fields",IF(AND(AC930="canonical",Y930=""),"missing_source_ref","ok"))</x:f>
        <x:v>ok</x:v>
      </x:c>
      <x:c r="AP930" s="12" t="str">
        <x:f>IF(AO930="ok","ready_for_codex_import","needs_review")</x:f>
        <x:v>ready_for_codex_import</x:v>
      </x:c>
      <x:c r="AQ930" s="12"/>
      <x:c r="AR930" s="12" t="str">
        <x:v>Added v2 operational fields. Review before classification activation.</x:v>
      </x:c>
    </x:row>
    <x:row r="931">
      <x:c r="A931" s="13" t="str">
        <x:v>trend_extrapolation_overreach_canonical_80</x:v>
      </x:c>
      <x:c r="B931" s="13" t="str">
        <x:v>trend_extrapolation_overreach</x:v>
      </x:c>
      <x:c r="C931" s="13" t="str">
        <x:v>Trend extrapolation overreach</x:v>
      </x:c>
      <x:c r="D931" s="13" t="str">
        <x:v>برون‌یابی افراطی روند</x:v>
      </x:c>
      <x:c r="E931" s="13" t="str">
        <x:v>Canonical form</x:v>
      </x:c>
      <x:c r="F931" s="13" t="str">
        <x:v>uncertainty_calibration_failures</x:v>
      </x:c>
      <x:c r="G931" s="13" t="str">
        <x:v>canonical</x:v>
      </x:c>
      <x:c r="H931" s="13" t="str">
        <x:v>contextual</x:v>
      </x:c>
      <x:c r="I931" s="13" t="str">
        <x:v>claim+context</x:v>
      </x:c>
      <x:c r="J931" s="13" t="str">
        <x:v>derived_operational_subtype</x:v>
      </x:c>
      <x:c r="K931" s="13" t="str">
        <x:v>derived_from_established_parent_review_required</x:v>
      </x:c>
      <x:c r="L931" s="13" t="str">
        <x:v>P3</x:v>
      </x:c>
      <x:c r="M931" s="13" t="str">
        <x:v>no</x:v>
      </x:c>
      <x:c r="N931" s="13" t="str">
        <x:v>Operational subtype under Trend extrapolation overreach: uncertainty is understated or miscalibrated. Parent definition: Extending a trend beyond evidence without caveats.</x:v>
      </x:c>
      <x:c r="O931" s="13" t="str">
        <x:v>Look for: explicit claim-level evidence; parent-family cues for Trend extrapolation overreach; variant cue: uncertainty is understated or miscalibrated; avoid author-level inference.</x:v>
      </x:c>
      <x:c r="P931" s="13" t="str">
        <x:v>Exact evidence span in text plus claim-level reasoning link; for contextual/discourse entries, require surrounding context.</x:v>
      </x:c>
      <x:c r="Q931" s="13" t="str">
        <x:v>Do not label merely because topic is controversial, emotional, or wrong. Do not judge intent or personality. Require textual evidence and consider healthy-reasoning cues.</x:v>
      </x:c>
      <x:c r="R931" s="13" t="str">
        <x:v>Stub: A claim relies on uncertainty is understated or miscalibrated to support a conclusion without adequate qualification.</x:v>
      </x:c>
      <x:c r="S931" s="13" t="str">
        <x:v>Stub: A claim discusses trend extrapolation overreach with caveats, balanced evidence, or no argumentative use of the pattern.</x:v>
      </x:c>
      <x:c r="T931" s="13" t="str">
        <x:v>Mild or ambiguous cue; do not classify without clear evidence span.</x:v>
      </x:c>
      <x:c r="U931" s="13" t="str">
        <x:v>Clear claim-level pattern with some argumentative impact.</x:v>
      </x:c>
      <x:c r="V931" s="13" t="str">
        <x:v>Strong pattern central to the conclusion and likely to materially distort reasoning.</x:v>
      </x:c>
      <x:c r="W931" s="13" t="str">
        <x:v>cherry_picking; missing_counterevidence; evidence_grading</x:v>
      </x:c>
      <x:c r="X931" s="13" t="str">
        <x:v>stanovich_dual_process</x:v>
      </x:c>
      <x:c r="Y931" s="13" t="str">
        <x:v>https://global.oup.com/academic/product/rationality-and-the-reflective-mind-9780195341140</x:v>
      </x:c>
      <x:c r="Z931" s="13" t="str">
        <x:v>Review before enabling. This workbook is a living taxonomy scaffold, not a validated scientific benchmark.</x:v>
      </x:c>
      <x:c r="AA931" s="13" t="str">
        <x:v>0.1.0-draft</x:v>
      </x:c>
      <x:c r="AB931" s="12" t="str">
        <x:f>IF(ISNUMBER(SEARCH("healthy",F931)),"healthy_reasoning_patterns",IF(ISNUMBER(SEARCH("statistical",F931)),"statistical_reasoning",IF(ISNUMBER(SEARCH("causal",F931)),"causal_reasoning",IF(ISNUMBER(SEARCH("social",F931)),"social_influence",IF(ISNUMBER(SEARCH("rhetoric",F931)),"rhetoric_discourse",IF(ISNUMBER(SEARCH("behavior",F931)),"behavioural_economics",IF(ISNUMBER(SEARCH("cognitive",F931)),"cognitive_biases",IF(J931="protective_pattern","healthy_reasoning_patterns",IF(L931="P0","core_mvp","extended_fallacies")))))))))</x:f>
        <x:v>extended_fallacies</x:v>
      </x:c>
      <x:c r="AC931" s="12" t="str">
        <x:f>IF(ISNUMBER(SEARCH("operational",J931)),"operational",IF(ISNUMBER(SEARCH("deprecated",J931)),"deprecated",IF(L931="P0","canonical","recognized_subtype")))</x:f>
        <x:v>operational</x:v>
      </x:c>
      <x:c r="AD931" s="12" t="str">
        <x:f>IF(AC931="canonical","high",IF(AC931="recognized_subtype","medium",IF(AC931="operational","operational_only","debated")))</x:f>
        <x:v>operational_only</x:v>
      </x:c>
      <x:c r="AE931" s="12" t="str">
        <x:f>IF(AC931="deprecated","deprecated",IF(M931="yes","active",IF(M931="review","review_required","backlog")))</x:f>
        <x:v>backlog</x:v>
      </x:c>
      <x:c r="AF931" s="12" t="str">
        <x:f>IF(OR(AE931="active",AE931="review_required"),"yes","no")</x:f>
        <x:v>no</x:v>
      </x:c>
      <x:c r="AG931" s="12" t="str">
        <x:f>IF(AND(AE931="active",M931="yes",NOT(ISNUMBER(SEARCH("healthy",AB931)))),"yes","no")</x:f>
        <x:v>no</x:v>
      </x:c>
      <x:c r="AH931" s="12" t="str">
        <x:f>IF(OR(H931="contextual",H931="dialogue",H931="discourse",I931="claim+context",I931="discourse_segment"),"yes","no")</x:f>
        <x:v>yes</x:v>
      </x:c>
      <x:c r="AI931" s="12" t="str">
        <x:f>IF(OR(AH931="yes",AD931="debated",AC931="operational"),"yes","no")</x:f>
        <x:v>yes</x:v>
      </x:c>
      <x:c r="AJ931" s="12" t="str">
        <x:f>IF(OR(AH931="yes",AC931="operational",AD931="debated"),"high",IF(AND(AG931="yes",L931="P0"),"medium","low"))</x:f>
        <x:v>high</x:v>
      </x:c>
      <x:c r="AK931" s="12" t="str">
        <x:f>IF(ISNUMBER(SEARCH("healthy",AB931)),"yes","no")</x:f>
        <x:v>no</x:v>
      </x:c>
      <x:c r="AL931" s="12" t="str">
        <x:f>IF(AG931="yes","yes","candidate_only")</x:f>
        <x:v>candidate_only</x:v>
      </x:c>
      <x:c r="AM931" s="12" t="str">
        <x:f>IF(OR(AC931="canonical",AG931="yes"),"yes","recommended")</x:f>
        <x:v>recommended</x:v>
      </x:c>
      <x:c r="AN931" s="12" t="str">
        <x:f>IF(AC931="deprecated","exclude",IF(AND(AG931="yes",AJ931="high"),"import_but_human_review_required",IF(AG931="yes","import_as_active","import_as_backlog")))</x:f>
        <x:v>import_as_backlog</x:v>
      </x:c>
      <x:c r="AO931" s="12" t="str">
        <x:f>IF(AND(AG931="yes",OR(P931="",Q931="",R931="",S931="")),"missing_required_mvp_fields",IF(AND(AC931="canonical",Y931=""),"missing_source_ref","ok"))</x:f>
        <x:v>ok</x:v>
      </x:c>
      <x:c r="AP931" s="12" t="str">
        <x:f>IF(AO931="ok","ready_for_codex_import","needs_review")</x:f>
        <x:v>ready_for_codex_import</x:v>
      </x:c>
      <x:c r="AQ931" s="12"/>
      <x:c r="AR931" s="12" t="str">
        <x:v>Added v2 operational fields. Review before classification activation.</x:v>
      </x:c>
    </x:row>
    <x:row r="932">
      <x:c r="A932" s="13" t="str">
        <x:v>topic_derailment_canonical</x:v>
      </x:c>
      <x:c r="B932" s="13" t="str">
        <x:v>topic_derailment</x:v>
      </x:c>
      <x:c r="C932" s="13" t="str">
        <x:v>Topic derailment</x:v>
      </x:c>
      <x:c r="D932" s="13" t="str">
        <x:v>خروج از موضوع</x:v>
      </x:c>
      <x:c r="E932" s="13" t="str">
        <x:v>Canonical form</x:v>
      </x:c>
      <x:c r="F932" s="13" t="str">
        <x:v>discourse_pragmatic_failures</x:v>
      </x:c>
      <x:c r="G932" s="13" t="str">
        <x:v>canonical</x:v>
      </x:c>
      <x:c r="H932" s="13" t="str">
        <x:v>dialogue</x:v>
      </x:c>
      <x:c r="I932" s="13" t="str">
        <x:v>discourse_segment</x:v>
      </x:c>
      <x:c r="J932" s="13" t="str">
        <x:v>derived_operational_subtype</x:v>
      </x:c>
      <x:c r="K932" s="13" t="str">
        <x:v>derived_from_established_parent_review_required</x:v>
      </x:c>
      <x:c r="L932" s="13" t="str">
        <x:v>P2</x:v>
      </x:c>
      <x:c r="M932" s="13" t="str">
        <x:v>no</x:v>
      </x:c>
      <x:c r="N932" s="13" t="str">
        <x:v>Operational subtype under Topic derailment: dialogue obligations or pragmatic norms are not met. Parent definition: Moving discussion away from the claim under evaluation.</x:v>
      </x:c>
      <x:c r="O932" s="13" t="str">
        <x:v>Look for: explicit claim-level evidence; parent-family cues for Topic derailment; variant cue: dialogue obligations or pragmatic norms are not met; avoid author-level inference.</x:v>
      </x:c>
      <x:c r="P932" s="13" t="str">
        <x:v>Exact evidence span in text plus claim-level reasoning link; for contextual/discourse entries, require surrounding context.</x:v>
      </x:c>
      <x:c r="Q932" s="13" t="str">
        <x:v>Do not label merely because topic is controversial, emotional, or wrong. Do not judge intent or personality. Require textual evidence and consider healthy-reasoning cues.</x:v>
      </x:c>
      <x:c r="R932" s="13" t="str">
        <x:v>Stub: A claim relies on dialogue obligations or pragmatic norms are not met to support a conclusion without adequate qualification.</x:v>
      </x:c>
      <x:c r="S932" s="13" t="str">
        <x:v>Stub: A claim discusses topic derailment with caveats, balanced evidence, or no argumentative use of the pattern.</x:v>
      </x:c>
      <x:c r="T932" s="13" t="str">
        <x:v>Mild or ambiguous cue; do not classify without clear evidence span.</x:v>
      </x:c>
      <x:c r="U932" s="13" t="str">
        <x:v>Clear claim-level pattern with some argumentative impact.</x:v>
      </x:c>
      <x:c r="V932" s="13" t="str">
        <x:v>Strong pattern central to the conclusion and likely to materially distort reasoning.</x:v>
      </x:c>
      <x:c r="W932" s="13" t="str"/>
      <x:c r="X932" s="13" t="str">
        <x:v>pragmadialectics</x:v>
      </x:c>
      <x:c r="Y932" s="13" t="str">
        <x:v>https://doi.org/10.1017/CBO9780511616389</x:v>
      </x:c>
      <x:c r="Z932" s="13" t="str">
        <x:v>Review before enabling. This workbook is a living taxonomy scaffold, not a validated scientific benchmark.</x:v>
      </x:c>
      <x:c r="AA932" s="13" t="str">
        <x:v>0.1.0-draft</x:v>
      </x:c>
      <x:c r="AB932" s="12" t="str">
        <x:f>IF(ISNUMBER(SEARCH("healthy",F932)),"healthy_reasoning_patterns",IF(ISNUMBER(SEARCH("statistical",F932)),"statistical_reasoning",IF(ISNUMBER(SEARCH("causal",F932)),"causal_reasoning",IF(ISNUMBER(SEARCH("social",F932)),"social_influence",IF(ISNUMBER(SEARCH("rhetoric",F932)),"rhetoric_discourse",IF(ISNUMBER(SEARCH("behavior",F932)),"behavioural_economics",IF(ISNUMBER(SEARCH("cognitive",F932)),"cognitive_biases",IF(J932="protective_pattern","healthy_reasoning_patterns",IF(L932="P0","core_mvp","extended_fallacies")))))))))</x:f>
        <x:v>extended_fallacies</x:v>
      </x:c>
      <x:c r="AC932" s="12" t="str">
        <x:f>IF(ISNUMBER(SEARCH("operational",J932)),"operational",IF(ISNUMBER(SEARCH("deprecated",J932)),"deprecated",IF(L932="P0","canonical","recognized_subtype")))</x:f>
        <x:v>operational</x:v>
      </x:c>
      <x:c r="AD932" s="12" t="str">
        <x:f>IF(AC932="canonical","high",IF(AC932="recognized_subtype","medium",IF(AC932="operational","operational_only","debated")))</x:f>
        <x:v>operational_only</x:v>
      </x:c>
      <x:c r="AE932" s="12" t="str">
        <x:f>IF(AC932="deprecated","deprecated",IF(M932="yes","active",IF(M932="review","review_required","backlog")))</x:f>
        <x:v>backlog</x:v>
      </x:c>
      <x:c r="AF932" s="12" t="str">
        <x:f>IF(OR(AE932="active",AE932="review_required"),"yes","no")</x:f>
        <x:v>no</x:v>
      </x:c>
      <x:c r="AG932" s="12" t="str">
        <x:f>IF(AND(AE932="active",M932="yes",NOT(ISNUMBER(SEARCH("healthy",AB932)))),"yes","no")</x:f>
        <x:v>no</x:v>
      </x:c>
      <x:c r="AH932" s="12" t="str">
        <x:f>IF(OR(H932="contextual",H932="dialogue",H932="discourse",I932="claim+context",I932="discourse_segment"),"yes","no")</x:f>
        <x:v>yes</x:v>
      </x:c>
      <x:c r="AI932" s="12" t="str">
        <x:f>IF(OR(AH932="yes",AD932="debated",AC932="operational"),"yes","no")</x:f>
        <x:v>yes</x:v>
      </x:c>
      <x:c r="AJ932" s="12" t="str">
        <x:f>IF(OR(AH932="yes",AC932="operational",AD932="debated"),"high",IF(AND(AG932="yes",L932="P0"),"medium","low"))</x:f>
        <x:v>high</x:v>
      </x:c>
      <x:c r="AK932" s="12" t="str">
        <x:f>IF(ISNUMBER(SEARCH("healthy",AB932)),"yes","no")</x:f>
        <x:v>no</x:v>
      </x:c>
      <x:c r="AL932" s="12" t="str">
        <x:f>IF(AG932="yes","yes","candidate_only")</x:f>
        <x:v>candidate_only</x:v>
      </x:c>
      <x:c r="AM932" s="12" t="str">
        <x:f>IF(OR(AC932="canonical",AG932="yes"),"yes","recommended")</x:f>
        <x:v>recommended</x:v>
      </x:c>
      <x:c r="AN932" s="12" t="str">
        <x:f>IF(AC932="deprecated","exclude",IF(AND(AG932="yes",AJ932="high"),"import_but_human_review_required",IF(AG932="yes","import_as_active","import_as_backlog")))</x:f>
        <x:v>import_as_backlog</x:v>
      </x:c>
      <x:c r="AO932" s="12" t="str">
        <x:f>IF(AND(AG932="yes",OR(P932="",Q932="",R932="",S932="")),"missing_required_mvp_fields",IF(AND(AC932="canonical",Y932=""),"missing_source_ref","ok"))</x:f>
        <x:v>ok</x:v>
      </x:c>
      <x:c r="AP932" s="12" t="str">
        <x:f>IF(AO932="ok","ready_for_codex_import","needs_review")</x:f>
        <x:v>ready_for_codex_import</x:v>
      </x:c>
      <x:c r="AQ932" s="12"/>
      <x:c r="AR932" s="12" t="str">
        <x:v>Added v2 operational fields. Review before classification activation.</x:v>
      </x:c>
    </x:row>
    <x:row r="933">
      <x:c r="A933" s="13" t="str">
        <x:v>commitment_inconsistency_canonical</x:v>
      </x:c>
      <x:c r="B933" s="13" t="str">
        <x:v>commitment_inconsistency</x:v>
      </x:c>
      <x:c r="C933" s="13" t="str">
        <x:v>Commitment inconsistency</x:v>
      </x:c>
      <x:c r="D933" s="13" t="str">
        <x:v>ناسازگاری تعهدات</x:v>
      </x:c>
      <x:c r="E933" s="13" t="str">
        <x:v>Canonical form</x:v>
      </x:c>
      <x:c r="F933" s="13" t="str">
        <x:v>discourse_pragmatic_failures</x:v>
      </x:c>
      <x:c r="G933" s="13" t="str">
        <x:v>canonical</x:v>
      </x:c>
      <x:c r="H933" s="13" t="str">
        <x:v>dialogue</x:v>
      </x:c>
      <x:c r="I933" s="13" t="str">
        <x:v>discourse_segment</x:v>
      </x:c>
      <x:c r="J933" s="13" t="str">
        <x:v>derived_operational_subtype</x:v>
      </x:c>
      <x:c r="K933" s="13" t="str">
        <x:v>derived_from_established_parent_review_required</x:v>
      </x:c>
      <x:c r="L933" s="13" t="str">
        <x:v>P2</x:v>
      </x:c>
      <x:c r="M933" s="13" t="str">
        <x:v>no</x:v>
      </x:c>
      <x:c r="N933" s="13" t="str">
        <x:v>Operational subtype under Commitment inconsistency: dialogue obligations or pragmatic norms are not met. Parent definition: Maintaining claims that conflict with previously accepted commitments.</x:v>
      </x:c>
      <x:c r="O933" s="13" t="str">
        <x:v>Look for: explicit claim-level evidence; parent-family cues for Commitment inconsistency; variant cue: dialogue obligations or pragmatic norms are not met; avoid author-level inference.</x:v>
      </x:c>
      <x:c r="P933" s="13" t="str">
        <x:v>Exact evidence span in text plus claim-level reasoning link; for contextual/discourse entries, require surrounding context.</x:v>
      </x:c>
      <x:c r="Q933" s="13" t="str">
        <x:v>Do not label merely because topic is controversial, emotional, or wrong. Do not judge intent or personality. Require textual evidence and consider healthy-reasoning cues.</x:v>
      </x:c>
      <x:c r="R933" s="13" t="str">
        <x:v>Stub: A claim relies on dialogue obligations or pragmatic norms are not met to support a conclusion without adequate qualification.</x:v>
      </x:c>
      <x:c r="S933" s="13" t="str">
        <x:v>Stub: A claim discusses commitment inconsistency with caveats, balanced evidence, or no argumentative use of the pattern.</x:v>
      </x:c>
      <x:c r="T933" s="13" t="str">
        <x:v>Mild or ambiguous cue; do not classify without clear evidence span.</x:v>
      </x:c>
      <x:c r="U933" s="13" t="str">
        <x:v>Clear claim-level pattern with some argumentative impact.</x:v>
      </x:c>
      <x:c r="V933" s="13" t="str">
        <x:v>Strong pattern central to the conclusion and likely to materially distort reasoning.</x:v>
      </x:c>
      <x:c r="W933" s="13" t="str"/>
      <x:c r="X933" s="13" t="str">
        <x:v>pragmadialectics</x:v>
      </x:c>
      <x:c r="Y933" s="13" t="str">
        <x:v>https://doi.org/10.1017/CBO9780511616389</x:v>
      </x:c>
      <x:c r="Z933" s="13" t="str">
        <x:v>Review before enabling. This workbook is a living taxonomy scaffold, not a validated scientific benchmark.</x:v>
      </x:c>
      <x:c r="AA933" s="13" t="str">
        <x:v>0.1.0-draft</x:v>
      </x:c>
      <x:c r="AB933" s="12" t="str">
        <x:f>IF(ISNUMBER(SEARCH("healthy",F933)),"healthy_reasoning_patterns",IF(ISNUMBER(SEARCH("statistical",F933)),"statistical_reasoning",IF(ISNUMBER(SEARCH("causal",F933)),"causal_reasoning",IF(ISNUMBER(SEARCH("social",F933)),"social_influence",IF(ISNUMBER(SEARCH("rhetoric",F933)),"rhetoric_discourse",IF(ISNUMBER(SEARCH("behavior",F933)),"behavioural_economics",IF(ISNUMBER(SEARCH("cognitive",F933)),"cognitive_biases",IF(J933="protective_pattern","healthy_reasoning_patterns",IF(L933="P0","core_mvp","extended_fallacies")))))))))</x:f>
        <x:v>extended_fallacies</x:v>
      </x:c>
      <x:c r="AC933" s="12" t="str">
        <x:f>IF(ISNUMBER(SEARCH("operational",J933)),"operational",IF(ISNUMBER(SEARCH("deprecated",J933)),"deprecated",IF(L933="P0","canonical","recognized_subtype")))</x:f>
        <x:v>operational</x:v>
      </x:c>
      <x:c r="AD933" s="12" t="str">
        <x:f>IF(AC933="canonical","high",IF(AC933="recognized_subtype","medium",IF(AC933="operational","operational_only","debated")))</x:f>
        <x:v>operational_only</x:v>
      </x:c>
      <x:c r="AE933" s="12" t="str">
        <x:f>IF(AC933="deprecated","deprecated",IF(M933="yes","active",IF(M933="review","review_required","backlog")))</x:f>
        <x:v>backlog</x:v>
      </x:c>
      <x:c r="AF933" s="12" t="str">
        <x:f>IF(OR(AE933="active",AE933="review_required"),"yes","no")</x:f>
        <x:v>no</x:v>
      </x:c>
      <x:c r="AG933" s="12" t="str">
        <x:f>IF(AND(AE933="active",M933="yes",NOT(ISNUMBER(SEARCH("healthy",AB933)))),"yes","no")</x:f>
        <x:v>no</x:v>
      </x:c>
      <x:c r="AH933" s="12" t="str">
        <x:f>IF(OR(H933="contextual",H933="dialogue",H933="discourse",I933="claim+context",I933="discourse_segment"),"yes","no")</x:f>
        <x:v>yes</x:v>
      </x:c>
      <x:c r="AI933" s="12" t="str">
        <x:f>IF(OR(AH933="yes",AD933="debated",AC933="operational"),"yes","no")</x:f>
        <x:v>yes</x:v>
      </x:c>
      <x:c r="AJ933" s="12" t="str">
        <x:f>IF(OR(AH933="yes",AC933="operational",AD933="debated"),"high",IF(AND(AG933="yes",L933="P0"),"medium","low"))</x:f>
        <x:v>high</x:v>
      </x:c>
      <x:c r="AK933" s="12" t="str">
        <x:f>IF(ISNUMBER(SEARCH("healthy",AB933)),"yes","no")</x:f>
        <x:v>no</x:v>
      </x:c>
      <x:c r="AL933" s="12" t="str">
        <x:f>IF(AG933="yes","yes","candidate_only")</x:f>
        <x:v>candidate_only</x:v>
      </x:c>
      <x:c r="AM933" s="12" t="str">
        <x:f>IF(OR(AC933="canonical",AG933="yes"),"yes","recommended")</x:f>
        <x:v>recommended</x:v>
      </x:c>
      <x:c r="AN933" s="12" t="str">
        <x:f>IF(AC933="deprecated","exclude",IF(AND(AG933="yes",AJ933="high"),"import_but_human_review_required",IF(AG933="yes","import_as_active","import_as_backlog")))</x:f>
        <x:v>import_as_backlog</x:v>
      </x:c>
      <x:c r="AO933" s="12" t="str">
        <x:f>IF(AND(AG933="yes",OR(P933="",Q933="",R933="",S933="")),"missing_required_mvp_fields",IF(AND(AC933="canonical",Y933=""),"missing_source_ref","ok"))</x:f>
        <x:v>ok</x:v>
      </x:c>
      <x:c r="AP933" s="12" t="str">
        <x:f>IF(AO933="ok","ready_for_codex_import","needs_review")</x:f>
        <x:v>ready_for_codex_import</x:v>
      </x:c>
      <x:c r="AQ933" s="12"/>
      <x:c r="AR933" s="12" t="str">
        <x:v>Added v2 operational fields. Review before classification activation.</x:v>
      </x:c>
    </x:row>
    <x:row r="934">
      <x:c r="A934" s="13" t="str">
        <x:v>unanswered_critical_question_canonical</x:v>
      </x:c>
      <x:c r="B934" s="13" t="str">
        <x:v>unanswered_critical_question</x:v>
      </x:c>
      <x:c r="C934" s="13" t="str">
        <x:v>Unanswered critical question</x:v>
      </x:c>
      <x:c r="D934" s="13" t="str">
        <x:v>پرسش انتقادی بی‌پاسخ</x:v>
      </x:c>
      <x:c r="E934" s="13" t="str">
        <x:v>Canonical form</x:v>
      </x:c>
      <x:c r="F934" s="13" t="str">
        <x:v>discourse_pragmatic_failures</x:v>
      </x:c>
      <x:c r="G934" s="13" t="str">
        <x:v>canonical</x:v>
      </x:c>
      <x:c r="H934" s="13" t="str">
        <x:v>dialogue</x:v>
      </x:c>
      <x:c r="I934" s="13" t="str">
        <x:v>discourse_segment</x:v>
      </x:c>
      <x:c r="J934" s="13" t="str">
        <x:v>derived_operational_subtype</x:v>
      </x:c>
      <x:c r="K934" s="13" t="str">
        <x:v>derived_from_established_parent_review_required</x:v>
      </x:c>
      <x:c r="L934" s="13" t="str">
        <x:v>P2</x:v>
      </x:c>
      <x:c r="M934" s="13" t="str">
        <x:v>no</x:v>
      </x:c>
      <x:c r="N934" s="13" t="str">
        <x:v>Operational subtype under Unanswered critical question: dialogue obligations or pragmatic norms are not met. Parent definition: Ignoring critical questions required by an argument scheme.</x:v>
      </x:c>
      <x:c r="O934" s="13" t="str">
        <x:v>Look for: explicit claim-level evidence; parent-family cues for Unanswered critical question; variant cue: dialogue obligations or pragmatic norms are not met; avoid author-level inference.</x:v>
      </x:c>
      <x:c r="P934" s="13" t="str">
        <x:v>Exact evidence span in text plus claim-level reasoning link; for contextual/discourse entries, require surrounding context.</x:v>
      </x:c>
      <x:c r="Q934" s="13" t="str">
        <x:v>Do not label merely because topic is controversial, emotional, or wrong. Do not judge intent or personality. Require textual evidence and consider healthy-reasoning cues.</x:v>
      </x:c>
      <x:c r="R934" s="13" t="str">
        <x:v>Stub: A claim relies on dialogue obligations or pragmatic norms are not met to support a conclusion without adequate qualification.</x:v>
      </x:c>
      <x:c r="S934" s="13" t="str">
        <x:v>Stub: A claim discusses unanswered critical question with caveats, balanced evidence, or no argumentative use of the pattern.</x:v>
      </x:c>
      <x:c r="T934" s="13" t="str">
        <x:v>Mild or ambiguous cue; do not classify without clear evidence span.</x:v>
      </x:c>
      <x:c r="U934" s="13" t="str">
        <x:v>Clear claim-level pattern with some argumentative impact.</x:v>
      </x:c>
      <x:c r="V934" s="13" t="str">
        <x:v>Strong pattern central to the conclusion and likely to materially distort reasoning.</x:v>
      </x:c>
      <x:c r="W934" s="13" t="str"/>
      <x:c r="X934" s="13" t="str">
        <x:v>walton_argumentation_schemes</x:v>
      </x:c>
      <x:c r="Y934" s="13" t="str">
        <x:v>https://www.cambridge.org/core/books/argumentation-schemes/1D013BFA2695C72B14134F2C38B17B85</x:v>
      </x:c>
      <x:c r="Z934" s="13" t="str">
        <x:v>Review before enabling. This workbook is a living taxonomy scaffold, not a validated scientific benchmark.</x:v>
      </x:c>
      <x:c r="AA934" s="13" t="str">
        <x:v>0.1.0-draft</x:v>
      </x:c>
      <x:c r="AB934" s="12" t="str">
        <x:f>IF(ISNUMBER(SEARCH("healthy",F934)),"healthy_reasoning_patterns",IF(ISNUMBER(SEARCH("statistical",F934)),"statistical_reasoning",IF(ISNUMBER(SEARCH("causal",F934)),"causal_reasoning",IF(ISNUMBER(SEARCH("social",F934)),"social_influence",IF(ISNUMBER(SEARCH("rhetoric",F934)),"rhetoric_discourse",IF(ISNUMBER(SEARCH("behavior",F934)),"behavioural_economics",IF(ISNUMBER(SEARCH("cognitive",F934)),"cognitive_biases",IF(J934="protective_pattern","healthy_reasoning_patterns",IF(L934="P0","core_mvp","extended_fallacies")))))))))</x:f>
        <x:v>extended_fallacies</x:v>
      </x:c>
      <x:c r="AC934" s="12" t="str">
        <x:f>IF(ISNUMBER(SEARCH("operational",J934)),"operational",IF(ISNUMBER(SEARCH("deprecated",J934)),"deprecated",IF(L934="P0","canonical","recognized_subtype")))</x:f>
        <x:v>operational</x:v>
      </x:c>
      <x:c r="AD934" s="12" t="str">
        <x:f>IF(AC934="canonical","high",IF(AC934="recognized_subtype","medium",IF(AC934="operational","operational_only","debated")))</x:f>
        <x:v>operational_only</x:v>
      </x:c>
      <x:c r="AE934" s="12" t="str">
        <x:f>IF(AC934="deprecated","deprecated",IF(M934="yes","active",IF(M934="review","review_required","backlog")))</x:f>
        <x:v>backlog</x:v>
      </x:c>
      <x:c r="AF934" s="12" t="str">
        <x:f>IF(OR(AE934="active",AE934="review_required"),"yes","no")</x:f>
        <x:v>no</x:v>
      </x:c>
      <x:c r="AG934" s="12" t="str">
        <x:f>IF(AND(AE934="active",M934="yes",NOT(ISNUMBER(SEARCH("healthy",AB934)))),"yes","no")</x:f>
        <x:v>no</x:v>
      </x:c>
      <x:c r="AH934" s="12" t="str">
        <x:f>IF(OR(H934="contextual",H934="dialogue",H934="discourse",I934="claim+context",I934="discourse_segment"),"yes","no")</x:f>
        <x:v>yes</x:v>
      </x:c>
      <x:c r="AI934" s="12" t="str">
        <x:f>IF(OR(AH934="yes",AD934="debated",AC934="operational"),"yes","no")</x:f>
        <x:v>yes</x:v>
      </x:c>
      <x:c r="AJ934" s="12" t="str">
        <x:f>IF(OR(AH934="yes",AC934="operational",AD934="debated"),"high",IF(AND(AG934="yes",L934="P0"),"medium","low"))</x:f>
        <x:v>high</x:v>
      </x:c>
      <x:c r="AK934" s="12" t="str">
        <x:f>IF(ISNUMBER(SEARCH("healthy",AB934)),"yes","no")</x:f>
        <x:v>no</x:v>
      </x:c>
      <x:c r="AL934" s="12" t="str">
        <x:f>IF(AG934="yes","yes","candidate_only")</x:f>
        <x:v>candidate_only</x:v>
      </x:c>
      <x:c r="AM934" s="12" t="str">
        <x:f>IF(OR(AC934="canonical",AG934="yes"),"yes","recommended")</x:f>
        <x:v>recommended</x:v>
      </x:c>
      <x:c r="AN934" s="12" t="str">
        <x:f>IF(AC934="deprecated","exclude",IF(AND(AG934="yes",AJ934="high"),"import_but_human_review_required",IF(AG934="yes","import_as_active","import_as_backlog")))</x:f>
        <x:v>import_as_backlog</x:v>
      </x:c>
      <x:c r="AO934" s="12" t="str">
        <x:f>IF(AND(AG934="yes",OR(P934="",Q934="",R934="",S934="")),"missing_required_mvp_fields",IF(AND(AC934="canonical",Y934=""),"missing_source_ref","ok"))</x:f>
        <x:v>ok</x:v>
      </x:c>
      <x:c r="AP934" s="12" t="str">
        <x:f>IF(AO934="ok","ready_for_codex_import","needs_review")</x:f>
        <x:v>ready_for_codex_import</x:v>
      </x:c>
      <x:c r="AQ934" s="12"/>
      <x:c r="AR934" s="12" t="str">
        <x:v>Added v2 operational fields. Review before classification activation.</x:v>
      </x:c>
    </x:row>
    <x:row r="935">
      <x:c r="A935" s="13" t="str">
        <x:v>premature_closure_canonical</x:v>
      </x:c>
      <x:c r="B935" s="13" t="str">
        <x:v>premature_closure</x:v>
      </x:c>
      <x:c r="C935" s="13" t="str">
        <x:v>Premature closure</x:v>
      </x:c>
      <x:c r="D935" s="13" t="str">
        <x:v>بستن زودهنگام بحث</x:v>
      </x:c>
      <x:c r="E935" s="13" t="str">
        <x:v>Canonical form</x:v>
      </x:c>
      <x:c r="F935" s="13" t="str">
        <x:v>discourse_pragmatic_failures</x:v>
      </x:c>
      <x:c r="G935" s="13" t="str">
        <x:v>canonical</x:v>
      </x:c>
      <x:c r="H935" s="13" t="str">
        <x:v>dialogue</x:v>
      </x:c>
      <x:c r="I935" s="13" t="str">
        <x:v>discourse_segment</x:v>
      </x:c>
      <x:c r="J935" s="13" t="str">
        <x:v>derived_operational_subtype</x:v>
      </x:c>
      <x:c r="K935" s="13" t="str">
        <x:v>derived_from_established_parent_review_required</x:v>
      </x:c>
      <x:c r="L935" s="13" t="str">
        <x:v>P2</x:v>
      </x:c>
      <x:c r="M935" s="13" t="str">
        <x:v>no</x:v>
      </x:c>
      <x:c r="N935" s="13" t="str">
        <x:v>Operational subtype under Premature closure: dialogue obligations or pragmatic norms are not met. Parent definition: Ending inquiry before relevant objections or alternatives are considered.</x:v>
      </x:c>
      <x:c r="O935" s="13" t="str">
        <x:v>Look for: explicit claim-level evidence; parent-family cues for Premature closure; variant cue: dialogue obligations or pragmatic norms are not met; avoid author-level inference.</x:v>
      </x:c>
      <x:c r="P935" s="13" t="str">
        <x:v>Exact evidence span in text plus claim-level reasoning link; for contextual/discourse entries, require surrounding context.</x:v>
      </x:c>
      <x:c r="Q935" s="13" t="str">
        <x:v>Do not label merely because topic is controversial, emotional, or wrong. Do not judge intent or personality. Require textual evidence and consider healthy-reasoning cues.</x:v>
      </x:c>
      <x:c r="R935" s="13" t="str">
        <x:v>Stub: A claim relies on dialogue obligations or pragmatic norms are not met to support a conclusion without adequate qualification.</x:v>
      </x:c>
      <x:c r="S935" s="13" t="str">
        <x:v>Stub: A claim discusses premature closure with caveats, balanced evidence, or no argumentative use of the pattern.</x:v>
      </x:c>
      <x:c r="T935" s="13" t="str">
        <x:v>Mild or ambiguous cue; do not classify without clear evidence span.</x:v>
      </x:c>
      <x:c r="U935" s="13" t="str">
        <x:v>Clear claim-level pattern with some argumentative impact.</x:v>
      </x:c>
      <x:c r="V935" s="13" t="str">
        <x:v>Strong pattern central to the conclusion and likely to materially distort reasoning.</x:v>
      </x:c>
      <x:c r="W935" s="13" t="str"/>
      <x:c r="X935" s="13" t="str">
        <x:v>pragmadialectics</x:v>
      </x:c>
      <x:c r="Y935" s="13" t="str">
        <x:v>https://doi.org/10.1017/CBO9780511616389</x:v>
      </x:c>
      <x:c r="Z935" s="13" t="str">
        <x:v>Review before enabling. This workbook is a living taxonomy scaffold, not a validated scientific benchmark.</x:v>
      </x:c>
      <x:c r="AA935" s="13" t="str">
        <x:v>0.1.0-draft</x:v>
      </x:c>
      <x:c r="AB935" s="12" t="str">
        <x:f>IF(ISNUMBER(SEARCH("healthy",F935)),"healthy_reasoning_patterns",IF(ISNUMBER(SEARCH("statistical",F935)),"statistical_reasoning",IF(ISNUMBER(SEARCH("causal",F935)),"causal_reasoning",IF(ISNUMBER(SEARCH("social",F935)),"social_influence",IF(ISNUMBER(SEARCH("rhetoric",F935)),"rhetoric_discourse",IF(ISNUMBER(SEARCH("behavior",F935)),"behavioural_economics",IF(ISNUMBER(SEARCH("cognitive",F935)),"cognitive_biases",IF(J935="protective_pattern","healthy_reasoning_patterns",IF(L935="P0","core_mvp","extended_fallacies")))))))))</x:f>
        <x:v>extended_fallacies</x:v>
      </x:c>
      <x:c r="AC935" s="12" t="str">
        <x:f>IF(ISNUMBER(SEARCH("operational",J935)),"operational",IF(ISNUMBER(SEARCH("deprecated",J935)),"deprecated",IF(L935="P0","canonical","recognized_subtype")))</x:f>
        <x:v>operational</x:v>
      </x:c>
      <x:c r="AD935" s="12" t="str">
        <x:f>IF(AC935="canonical","high",IF(AC935="recognized_subtype","medium",IF(AC935="operational","operational_only","debated")))</x:f>
        <x:v>operational_only</x:v>
      </x:c>
      <x:c r="AE935" s="12" t="str">
        <x:f>IF(AC935="deprecated","deprecated",IF(M935="yes","active",IF(M935="review","review_required","backlog")))</x:f>
        <x:v>backlog</x:v>
      </x:c>
      <x:c r="AF935" s="12" t="str">
        <x:f>IF(OR(AE935="active",AE935="review_required"),"yes","no")</x:f>
        <x:v>no</x:v>
      </x:c>
      <x:c r="AG935" s="12" t="str">
        <x:f>IF(AND(AE935="active",M935="yes",NOT(ISNUMBER(SEARCH("healthy",AB935)))),"yes","no")</x:f>
        <x:v>no</x:v>
      </x:c>
      <x:c r="AH935" s="12" t="str">
        <x:f>IF(OR(H935="contextual",H935="dialogue",H935="discourse",I935="claim+context",I935="discourse_segment"),"yes","no")</x:f>
        <x:v>yes</x:v>
      </x:c>
      <x:c r="AI935" s="12" t="str">
        <x:f>IF(OR(AH935="yes",AD935="debated",AC935="operational"),"yes","no")</x:f>
        <x:v>yes</x:v>
      </x:c>
      <x:c r="AJ935" s="12" t="str">
        <x:f>IF(OR(AH935="yes",AC935="operational",AD935="debated"),"high",IF(AND(AG935="yes",L935="P0"),"medium","low"))</x:f>
        <x:v>high</x:v>
      </x:c>
      <x:c r="AK935" s="12" t="str">
        <x:f>IF(ISNUMBER(SEARCH("healthy",AB935)),"yes","no")</x:f>
        <x:v>no</x:v>
      </x:c>
      <x:c r="AL935" s="12" t="str">
        <x:f>IF(AG935="yes","yes","candidate_only")</x:f>
        <x:v>candidate_only</x:v>
      </x:c>
      <x:c r="AM935" s="12" t="str">
        <x:f>IF(OR(AC935="canonical",AG935="yes"),"yes","recommended")</x:f>
        <x:v>recommended</x:v>
      </x:c>
      <x:c r="AN935" s="12" t="str">
        <x:f>IF(AC935="deprecated","exclude",IF(AND(AG935="yes",AJ935="high"),"import_but_human_review_required",IF(AG935="yes","import_as_active","import_as_backlog")))</x:f>
        <x:v>import_as_backlog</x:v>
      </x:c>
      <x:c r="AO935" s="12" t="str">
        <x:f>IF(AND(AG935="yes",OR(P935="",Q935="",R935="",S935="")),"missing_required_mvp_fields",IF(AND(AC935="canonical",Y935=""),"missing_source_ref","ok"))</x:f>
        <x:v>ok</x:v>
      </x:c>
      <x:c r="AP935" s="12" t="str">
        <x:f>IF(AO935="ok","ready_for_codex_import","needs_review")</x:f>
        <x:v>ready_for_codex_import</x:v>
      </x:c>
      <x:c r="AQ935" s="12"/>
      <x:c r="AR935" s="12" t="str">
        <x:v>Added v2 operational fields. Review before classification activation.</x:v>
      </x:c>
    </x:row>
    <x:row r="936">
      <x:c r="A936" s="13" t="str">
        <x:v>criterion_shifting_canonical</x:v>
      </x:c>
      <x:c r="B936" s="13" t="str">
        <x:v>criterion_shifting</x:v>
      </x:c>
      <x:c r="C936" s="13" t="str">
        <x:v>Criterion shifting</x:v>
      </x:c>
      <x:c r="D936" s="13" t="str">
        <x:v>تغییر معیار</x:v>
      </x:c>
      <x:c r="E936" s="13" t="str">
        <x:v>Canonical form</x:v>
      </x:c>
      <x:c r="F936" s="13" t="str">
        <x:v>discourse_pragmatic_failures</x:v>
      </x:c>
      <x:c r="G936" s="13" t="str">
        <x:v>canonical</x:v>
      </x:c>
      <x:c r="H936" s="13" t="str">
        <x:v>dialogue</x:v>
      </x:c>
      <x:c r="I936" s="13" t="str">
        <x:v>discourse_segment</x:v>
      </x:c>
      <x:c r="J936" s="13" t="str">
        <x:v>derived_operational_subtype</x:v>
      </x:c>
      <x:c r="K936" s="13" t="str">
        <x:v>derived_from_established_parent_review_required</x:v>
      </x:c>
      <x:c r="L936" s="13" t="str">
        <x:v>P2</x:v>
      </x:c>
      <x:c r="M936" s="13" t="str">
        <x:v>no</x:v>
      </x:c>
      <x:c r="N936" s="13" t="str">
        <x:v>Operational subtype under Criterion shifting: dialogue obligations or pragmatic norms are not met. Parent definition: Changing evaluation criteria without stating the change.</x:v>
      </x:c>
      <x:c r="O936" s="13" t="str">
        <x:v>Look for: explicit claim-level evidence; parent-family cues for Criterion shifting; variant cue: dialogue obligations or pragmatic norms are not met; avoid author-level inference.</x:v>
      </x:c>
      <x:c r="P936" s="13" t="str">
        <x:v>Exact evidence span in text plus claim-level reasoning link; for contextual/discourse entries, require surrounding context.</x:v>
      </x:c>
      <x:c r="Q936" s="13" t="str">
        <x:v>Do not label merely because topic is controversial, emotional, or wrong. Do not judge intent or personality. Require textual evidence and consider healthy-reasoning cues.</x:v>
      </x:c>
      <x:c r="R936" s="13" t="str">
        <x:v>Stub: A claim relies on dialogue obligations or pragmatic norms are not met to support a conclusion without adequate qualification.</x:v>
      </x:c>
      <x:c r="S936" s="13" t="str">
        <x:v>Stub: A claim discusses criterion shifting with caveats, balanced evidence, or no argumentative use of the pattern.</x:v>
      </x:c>
      <x:c r="T936" s="13" t="str">
        <x:v>Mild or ambiguous cue; do not classify without clear evidence span.</x:v>
      </x:c>
      <x:c r="U936" s="13" t="str">
        <x:v>Clear claim-level pattern with some argumentative impact.</x:v>
      </x:c>
      <x:c r="V936" s="13" t="str">
        <x:v>Strong pattern central to the conclusion and likely to materially distort reasoning.</x:v>
      </x:c>
      <x:c r="W936" s="13" t="str"/>
      <x:c r="X936" s="13" t="str">
        <x:v>pragmadialectics</x:v>
      </x:c>
      <x:c r="Y936" s="13" t="str">
        <x:v>https://doi.org/10.1017/CBO9780511616389</x:v>
      </x:c>
      <x:c r="Z936" s="13" t="str">
        <x:v>Review before enabling. This workbook is a living taxonomy scaffold, not a validated scientific benchmark.</x:v>
      </x:c>
      <x:c r="AA936" s="13" t="str">
        <x:v>0.1.0-draft</x:v>
      </x:c>
      <x:c r="AB936" s="12" t="str">
        <x:f>IF(ISNUMBER(SEARCH("healthy",F936)),"healthy_reasoning_patterns",IF(ISNUMBER(SEARCH("statistical",F936)),"statistical_reasoning",IF(ISNUMBER(SEARCH("causal",F936)),"causal_reasoning",IF(ISNUMBER(SEARCH("social",F936)),"social_influence",IF(ISNUMBER(SEARCH("rhetoric",F936)),"rhetoric_discourse",IF(ISNUMBER(SEARCH("behavior",F936)),"behavioural_economics",IF(ISNUMBER(SEARCH("cognitive",F936)),"cognitive_biases",IF(J936="protective_pattern","healthy_reasoning_patterns",IF(L936="P0","core_mvp","extended_fallacies")))))))))</x:f>
        <x:v>extended_fallacies</x:v>
      </x:c>
      <x:c r="AC936" s="12" t="str">
        <x:f>IF(ISNUMBER(SEARCH("operational",J936)),"operational",IF(ISNUMBER(SEARCH("deprecated",J936)),"deprecated",IF(L936="P0","canonical","recognized_subtype")))</x:f>
        <x:v>operational</x:v>
      </x:c>
      <x:c r="AD936" s="12" t="str">
        <x:f>IF(AC936="canonical","high",IF(AC936="recognized_subtype","medium",IF(AC936="operational","operational_only","debated")))</x:f>
        <x:v>operational_only</x:v>
      </x:c>
      <x:c r="AE936" s="12" t="str">
        <x:f>IF(AC936="deprecated","deprecated",IF(M936="yes","active",IF(M936="review","review_required","backlog")))</x:f>
        <x:v>backlog</x:v>
      </x:c>
      <x:c r="AF936" s="12" t="str">
        <x:f>IF(OR(AE936="active",AE936="review_required"),"yes","no")</x:f>
        <x:v>no</x:v>
      </x:c>
      <x:c r="AG936" s="12" t="str">
        <x:f>IF(AND(AE936="active",M936="yes",NOT(ISNUMBER(SEARCH("healthy",AB936)))),"yes","no")</x:f>
        <x:v>no</x:v>
      </x:c>
      <x:c r="AH936" s="12" t="str">
        <x:f>IF(OR(H936="contextual",H936="dialogue",H936="discourse",I936="claim+context",I936="discourse_segment"),"yes","no")</x:f>
        <x:v>yes</x:v>
      </x:c>
      <x:c r="AI936" s="12" t="str">
        <x:f>IF(OR(AH936="yes",AD936="debated",AC936="operational"),"yes","no")</x:f>
        <x:v>yes</x:v>
      </x:c>
      <x:c r="AJ936" s="12" t="str">
        <x:f>IF(OR(AH936="yes",AC936="operational",AD936="debated"),"high",IF(AND(AG936="yes",L936="P0"),"medium","low"))</x:f>
        <x:v>high</x:v>
      </x:c>
      <x:c r="AK936" s="12" t="str">
        <x:f>IF(ISNUMBER(SEARCH("healthy",AB936)),"yes","no")</x:f>
        <x:v>no</x:v>
      </x:c>
      <x:c r="AL936" s="12" t="str">
        <x:f>IF(AG936="yes","yes","candidate_only")</x:f>
        <x:v>candidate_only</x:v>
      </x:c>
      <x:c r="AM936" s="12" t="str">
        <x:f>IF(OR(AC936="canonical",AG936="yes"),"yes","recommended")</x:f>
        <x:v>recommended</x:v>
      </x:c>
      <x:c r="AN936" s="12" t="str">
        <x:f>IF(AC936="deprecated","exclude",IF(AND(AG936="yes",AJ936="high"),"import_but_human_review_required",IF(AG936="yes","import_as_active","import_as_backlog")))</x:f>
        <x:v>import_as_backlog</x:v>
      </x:c>
      <x:c r="AO936" s="12" t="str">
        <x:f>IF(AND(AG936="yes",OR(P936="",Q936="",R936="",S936="")),"missing_required_mvp_fields",IF(AND(AC936="canonical",Y936=""),"missing_source_ref","ok"))</x:f>
        <x:v>ok</x:v>
      </x:c>
      <x:c r="AP936" s="12" t="str">
        <x:f>IF(AO936="ok","ready_for_codex_import","needs_review")</x:f>
        <x:v>ready_for_codex_import</x:v>
      </x:c>
      <x:c r="AQ936" s="12"/>
      <x:c r="AR936" s="12" t="str">
        <x:v>Added v2 operational fields. Review before classification activation.</x:v>
      </x:c>
    </x:row>
    <x:row r="937">
      <x:c r="A937" s="13" t="str">
        <x:v>ambiguity_exploitation_canonical</x:v>
      </x:c>
      <x:c r="B937" s="13" t="str">
        <x:v>ambiguity_exploitation</x:v>
      </x:c>
      <x:c r="C937" s="13" t="str">
        <x:v>Ambiguity exploitation</x:v>
      </x:c>
      <x:c r="D937" s="13" t="str">
        <x:v>بهره‌برداری از ابهام</x:v>
      </x:c>
      <x:c r="E937" s="13" t="str">
        <x:v>Canonical form</x:v>
      </x:c>
      <x:c r="F937" s="13" t="str">
        <x:v>discourse_pragmatic_failures</x:v>
      </x:c>
      <x:c r="G937" s="13" t="str">
        <x:v>canonical</x:v>
      </x:c>
      <x:c r="H937" s="13" t="str">
        <x:v>lexical</x:v>
      </x:c>
      <x:c r="I937" s="13" t="str">
        <x:v>claim</x:v>
      </x:c>
      <x:c r="J937" s="13" t="str">
        <x:v>derived_operational_subtype</x:v>
      </x:c>
      <x:c r="K937" s="13" t="str">
        <x:v>derived_from_established_parent_review_required</x:v>
      </x:c>
      <x:c r="L937" s="13" t="str">
        <x:v>P2</x:v>
      </x:c>
      <x:c r="M937" s="13" t="str">
        <x:v>no</x:v>
      </x:c>
      <x:c r="N937" s="13" t="str">
        <x:v>Operational subtype under Ambiguity exploitation: dialogue obligations or pragmatic norms are not met. Parent definition: Using ambiguous wording to maintain multiple interpretations.</x:v>
      </x:c>
      <x:c r="O937" s="13" t="str">
        <x:v>Look for: explicit claim-level evidence; parent-family cues for Ambiguity exploitation; variant cue: dialogue obligations or pragmatic norms are not met; avoid author-level inference.</x:v>
      </x:c>
      <x:c r="P937" s="13" t="str">
        <x:v>Exact evidence span in text plus claim-level reasoning link; for contextual/discourse entries, require surrounding context.</x:v>
      </x:c>
      <x:c r="Q937" s="13" t="str">
        <x:v>Do not label merely because topic is controversial, emotional, or wrong. Do not judge intent or personality. Require textual evidence and consider healthy-reasoning cues.</x:v>
      </x:c>
      <x:c r="R937" s="13" t="str">
        <x:v>Stub: A claim relies on dialogue obligations or pragmatic norms are not met to support a conclusion without adequate qualification.</x:v>
      </x:c>
      <x:c r="S937" s="13" t="str">
        <x:v>Stub: A claim discusses ambiguity exploitation with caveats, balanced evidence, or no argumentative use of the pattern.</x:v>
      </x:c>
      <x:c r="T937" s="13" t="str">
        <x:v>Mild or ambiguous cue; do not classify without clear evidence span.</x:v>
      </x:c>
      <x:c r="U937" s="13" t="str">
        <x:v>Clear claim-level pattern with some argumentative impact.</x:v>
      </x:c>
      <x:c r="V937" s="13" t="str">
        <x:v>Strong pattern central to the conclusion and likely to materially distort reasoning.</x:v>
      </x:c>
      <x:c r="W937" s="13" t="str"/>
      <x:c r="X937" s="13" t="str">
        <x:v>grice_logic_conversation</x:v>
      </x:c>
      <x:c r="Y937" s="13" t="str">
        <x:v>https://doi.org/10.1163/9789004368811_003</x:v>
      </x:c>
      <x:c r="Z937" s="13" t="str">
        <x:v>Review before enabling. This workbook is a living taxonomy scaffold, not a validated scientific benchmark.</x:v>
      </x:c>
      <x:c r="AA937" s="13" t="str">
        <x:v>0.1.0-draft</x:v>
      </x:c>
      <x:c r="AB937" s="12" t="str">
        <x:f>IF(ISNUMBER(SEARCH("healthy",F937)),"healthy_reasoning_patterns",IF(ISNUMBER(SEARCH("statistical",F937)),"statistical_reasoning",IF(ISNUMBER(SEARCH("causal",F937)),"causal_reasoning",IF(ISNUMBER(SEARCH("social",F937)),"social_influence",IF(ISNUMBER(SEARCH("rhetoric",F937)),"rhetoric_discourse",IF(ISNUMBER(SEARCH("behavior",F937)),"behavioural_economics",IF(ISNUMBER(SEARCH("cognitive",F937)),"cognitive_biases",IF(J937="protective_pattern","healthy_reasoning_patterns",IF(L937="P0","core_mvp","extended_fallacies")))))))))</x:f>
        <x:v>extended_fallacies</x:v>
      </x:c>
      <x:c r="AC937" s="12" t="str">
        <x:f>IF(ISNUMBER(SEARCH("operational",J937)),"operational",IF(ISNUMBER(SEARCH("deprecated",J937)),"deprecated",IF(L937="P0","canonical","recognized_subtype")))</x:f>
        <x:v>operational</x:v>
      </x:c>
      <x:c r="AD937" s="12" t="str">
        <x:f>IF(AC937="canonical","high",IF(AC937="recognized_subtype","medium",IF(AC937="operational","operational_only","debated")))</x:f>
        <x:v>operational_only</x:v>
      </x:c>
      <x:c r="AE937" s="12" t="str">
        <x:f>IF(AC937="deprecated","deprecated",IF(M937="yes","active",IF(M937="review","review_required","backlog")))</x:f>
        <x:v>backlog</x:v>
      </x:c>
      <x:c r="AF937" s="12" t="str">
        <x:f>IF(OR(AE937="active",AE937="review_required"),"yes","no")</x:f>
        <x:v>no</x:v>
      </x:c>
      <x:c r="AG937" s="12" t="str">
        <x:f>IF(AND(AE937="active",M937="yes",NOT(ISNUMBER(SEARCH("healthy",AB937)))),"yes","no")</x:f>
        <x:v>no</x:v>
      </x:c>
      <x:c r="AH937" s="12" t="str">
        <x:f>IF(OR(H937="contextual",H937="dialogue",H937="discourse",I937="claim+context",I937="discourse_segment"),"yes","no")</x:f>
        <x:v>no</x:v>
      </x:c>
      <x:c r="AI937" s="12" t="str">
        <x:f>IF(OR(AH937="yes",AD937="debated",AC937="operational"),"yes","no")</x:f>
        <x:v>yes</x:v>
      </x:c>
      <x:c r="AJ937" s="12" t="str">
        <x:f>IF(OR(AH937="yes",AC937="operational",AD937="debated"),"high",IF(AND(AG937="yes",L937="P0"),"medium","low"))</x:f>
        <x:v>high</x:v>
      </x:c>
      <x:c r="AK937" s="12" t="str">
        <x:f>IF(ISNUMBER(SEARCH("healthy",AB937)),"yes","no")</x:f>
        <x:v>no</x:v>
      </x:c>
      <x:c r="AL937" s="12" t="str">
        <x:f>IF(AG937="yes","yes","candidate_only")</x:f>
        <x:v>candidate_only</x:v>
      </x:c>
      <x:c r="AM937" s="12" t="str">
        <x:f>IF(OR(AC937="canonical",AG937="yes"),"yes","recommended")</x:f>
        <x:v>recommended</x:v>
      </x:c>
      <x:c r="AN937" s="12" t="str">
        <x:f>IF(AC937="deprecated","exclude",IF(AND(AG937="yes",AJ937="high"),"import_but_human_review_required",IF(AG937="yes","import_as_active","import_as_backlog")))</x:f>
        <x:v>import_as_backlog</x:v>
      </x:c>
      <x:c r="AO937" s="12" t="str">
        <x:f>IF(AND(AG937="yes",OR(P937="",Q937="",R937="",S937="")),"missing_required_mvp_fields",IF(AND(AC937="canonical",Y937=""),"missing_source_ref","ok"))</x:f>
        <x:v>ok</x:v>
      </x:c>
      <x:c r="AP937" s="12" t="str">
        <x:f>IF(AO937="ok","ready_for_codex_import","needs_review")</x:f>
        <x:v>ready_for_codex_import</x:v>
      </x:c>
      <x:c r="AQ937" s="12"/>
      <x:c r="AR937" s="12" t="str">
        <x:v>Added v2 operational fields. Review before classification activation.</x:v>
      </x:c>
    </x:row>
    <x:row r="938">
      <x:c r="A938" s="13" t="str">
        <x:v>burden_overload_canonical</x:v>
      </x:c>
      <x:c r="B938" s="13" t="str">
        <x:v>burden_overload</x:v>
      </x:c>
      <x:c r="C938" s="13" t="str">
        <x:v>Burden overload</x:v>
      </x:c>
      <x:c r="D938" s="13" t="str">
        <x:v>بار اثبات نامتناسب</x:v>
      </x:c>
      <x:c r="E938" s="13" t="str">
        <x:v>Canonical form</x:v>
      </x:c>
      <x:c r="F938" s="13" t="str">
        <x:v>discourse_pragmatic_failures</x:v>
      </x:c>
      <x:c r="G938" s="13" t="str">
        <x:v>canonical</x:v>
      </x:c>
      <x:c r="H938" s="13" t="str">
        <x:v>dialogue</x:v>
      </x:c>
      <x:c r="I938" s="13" t="str">
        <x:v>discourse_segment</x:v>
      </x:c>
      <x:c r="J938" s="13" t="str">
        <x:v>derived_operational_subtype</x:v>
      </x:c>
      <x:c r="K938" s="13" t="str">
        <x:v>derived_from_established_parent_review_required</x:v>
      </x:c>
      <x:c r="L938" s="13" t="str">
        <x:v>P2</x:v>
      </x:c>
      <x:c r="M938" s="13" t="str">
        <x:v>no</x:v>
      </x:c>
      <x:c r="N938" s="13" t="str">
        <x:v>Operational subtype under Burden overload: dialogue obligations or pragmatic norms are not met. Parent definition: Demanding an unrealistic standard from one side while offering less support oneself.</x:v>
      </x:c>
      <x:c r="O938" s="13" t="str">
        <x:v>Look for: explicit claim-level evidence; parent-family cues for Burden overload; variant cue: dialogue obligations or pragmatic norms are not met; avoid author-level inference.</x:v>
      </x:c>
      <x:c r="P938" s="13" t="str">
        <x:v>Exact evidence span in text plus claim-level reasoning link; for contextual/discourse entries, require surrounding context.</x:v>
      </x:c>
      <x:c r="Q938" s="13" t="str">
        <x:v>Do not label merely because topic is controversial, emotional, or wrong. Do not judge intent or personality. Require textual evidence and consider healthy-reasoning cues.</x:v>
      </x:c>
      <x:c r="R938" s="13" t="str">
        <x:v>Stub: A claim relies on dialogue obligations or pragmatic norms are not met to support a conclusion without adequate qualification.</x:v>
      </x:c>
      <x:c r="S938" s="13" t="str">
        <x:v>Stub: A claim discusses burden overload with caveats, balanced evidence, or no argumentative use of the pattern.</x:v>
      </x:c>
      <x:c r="T938" s="13" t="str">
        <x:v>Mild or ambiguous cue; do not classify without clear evidence span.</x:v>
      </x:c>
      <x:c r="U938" s="13" t="str">
        <x:v>Clear claim-level pattern with some argumentative impact.</x:v>
      </x:c>
      <x:c r="V938" s="13" t="str">
        <x:v>Strong pattern central to the conclusion and likely to materially distort reasoning.</x:v>
      </x:c>
      <x:c r="W938" s="13" t="str"/>
      <x:c r="X938" s="13" t="str">
        <x:v>pragmadialectics</x:v>
      </x:c>
      <x:c r="Y938" s="13" t="str">
        <x:v>https://doi.org/10.1017/CBO9780511616389</x:v>
      </x:c>
      <x:c r="Z938" s="13" t="str">
        <x:v>Review before enabling. This workbook is a living taxonomy scaffold, not a validated scientific benchmark.</x:v>
      </x:c>
      <x:c r="AA938" s="13" t="str">
        <x:v>0.1.0-draft</x:v>
      </x:c>
      <x:c r="AB938" s="12" t="str">
        <x:f>IF(ISNUMBER(SEARCH("healthy",F938)),"healthy_reasoning_patterns",IF(ISNUMBER(SEARCH("statistical",F938)),"statistical_reasoning",IF(ISNUMBER(SEARCH("causal",F938)),"causal_reasoning",IF(ISNUMBER(SEARCH("social",F938)),"social_influence",IF(ISNUMBER(SEARCH("rhetoric",F938)),"rhetoric_discourse",IF(ISNUMBER(SEARCH("behavior",F938)),"behavioural_economics",IF(ISNUMBER(SEARCH("cognitive",F938)),"cognitive_biases",IF(J938="protective_pattern","healthy_reasoning_patterns",IF(L938="P0","core_mvp","extended_fallacies")))))))))</x:f>
        <x:v>extended_fallacies</x:v>
      </x:c>
      <x:c r="AC938" s="12" t="str">
        <x:f>IF(ISNUMBER(SEARCH("operational",J938)),"operational",IF(ISNUMBER(SEARCH("deprecated",J938)),"deprecated",IF(L938="P0","canonical","recognized_subtype")))</x:f>
        <x:v>operational</x:v>
      </x:c>
      <x:c r="AD938" s="12" t="str">
        <x:f>IF(AC938="canonical","high",IF(AC938="recognized_subtype","medium",IF(AC938="operational","operational_only","debated")))</x:f>
        <x:v>operational_only</x:v>
      </x:c>
      <x:c r="AE938" s="12" t="str">
        <x:f>IF(AC938="deprecated","deprecated",IF(M938="yes","active",IF(M938="review","review_required","backlog")))</x:f>
        <x:v>backlog</x:v>
      </x:c>
      <x:c r="AF938" s="12" t="str">
        <x:f>IF(OR(AE938="active",AE938="review_required"),"yes","no")</x:f>
        <x:v>no</x:v>
      </x:c>
      <x:c r="AG938" s="12" t="str">
        <x:f>IF(AND(AE938="active",M938="yes",NOT(ISNUMBER(SEARCH("healthy",AB938)))),"yes","no")</x:f>
        <x:v>no</x:v>
      </x:c>
      <x:c r="AH938" s="12" t="str">
        <x:f>IF(OR(H938="contextual",H938="dialogue",H938="discourse",I938="claim+context",I938="discourse_segment"),"yes","no")</x:f>
        <x:v>yes</x:v>
      </x:c>
      <x:c r="AI938" s="12" t="str">
        <x:f>IF(OR(AH938="yes",AD938="debated",AC938="operational"),"yes","no")</x:f>
        <x:v>yes</x:v>
      </x:c>
      <x:c r="AJ938" s="12" t="str">
        <x:f>IF(OR(AH938="yes",AC938="operational",AD938="debated"),"high",IF(AND(AG938="yes",L938="P0"),"medium","low"))</x:f>
        <x:v>high</x:v>
      </x:c>
      <x:c r="AK938" s="12" t="str">
        <x:f>IF(ISNUMBER(SEARCH("healthy",AB938)),"yes","no")</x:f>
        <x:v>no</x:v>
      </x:c>
      <x:c r="AL938" s="12" t="str">
        <x:f>IF(AG938="yes","yes","candidate_only")</x:f>
        <x:v>candidate_only</x:v>
      </x:c>
      <x:c r="AM938" s="12" t="str">
        <x:f>IF(OR(AC938="canonical",AG938="yes"),"yes","recommended")</x:f>
        <x:v>recommended</x:v>
      </x:c>
      <x:c r="AN938" s="12" t="str">
        <x:f>IF(AC938="deprecated","exclude",IF(AND(AG938="yes",AJ938="high"),"import_but_human_review_required",IF(AG938="yes","import_as_active","import_as_backlog")))</x:f>
        <x:v>import_as_backlog</x:v>
      </x:c>
      <x:c r="AO938" s="12" t="str">
        <x:f>IF(AND(AG938="yes",OR(P938="",Q938="",R938="",S938="")),"missing_required_mvp_fields",IF(AND(AC938="canonical",Y938=""),"missing_source_ref","ok"))</x:f>
        <x:v>ok</x:v>
      </x:c>
      <x:c r="AP938" s="12" t="str">
        <x:f>IF(AO938="ok","ready_for_codex_import","needs_review")</x:f>
        <x:v>ready_for_codex_import</x:v>
      </x:c>
      <x:c r="AQ938" s="12"/>
      <x:c r="AR938" s="12" t="str">
        <x:v>Added v2 operational fields. Review before classification activation.</x:v>
      </x:c>
    </x:row>
    <x:row r="939">
      <x:c r="A939" s="13" t="str">
        <x:v>uncharitable_interpretation_canonical</x:v>
      </x:c>
      <x:c r="B939" s="13" t="str">
        <x:v>uncharitable_interpretation</x:v>
      </x:c>
      <x:c r="C939" s="13" t="str">
        <x:v>Uncharitable interpretation</x:v>
      </x:c>
      <x:c r="D939" s="13" t="str">
        <x:v>تفسیر نامنصفانه</x:v>
      </x:c>
      <x:c r="E939" s="13" t="str">
        <x:v>Canonical form</x:v>
      </x:c>
      <x:c r="F939" s="13" t="str">
        <x:v>discourse_pragmatic_failures</x:v>
      </x:c>
      <x:c r="G939" s="13" t="str">
        <x:v>canonical</x:v>
      </x:c>
      <x:c r="H939" s="13" t="str">
        <x:v>contextual</x:v>
      </x:c>
      <x:c r="I939" s="13" t="str">
        <x:v>claim+context</x:v>
      </x:c>
      <x:c r="J939" s="13" t="str">
        <x:v>derived_operational_subtype</x:v>
      </x:c>
      <x:c r="K939" s="13" t="str">
        <x:v>derived_from_established_parent_review_required</x:v>
      </x:c>
      <x:c r="L939" s="13" t="str">
        <x:v>P2</x:v>
      </x:c>
      <x:c r="M939" s="13" t="str">
        <x:v>no</x:v>
      </x:c>
      <x:c r="N939" s="13" t="str">
        <x:v>Operational subtype under Uncharitable interpretation: dialogue obligations or pragmatic norms are not met. Parent definition: Interpreting a claim in a weaker or less reasonable way than context supports.</x:v>
      </x:c>
      <x:c r="O939" s="13" t="str">
        <x:v>Look for: explicit claim-level evidence; parent-family cues for Uncharitable interpretation; variant cue: dialogue obligations or pragmatic norms are not met; avoid author-level inference.</x:v>
      </x:c>
      <x:c r="P939" s="13" t="str">
        <x:v>Exact evidence span in text plus claim-level reasoning link; for contextual/discourse entries, require surrounding context.</x:v>
      </x:c>
      <x:c r="Q939" s="13" t="str">
        <x:v>Do not label merely because topic is controversial, emotional, or wrong. Do not judge intent or personality. Require textual evidence and consider healthy-reasoning cues.</x:v>
      </x:c>
      <x:c r="R939" s="13" t="str">
        <x:v>Stub: A claim relies on dialogue obligations or pragmatic norms are not met to support a conclusion without adequate qualification.</x:v>
      </x:c>
      <x:c r="S939" s="13" t="str">
        <x:v>Stub: A claim discusses uncharitable interpretation with caveats, balanced evidence, or no argumentative use of the pattern.</x:v>
      </x:c>
      <x:c r="T939" s="13" t="str">
        <x:v>Mild or ambiguous cue; do not classify without clear evidence span.</x:v>
      </x:c>
      <x:c r="U939" s="13" t="str">
        <x:v>Clear claim-level pattern with some argumentative impact.</x:v>
      </x:c>
      <x:c r="V939" s="13" t="str">
        <x:v>Strong pattern central to the conclusion and likely to materially distort reasoning.</x:v>
      </x:c>
      <x:c r="W939" s="13" t="str"/>
      <x:c r="X939" s="13" t="str">
        <x:v>toulmin_uses_argument</x:v>
      </x:c>
      <x:c r="Y939" s="13" t="str">
        <x:v>https://doi.org/10.1017/CBO9780511840005</x:v>
      </x:c>
      <x:c r="Z939" s="13" t="str">
        <x:v>Review before enabling. This workbook is a living taxonomy scaffold, not a validated scientific benchmark.</x:v>
      </x:c>
      <x:c r="AA939" s="13" t="str">
        <x:v>0.1.0-draft</x:v>
      </x:c>
      <x:c r="AB939" s="12" t="str">
        <x:f>IF(ISNUMBER(SEARCH("healthy",F939)),"healthy_reasoning_patterns",IF(ISNUMBER(SEARCH("statistical",F939)),"statistical_reasoning",IF(ISNUMBER(SEARCH("causal",F939)),"causal_reasoning",IF(ISNUMBER(SEARCH("social",F939)),"social_influence",IF(ISNUMBER(SEARCH("rhetoric",F939)),"rhetoric_discourse",IF(ISNUMBER(SEARCH("behavior",F939)),"behavioural_economics",IF(ISNUMBER(SEARCH("cognitive",F939)),"cognitive_biases",IF(J939="protective_pattern","healthy_reasoning_patterns",IF(L939="P0","core_mvp","extended_fallacies")))))))))</x:f>
        <x:v>extended_fallacies</x:v>
      </x:c>
      <x:c r="AC939" s="12" t="str">
        <x:f>IF(ISNUMBER(SEARCH("operational",J939)),"operational",IF(ISNUMBER(SEARCH("deprecated",J939)),"deprecated",IF(L939="P0","canonical","recognized_subtype")))</x:f>
        <x:v>operational</x:v>
      </x:c>
      <x:c r="AD939" s="12" t="str">
        <x:f>IF(AC939="canonical","high",IF(AC939="recognized_subtype","medium",IF(AC939="operational","operational_only","debated")))</x:f>
        <x:v>operational_only</x:v>
      </x:c>
      <x:c r="AE939" s="12" t="str">
        <x:f>IF(AC939="deprecated","deprecated",IF(M939="yes","active",IF(M939="review","review_required","backlog")))</x:f>
        <x:v>backlog</x:v>
      </x:c>
      <x:c r="AF939" s="12" t="str">
        <x:f>IF(OR(AE939="active",AE939="review_required"),"yes","no")</x:f>
        <x:v>no</x:v>
      </x:c>
      <x:c r="AG939" s="12" t="str">
        <x:f>IF(AND(AE939="active",M939="yes",NOT(ISNUMBER(SEARCH("healthy",AB939)))),"yes","no")</x:f>
        <x:v>no</x:v>
      </x:c>
      <x:c r="AH939" s="12" t="str">
        <x:f>IF(OR(H939="contextual",H939="dialogue",H939="discourse",I939="claim+context",I939="discourse_segment"),"yes","no")</x:f>
        <x:v>yes</x:v>
      </x:c>
      <x:c r="AI939" s="12" t="str">
        <x:f>IF(OR(AH939="yes",AD939="debated",AC939="operational"),"yes","no")</x:f>
        <x:v>yes</x:v>
      </x:c>
      <x:c r="AJ939" s="12" t="str">
        <x:f>IF(OR(AH939="yes",AC939="operational",AD939="debated"),"high",IF(AND(AG939="yes",L939="P0"),"medium","low"))</x:f>
        <x:v>high</x:v>
      </x:c>
      <x:c r="AK939" s="12" t="str">
        <x:f>IF(ISNUMBER(SEARCH("healthy",AB939)),"yes","no")</x:f>
        <x:v>no</x:v>
      </x:c>
      <x:c r="AL939" s="12" t="str">
        <x:f>IF(AG939="yes","yes","candidate_only")</x:f>
        <x:v>candidate_only</x:v>
      </x:c>
      <x:c r="AM939" s="12" t="str">
        <x:f>IF(OR(AC939="canonical",AG939="yes"),"yes","recommended")</x:f>
        <x:v>recommended</x:v>
      </x:c>
      <x:c r="AN939" s="12" t="str">
        <x:f>IF(AC939="deprecated","exclude",IF(AND(AG939="yes",AJ939="high"),"import_but_human_review_required",IF(AG939="yes","import_as_active","import_as_backlog")))</x:f>
        <x:v>import_as_backlog</x:v>
      </x:c>
      <x:c r="AO939" s="12" t="str">
        <x:f>IF(AND(AG939="yes",OR(P939="",Q939="",R939="",S939="")),"missing_required_mvp_fields",IF(AND(AC939="canonical",Y939=""),"missing_source_ref","ok"))</x:f>
        <x:v>ok</x:v>
      </x:c>
      <x:c r="AP939" s="12" t="str">
        <x:f>IF(AO939="ok","ready_for_codex_import","needs_review")</x:f>
        <x:v>ready_for_codex_import</x:v>
      </x:c>
      <x:c r="AQ939" s="12"/>
      <x:c r="AR939" s="12" t="str">
        <x:v>Added v2 operational fields. Review before classification activation.</x:v>
      </x:c>
    </x:row>
    <x:row r="940">
      <x:c r="A940" s="13" t="str">
        <x:v>missing_warrant_canonical</x:v>
      </x:c>
      <x:c r="B940" s="13" t="str">
        <x:v>missing_warrant</x:v>
      </x:c>
      <x:c r="C940" s="13" t="str">
        <x:v>Missing warrant</x:v>
      </x:c>
      <x:c r="D940" s="13" t="str">
        <x:v>نبود پیوند استدلالی</x:v>
      </x:c>
      <x:c r="E940" s="13" t="str">
        <x:v>Canonical form</x:v>
      </x:c>
      <x:c r="F940" s="13" t="str">
        <x:v>discourse_pragmatic_failures</x:v>
      </x:c>
      <x:c r="G940" s="13" t="str">
        <x:v>canonical</x:v>
      </x:c>
      <x:c r="H940" s="13" t="str">
        <x:v>structural</x:v>
      </x:c>
      <x:c r="I940" s="13" t="str">
        <x:v>claim</x:v>
      </x:c>
      <x:c r="J940" s="13" t="str">
        <x:v>derived_operational_subtype</x:v>
      </x:c>
      <x:c r="K940" s="13" t="str">
        <x:v>derived_from_established_parent_review_required</x:v>
      </x:c>
      <x:c r="L940" s="13" t="str">
        <x:v>P2</x:v>
      </x:c>
      <x:c r="M940" s="13" t="str">
        <x:v>no</x:v>
      </x:c>
      <x:c r="N940" s="13" t="str">
        <x:v>Operational subtype under Missing warrant: dialogue obligations or pragmatic norms are not met. Parent definition: The move from evidence to conclusion lacks an explicit or plausible warrant.</x:v>
      </x:c>
      <x:c r="O940" s="13" t="str">
        <x:v>Look for: explicit claim-level evidence; parent-family cues for Missing warrant; variant cue: dialogue obligations or pragmatic norms are not met; avoid author-level inference.</x:v>
      </x:c>
      <x:c r="P940" s="13" t="str">
        <x:v>Exact evidence span in text plus claim-level reasoning link; for contextual/discourse entries, require surrounding context.</x:v>
      </x:c>
      <x:c r="Q940" s="13" t="str">
        <x:v>Do not label merely because topic is controversial, emotional, or wrong. Do not judge intent or personality. Require textual evidence and consider healthy-reasoning cues.</x:v>
      </x:c>
      <x:c r="R940" s="13" t="str">
        <x:v>Stub: A claim relies on dialogue obligations or pragmatic norms are not met to support a conclusion without adequate qualification.</x:v>
      </x:c>
      <x:c r="S940" s="13" t="str">
        <x:v>Stub: A claim discusses missing warrant with caveats, balanced evidence, or no argumentative use of the pattern.</x:v>
      </x:c>
      <x:c r="T940" s="13" t="str">
        <x:v>Mild or ambiguous cue; do not classify without clear evidence span.</x:v>
      </x:c>
      <x:c r="U940" s="13" t="str">
        <x:v>Clear claim-level pattern with some argumentative impact.</x:v>
      </x:c>
      <x:c r="V940" s="13" t="str">
        <x:v>Strong pattern central to the conclusion and likely to materially distort reasoning.</x:v>
      </x:c>
      <x:c r="W940" s="13" t="str">
        <x:v>cherry_picking; missing_counterevidence; evidence_grading</x:v>
      </x:c>
      <x:c r="X940" s="13" t="str">
        <x:v>toulmin_uses_argument</x:v>
      </x:c>
      <x:c r="Y940" s="13" t="str">
        <x:v>https://doi.org/10.1017/CBO9780511840005</x:v>
      </x:c>
      <x:c r="Z940" s="13" t="str">
        <x:v>Review before enabling. This workbook is a living taxonomy scaffold, not a validated scientific benchmark.</x:v>
      </x:c>
      <x:c r="AA940" s="13" t="str">
        <x:v>0.1.0-draft</x:v>
      </x:c>
      <x:c r="AB940" s="12" t="str">
        <x:f>IF(ISNUMBER(SEARCH("healthy",F940)),"healthy_reasoning_patterns",IF(ISNUMBER(SEARCH("statistical",F940)),"statistical_reasoning",IF(ISNUMBER(SEARCH("causal",F940)),"causal_reasoning",IF(ISNUMBER(SEARCH("social",F940)),"social_influence",IF(ISNUMBER(SEARCH("rhetoric",F940)),"rhetoric_discourse",IF(ISNUMBER(SEARCH("behavior",F940)),"behavioural_economics",IF(ISNUMBER(SEARCH("cognitive",F940)),"cognitive_biases",IF(J940="protective_pattern","healthy_reasoning_patterns",IF(L940="P0","core_mvp","extended_fallacies")))))))))</x:f>
        <x:v>extended_fallacies</x:v>
      </x:c>
      <x:c r="AC940" s="12" t="str">
        <x:f>IF(ISNUMBER(SEARCH("operational",J940)),"operational",IF(ISNUMBER(SEARCH("deprecated",J940)),"deprecated",IF(L940="P0","canonical","recognized_subtype")))</x:f>
        <x:v>operational</x:v>
      </x:c>
      <x:c r="AD940" s="12" t="str">
        <x:f>IF(AC940="canonical","high",IF(AC940="recognized_subtype","medium",IF(AC940="operational","operational_only","debated")))</x:f>
        <x:v>operational_only</x:v>
      </x:c>
      <x:c r="AE940" s="12" t="str">
        <x:f>IF(AC940="deprecated","deprecated",IF(M940="yes","active",IF(M940="review","review_required","backlog")))</x:f>
        <x:v>backlog</x:v>
      </x:c>
      <x:c r="AF940" s="12" t="str">
        <x:f>IF(OR(AE940="active",AE940="review_required"),"yes","no")</x:f>
        <x:v>no</x:v>
      </x:c>
      <x:c r="AG940" s="12" t="str">
        <x:f>IF(AND(AE940="active",M940="yes",NOT(ISNUMBER(SEARCH("healthy",AB940)))),"yes","no")</x:f>
        <x:v>no</x:v>
      </x:c>
      <x:c r="AH940" s="12" t="str">
        <x:f>IF(OR(H940="contextual",H940="dialogue",H940="discourse",I940="claim+context",I940="discourse_segment"),"yes","no")</x:f>
        <x:v>no</x:v>
      </x:c>
      <x:c r="AI940" s="12" t="str">
        <x:f>IF(OR(AH940="yes",AD940="debated",AC940="operational"),"yes","no")</x:f>
        <x:v>yes</x:v>
      </x:c>
      <x:c r="AJ940" s="12" t="str">
        <x:f>IF(OR(AH940="yes",AC940="operational",AD940="debated"),"high",IF(AND(AG940="yes",L940="P0"),"medium","low"))</x:f>
        <x:v>high</x:v>
      </x:c>
      <x:c r="AK940" s="12" t="str">
        <x:f>IF(ISNUMBER(SEARCH("healthy",AB940)),"yes","no")</x:f>
        <x:v>no</x:v>
      </x:c>
      <x:c r="AL940" s="12" t="str">
        <x:f>IF(AG940="yes","yes","candidate_only")</x:f>
        <x:v>candidate_only</x:v>
      </x:c>
      <x:c r="AM940" s="12" t="str">
        <x:f>IF(OR(AC940="canonical",AG940="yes"),"yes","recommended")</x:f>
        <x:v>recommended</x:v>
      </x:c>
      <x:c r="AN940" s="12" t="str">
        <x:f>IF(AC940="deprecated","exclude",IF(AND(AG940="yes",AJ940="high"),"import_but_human_review_required",IF(AG940="yes","import_as_active","import_as_backlog")))</x:f>
        <x:v>import_as_backlog</x:v>
      </x:c>
      <x:c r="AO940" s="12" t="str">
        <x:f>IF(AND(AG940="yes",OR(P940="",Q940="",R940="",S940="")),"missing_required_mvp_fields",IF(AND(AC940="canonical",Y940=""),"missing_source_ref","ok"))</x:f>
        <x:v>ok</x:v>
      </x:c>
      <x:c r="AP940" s="12" t="str">
        <x:f>IF(AO940="ok","ready_for_codex_import","needs_review")</x:f>
        <x:v>ready_for_codex_import</x:v>
      </x:c>
      <x:c r="AQ940" s="12"/>
      <x:c r="AR940" s="12" t="str">
        <x:v>Added v2 operational fields. Review before classification activation.</x:v>
      </x:c>
    </x:row>
    <x:row r="941">
      <x:c r="A941" s="13" t="str">
        <x:v>warrant_backing_gap_canonical</x:v>
      </x:c>
      <x:c r="B941" s="13" t="str">
        <x:v>warrant_backing_gap</x:v>
      </x:c>
      <x:c r="C941" s="13" t="str">
        <x:v>Warrant-backing gap</x:v>
      </x:c>
      <x:c r="D941" s="13" t="str">
        <x:v>نبود پشتوانه برای پیوند</x:v>
      </x:c>
      <x:c r="E941" s="13" t="str">
        <x:v>Canonical form</x:v>
      </x:c>
      <x:c r="F941" s="13" t="str">
        <x:v>discourse_pragmatic_failures</x:v>
      </x:c>
      <x:c r="G941" s="13" t="str">
        <x:v>canonical</x:v>
      </x:c>
      <x:c r="H941" s="13" t="str">
        <x:v>structural</x:v>
      </x:c>
      <x:c r="I941" s="13" t="str">
        <x:v>claim</x:v>
      </x:c>
      <x:c r="J941" s="13" t="str">
        <x:v>derived_operational_subtype</x:v>
      </x:c>
      <x:c r="K941" s="13" t="str">
        <x:v>derived_from_established_parent_review_required</x:v>
      </x:c>
      <x:c r="L941" s="13" t="str">
        <x:v>P2</x:v>
      </x:c>
      <x:c r="M941" s="13" t="str">
        <x:v>no</x:v>
      </x:c>
      <x:c r="N941" s="13" t="str">
        <x:v>Operational subtype under Warrant-backing gap: dialogue obligations or pragmatic norms are not met. Parent definition: The warrant itself lacks support.</x:v>
      </x:c>
      <x:c r="O941" s="13" t="str">
        <x:v>Look for: explicit claim-level evidence; parent-family cues for Warrant-backing gap; variant cue: dialogue obligations or pragmatic norms are not met; avoid author-level inference.</x:v>
      </x:c>
      <x:c r="P941" s="13" t="str">
        <x:v>Exact evidence span in text plus claim-level reasoning link; for contextual/discourse entries, require surrounding context.</x:v>
      </x:c>
      <x:c r="Q941" s="13" t="str">
        <x:v>Do not label merely because topic is controversial, emotional, or wrong. Do not judge intent or personality. Require textual evidence and consider healthy-reasoning cues.</x:v>
      </x:c>
      <x:c r="R941" s="13" t="str">
        <x:v>Stub: A claim relies on dialogue obligations or pragmatic norms are not met to support a conclusion without adequate qualification.</x:v>
      </x:c>
      <x:c r="S941" s="13" t="str">
        <x:v>Stub: A claim discusses warrant-backing gap with caveats, balanced evidence, or no argumentative use of the pattern.</x:v>
      </x:c>
      <x:c r="T941" s="13" t="str">
        <x:v>Mild or ambiguous cue; do not classify without clear evidence span.</x:v>
      </x:c>
      <x:c r="U941" s="13" t="str">
        <x:v>Clear claim-level pattern with some argumentative impact.</x:v>
      </x:c>
      <x:c r="V941" s="13" t="str">
        <x:v>Strong pattern central to the conclusion and likely to materially distort reasoning.</x:v>
      </x:c>
      <x:c r="W941" s="13" t="str"/>
      <x:c r="X941" s="13" t="str">
        <x:v>toulmin_uses_argument</x:v>
      </x:c>
      <x:c r="Y941" s="13" t="str">
        <x:v>https://doi.org/10.1017/CBO9780511840005</x:v>
      </x:c>
      <x:c r="Z941" s="13" t="str">
        <x:v>Review before enabling. This workbook is a living taxonomy scaffold, not a validated scientific benchmark.</x:v>
      </x:c>
      <x:c r="AA941" s="13" t="str">
        <x:v>0.1.0-draft</x:v>
      </x:c>
      <x:c r="AB941" s="12" t="str">
        <x:f>IF(ISNUMBER(SEARCH("healthy",F941)),"healthy_reasoning_patterns",IF(ISNUMBER(SEARCH("statistical",F941)),"statistical_reasoning",IF(ISNUMBER(SEARCH("causal",F941)),"causal_reasoning",IF(ISNUMBER(SEARCH("social",F941)),"social_influence",IF(ISNUMBER(SEARCH("rhetoric",F941)),"rhetoric_discourse",IF(ISNUMBER(SEARCH("behavior",F941)),"behavioural_economics",IF(ISNUMBER(SEARCH("cognitive",F941)),"cognitive_biases",IF(J941="protective_pattern","healthy_reasoning_patterns",IF(L941="P0","core_mvp","extended_fallacies")))))))))</x:f>
        <x:v>extended_fallacies</x:v>
      </x:c>
      <x:c r="AC941" s="12" t="str">
        <x:f>IF(ISNUMBER(SEARCH("operational",J941)),"operational",IF(ISNUMBER(SEARCH("deprecated",J941)),"deprecated",IF(L941="P0","canonical","recognized_subtype")))</x:f>
        <x:v>operational</x:v>
      </x:c>
      <x:c r="AD941" s="12" t="str">
        <x:f>IF(AC941="canonical","high",IF(AC941="recognized_subtype","medium",IF(AC941="operational","operational_only","debated")))</x:f>
        <x:v>operational_only</x:v>
      </x:c>
      <x:c r="AE941" s="12" t="str">
        <x:f>IF(AC941="deprecated","deprecated",IF(M941="yes","active",IF(M941="review","review_required","backlog")))</x:f>
        <x:v>backlog</x:v>
      </x:c>
      <x:c r="AF941" s="12" t="str">
        <x:f>IF(OR(AE941="active",AE941="review_required"),"yes","no")</x:f>
        <x:v>no</x:v>
      </x:c>
      <x:c r="AG941" s="12" t="str">
        <x:f>IF(AND(AE941="active",M941="yes",NOT(ISNUMBER(SEARCH("healthy",AB941)))),"yes","no")</x:f>
        <x:v>no</x:v>
      </x:c>
      <x:c r="AH941" s="12" t="str">
        <x:f>IF(OR(H941="contextual",H941="dialogue",H941="discourse",I941="claim+context",I941="discourse_segment"),"yes","no")</x:f>
        <x:v>no</x:v>
      </x:c>
      <x:c r="AI941" s="12" t="str">
        <x:f>IF(OR(AH941="yes",AD941="debated",AC941="operational"),"yes","no")</x:f>
        <x:v>yes</x:v>
      </x:c>
      <x:c r="AJ941" s="12" t="str">
        <x:f>IF(OR(AH941="yes",AC941="operational",AD941="debated"),"high",IF(AND(AG941="yes",L941="P0"),"medium","low"))</x:f>
        <x:v>high</x:v>
      </x:c>
      <x:c r="AK941" s="12" t="str">
        <x:f>IF(ISNUMBER(SEARCH("healthy",AB941)),"yes","no")</x:f>
        <x:v>no</x:v>
      </x:c>
      <x:c r="AL941" s="12" t="str">
        <x:f>IF(AG941="yes","yes","candidate_only")</x:f>
        <x:v>candidate_only</x:v>
      </x:c>
      <x:c r="AM941" s="12" t="str">
        <x:f>IF(OR(AC941="canonical",AG941="yes"),"yes","recommended")</x:f>
        <x:v>recommended</x:v>
      </x:c>
      <x:c r="AN941" s="12" t="str">
        <x:f>IF(AC941="deprecated","exclude",IF(AND(AG941="yes",AJ941="high"),"import_but_human_review_required",IF(AG941="yes","import_as_active","import_as_backlog")))</x:f>
        <x:v>import_as_backlog</x:v>
      </x:c>
      <x:c r="AO941" s="12" t="str">
        <x:f>IF(AND(AG941="yes",OR(P941="",Q941="",R941="",S941="")),"missing_required_mvp_fields",IF(AND(AC941="canonical",Y941=""),"missing_source_ref","ok"))</x:f>
        <x:v>ok</x:v>
      </x:c>
      <x:c r="AP941" s="12" t="str">
        <x:f>IF(AO941="ok","ready_for_codex_import","needs_review")</x:f>
        <x:v>ready_for_codex_import</x:v>
      </x:c>
      <x:c r="AQ941" s="12"/>
      <x:c r="AR941" s="12" t="str">
        <x:v>Added v2 operational fields. Review before classification activation.</x:v>
      </x:c>
    </x:row>
    <x:row r="942">
      <x:c r="A942" s="13" t="str">
        <x:v>qualifier_absence_canonical</x:v>
      </x:c>
      <x:c r="B942" s="13" t="str">
        <x:v>qualifier_absence</x:v>
      </x:c>
      <x:c r="C942" s="13" t="str">
        <x:v>Qualifier absence</x:v>
      </x:c>
      <x:c r="D942" s="13" t="str">
        <x:v>نبود قید اطمینان</x:v>
      </x:c>
      <x:c r="E942" s="13" t="str">
        <x:v>Canonical form</x:v>
      </x:c>
      <x:c r="F942" s="13" t="str">
        <x:v>discourse_pragmatic_failures</x:v>
      </x:c>
      <x:c r="G942" s="13" t="str">
        <x:v>canonical</x:v>
      </x:c>
      <x:c r="H942" s="13" t="str">
        <x:v>lexical</x:v>
      </x:c>
      <x:c r="I942" s="13" t="str">
        <x:v>claim</x:v>
      </x:c>
      <x:c r="J942" s="13" t="str">
        <x:v>derived_operational_subtype</x:v>
      </x:c>
      <x:c r="K942" s="13" t="str">
        <x:v>derived_from_established_parent_review_required</x:v>
      </x:c>
      <x:c r="L942" s="13" t="str">
        <x:v>P2</x:v>
      </x:c>
      <x:c r="M942" s="13" t="str">
        <x:v>no</x:v>
      </x:c>
      <x:c r="N942" s="13" t="str">
        <x:v>Operational subtype under Qualifier absence: dialogue obligations or pragmatic norms are not met. Parent definition: A claim lacks necessary qualifiers given uncertainty.</x:v>
      </x:c>
      <x:c r="O942" s="13" t="str">
        <x:v>Look for: explicit claim-level evidence; parent-family cues for Qualifier absence; variant cue: dialogue obligations or pragmatic norms are not met; avoid author-level inference.</x:v>
      </x:c>
      <x:c r="P942" s="13" t="str">
        <x:v>Exact evidence span in text plus claim-level reasoning link; for contextual/discourse entries, require surrounding context.</x:v>
      </x:c>
      <x:c r="Q942" s="13" t="str">
        <x:v>Do not label merely because topic is controversial, emotional, or wrong. Do not judge intent or personality. Require textual evidence and consider healthy-reasoning cues.</x:v>
      </x:c>
      <x:c r="R942" s="13" t="str">
        <x:v>Stub: A claim relies on dialogue obligations or pragmatic norms are not met to support a conclusion without adequate qualification.</x:v>
      </x:c>
      <x:c r="S942" s="13" t="str">
        <x:v>Stub: A claim discusses qualifier absence with caveats, balanced evidence, or no argumentative use of the pattern.</x:v>
      </x:c>
      <x:c r="T942" s="13" t="str">
        <x:v>Mild or ambiguous cue; do not classify without clear evidence span.</x:v>
      </x:c>
      <x:c r="U942" s="13" t="str">
        <x:v>Clear claim-level pattern with some argumentative impact.</x:v>
      </x:c>
      <x:c r="V942" s="13" t="str">
        <x:v>Strong pattern central to the conclusion and likely to materially distort reasoning.</x:v>
      </x:c>
      <x:c r="W942" s="13" t="str"/>
      <x:c r="X942" s="13" t="str">
        <x:v>toulmin_uses_argument</x:v>
      </x:c>
      <x:c r="Y942" s="13" t="str">
        <x:v>https://doi.org/10.1017/CBO9780511840005</x:v>
      </x:c>
      <x:c r="Z942" s="13" t="str">
        <x:v>Review before enabling. This workbook is a living taxonomy scaffold, not a validated scientific benchmark.</x:v>
      </x:c>
      <x:c r="AA942" s="13" t="str">
        <x:v>0.1.0-draft</x:v>
      </x:c>
      <x:c r="AB942" s="12" t="str">
        <x:f>IF(ISNUMBER(SEARCH("healthy",F942)),"healthy_reasoning_patterns",IF(ISNUMBER(SEARCH("statistical",F942)),"statistical_reasoning",IF(ISNUMBER(SEARCH("causal",F942)),"causal_reasoning",IF(ISNUMBER(SEARCH("social",F942)),"social_influence",IF(ISNUMBER(SEARCH("rhetoric",F942)),"rhetoric_discourse",IF(ISNUMBER(SEARCH("behavior",F942)),"behavioural_economics",IF(ISNUMBER(SEARCH("cognitive",F942)),"cognitive_biases",IF(J942="protective_pattern","healthy_reasoning_patterns",IF(L942="P0","core_mvp","extended_fallacies")))))))))</x:f>
        <x:v>extended_fallacies</x:v>
      </x:c>
      <x:c r="AC942" s="12" t="str">
        <x:f>IF(ISNUMBER(SEARCH("operational",J942)),"operational",IF(ISNUMBER(SEARCH("deprecated",J942)),"deprecated",IF(L942="P0","canonical","recognized_subtype")))</x:f>
        <x:v>operational</x:v>
      </x:c>
      <x:c r="AD942" s="12" t="str">
        <x:f>IF(AC942="canonical","high",IF(AC942="recognized_subtype","medium",IF(AC942="operational","operational_only","debated")))</x:f>
        <x:v>operational_only</x:v>
      </x:c>
      <x:c r="AE942" s="12" t="str">
        <x:f>IF(AC942="deprecated","deprecated",IF(M942="yes","active",IF(M942="review","review_required","backlog")))</x:f>
        <x:v>backlog</x:v>
      </x:c>
      <x:c r="AF942" s="12" t="str">
        <x:f>IF(OR(AE942="active",AE942="review_required"),"yes","no")</x:f>
        <x:v>no</x:v>
      </x:c>
      <x:c r="AG942" s="12" t="str">
        <x:f>IF(AND(AE942="active",M942="yes",NOT(ISNUMBER(SEARCH("healthy",AB942)))),"yes","no")</x:f>
        <x:v>no</x:v>
      </x:c>
      <x:c r="AH942" s="12" t="str">
        <x:f>IF(OR(H942="contextual",H942="dialogue",H942="discourse",I942="claim+context",I942="discourse_segment"),"yes","no")</x:f>
        <x:v>no</x:v>
      </x:c>
      <x:c r="AI942" s="12" t="str">
        <x:f>IF(OR(AH942="yes",AD942="debated",AC942="operational"),"yes","no")</x:f>
        <x:v>yes</x:v>
      </x:c>
      <x:c r="AJ942" s="12" t="str">
        <x:f>IF(OR(AH942="yes",AC942="operational",AD942="debated"),"high",IF(AND(AG942="yes",L942="P0"),"medium","low"))</x:f>
        <x:v>high</x:v>
      </x:c>
      <x:c r="AK942" s="12" t="str">
        <x:f>IF(ISNUMBER(SEARCH("healthy",AB942)),"yes","no")</x:f>
        <x:v>no</x:v>
      </x:c>
      <x:c r="AL942" s="12" t="str">
        <x:f>IF(AG942="yes","yes","candidate_only")</x:f>
        <x:v>candidate_only</x:v>
      </x:c>
      <x:c r="AM942" s="12" t="str">
        <x:f>IF(OR(AC942="canonical",AG942="yes"),"yes","recommended")</x:f>
        <x:v>recommended</x:v>
      </x:c>
      <x:c r="AN942" s="12" t="str">
        <x:f>IF(AC942="deprecated","exclude",IF(AND(AG942="yes",AJ942="high"),"import_but_human_review_required",IF(AG942="yes","import_as_active","import_as_backlog")))</x:f>
        <x:v>import_as_backlog</x:v>
      </x:c>
      <x:c r="AO942" s="12" t="str">
        <x:f>IF(AND(AG942="yes",OR(P942="",Q942="",R942="",S942="")),"missing_required_mvp_fields",IF(AND(AC942="canonical",Y942=""),"missing_source_ref","ok"))</x:f>
        <x:v>ok</x:v>
      </x:c>
      <x:c r="AP942" s="12" t="str">
        <x:f>IF(AO942="ok","ready_for_codex_import","needs_review")</x:f>
        <x:v>ready_for_codex_import</x:v>
      </x:c>
      <x:c r="AQ942" s="12"/>
      <x:c r="AR942" s="12" t="str">
        <x:v>Added v2 operational fields. Review before classification activation.</x:v>
      </x:c>
    </x:row>
    <x:row r="943">
      <x:c r="A943" s="13" t="str">
        <x:v>rebuttal_suppression_canonical</x:v>
      </x:c>
      <x:c r="B943" s="13" t="str">
        <x:v>rebuttal_suppression</x:v>
      </x:c>
      <x:c r="C943" s="13" t="str">
        <x:v>Rebuttal suppression</x:v>
      </x:c>
      <x:c r="D943" s="13" t="str">
        <x:v>حذف استثنا یا ردیه</x:v>
      </x:c>
      <x:c r="E943" s="13" t="str">
        <x:v>Canonical form</x:v>
      </x:c>
      <x:c r="F943" s="13" t="str">
        <x:v>discourse_pragmatic_failures</x:v>
      </x:c>
      <x:c r="G943" s="13" t="str">
        <x:v>canonical</x:v>
      </x:c>
      <x:c r="H943" s="13" t="str">
        <x:v>contextual</x:v>
      </x:c>
      <x:c r="I943" s="13" t="str">
        <x:v>claim+context</x:v>
      </x:c>
      <x:c r="J943" s="13" t="str">
        <x:v>derived_operational_subtype</x:v>
      </x:c>
      <x:c r="K943" s="13" t="str">
        <x:v>derived_from_established_parent_review_required</x:v>
      </x:c>
      <x:c r="L943" s="13" t="str">
        <x:v>P2</x:v>
      </x:c>
      <x:c r="M943" s="13" t="str">
        <x:v>no</x:v>
      </x:c>
      <x:c r="N943" s="13" t="str">
        <x:v>Operational subtype under Rebuttal suppression: dialogue obligations or pragmatic norms are not met. Parent definition: Known exceptions or rebuttals are omitted.</x:v>
      </x:c>
      <x:c r="O943" s="13" t="str">
        <x:v>Look for: explicit claim-level evidence; parent-family cues for Rebuttal suppression; variant cue: dialogue obligations or pragmatic norms are not met; avoid author-level inference.</x:v>
      </x:c>
      <x:c r="P943" s="13" t="str">
        <x:v>Exact evidence span in text plus claim-level reasoning link; for contextual/discourse entries, require surrounding context.</x:v>
      </x:c>
      <x:c r="Q943" s="13" t="str">
        <x:v>Do not label merely because topic is controversial, emotional, or wrong. Do not judge intent or personality. Require textual evidence and consider healthy-reasoning cues.</x:v>
      </x:c>
      <x:c r="R943" s="13" t="str">
        <x:v>Stub: A claim relies on dialogue obligations or pragmatic norms are not met to support a conclusion without adequate qualification.</x:v>
      </x:c>
      <x:c r="S943" s="13" t="str">
        <x:v>Stub: A claim discusses rebuttal suppression with caveats, balanced evidence, or no argumentative use of the pattern.</x:v>
      </x:c>
      <x:c r="T943" s="13" t="str">
        <x:v>Mild or ambiguous cue; do not classify without clear evidence span.</x:v>
      </x:c>
      <x:c r="U943" s="13" t="str">
        <x:v>Clear claim-level pattern with some argumentative impact.</x:v>
      </x:c>
      <x:c r="V943" s="13" t="str">
        <x:v>Strong pattern central to the conclusion and likely to materially distort reasoning.</x:v>
      </x:c>
      <x:c r="W943" s="13" t="str"/>
      <x:c r="X943" s="13" t="str">
        <x:v>toulmin_uses_argument</x:v>
      </x:c>
      <x:c r="Y943" s="13" t="str">
        <x:v>https://doi.org/10.1017/CBO9780511840005</x:v>
      </x:c>
      <x:c r="Z943" s="13" t="str">
        <x:v>Review before enabling. This workbook is a living taxonomy scaffold, not a validated scientific benchmark.</x:v>
      </x:c>
      <x:c r="AA943" s="13" t="str">
        <x:v>0.1.0-draft</x:v>
      </x:c>
      <x:c r="AB943" s="12" t="str">
        <x:f>IF(ISNUMBER(SEARCH("healthy",F943)),"healthy_reasoning_patterns",IF(ISNUMBER(SEARCH("statistical",F943)),"statistical_reasoning",IF(ISNUMBER(SEARCH("causal",F943)),"causal_reasoning",IF(ISNUMBER(SEARCH("social",F943)),"social_influence",IF(ISNUMBER(SEARCH("rhetoric",F943)),"rhetoric_discourse",IF(ISNUMBER(SEARCH("behavior",F943)),"behavioural_economics",IF(ISNUMBER(SEARCH("cognitive",F943)),"cognitive_biases",IF(J943="protective_pattern","healthy_reasoning_patterns",IF(L943="P0","core_mvp","extended_fallacies")))))))))</x:f>
        <x:v>extended_fallacies</x:v>
      </x:c>
      <x:c r="AC943" s="12" t="str">
        <x:f>IF(ISNUMBER(SEARCH("operational",J943)),"operational",IF(ISNUMBER(SEARCH("deprecated",J943)),"deprecated",IF(L943="P0","canonical","recognized_subtype")))</x:f>
        <x:v>operational</x:v>
      </x:c>
      <x:c r="AD943" s="12" t="str">
        <x:f>IF(AC943="canonical","high",IF(AC943="recognized_subtype","medium",IF(AC943="operational","operational_only","debated")))</x:f>
        <x:v>operational_only</x:v>
      </x:c>
      <x:c r="AE943" s="12" t="str">
        <x:f>IF(AC943="deprecated","deprecated",IF(M943="yes","active",IF(M943="review","review_required","backlog")))</x:f>
        <x:v>backlog</x:v>
      </x:c>
      <x:c r="AF943" s="12" t="str">
        <x:f>IF(OR(AE943="active",AE943="review_required"),"yes","no")</x:f>
        <x:v>no</x:v>
      </x:c>
      <x:c r="AG943" s="12" t="str">
        <x:f>IF(AND(AE943="active",M943="yes",NOT(ISNUMBER(SEARCH("healthy",AB943)))),"yes","no")</x:f>
        <x:v>no</x:v>
      </x:c>
      <x:c r="AH943" s="12" t="str">
        <x:f>IF(OR(H943="contextual",H943="dialogue",H943="discourse",I943="claim+context",I943="discourse_segment"),"yes","no")</x:f>
        <x:v>yes</x:v>
      </x:c>
      <x:c r="AI943" s="12" t="str">
        <x:f>IF(OR(AH943="yes",AD943="debated",AC943="operational"),"yes","no")</x:f>
        <x:v>yes</x:v>
      </x:c>
      <x:c r="AJ943" s="12" t="str">
        <x:f>IF(OR(AH943="yes",AC943="operational",AD943="debated"),"high",IF(AND(AG943="yes",L943="P0"),"medium","low"))</x:f>
        <x:v>high</x:v>
      </x:c>
      <x:c r="AK943" s="12" t="str">
        <x:f>IF(ISNUMBER(SEARCH("healthy",AB943)),"yes","no")</x:f>
        <x:v>no</x:v>
      </x:c>
      <x:c r="AL943" s="12" t="str">
        <x:f>IF(AG943="yes","yes","candidate_only")</x:f>
        <x:v>candidate_only</x:v>
      </x:c>
      <x:c r="AM943" s="12" t="str">
        <x:f>IF(OR(AC943="canonical",AG943="yes"),"yes","recommended")</x:f>
        <x:v>recommended</x:v>
      </x:c>
      <x:c r="AN943" s="12" t="str">
        <x:f>IF(AC943="deprecated","exclude",IF(AND(AG943="yes",AJ943="high"),"import_but_human_review_required",IF(AG943="yes","import_as_active","import_as_backlog")))</x:f>
        <x:v>import_as_backlog</x:v>
      </x:c>
      <x:c r="AO943" s="12" t="str">
        <x:f>IF(AND(AG943="yes",OR(P943="",Q943="",R943="",S943="")),"missing_required_mvp_fields",IF(AND(AC943="canonical",Y943=""),"missing_source_ref","ok"))</x:f>
        <x:v>ok</x:v>
      </x:c>
      <x:c r="AP943" s="12" t="str">
        <x:f>IF(AO943="ok","ready_for_codex_import","needs_review")</x:f>
        <x:v>ready_for_codex_import</x:v>
      </x:c>
      <x:c r="AQ943" s="12"/>
      <x:c r="AR943" s="12" t="str">
        <x:v>Added v2 operational fields. Review before classification activation.</x:v>
      </x:c>
    </x:row>
    <x:row r="944">
      <x:c r="A944" s="13" t="str">
        <x:v>maxim_quantity_violation_canonical</x:v>
      </x:c>
      <x:c r="B944" s="13" t="str">
        <x:v>maxim_quantity_violation</x:v>
      </x:c>
      <x:c r="C944" s="13" t="str">
        <x:v>Quantity maxim issue</x:v>
      </x:c>
      <x:c r="D944" s="13" t="str">
        <x:v>نقص کمیت اطلاعات</x:v>
      </x:c>
      <x:c r="E944" s="13" t="str">
        <x:v>Canonical form</x:v>
      </x:c>
      <x:c r="F944" s="13" t="str">
        <x:v>discourse_pragmatic_failures</x:v>
      </x:c>
      <x:c r="G944" s="13" t="str">
        <x:v>canonical</x:v>
      </x:c>
      <x:c r="H944" s="13" t="str">
        <x:v>discourse</x:v>
      </x:c>
      <x:c r="I944" s="13" t="str">
        <x:v>discourse_segment</x:v>
      </x:c>
      <x:c r="J944" s="13" t="str">
        <x:v>derived_operational_subtype</x:v>
      </x:c>
      <x:c r="K944" s="13" t="str">
        <x:v>derived_from_established_parent_review_required</x:v>
      </x:c>
      <x:c r="L944" s="13" t="str">
        <x:v>P2</x:v>
      </x:c>
      <x:c r="M944" s="13" t="str">
        <x:v>no</x:v>
      </x:c>
      <x:c r="N944" s="13" t="str">
        <x:v>Operational subtype under Quantity maxim issue: dialogue obligations or pragmatic norms are not met. Parent definition: Providing too little or too much information for the argumentative need.</x:v>
      </x:c>
      <x:c r="O944" s="13" t="str">
        <x:v>Look for: explicit claim-level evidence; parent-family cues for Quantity maxim issue; variant cue: dialogue obligations or pragmatic norms are not met; avoid author-level inference.</x:v>
      </x:c>
      <x:c r="P944" s="13" t="str">
        <x:v>Exact evidence span in text plus claim-level reasoning link; for contextual/discourse entries, require surrounding context.</x:v>
      </x:c>
      <x:c r="Q944" s="13" t="str">
        <x:v>Do not label merely because topic is controversial, emotional, or wrong. Do not judge intent or personality. Require textual evidence and consider healthy-reasoning cues.</x:v>
      </x:c>
      <x:c r="R944" s="13" t="str">
        <x:v>Stub: A claim relies on dialogue obligations or pragmatic norms are not met to support a conclusion without adequate qualification.</x:v>
      </x:c>
      <x:c r="S944" s="13" t="str">
        <x:v>Stub: A claim discusses quantity maxim issue with caveats, balanced evidence, or no argumentative use of the pattern.</x:v>
      </x:c>
      <x:c r="T944" s="13" t="str">
        <x:v>Mild or ambiguous cue; do not classify without clear evidence span.</x:v>
      </x:c>
      <x:c r="U944" s="13" t="str">
        <x:v>Clear claim-level pattern with some argumentative impact.</x:v>
      </x:c>
      <x:c r="V944" s="13" t="str">
        <x:v>Strong pattern central to the conclusion and likely to materially distort reasoning.</x:v>
      </x:c>
      <x:c r="W944" s="13" t="str"/>
      <x:c r="X944" s="13" t="str">
        <x:v>grice_logic_conversation</x:v>
      </x:c>
      <x:c r="Y944" s="13" t="str">
        <x:v>https://doi.org/10.1163/9789004368811_003</x:v>
      </x:c>
      <x:c r="Z944" s="13" t="str">
        <x:v>Review before enabling. This workbook is a living taxonomy scaffold, not a validated scientific benchmark.</x:v>
      </x:c>
      <x:c r="AA944" s="13" t="str">
        <x:v>0.1.0-draft</x:v>
      </x:c>
      <x:c r="AB944" s="12" t="str">
        <x:f>IF(ISNUMBER(SEARCH("healthy",F944)),"healthy_reasoning_patterns",IF(ISNUMBER(SEARCH("statistical",F944)),"statistical_reasoning",IF(ISNUMBER(SEARCH("causal",F944)),"causal_reasoning",IF(ISNUMBER(SEARCH("social",F944)),"social_influence",IF(ISNUMBER(SEARCH("rhetoric",F944)),"rhetoric_discourse",IF(ISNUMBER(SEARCH("behavior",F944)),"behavioural_economics",IF(ISNUMBER(SEARCH("cognitive",F944)),"cognitive_biases",IF(J944="protective_pattern","healthy_reasoning_patterns",IF(L944="P0","core_mvp","extended_fallacies")))))))))</x:f>
        <x:v>extended_fallacies</x:v>
      </x:c>
      <x:c r="AC944" s="12" t="str">
        <x:f>IF(ISNUMBER(SEARCH("operational",J944)),"operational",IF(ISNUMBER(SEARCH("deprecated",J944)),"deprecated",IF(L944="P0","canonical","recognized_subtype")))</x:f>
        <x:v>operational</x:v>
      </x:c>
      <x:c r="AD944" s="12" t="str">
        <x:f>IF(AC944="canonical","high",IF(AC944="recognized_subtype","medium",IF(AC944="operational","operational_only","debated")))</x:f>
        <x:v>operational_only</x:v>
      </x:c>
      <x:c r="AE944" s="12" t="str">
        <x:f>IF(AC944="deprecated","deprecated",IF(M944="yes","active",IF(M944="review","review_required","backlog")))</x:f>
        <x:v>backlog</x:v>
      </x:c>
      <x:c r="AF944" s="12" t="str">
        <x:f>IF(OR(AE944="active",AE944="review_required"),"yes","no")</x:f>
        <x:v>no</x:v>
      </x:c>
      <x:c r="AG944" s="12" t="str">
        <x:f>IF(AND(AE944="active",M944="yes",NOT(ISNUMBER(SEARCH("healthy",AB944)))),"yes","no")</x:f>
        <x:v>no</x:v>
      </x:c>
      <x:c r="AH944" s="12" t="str">
        <x:f>IF(OR(H944="contextual",H944="dialogue",H944="discourse",I944="claim+context",I944="discourse_segment"),"yes","no")</x:f>
        <x:v>yes</x:v>
      </x:c>
      <x:c r="AI944" s="12" t="str">
        <x:f>IF(OR(AH944="yes",AD944="debated",AC944="operational"),"yes","no")</x:f>
        <x:v>yes</x:v>
      </x:c>
      <x:c r="AJ944" s="12" t="str">
        <x:f>IF(OR(AH944="yes",AC944="operational",AD944="debated"),"high",IF(AND(AG944="yes",L944="P0"),"medium","low"))</x:f>
        <x:v>high</x:v>
      </x:c>
      <x:c r="AK944" s="12" t="str">
        <x:f>IF(ISNUMBER(SEARCH("healthy",AB944)),"yes","no")</x:f>
        <x:v>no</x:v>
      </x:c>
      <x:c r="AL944" s="12" t="str">
        <x:f>IF(AG944="yes","yes","candidate_only")</x:f>
        <x:v>candidate_only</x:v>
      </x:c>
      <x:c r="AM944" s="12" t="str">
        <x:f>IF(OR(AC944="canonical",AG944="yes"),"yes","recommended")</x:f>
        <x:v>recommended</x:v>
      </x:c>
      <x:c r="AN944" s="12" t="str">
        <x:f>IF(AC944="deprecated","exclude",IF(AND(AG944="yes",AJ944="high"),"import_but_human_review_required",IF(AG944="yes","import_as_active","import_as_backlog")))</x:f>
        <x:v>import_as_backlog</x:v>
      </x:c>
      <x:c r="AO944" s="12" t="str">
        <x:f>IF(AND(AG944="yes",OR(P944="",Q944="",R944="",S944="")),"missing_required_mvp_fields",IF(AND(AC944="canonical",Y944=""),"missing_source_ref","ok"))</x:f>
        <x:v>ok</x:v>
      </x:c>
      <x:c r="AP944" s="12" t="str">
        <x:f>IF(AO944="ok","ready_for_codex_import","needs_review")</x:f>
        <x:v>ready_for_codex_import</x:v>
      </x:c>
      <x:c r="AQ944" s="12"/>
      <x:c r="AR944" s="12" t="str">
        <x:v>Added v2 operational fields. Review before classification activation.</x:v>
      </x:c>
    </x:row>
    <x:row r="945">
      <x:c r="A945" s="13" t="str">
        <x:v>maxim_relevance_violation_canonical</x:v>
      </x:c>
      <x:c r="B945" s="13" t="str">
        <x:v>maxim_relevance_violation</x:v>
      </x:c>
      <x:c r="C945" s="13" t="str">
        <x:v>Relevance maxim issue</x:v>
      </x:c>
      <x:c r="D945" s="13" t="str">
        <x:v>نقص ربط</x:v>
      </x:c>
      <x:c r="E945" s="13" t="str">
        <x:v>Canonical form</x:v>
      </x:c>
      <x:c r="F945" s="13" t="str">
        <x:v>discourse_pragmatic_failures</x:v>
      </x:c>
      <x:c r="G945" s="13" t="str">
        <x:v>canonical</x:v>
      </x:c>
      <x:c r="H945" s="13" t="str">
        <x:v>discourse</x:v>
      </x:c>
      <x:c r="I945" s="13" t="str">
        <x:v>discourse_segment</x:v>
      </x:c>
      <x:c r="J945" s="13" t="str">
        <x:v>derived_operational_subtype</x:v>
      </x:c>
      <x:c r="K945" s="13" t="str">
        <x:v>derived_from_established_parent_review_required</x:v>
      </x:c>
      <x:c r="L945" s="13" t="str">
        <x:v>P2</x:v>
      </x:c>
      <x:c r="M945" s="13" t="str">
        <x:v>no</x:v>
      </x:c>
      <x:c r="N945" s="13" t="str">
        <x:v>Operational subtype under Relevance maxim issue: dialogue obligations or pragmatic norms are not met. Parent definition: Providing information that is not relevant to the claim.</x:v>
      </x:c>
      <x:c r="O945" s="13" t="str">
        <x:v>Look for: explicit claim-level evidence; parent-family cues for Relevance maxim issue; variant cue: dialogue obligations or pragmatic norms are not met; avoid author-level inference.</x:v>
      </x:c>
      <x:c r="P945" s="13" t="str">
        <x:v>Exact evidence span in text plus claim-level reasoning link; for contextual/discourse entries, require surrounding context.</x:v>
      </x:c>
      <x:c r="Q945" s="13" t="str">
        <x:v>Do not label merely because topic is controversial, emotional, or wrong. Do not judge intent or personality. Require textual evidence and consider healthy-reasoning cues.</x:v>
      </x:c>
      <x:c r="R945" s="13" t="str">
        <x:v>Stub: A claim relies on dialogue obligations or pragmatic norms are not met to support a conclusion without adequate qualification.</x:v>
      </x:c>
      <x:c r="S945" s="13" t="str">
        <x:v>Stub: A claim discusses relevance maxim issue with caveats, balanced evidence, or no argumentative use of the pattern.</x:v>
      </x:c>
      <x:c r="T945" s="13" t="str">
        <x:v>Mild or ambiguous cue; do not classify without clear evidence span.</x:v>
      </x:c>
      <x:c r="U945" s="13" t="str">
        <x:v>Clear claim-level pattern with some argumentative impact.</x:v>
      </x:c>
      <x:c r="V945" s="13" t="str">
        <x:v>Strong pattern central to the conclusion and likely to materially distort reasoning.</x:v>
      </x:c>
      <x:c r="W945" s="13" t="str"/>
      <x:c r="X945" s="13" t="str">
        <x:v>grice_logic_conversation</x:v>
      </x:c>
      <x:c r="Y945" s="13" t="str">
        <x:v>https://doi.org/10.1163/9789004368811_003</x:v>
      </x:c>
      <x:c r="Z945" s="13" t="str">
        <x:v>Review before enabling. This workbook is a living taxonomy scaffold, not a validated scientific benchmark.</x:v>
      </x:c>
      <x:c r="AA945" s="13" t="str">
        <x:v>0.1.0-draft</x:v>
      </x:c>
      <x:c r="AB945" s="12" t="str">
        <x:f>IF(ISNUMBER(SEARCH("healthy",F945)),"healthy_reasoning_patterns",IF(ISNUMBER(SEARCH("statistical",F945)),"statistical_reasoning",IF(ISNUMBER(SEARCH("causal",F945)),"causal_reasoning",IF(ISNUMBER(SEARCH("social",F945)),"social_influence",IF(ISNUMBER(SEARCH("rhetoric",F945)),"rhetoric_discourse",IF(ISNUMBER(SEARCH("behavior",F945)),"behavioural_economics",IF(ISNUMBER(SEARCH("cognitive",F945)),"cognitive_biases",IF(J945="protective_pattern","healthy_reasoning_patterns",IF(L945="P0","core_mvp","extended_fallacies")))))))))</x:f>
        <x:v>extended_fallacies</x:v>
      </x:c>
      <x:c r="AC945" s="12" t="str">
        <x:f>IF(ISNUMBER(SEARCH("operational",J945)),"operational",IF(ISNUMBER(SEARCH("deprecated",J945)),"deprecated",IF(L945="P0","canonical","recognized_subtype")))</x:f>
        <x:v>operational</x:v>
      </x:c>
      <x:c r="AD945" s="12" t="str">
        <x:f>IF(AC945="canonical","high",IF(AC945="recognized_subtype","medium",IF(AC945="operational","operational_only","debated")))</x:f>
        <x:v>operational_only</x:v>
      </x:c>
      <x:c r="AE945" s="12" t="str">
        <x:f>IF(AC945="deprecated","deprecated",IF(M945="yes","active",IF(M945="review","review_required","backlog")))</x:f>
        <x:v>backlog</x:v>
      </x:c>
      <x:c r="AF945" s="12" t="str">
        <x:f>IF(OR(AE945="active",AE945="review_required"),"yes","no")</x:f>
        <x:v>no</x:v>
      </x:c>
      <x:c r="AG945" s="12" t="str">
        <x:f>IF(AND(AE945="active",M945="yes",NOT(ISNUMBER(SEARCH("healthy",AB945)))),"yes","no")</x:f>
        <x:v>no</x:v>
      </x:c>
      <x:c r="AH945" s="12" t="str">
        <x:f>IF(OR(H945="contextual",H945="dialogue",H945="discourse",I945="claim+context",I945="discourse_segment"),"yes","no")</x:f>
        <x:v>yes</x:v>
      </x:c>
      <x:c r="AI945" s="12" t="str">
        <x:f>IF(OR(AH945="yes",AD945="debated",AC945="operational"),"yes","no")</x:f>
        <x:v>yes</x:v>
      </x:c>
      <x:c r="AJ945" s="12" t="str">
        <x:f>IF(OR(AH945="yes",AC945="operational",AD945="debated"),"high",IF(AND(AG945="yes",L945="P0"),"medium","low"))</x:f>
        <x:v>high</x:v>
      </x:c>
      <x:c r="AK945" s="12" t="str">
        <x:f>IF(ISNUMBER(SEARCH("healthy",AB945)),"yes","no")</x:f>
        <x:v>no</x:v>
      </x:c>
      <x:c r="AL945" s="12" t="str">
        <x:f>IF(AG945="yes","yes","candidate_only")</x:f>
        <x:v>candidate_only</x:v>
      </x:c>
      <x:c r="AM945" s="12" t="str">
        <x:f>IF(OR(AC945="canonical",AG945="yes"),"yes","recommended")</x:f>
        <x:v>recommended</x:v>
      </x:c>
      <x:c r="AN945" s="12" t="str">
        <x:f>IF(AC945="deprecated","exclude",IF(AND(AG945="yes",AJ945="high"),"import_but_human_review_required",IF(AG945="yes","import_as_active","import_as_backlog")))</x:f>
        <x:v>import_as_backlog</x:v>
      </x:c>
      <x:c r="AO945" s="12" t="str">
        <x:f>IF(AND(AG945="yes",OR(P945="",Q945="",R945="",S945="")),"missing_required_mvp_fields",IF(AND(AC945="canonical",Y945=""),"missing_source_ref","ok"))</x:f>
        <x:v>ok</x:v>
      </x:c>
      <x:c r="AP945" s="12" t="str">
        <x:f>IF(AO945="ok","ready_for_codex_import","needs_review")</x:f>
        <x:v>ready_for_codex_import</x:v>
      </x:c>
      <x:c r="AQ945" s="12"/>
      <x:c r="AR945" s="12" t="str">
        <x:v>Added v2 operational fields. Review before classification activation.</x:v>
      </x:c>
    </x:row>
    <x:row r="946">
      <x:c r="A946" s="13" t="str">
        <x:v>maxim_manner_violation_canonical</x:v>
      </x:c>
      <x:c r="B946" s="13" t="str">
        <x:v>maxim_manner_violation</x:v>
      </x:c>
      <x:c r="C946" s="13" t="str">
        <x:v>Manner maxim issue</x:v>
      </x:c>
      <x:c r="D946" s="13" t="str">
        <x:v>نقص وضوح بیان</x:v>
      </x:c>
      <x:c r="E946" s="13" t="str">
        <x:v>Canonical form</x:v>
      </x:c>
      <x:c r="F946" s="13" t="str">
        <x:v>discourse_pragmatic_failures</x:v>
      </x:c>
      <x:c r="G946" s="13" t="str">
        <x:v>canonical</x:v>
      </x:c>
      <x:c r="H946" s="13" t="str">
        <x:v>discourse</x:v>
      </x:c>
      <x:c r="I946" s="13" t="str">
        <x:v>discourse_segment</x:v>
      </x:c>
      <x:c r="J946" s="13" t="str">
        <x:v>derived_operational_subtype</x:v>
      </x:c>
      <x:c r="K946" s="13" t="str">
        <x:v>derived_from_established_parent_review_required</x:v>
      </x:c>
      <x:c r="L946" s="13" t="str">
        <x:v>P2</x:v>
      </x:c>
      <x:c r="M946" s="13" t="str">
        <x:v>no</x:v>
      </x:c>
      <x:c r="N946" s="13" t="str">
        <x:v>Operational subtype under Manner maxim issue: dialogue obligations or pragmatic norms are not met. Parent definition: Using obscure or disorderly expression that impairs evaluation.</x:v>
      </x:c>
      <x:c r="O946" s="13" t="str">
        <x:v>Look for: explicit claim-level evidence; parent-family cues for Manner maxim issue; variant cue: dialogue obligations or pragmatic norms are not met; avoid author-level inference.</x:v>
      </x:c>
      <x:c r="P946" s="13" t="str">
        <x:v>Exact evidence span in text plus claim-level reasoning link; for contextual/discourse entries, require surrounding context.</x:v>
      </x:c>
      <x:c r="Q946" s="13" t="str">
        <x:v>Do not label merely because topic is controversial, emotional, or wrong. Do not judge intent or personality. Require textual evidence and consider healthy-reasoning cues.</x:v>
      </x:c>
      <x:c r="R946" s="13" t="str">
        <x:v>Stub: A claim relies on dialogue obligations or pragmatic norms are not met to support a conclusion without adequate qualification.</x:v>
      </x:c>
      <x:c r="S946" s="13" t="str">
        <x:v>Stub: A claim discusses manner maxim issue with caveats, balanced evidence, or no argumentative use of the pattern.</x:v>
      </x:c>
      <x:c r="T946" s="13" t="str">
        <x:v>Mild or ambiguous cue; do not classify without clear evidence span.</x:v>
      </x:c>
      <x:c r="U946" s="13" t="str">
        <x:v>Clear claim-level pattern with some argumentative impact.</x:v>
      </x:c>
      <x:c r="V946" s="13" t="str">
        <x:v>Strong pattern central to the conclusion and likely to materially distort reasoning.</x:v>
      </x:c>
      <x:c r="W946" s="13" t="str"/>
      <x:c r="X946" s="13" t="str">
        <x:v>grice_logic_conversation</x:v>
      </x:c>
      <x:c r="Y946" s="13" t="str">
        <x:v>https://doi.org/10.1163/9789004368811_003</x:v>
      </x:c>
      <x:c r="Z946" s="13" t="str">
        <x:v>Review before enabling. This workbook is a living taxonomy scaffold, not a validated scientific benchmark.</x:v>
      </x:c>
      <x:c r="AA946" s="13" t="str">
        <x:v>0.1.0-draft</x:v>
      </x:c>
      <x:c r="AB946" s="12" t="str">
        <x:f>IF(ISNUMBER(SEARCH("healthy",F946)),"healthy_reasoning_patterns",IF(ISNUMBER(SEARCH("statistical",F946)),"statistical_reasoning",IF(ISNUMBER(SEARCH("causal",F946)),"causal_reasoning",IF(ISNUMBER(SEARCH("social",F946)),"social_influence",IF(ISNUMBER(SEARCH("rhetoric",F946)),"rhetoric_discourse",IF(ISNUMBER(SEARCH("behavior",F946)),"behavioural_economics",IF(ISNUMBER(SEARCH("cognitive",F946)),"cognitive_biases",IF(J946="protective_pattern","healthy_reasoning_patterns",IF(L946="P0","core_mvp","extended_fallacies")))))))))</x:f>
        <x:v>extended_fallacies</x:v>
      </x:c>
      <x:c r="AC946" s="12" t="str">
        <x:f>IF(ISNUMBER(SEARCH("operational",J946)),"operational",IF(ISNUMBER(SEARCH("deprecated",J946)),"deprecated",IF(L946="P0","canonical","recognized_subtype")))</x:f>
        <x:v>operational</x:v>
      </x:c>
      <x:c r="AD946" s="12" t="str">
        <x:f>IF(AC946="canonical","high",IF(AC946="recognized_subtype","medium",IF(AC946="operational","operational_only","debated")))</x:f>
        <x:v>operational_only</x:v>
      </x:c>
      <x:c r="AE946" s="12" t="str">
        <x:f>IF(AC946="deprecated","deprecated",IF(M946="yes","active",IF(M946="review","review_required","backlog")))</x:f>
        <x:v>backlog</x:v>
      </x:c>
      <x:c r="AF946" s="12" t="str">
        <x:f>IF(OR(AE946="active",AE946="review_required"),"yes","no")</x:f>
        <x:v>no</x:v>
      </x:c>
      <x:c r="AG946" s="12" t="str">
        <x:f>IF(AND(AE946="active",M946="yes",NOT(ISNUMBER(SEARCH("healthy",AB946)))),"yes","no")</x:f>
        <x:v>no</x:v>
      </x:c>
      <x:c r="AH946" s="12" t="str">
        <x:f>IF(OR(H946="contextual",H946="dialogue",H946="discourse",I946="claim+context",I946="discourse_segment"),"yes","no")</x:f>
        <x:v>yes</x:v>
      </x:c>
      <x:c r="AI946" s="12" t="str">
        <x:f>IF(OR(AH946="yes",AD946="debated",AC946="operational"),"yes","no")</x:f>
        <x:v>yes</x:v>
      </x:c>
      <x:c r="AJ946" s="12" t="str">
        <x:f>IF(OR(AH946="yes",AC946="operational",AD946="debated"),"high",IF(AND(AG946="yes",L946="P0"),"medium","low"))</x:f>
        <x:v>high</x:v>
      </x:c>
      <x:c r="AK946" s="12" t="str">
        <x:f>IF(ISNUMBER(SEARCH("healthy",AB946)),"yes","no")</x:f>
        <x:v>no</x:v>
      </x:c>
      <x:c r="AL946" s="12" t="str">
        <x:f>IF(AG946="yes","yes","candidate_only")</x:f>
        <x:v>candidate_only</x:v>
      </x:c>
      <x:c r="AM946" s="12" t="str">
        <x:f>IF(OR(AC946="canonical",AG946="yes"),"yes","recommended")</x:f>
        <x:v>recommended</x:v>
      </x:c>
      <x:c r="AN946" s="12" t="str">
        <x:f>IF(AC946="deprecated","exclude",IF(AND(AG946="yes",AJ946="high"),"import_but_human_review_required",IF(AG946="yes","import_as_active","import_as_backlog")))</x:f>
        <x:v>import_as_backlog</x:v>
      </x:c>
      <x:c r="AO946" s="12" t="str">
        <x:f>IF(AND(AG946="yes",OR(P946="",Q946="",R946="",S946="")),"missing_required_mvp_fields",IF(AND(AC946="canonical",Y946=""),"missing_source_ref","ok"))</x:f>
        <x:v>ok</x:v>
      </x:c>
      <x:c r="AP946" s="12" t="str">
        <x:f>IF(AO946="ok","ready_for_codex_import","needs_review")</x:f>
        <x:v>ready_for_codex_import</x:v>
      </x:c>
      <x:c r="AQ946" s="12"/>
      <x:c r="AR946" s="12" t="str">
        <x:v>Added v2 operational fields. Review before classification activation.</x:v>
      </x:c>
    </x:row>
    <x:row r="947">
      <x:c r="A947" s="13" t="str">
        <x:v>topic_derailment_burden_variant</x:v>
      </x:c>
      <x:c r="B947" s="13" t="str">
        <x:v>topic_derailment</x:v>
      </x:c>
      <x:c r="C947" s="13" t="str">
        <x:v>Topic derailment</x:v>
      </x:c>
      <x:c r="D947" s="13" t="str">
        <x:v>خروج از موضوع</x:v>
      </x:c>
      <x:c r="E947" s="13" t="str">
        <x:v>Burden-of-proof variant</x:v>
      </x:c>
      <x:c r="F947" s="13" t="str">
        <x:v>discourse_pragmatic_failures</x:v>
      </x:c>
      <x:c r="G947" s="13" t="str">
        <x:v>operational_variant</x:v>
      </x:c>
      <x:c r="H947" s="13" t="str">
        <x:v>dialogue</x:v>
      </x:c>
      <x:c r="I947" s="13" t="str">
        <x:v>discourse_segment</x:v>
      </x:c>
      <x:c r="J947" s="13" t="str">
        <x:v>derived_operational_subtype</x:v>
      </x:c>
      <x:c r="K947" s="13" t="str">
        <x:v>derived_from_established_parent_review_required</x:v>
      </x:c>
      <x:c r="L947" s="13" t="str">
        <x:v>P2</x:v>
      </x:c>
      <x:c r="M947" s="13" t="str">
        <x:v>no</x:v>
      </x:c>
      <x:c r="N947" s="13" t="str">
        <x:v>Operational subtype under Topic derailment: proof obligations are shifted or made asymmetric. Parent definition: Moving discussion away from the claim under evaluation.</x:v>
      </x:c>
      <x:c r="O947" s="13" t="str">
        <x:v>Look for: explicit claim-level evidence; parent-family cues for Topic derailment; variant cue: proof obligations are shifted or made asymmetric; avoid author-level inference.</x:v>
      </x:c>
      <x:c r="P947" s="13" t="str">
        <x:v>Exact evidence span in text plus claim-level reasoning link; for contextual/discourse entries, require surrounding context.</x:v>
      </x:c>
      <x:c r="Q947" s="13" t="str">
        <x:v>Do not label merely because topic is controversial, emotional, or wrong. Do not judge intent or personality. Require textual evidence and consider healthy-reasoning cues.</x:v>
      </x:c>
      <x:c r="R947" s="13" t="str">
        <x:v>Stub: A claim relies on proof obligations are shifted or made asymmetric to support a conclusion without adequate qualification.</x:v>
      </x:c>
      <x:c r="S947" s="13" t="str">
        <x:v>Stub: A claim discusses topic derailment with caveats, balanced evidence, or no argumentative use of the pattern.</x:v>
      </x:c>
      <x:c r="T947" s="13" t="str">
        <x:v>Mild or ambiguous cue; do not classify without clear evidence span.</x:v>
      </x:c>
      <x:c r="U947" s="13" t="str">
        <x:v>Clear claim-level pattern with some argumentative impact.</x:v>
      </x:c>
      <x:c r="V947" s="13" t="str">
        <x:v>Strong pattern central to the conclusion and likely to materially distort reasoning.</x:v>
      </x:c>
      <x:c r="W947" s="13" t="str"/>
      <x:c r="X947" s="13" t="str">
        <x:v>pragmadialectics</x:v>
      </x:c>
      <x:c r="Y947" s="13" t="str">
        <x:v>https://doi.org/10.1017/CBO9780511616389</x:v>
      </x:c>
      <x:c r="Z947" s="13" t="str">
        <x:v>Review before enabling. This workbook is a living taxonomy scaffold, not a validated scientific benchmark.</x:v>
      </x:c>
      <x:c r="AA947" s="13" t="str">
        <x:v>0.1.0-draft</x:v>
      </x:c>
      <x:c r="AB947" s="12" t="str">
        <x:f>IF(ISNUMBER(SEARCH("healthy",F947)),"healthy_reasoning_patterns",IF(ISNUMBER(SEARCH("statistical",F947)),"statistical_reasoning",IF(ISNUMBER(SEARCH("causal",F947)),"causal_reasoning",IF(ISNUMBER(SEARCH("social",F947)),"social_influence",IF(ISNUMBER(SEARCH("rhetoric",F947)),"rhetoric_discourse",IF(ISNUMBER(SEARCH("behavior",F947)),"behavioural_economics",IF(ISNUMBER(SEARCH("cognitive",F947)),"cognitive_biases",IF(J947="protective_pattern","healthy_reasoning_patterns",IF(L947="P0","core_mvp","extended_fallacies")))))))))</x:f>
        <x:v>extended_fallacies</x:v>
      </x:c>
      <x:c r="AC947" s="12" t="str">
        <x:f>IF(ISNUMBER(SEARCH("operational",J947)),"operational",IF(ISNUMBER(SEARCH("deprecated",J947)),"deprecated",IF(L947="P0","canonical","recognized_subtype")))</x:f>
        <x:v>operational</x:v>
      </x:c>
      <x:c r="AD947" s="12" t="str">
        <x:f>IF(AC947="canonical","high",IF(AC947="recognized_subtype","medium",IF(AC947="operational","operational_only","debated")))</x:f>
        <x:v>operational_only</x:v>
      </x:c>
      <x:c r="AE947" s="12" t="str">
        <x:f>IF(AC947="deprecated","deprecated",IF(M947="yes","active",IF(M947="review","review_required","backlog")))</x:f>
        <x:v>backlog</x:v>
      </x:c>
      <x:c r="AF947" s="12" t="str">
        <x:f>IF(OR(AE947="active",AE947="review_required"),"yes","no")</x:f>
        <x:v>no</x:v>
      </x:c>
      <x:c r="AG947" s="12" t="str">
        <x:f>IF(AND(AE947="active",M947="yes",NOT(ISNUMBER(SEARCH("healthy",AB947)))),"yes","no")</x:f>
        <x:v>no</x:v>
      </x:c>
      <x:c r="AH947" s="12" t="str">
        <x:f>IF(OR(H947="contextual",H947="dialogue",H947="discourse",I947="claim+context",I947="discourse_segment"),"yes","no")</x:f>
        <x:v>yes</x:v>
      </x:c>
      <x:c r="AI947" s="12" t="str">
        <x:f>IF(OR(AH947="yes",AD947="debated",AC947="operational"),"yes","no")</x:f>
        <x:v>yes</x:v>
      </x:c>
      <x:c r="AJ947" s="12" t="str">
        <x:f>IF(OR(AH947="yes",AC947="operational",AD947="debated"),"high",IF(AND(AG947="yes",L947="P0"),"medium","low"))</x:f>
        <x:v>high</x:v>
      </x:c>
      <x:c r="AK947" s="12" t="str">
        <x:f>IF(ISNUMBER(SEARCH("healthy",AB947)),"yes","no")</x:f>
        <x:v>no</x:v>
      </x:c>
      <x:c r="AL947" s="12" t="str">
        <x:f>IF(AG947="yes","yes","candidate_only")</x:f>
        <x:v>candidate_only</x:v>
      </x:c>
      <x:c r="AM947" s="12" t="str">
        <x:f>IF(OR(AC947="canonical",AG947="yes"),"yes","recommended")</x:f>
        <x:v>recommended</x:v>
      </x:c>
      <x:c r="AN947" s="12" t="str">
        <x:f>IF(AC947="deprecated","exclude",IF(AND(AG947="yes",AJ947="high"),"import_but_human_review_required",IF(AG947="yes","import_as_active","import_as_backlog")))</x:f>
        <x:v>import_as_backlog</x:v>
      </x:c>
      <x:c r="AO947" s="12" t="str">
        <x:f>IF(AND(AG947="yes",OR(P947="",Q947="",R947="",S947="")),"missing_required_mvp_fields",IF(AND(AC947="canonical",Y947=""),"missing_source_ref","ok"))</x:f>
        <x:v>ok</x:v>
      </x:c>
      <x:c r="AP947" s="12" t="str">
        <x:f>IF(AO947="ok","ready_for_codex_import","needs_review")</x:f>
        <x:v>ready_for_codex_import</x:v>
      </x:c>
      <x:c r="AQ947" s="12"/>
      <x:c r="AR947" s="12" t="str">
        <x:v>Added v2 operational fields. Review before classification activation.</x:v>
      </x:c>
    </x:row>
    <x:row r="948">
      <x:c r="A948" s="13" t="str">
        <x:v>commitment_inconsistency_burden_variant</x:v>
      </x:c>
      <x:c r="B948" s="13" t="str">
        <x:v>commitment_inconsistency</x:v>
      </x:c>
      <x:c r="C948" s="13" t="str">
        <x:v>Commitment inconsistency</x:v>
      </x:c>
      <x:c r="D948" s="13" t="str">
        <x:v>ناسازگاری تعهدات</x:v>
      </x:c>
      <x:c r="E948" s="13" t="str">
        <x:v>Burden-of-proof variant</x:v>
      </x:c>
      <x:c r="F948" s="13" t="str">
        <x:v>discourse_pragmatic_failures</x:v>
      </x:c>
      <x:c r="G948" s="13" t="str">
        <x:v>operational_variant</x:v>
      </x:c>
      <x:c r="H948" s="13" t="str">
        <x:v>dialogue</x:v>
      </x:c>
      <x:c r="I948" s="13" t="str">
        <x:v>discourse_segment</x:v>
      </x:c>
      <x:c r="J948" s="13" t="str">
        <x:v>derived_operational_subtype</x:v>
      </x:c>
      <x:c r="K948" s="13" t="str">
        <x:v>derived_from_established_parent_review_required</x:v>
      </x:c>
      <x:c r="L948" s="13" t="str">
        <x:v>P2</x:v>
      </x:c>
      <x:c r="M948" s="13" t="str">
        <x:v>no</x:v>
      </x:c>
      <x:c r="N948" s="13" t="str">
        <x:v>Operational subtype under Commitment inconsistency: proof obligations are shifted or made asymmetric. Parent definition: Maintaining claims that conflict with previously accepted commitments.</x:v>
      </x:c>
      <x:c r="O948" s="13" t="str">
        <x:v>Look for: explicit claim-level evidence; parent-family cues for Commitment inconsistency; variant cue: proof obligations are shifted or made asymmetric; avoid author-level inference.</x:v>
      </x:c>
      <x:c r="P948" s="13" t="str">
        <x:v>Exact evidence span in text plus claim-level reasoning link; for contextual/discourse entries, require surrounding context.</x:v>
      </x:c>
      <x:c r="Q948" s="13" t="str">
        <x:v>Do not label merely because topic is controversial, emotional, or wrong. Do not judge intent or personality. Require textual evidence and consider healthy-reasoning cues.</x:v>
      </x:c>
      <x:c r="R948" s="13" t="str">
        <x:v>Stub: A claim relies on proof obligations are shifted or made asymmetric to support a conclusion without adequate qualification.</x:v>
      </x:c>
      <x:c r="S948" s="13" t="str">
        <x:v>Stub: A claim discusses commitment inconsistency with caveats, balanced evidence, or no argumentative use of the pattern.</x:v>
      </x:c>
      <x:c r="T948" s="13" t="str">
        <x:v>Mild or ambiguous cue; do not classify without clear evidence span.</x:v>
      </x:c>
      <x:c r="U948" s="13" t="str">
        <x:v>Clear claim-level pattern with some argumentative impact.</x:v>
      </x:c>
      <x:c r="V948" s="13" t="str">
        <x:v>Strong pattern central to the conclusion and likely to materially distort reasoning.</x:v>
      </x:c>
      <x:c r="W948" s="13" t="str"/>
      <x:c r="X948" s="13" t="str">
        <x:v>pragmadialectics</x:v>
      </x:c>
      <x:c r="Y948" s="13" t="str">
        <x:v>https://doi.org/10.1017/CBO9780511616389</x:v>
      </x:c>
      <x:c r="Z948" s="13" t="str">
        <x:v>Review before enabling. This workbook is a living taxonomy scaffold, not a validated scientific benchmark.</x:v>
      </x:c>
      <x:c r="AA948" s="13" t="str">
        <x:v>0.1.0-draft</x:v>
      </x:c>
      <x:c r="AB948" s="12" t="str">
        <x:f>IF(ISNUMBER(SEARCH("healthy",F948)),"healthy_reasoning_patterns",IF(ISNUMBER(SEARCH("statistical",F948)),"statistical_reasoning",IF(ISNUMBER(SEARCH("causal",F948)),"causal_reasoning",IF(ISNUMBER(SEARCH("social",F948)),"social_influence",IF(ISNUMBER(SEARCH("rhetoric",F948)),"rhetoric_discourse",IF(ISNUMBER(SEARCH("behavior",F948)),"behavioural_economics",IF(ISNUMBER(SEARCH("cognitive",F948)),"cognitive_biases",IF(J948="protective_pattern","healthy_reasoning_patterns",IF(L948="P0","core_mvp","extended_fallacies")))))))))</x:f>
        <x:v>extended_fallacies</x:v>
      </x:c>
      <x:c r="AC948" s="12" t="str">
        <x:f>IF(ISNUMBER(SEARCH("operational",J948)),"operational",IF(ISNUMBER(SEARCH("deprecated",J948)),"deprecated",IF(L948="P0","canonical","recognized_subtype")))</x:f>
        <x:v>operational</x:v>
      </x:c>
      <x:c r="AD948" s="12" t="str">
        <x:f>IF(AC948="canonical","high",IF(AC948="recognized_subtype","medium",IF(AC948="operational","operational_only","debated")))</x:f>
        <x:v>operational_only</x:v>
      </x:c>
      <x:c r="AE948" s="12" t="str">
        <x:f>IF(AC948="deprecated","deprecated",IF(M948="yes","active",IF(M948="review","review_required","backlog")))</x:f>
        <x:v>backlog</x:v>
      </x:c>
      <x:c r="AF948" s="12" t="str">
        <x:f>IF(OR(AE948="active",AE948="review_required"),"yes","no")</x:f>
        <x:v>no</x:v>
      </x:c>
      <x:c r="AG948" s="12" t="str">
        <x:f>IF(AND(AE948="active",M948="yes",NOT(ISNUMBER(SEARCH("healthy",AB948)))),"yes","no")</x:f>
        <x:v>no</x:v>
      </x:c>
      <x:c r="AH948" s="12" t="str">
        <x:f>IF(OR(H948="contextual",H948="dialogue",H948="discourse",I948="claim+context",I948="discourse_segment"),"yes","no")</x:f>
        <x:v>yes</x:v>
      </x:c>
      <x:c r="AI948" s="12" t="str">
        <x:f>IF(OR(AH948="yes",AD948="debated",AC948="operational"),"yes","no")</x:f>
        <x:v>yes</x:v>
      </x:c>
      <x:c r="AJ948" s="12" t="str">
        <x:f>IF(OR(AH948="yes",AC948="operational",AD948="debated"),"high",IF(AND(AG948="yes",L948="P0"),"medium","low"))</x:f>
        <x:v>high</x:v>
      </x:c>
      <x:c r="AK948" s="12" t="str">
        <x:f>IF(ISNUMBER(SEARCH("healthy",AB948)),"yes","no")</x:f>
        <x:v>no</x:v>
      </x:c>
      <x:c r="AL948" s="12" t="str">
        <x:f>IF(AG948="yes","yes","candidate_only")</x:f>
        <x:v>candidate_only</x:v>
      </x:c>
      <x:c r="AM948" s="12" t="str">
        <x:f>IF(OR(AC948="canonical",AG948="yes"),"yes","recommended")</x:f>
        <x:v>recommended</x:v>
      </x:c>
      <x:c r="AN948" s="12" t="str">
        <x:f>IF(AC948="deprecated","exclude",IF(AND(AG948="yes",AJ948="high"),"import_but_human_review_required",IF(AG948="yes","import_as_active","import_as_backlog")))</x:f>
        <x:v>import_as_backlog</x:v>
      </x:c>
      <x:c r="AO948" s="12" t="str">
        <x:f>IF(AND(AG948="yes",OR(P948="",Q948="",R948="",S948="")),"missing_required_mvp_fields",IF(AND(AC948="canonical",Y948=""),"missing_source_ref","ok"))</x:f>
        <x:v>ok</x:v>
      </x:c>
      <x:c r="AP948" s="12" t="str">
        <x:f>IF(AO948="ok","ready_for_codex_import","needs_review")</x:f>
        <x:v>ready_for_codex_import</x:v>
      </x:c>
      <x:c r="AQ948" s="12"/>
      <x:c r="AR948" s="12" t="str">
        <x:v>Added v2 operational fields. Review before classification activation.</x:v>
      </x:c>
    </x:row>
    <x:row r="949">
      <x:c r="A949" s="13" t="str">
        <x:v>unanswered_critical_question_burden_variant</x:v>
      </x:c>
      <x:c r="B949" s="13" t="str">
        <x:v>unanswered_critical_question</x:v>
      </x:c>
      <x:c r="C949" s="13" t="str">
        <x:v>Unanswered critical question</x:v>
      </x:c>
      <x:c r="D949" s="13" t="str">
        <x:v>پرسش انتقادی بی‌پاسخ</x:v>
      </x:c>
      <x:c r="E949" s="13" t="str">
        <x:v>Burden-of-proof variant</x:v>
      </x:c>
      <x:c r="F949" s="13" t="str">
        <x:v>discourse_pragmatic_failures</x:v>
      </x:c>
      <x:c r="G949" s="13" t="str">
        <x:v>operational_variant</x:v>
      </x:c>
      <x:c r="H949" s="13" t="str">
        <x:v>dialogue</x:v>
      </x:c>
      <x:c r="I949" s="13" t="str">
        <x:v>discourse_segment</x:v>
      </x:c>
      <x:c r="J949" s="13" t="str">
        <x:v>derived_operational_subtype</x:v>
      </x:c>
      <x:c r="K949" s="13" t="str">
        <x:v>derived_from_established_parent_review_required</x:v>
      </x:c>
      <x:c r="L949" s="13" t="str">
        <x:v>P2</x:v>
      </x:c>
      <x:c r="M949" s="13" t="str">
        <x:v>no</x:v>
      </x:c>
      <x:c r="N949" s="13" t="str">
        <x:v>Operational subtype under Unanswered critical question: proof obligations are shifted or made asymmetric. Parent definition: Ignoring critical questions required by an argument scheme.</x:v>
      </x:c>
      <x:c r="O949" s="13" t="str">
        <x:v>Look for: explicit claim-level evidence; parent-family cues for Unanswered critical question; variant cue: proof obligations are shifted or made asymmetric; avoid author-level inference.</x:v>
      </x:c>
      <x:c r="P949" s="13" t="str">
        <x:v>Exact evidence span in text plus claim-level reasoning link; for contextual/discourse entries, require surrounding context.</x:v>
      </x:c>
      <x:c r="Q949" s="13" t="str">
        <x:v>Do not label merely because topic is controversial, emotional, or wrong. Do not judge intent or personality. Require textual evidence and consider healthy-reasoning cues.</x:v>
      </x:c>
      <x:c r="R949" s="13" t="str">
        <x:v>Stub: A claim relies on proof obligations are shifted or made asymmetric to support a conclusion without adequate qualification.</x:v>
      </x:c>
      <x:c r="S949" s="13" t="str">
        <x:v>Stub: A claim discusses unanswered critical question with caveats, balanced evidence, or no argumentative use of the pattern.</x:v>
      </x:c>
      <x:c r="T949" s="13" t="str">
        <x:v>Mild or ambiguous cue; do not classify without clear evidence span.</x:v>
      </x:c>
      <x:c r="U949" s="13" t="str">
        <x:v>Clear claim-level pattern with some argumentative impact.</x:v>
      </x:c>
      <x:c r="V949" s="13" t="str">
        <x:v>Strong pattern central to the conclusion and likely to materially distort reasoning.</x:v>
      </x:c>
      <x:c r="W949" s="13" t="str"/>
      <x:c r="X949" s="13" t="str">
        <x:v>walton_argumentation_schemes</x:v>
      </x:c>
      <x:c r="Y949" s="13" t="str">
        <x:v>https://www.cambridge.org/core/books/argumentation-schemes/1D013BFA2695C72B14134F2C38B17B85</x:v>
      </x:c>
      <x:c r="Z949" s="13" t="str">
        <x:v>Review before enabling. This workbook is a living taxonomy scaffold, not a validated scientific benchmark.</x:v>
      </x:c>
      <x:c r="AA949" s="13" t="str">
        <x:v>0.1.0-draft</x:v>
      </x:c>
      <x:c r="AB949" s="12" t="str">
        <x:f>IF(ISNUMBER(SEARCH("healthy",F949)),"healthy_reasoning_patterns",IF(ISNUMBER(SEARCH("statistical",F949)),"statistical_reasoning",IF(ISNUMBER(SEARCH("causal",F949)),"causal_reasoning",IF(ISNUMBER(SEARCH("social",F949)),"social_influence",IF(ISNUMBER(SEARCH("rhetoric",F949)),"rhetoric_discourse",IF(ISNUMBER(SEARCH("behavior",F949)),"behavioural_economics",IF(ISNUMBER(SEARCH("cognitive",F949)),"cognitive_biases",IF(J949="protective_pattern","healthy_reasoning_patterns",IF(L949="P0","core_mvp","extended_fallacies")))))))))</x:f>
        <x:v>extended_fallacies</x:v>
      </x:c>
      <x:c r="AC949" s="12" t="str">
        <x:f>IF(ISNUMBER(SEARCH("operational",J949)),"operational",IF(ISNUMBER(SEARCH("deprecated",J949)),"deprecated",IF(L949="P0","canonical","recognized_subtype")))</x:f>
        <x:v>operational</x:v>
      </x:c>
      <x:c r="AD949" s="12" t="str">
        <x:f>IF(AC949="canonical","high",IF(AC949="recognized_subtype","medium",IF(AC949="operational","operational_only","debated")))</x:f>
        <x:v>operational_only</x:v>
      </x:c>
      <x:c r="AE949" s="12" t="str">
        <x:f>IF(AC949="deprecated","deprecated",IF(M949="yes","active",IF(M949="review","review_required","backlog")))</x:f>
        <x:v>backlog</x:v>
      </x:c>
      <x:c r="AF949" s="12" t="str">
        <x:f>IF(OR(AE949="active",AE949="review_required"),"yes","no")</x:f>
        <x:v>no</x:v>
      </x:c>
      <x:c r="AG949" s="12" t="str">
        <x:f>IF(AND(AE949="active",M949="yes",NOT(ISNUMBER(SEARCH("healthy",AB949)))),"yes","no")</x:f>
        <x:v>no</x:v>
      </x:c>
      <x:c r="AH949" s="12" t="str">
        <x:f>IF(OR(H949="contextual",H949="dialogue",H949="discourse",I949="claim+context",I949="discourse_segment"),"yes","no")</x:f>
        <x:v>yes</x:v>
      </x:c>
      <x:c r="AI949" s="12" t="str">
        <x:f>IF(OR(AH949="yes",AD949="debated",AC949="operational"),"yes","no")</x:f>
        <x:v>yes</x:v>
      </x:c>
      <x:c r="AJ949" s="12" t="str">
        <x:f>IF(OR(AH949="yes",AC949="operational",AD949="debated"),"high",IF(AND(AG949="yes",L949="P0"),"medium","low"))</x:f>
        <x:v>high</x:v>
      </x:c>
      <x:c r="AK949" s="12" t="str">
        <x:f>IF(ISNUMBER(SEARCH("healthy",AB949)),"yes","no")</x:f>
        <x:v>no</x:v>
      </x:c>
      <x:c r="AL949" s="12" t="str">
        <x:f>IF(AG949="yes","yes","candidate_only")</x:f>
        <x:v>candidate_only</x:v>
      </x:c>
      <x:c r="AM949" s="12" t="str">
        <x:f>IF(OR(AC949="canonical",AG949="yes"),"yes","recommended")</x:f>
        <x:v>recommended</x:v>
      </x:c>
      <x:c r="AN949" s="12" t="str">
        <x:f>IF(AC949="deprecated","exclude",IF(AND(AG949="yes",AJ949="high"),"import_but_human_review_required",IF(AG949="yes","import_as_active","import_as_backlog")))</x:f>
        <x:v>import_as_backlog</x:v>
      </x:c>
      <x:c r="AO949" s="12" t="str">
        <x:f>IF(AND(AG949="yes",OR(P949="",Q949="",R949="",S949="")),"missing_required_mvp_fields",IF(AND(AC949="canonical",Y949=""),"missing_source_ref","ok"))</x:f>
        <x:v>ok</x:v>
      </x:c>
      <x:c r="AP949" s="12" t="str">
        <x:f>IF(AO949="ok","ready_for_codex_import","needs_review")</x:f>
        <x:v>ready_for_codex_import</x:v>
      </x:c>
      <x:c r="AQ949" s="12"/>
      <x:c r="AR949" s="12" t="str">
        <x:v>Added v2 operational fields. Review before classification activation.</x:v>
      </x:c>
    </x:row>
    <x:row r="950">
      <x:c r="A950" s="13" t="str">
        <x:v>premature_closure_burden_variant</x:v>
      </x:c>
      <x:c r="B950" s="13" t="str">
        <x:v>premature_closure</x:v>
      </x:c>
      <x:c r="C950" s="13" t="str">
        <x:v>Premature closure</x:v>
      </x:c>
      <x:c r="D950" s="13" t="str">
        <x:v>بستن زودهنگام بحث</x:v>
      </x:c>
      <x:c r="E950" s="13" t="str">
        <x:v>Burden-of-proof variant</x:v>
      </x:c>
      <x:c r="F950" s="13" t="str">
        <x:v>discourse_pragmatic_failures</x:v>
      </x:c>
      <x:c r="G950" s="13" t="str">
        <x:v>operational_variant</x:v>
      </x:c>
      <x:c r="H950" s="13" t="str">
        <x:v>dialogue</x:v>
      </x:c>
      <x:c r="I950" s="13" t="str">
        <x:v>discourse_segment</x:v>
      </x:c>
      <x:c r="J950" s="13" t="str">
        <x:v>derived_operational_subtype</x:v>
      </x:c>
      <x:c r="K950" s="13" t="str">
        <x:v>derived_from_established_parent_review_required</x:v>
      </x:c>
      <x:c r="L950" s="13" t="str">
        <x:v>P2</x:v>
      </x:c>
      <x:c r="M950" s="13" t="str">
        <x:v>no</x:v>
      </x:c>
      <x:c r="N950" s="13" t="str">
        <x:v>Operational subtype under Premature closure: proof obligations are shifted or made asymmetric. Parent definition: Ending inquiry before relevant objections or alternatives are considered.</x:v>
      </x:c>
      <x:c r="O950" s="13" t="str">
        <x:v>Look for: explicit claim-level evidence; parent-family cues for Premature closure; variant cue: proof obligations are shifted or made asymmetric; avoid author-level inference.</x:v>
      </x:c>
      <x:c r="P950" s="13" t="str">
        <x:v>Exact evidence span in text plus claim-level reasoning link; for contextual/discourse entries, require surrounding context.</x:v>
      </x:c>
      <x:c r="Q950" s="13" t="str">
        <x:v>Do not label merely because topic is controversial, emotional, or wrong. Do not judge intent or personality. Require textual evidence and consider healthy-reasoning cues.</x:v>
      </x:c>
      <x:c r="R950" s="13" t="str">
        <x:v>Stub: A claim relies on proof obligations are shifted or made asymmetric to support a conclusion without adequate qualification.</x:v>
      </x:c>
      <x:c r="S950" s="13" t="str">
        <x:v>Stub: A claim discusses premature closure with caveats, balanced evidence, or no argumentative use of the pattern.</x:v>
      </x:c>
      <x:c r="T950" s="13" t="str">
        <x:v>Mild or ambiguous cue; do not classify without clear evidence span.</x:v>
      </x:c>
      <x:c r="U950" s="13" t="str">
        <x:v>Clear claim-level pattern with some argumentative impact.</x:v>
      </x:c>
      <x:c r="V950" s="13" t="str">
        <x:v>Strong pattern central to the conclusion and likely to materially distort reasoning.</x:v>
      </x:c>
      <x:c r="W950" s="13" t="str"/>
      <x:c r="X950" s="13" t="str">
        <x:v>pragmadialectics</x:v>
      </x:c>
      <x:c r="Y950" s="13" t="str">
        <x:v>https://doi.org/10.1017/CBO9780511616389</x:v>
      </x:c>
      <x:c r="Z950" s="13" t="str">
        <x:v>Review before enabling. This workbook is a living taxonomy scaffold, not a validated scientific benchmark.</x:v>
      </x:c>
      <x:c r="AA950" s="13" t="str">
        <x:v>0.1.0-draft</x:v>
      </x:c>
      <x:c r="AB950" s="12" t="str">
        <x:f>IF(ISNUMBER(SEARCH("healthy",F950)),"healthy_reasoning_patterns",IF(ISNUMBER(SEARCH("statistical",F950)),"statistical_reasoning",IF(ISNUMBER(SEARCH("causal",F950)),"causal_reasoning",IF(ISNUMBER(SEARCH("social",F950)),"social_influence",IF(ISNUMBER(SEARCH("rhetoric",F950)),"rhetoric_discourse",IF(ISNUMBER(SEARCH("behavior",F950)),"behavioural_economics",IF(ISNUMBER(SEARCH("cognitive",F950)),"cognitive_biases",IF(J950="protective_pattern","healthy_reasoning_patterns",IF(L950="P0","core_mvp","extended_fallacies")))))))))</x:f>
        <x:v>extended_fallacies</x:v>
      </x:c>
      <x:c r="AC950" s="12" t="str">
        <x:f>IF(ISNUMBER(SEARCH("operational",J950)),"operational",IF(ISNUMBER(SEARCH("deprecated",J950)),"deprecated",IF(L950="P0","canonical","recognized_subtype")))</x:f>
        <x:v>operational</x:v>
      </x:c>
      <x:c r="AD950" s="12" t="str">
        <x:f>IF(AC950="canonical","high",IF(AC950="recognized_subtype","medium",IF(AC950="operational","operational_only","debated")))</x:f>
        <x:v>operational_only</x:v>
      </x:c>
      <x:c r="AE950" s="12" t="str">
        <x:f>IF(AC950="deprecated","deprecated",IF(M950="yes","active",IF(M950="review","review_required","backlog")))</x:f>
        <x:v>backlog</x:v>
      </x:c>
      <x:c r="AF950" s="12" t="str">
        <x:f>IF(OR(AE950="active",AE950="review_required"),"yes","no")</x:f>
        <x:v>no</x:v>
      </x:c>
      <x:c r="AG950" s="12" t="str">
        <x:f>IF(AND(AE950="active",M950="yes",NOT(ISNUMBER(SEARCH("healthy",AB950)))),"yes","no")</x:f>
        <x:v>no</x:v>
      </x:c>
      <x:c r="AH950" s="12" t="str">
        <x:f>IF(OR(H950="contextual",H950="dialogue",H950="discourse",I950="claim+context",I950="discourse_segment"),"yes","no")</x:f>
        <x:v>yes</x:v>
      </x:c>
      <x:c r="AI950" s="12" t="str">
        <x:f>IF(OR(AH950="yes",AD950="debated",AC950="operational"),"yes","no")</x:f>
        <x:v>yes</x:v>
      </x:c>
      <x:c r="AJ950" s="12" t="str">
        <x:f>IF(OR(AH950="yes",AC950="operational",AD950="debated"),"high",IF(AND(AG950="yes",L950="P0"),"medium","low"))</x:f>
        <x:v>high</x:v>
      </x:c>
      <x:c r="AK950" s="12" t="str">
        <x:f>IF(ISNUMBER(SEARCH("healthy",AB950)),"yes","no")</x:f>
        <x:v>no</x:v>
      </x:c>
      <x:c r="AL950" s="12" t="str">
        <x:f>IF(AG950="yes","yes","candidate_only")</x:f>
        <x:v>candidate_only</x:v>
      </x:c>
      <x:c r="AM950" s="12" t="str">
        <x:f>IF(OR(AC950="canonical",AG950="yes"),"yes","recommended")</x:f>
        <x:v>recommended</x:v>
      </x:c>
      <x:c r="AN950" s="12" t="str">
        <x:f>IF(AC950="deprecated","exclude",IF(AND(AG950="yes",AJ950="high"),"import_but_human_review_required",IF(AG950="yes","import_as_active","import_as_backlog")))</x:f>
        <x:v>import_as_backlog</x:v>
      </x:c>
      <x:c r="AO950" s="12" t="str">
        <x:f>IF(AND(AG950="yes",OR(P950="",Q950="",R950="",S950="")),"missing_required_mvp_fields",IF(AND(AC950="canonical",Y950=""),"missing_source_ref","ok"))</x:f>
        <x:v>ok</x:v>
      </x:c>
      <x:c r="AP950" s="12" t="str">
        <x:f>IF(AO950="ok","ready_for_codex_import","needs_review")</x:f>
        <x:v>ready_for_codex_import</x:v>
      </x:c>
      <x:c r="AQ950" s="12"/>
      <x:c r="AR950" s="12" t="str">
        <x:v>Added v2 operational fields. Review before classification activation.</x:v>
      </x:c>
    </x:row>
    <x:row r="951">
      <x:c r="A951" s="13" t="str">
        <x:v>criterion_shifting_burden_variant</x:v>
      </x:c>
      <x:c r="B951" s="13" t="str">
        <x:v>criterion_shifting</x:v>
      </x:c>
      <x:c r="C951" s="13" t="str">
        <x:v>Criterion shifting</x:v>
      </x:c>
      <x:c r="D951" s="13" t="str">
        <x:v>تغییر معیار</x:v>
      </x:c>
      <x:c r="E951" s="13" t="str">
        <x:v>Burden-of-proof variant</x:v>
      </x:c>
      <x:c r="F951" s="13" t="str">
        <x:v>discourse_pragmatic_failures</x:v>
      </x:c>
      <x:c r="G951" s="13" t="str">
        <x:v>operational_variant</x:v>
      </x:c>
      <x:c r="H951" s="13" t="str">
        <x:v>dialogue</x:v>
      </x:c>
      <x:c r="I951" s="13" t="str">
        <x:v>discourse_segment</x:v>
      </x:c>
      <x:c r="J951" s="13" t="str">
        <x:v>derived_operational_subtype</x:v>
      </x:c>
      <x:c r="K951" s="13" t="str">
        <x:v>derived_from_established_parent_review_required</x:v>
      </x:c>
      <x:c r="L951" s="13" t="str">
        <x:v>P2</x:v>
      </x:c>
      <x:c r="M951" s="13" t="str">
        <x:v>no</x:v>
      </x:c>
      <x:c r="N951" s="13" t="str">
        <x:v>Operational subtype under Criterion shifting: proof obligations are shifted or made asymmetric. Parent definition: Changing evaluation criteria without stating the change.</x:v>
      </x:c>
      <x:c r="O951" s="13" t="str">
        <x:v>Look for: explicit claim-level evidence; parent-family cues for Criterion shifting; variant cue: proof obligations are shifted or made asymmetric; avoid author-level inference.</x:v>
      </x:c>
      <x:c r="P951" s="13" t="str">
        <x:v>Exact evidence span in text plus claim-level reasoning link; for contextual/discourse entries, require surrounding context.</x:v>
      </x:c>
      <x:c r="Q951" s="13" t="str">
        <x:v>Do not label merely because topic is controversial, emotional, or wrong. Do not judge intent or personality. Require textual evidence and consider healthy-reasoning cues.</x:v>
      </x:c>
      <x:c r="R951" s="13" t="str">
        <x:v>Stub: A claim relies on proof obligations are shifted or made asymmetric to support a conclusion without adequate qualification.</x:v>
      </x:c>
      <x:c r="S951" s="13" t="str">
        <x:v>Stub: A claim discusses criterion shifting with caveats, balanced evidence, or no argumentative use of the pattern.</x:v>
      </x:c>
      <x:c r="T951" s="13" t="str">
        <x:v>Mild or ambiguous cue; do not classify without clear evidence span.</x:v>
      </x:c>
      <x:c r="U951" s="13" t="str">
        <x:v>Clear claim-level pattern with some argumentative impact.</x:v>
      </x:c>
      <x:c r="V951" s="13" t="str">
        <x:v>Strong pattern central to the conclusion and likely to materially distort reasoning.</x:v>
      </x:c>
      <x:c r="W951" s="13" t="str"/>
      <x:c r="X951" s="13" t="str">
        <x:v>pragmadialectics</x:v>
      </x:c>
      <x:c r="Y951" s="13" t="str">
        <x:v>https://doi.org/10.1017/CBO9780511616389</x:v>
      </x:c>
      <x:c r="Z951" s="13" t="str">
        <x:v>Review before enabling. This workbook is a living taxonomy scaffold, not a validated scientific benchmark.</x:v>
      </x:c>
      <x:c r="AA951" s="13" t="str">
        <x:v>0.1.0-draft</x:v>
      </x:c>
      <x:c r="AB951" s="12" t="str">
        <x:f>IF(ISNUMBER(SEARCH("healthy",F951)),"healthy_reasoning_patterns",IF(ISNUMBER(SEARCH("statistical",F951)),"statistical_reasoning",IF(ISNUMBER(SEARCH("causal",F951)),"causal_reasoning",IF(ISNUMBER(SEARCH("social",F951)),"social_influence",IF(ISNUMBER(SEARCH("rhetoric",F951)),"rhetoric_discourse",IF(ISNUMBER(SEARCH("behavior",F951)),"behavioural_economics",IF(ISNUMBER(SEARCH("cognitive",F951)),"cognitive_biases",IF(J951="protective_pattern","healthy_reasoning_patterns",IF(L951="P0","core_mvp","extended_fallacies")))))))))</x:f>
        <x:v>extended_fallacies</x:v>
      </x:c>
      <x:c r="AC951" s="12" t="str">
        <x:f>IF(ISNUMBER(SEARCH("operational",J951)),"operational",IF(ISNUMBER(SEARCH("deprecated",J951)),"deprecated",IF(L951="P0","canonical","recognized_subtype")))</x:f>
        <x:v>operational</x:v>
      </x:c>
      <x:c r="AD951" s="12" t="str">
        <x:f>IF(AC951="canonical","high",IF(AC951="recognized_subtype","medium",IF(AC951="operational","operational_only","debated")))</x:f>
        <x:v>operational_only</x:v>
      </x:c>
      <x:c r="AE951" s="12" t="str">
        <x:f>IF(AC951="deprecated","deprecated",IF(M951="yes","active",IF(M951="review","review_required","backlog")))</x:f>
        <x:v>backlog</x:v>
      </x:c>
      <x:c r="AF951" s="12" t="str">
        <x:f>IF(OR(AE951="active",AE951="review_required"),"yes","no")</x:f>
        <x:v>no</x:v>
      </x:c>
      <x:c r="AG951" s="12" t="str">
        <x:f>IF(AND(AE951="active",M951="yes",NOT(ISNUMBER(SEARCH("healthy",AB951)))),"yes","no")</x:f>
        <x:v>no</x:v>
      </x:c>
      <x:c r="AH951" s="12" t="str">
        <x:f>IF(OR(H951="contextual",H951="dialogue",H951="discourse",I951="claim+context",I951="discourse_segment"),"yes","no")</x:f>
        <x:v>yes</x:v>
      </x:c>
      <x:c r="AI951" s="12" t="str">
        <x:f>IF(OR(AH951="yes",AD951="debated",AC951="operational"),"yes","no")</x:f>
        <x:v>yes</x:v>
      </x:c>
      <x:c r="AJ951" s="12" t="str">
        <x:f>IF(OR(AH951="yes",AC951="operational",AD951="debated"),"high",IF(AND(AG951="yes",L951="P0"),"medium","low"))</x:f>
        <x:v>high</x:v>
      </x:c>
      <x:c r="AK951" s="12" t="str">
        <x:f>IF(ISNUMBER(SEARCH("healthy",AB951)),"yes","no")</x:f>
        <x:v>no</x:v>
      </x:c>
      <x:c r="AL951" s="12" t="str">
        <x:f>IF(AG951="yes","yes","candidate_only")</x:f>
        <x:v>candidate_only</x:v>
      </x:c>
      <x:c r="AM951" s="12" t="str">
        <x:f>IF(OR(AC951="canonical",AG951="yes"),"yes","recommended")</x:f>
        <x:v>recommended</x:v>
      </x:c>
      <x:c r="AN951" s="12" t="str">
        <x:f>IF(AC951="deprecated","exclude",IF(AND(AG951="yes",AJ951="high"),"import_but_human_review_required",IF(AG951="yes","import_as_active","import_as_backlog")))</x:f>
        <x:v>import_as_backlog</x:v>
      </x:c>
      <x:c r="AO951" s="12" t="str">
        <x:f>IF(AND(AG951="yes",OR(P951="",Q951="",R951="",S951="")),"missing_required_mvp_fields",IF(AND(AC951="canonical",Y951=""),"missing_source_ref","ok"))</x:f>
        <x:v>ok</x:v>
      </x:c>
      <x:c r="AP951" s="12" t="str">
        <x:f>IF(AO951="ok","ready_for_codex_import","needs_review")</x:f>
        <x:v>ready_for_codex_import</x:v>
      </x:c>
      <x:c r="AQ951" s="12"/>
      <x:c r="AR951" s="12" t="str">
        <x:v>Added v2 operational fields. Review before classification activation.</x:v>
      </x:c>
    </x:row>
    <x:row r="952">
      <x:c r="A952" s="13" t="str">
        <x:v>ambiguity_exploitation_burden_variant</x:v>
      </x:c>
      <x:c r="B952" s="13" t="str">
        <x:v>ambiguity_exploitation</x:v>
      </x:c>
      <x:c r="C952" s="13" t="str">
        <x:v>Ambiguity exploitation</x:v>
      </x:c>
      <x:c r="D952" s="13" t="str">
        <x:v>بهره‌برداری از ابهام</x:v>
      </x:c>
      <x:c r="E952" s="13" t="str">
        <x:v>Burden-of-proof variant</x:v>
      </x:c>
      <x:c r="F952" s="13" t="str">
        <x:v>discourse_pragmatic_failures</x:v>
      </x:c>
      <x:c r="G952" s="13" t="str">
        <x:v>operational_variant</x:v>
      </x:c>
      <x:c r="H952" s="13" t="str">
        <x:v>lexical</x:v>
      </x:c>
      <x:c r="I952" s="13" t="str">
        <x:v>claim</x:v>
      </x:c>
      <x:c r="J952" s="13" t="str">
        <x:v>derived_operational_subtype</x:v>
      </x:c>
      <x:c r="K952" s="13" t="str">
        <x:v>derived_from_established_parent_review_required</x:v>
      </x:c>
      <x:c r="L952" s="13" t="str">
        <x:v>P2</x:v>
      </x:c>
      <x:c r="M952" s="13" t="str">
        <x:v>no</x:v>
      </x:c>
      <x:c r="N952" s="13" t="str">
        <x:v>Operational subtype under Ambiguity exploitation: proof obligations are shifted or made asymmetric. Parent definition: Using ambiguous wording to maintain multiple interpretations.</x:v>
      </x:c>
      <x:c r="O952" s="13" t="str">
        <x:v>Look for: explicit claim-level evidence; parent-family cues for Ambiguity exploitation; variant cue: proof obligations are shifted or made asymmetric; avoid author-level inference.</x:v>
      </x:c>
      <x:c r="P952" s="13" t="str">
        <x:v>Exact evidence span in text plus claim-level reasoning link; for contextual/discourse entries, require surrounding context.</x:v>
      </x:c>
      <x:c r="Q952" s="13" t="str">
        <x:v>Do not label merely because topic is controversial, emotional, or wrong. Do not judge intent or personality. Require textual evidence and consider healthy-reasoning cues.</x:v>
      </x:c>
      <x:c r="R952" s="13" t="str">
        <x:v>Stub: A claim relies on proof obligations are shifted or made asymmetric to support a conclusion without adequate qualification.</x:v>
      </x:c>
      <x:c r="S952" s="13" t="str">
        <x:v>Stub: A claim discusses ambiguity exploitation with caveats, balanced evidence, or no argumentative use of the pattern.</x:v>
      </x:c>
      <x:c r="T952" s="13" t="str">
        <x:v>Mild or ambiguous cue; do not classify without clear evidence span.</x:v>
      </x:c>
      <x:c r="U952" s="13" t="str">
        <x:v>Clear claim-level pattern with some argumentative impact.</x:v>
      </x:c>
      <x:c r="V952" s="13" t="str">
        <x:v>Strong pattern central to the conclusion and likely to materially distort reasoning.</x:v>
      </x:c>
      <x:c r="W952" s="13" t="str"/>
      <x:c r="X952" s="13" t="str">
        <x:v>grice_logic_conversation</x:v>
      </x:c>
      <x:c r="Y952" s="13" t="str">
        <x:v>https://doi.org/10.1163/9789004368811_003</x:v>
      </x:c>
      <x:c r="Z952" s="13" t="str">
        <x:v>Review before enabling. This workbook is a living taxonomy scaffold, not a validated scientific benchmark.</x:v>
      </x:c>
      <x:c r="AA952" s="13" t="str">
        <x:v>0.1.0-draft</x:v>
      </x:c>
      <x:c r="AB952" s="12" t="str">
        <x:f>IF(ISNUMBER(SEARCH("healthy",F952)),"healthy_reasoning_patterns",IF(ISNUMBER(SEARCH("statistical",F952)),"statistical_reasoning",IF(ISNUMBER(SEARCH("causal",F952)),"causal_reasoning",IF(ISNUMBER(SEARCH("social",F952)),"social_influence",IF(ISNUMBER(SEARCH("rhetoric",F952)),"rhetoric_discourse",IF(ISNUMBER(SEARCH("behavior",F952)),"behavioural_economics",IF(ISNUMBER(SEARCH("cognitive",F952)),"cognitive_biases",IF(J952="protective_pattern","healthy_reasoning_patterns",IF(L952="P0","core_mvp","extended_fallacies")))))))))</x:f>
        <x:v>extended_fallacies</x:v>
      </x:c>
      <x:c r="AC952" s="12" t="str">
        <x:f>IF(ISNUMBER(SEARCH("operational",J952)),"operational",IF(ISNUMBER(SEARCH("deprecated",J952)),"deprecated",IF(L952="P0","canonical","recognized_subtype")))</x:f>
        <x:v>operational</x:v>
      </x:c>
      <x:c r="AD952" s="12" t="str">
        <x:f>IF(AC952="canonical","high",IF(AC952="recognized_subtype","medium",IF(AC952="operational","operational_only","debated")))</x:f>
        <x:v>operational_only</x:v>
      </x:c>
      <x:c r="AE952" s="12" t="str">
        <x:f>IF(AC952="deprecated","deprecated",IF(M952="yes","active",IF(M952="review","review_required","backlog")))</x:f>
        <x:v>backlog</x:v>
      </x:c>
      <x:c r="AF952" s="12" t="str">
        <x:f>IF(OR(AE952="active",AE952="review_required"),"yes","no")</x:f>
        <x:v>no</x:v>
      </x:c>
      <x:c r="AG952" s="12" t="str">
        <x:f>IF(AND(AE952="active",M952="yes",NOT(ISNUMBER(SEARCH("healthy",AB952)))),"yes","no")</x:f>
        <x:v>no</x:v>
      </x:c>
      <x:c r="AH952" s="12" t="str">
        <x:f>IF(OR(H952="contextual",H952="dialogue",H952="discourse",I952="claim+context",I952="discourse_segment"),"yes","no")</x:f>
        <x:v>no</x:v>
      </x:c>
      <x:c r="AI952" s="12" t="str">
        <x:f>IF(OR(AH952="yes",AD952="debated",AC952="operational"),"yes","no")</x:f>
        <x:v>yes</x:v>
      </x:c>
      <x:c r="AJ952" s="12" t="str">
        <x:f>IF(OR(AH952="yes",AC952="operational",AD952="debated"),"high",IF(AND(AG952="yes",L952="P0"),"medium","low"))</x:f>
        <x:v>high</x:v>
      </x:c>
      <x:c r="AK952" s="12" t="str">
        <x:f>IF(ISNUMBER(SEARCH("healthy",AB952)),"yes","no")</x:f>
        <x:v>no</x:v>
      </x:c>
      <x:c r="AL952" s="12" t="str">
        <x:f>IF(AG952="yes","yes","candidate_only")</x:f>
        <x:v>candidate_only</x:v>
      </x:c>
      <x:c r="AM952" s="12" t="str">
        <x:f>IF(OR(AC952="canonical",AG952="yes"),"yes","recommended")</x:f>
        <x:v>recommended</x:v>
      </x:c>
      <x:c r="AN952" s="12" t="str">
        <x:f>IF(AC952="deprecated","exclude",IF(AND(AG952="yes",AJ952="high"),"import_but_human_review_required",IF(AG952="yes","import_as_active","import_as_backlog")))</x:f>
        <x:v>import_as_backlog</x:v>
      </x:c>
      <x:c r="AO952" s="12" t="str">
        <x:f>IF(AND(AG952="yes",OR(P952="",Q952="",R952="",S952="")),"missing_required_mvp_fields",IF(AND(AC952="canonical",Y952=""),"missing_source_ref","ok"))</x:f>
        <x:v>ok</x:v>
      </x:c>
      <x:c r="AP952" s="12" t="str">
        <x:f>IF(AO952="ok","ready_for_codex_import","needs_review")</x:f>
        <x:v>ready_for_codex_import</x:v>
      </x:c>
      <x:c r="AQ952" s="12"/>
      <x:c r="AR952" s="12" t="str">
        <x:v>Added v2 operational fields. Review before classification activation.</x:v>
      </x:c>
    </x:row>
    <x:row r="953">
      <x:c r="A953" s="13" t="str">
        <x:v>burden_overload_burden_variant</x:v>
      </x:c>
      <x:c r="B953" s="13" t="str">
        <x:v>burden_overload</x:v>
      </x:c>
      <x:c r="C953" s="13" t="str">
        <x:v>Burden overload</x:v>
      </x:c>
      <x:c r="D953" s="13" t="str">
        <x:v>بار اثبات نامتناسب</x:v>
      </x:c>
      <x:c r="E953" s="13" t="str">
        <x:v>Burden-of-proof variant</x:v>
      </x:c>
      <x:c r="F953" s="13" t="str">
        <x:v>discourse_pragmatic_failures</x:v>
      </x:c>
      <x:c r="G953" s="13" t="str">
        <x:v>operational_variant</x:v>
      </x:c>
      <x:c r="H953" s="13" t="str">
        <x:v>dialogue</x:v>
      </x:c>
      <x:c r="I953" s="13" t="str">
        <x:v>discourse_segment</x:v>
      </x:c>
      <x:c r="J953" s="13" t="str">
        <x:v>derived_operational_subtype</x:v>
      </x:c>
      <x:c r="K953" s="13" t="str">
        <x:v>derived_from_established_parent_review_required</x:v>
      </x:c>
      <x:c r="L953" s="13" t="str">
        <x:v>P2</x:v>
      </x:c>
      <x:c r="M953" s="13" t="str">
        <x:v>no</x:v>
      </x:c>
      <x:c r="N953" s="13" t="str">
        <x:v>Operational subtype under Burden overload: proof obligations are shifted or made asymmetric. Parent definition: Demanding an unrealistic standard from one side while offering less support oneself.</x:v>
      </x:c>
      <x:c r="O953" s="13" t="str">
        <x:v>Look for: explicit claim-level evidence; parent-family cues for Burden overload; variant cue: proof obligations are shifted or made asymmetric; avoid author-level inference.</x:v>
      </x:c>
      <x:c r="P953" s="13" t="str">
        <x:v>Exact evidence span in text plus claim-level reasoning link; for contextual/discourse entries, require surrounding context.</x:v>
      </x:c>
      <x:c r="Q953" s="13" t="str">
        <x:v>Do not label merely because topic is controversial, emotional, or wrong. Do not judge intent or personality. Require textual evidence and consider healthy-reasoning cues.</x:v>
      </x:c>
      <x:c r="R953" s="13" t="str">
        <x:v>Stub: A claim relies on proof obligations are shifted or made asymmetric to support a conclusion without adequate qualification.</x:v>
      </x:c>
      <x:c r="S953" s="13" t="str">
        <x:v>Stub: A claim discusses burden overload with caveats, balanced evidence, or no argumentative use of the pattern.</x:v>
      </x:c>
      <x:c r="T953" s="13" t="str">
        <x:v>Mild or ambiguous cue; do not classify without clear evidence span.</x:v>
      </x:c>
      <x:c r="U953" s="13" t="str">
        <x:v>Clear claim-level pattern with some argumentative impact.</x:v>
      </x:c>
      <x:c r="V953" s="13" t="str">
        <x:v>Strong pattern central to the conclusion and likely to materially distort reasoning.</x:v>
      </x:c>
      <x:c r="W953" s="13" t="str"/>
      <x:c r="X953" s="13" t="str">
        <x:v>pragmadialectics</x:v>
      </x:c>
      <x:c r="Y953" s="13" t="str">
        <x:v>https://doi.org/10.1017/CBO9780511616389</x:v>
      </x:c>
      <x:c r="Z953" s="13" t="str">
        <x:v>Review before enabling. This workbook is a living taxonomy scaffold, not a validated scientific benchmark.</x:v>
      </x:c>
      <x:c r="AA953" s="13" t="str">
        <x:v>0.1.0-draft</x:v>
      </x:c>
      <x:c r="AB953" s="12" t="str">
        <x:f>IF(ISNUMBER(SEARCH("healthy",F953)),"healthy_reasoning_patterns",IF(ISNUMBER(SEARCH("statistical",F953)),"statistical_reasoning",IF(ISNUMBER(SEARCH("causal",F953)),"causal_reasoning",IF(ISNUMBER(SEARCH("social",F953)),"social_influence",IF(ISNUMBER(SEARCH("rhetoric",F953)),"rhetoric_discourse",IF(ISNUMBER(SEARCH("behavior",F953)),"behavioural_economics",IF(ISNUMBER(SEARCH("cognitive",F953)),"cognitive_biases",IF(J953="protective_pattern","healthy_reasoning_patterns",IF(L953="P0","core_mvp","extended_fallacies")))))))))</x:f>
        <x:v>extended_fallacies</x:v>
      </x:c>
      <x:c r="AC953" s="12" t="str">
        <x:f>IF(ISNUMBER(SEARCH("operational",J953)),"operational",IF(ISNUMBER(SEARCH("deprecated",J953)),"deprecated",IF(L953="P0","canonical","recognized_subtype")))</x:f>
        <x:v>operational</x:v>
      </x:c>
      <x:c r="AD953" s="12" t="str">
        <x:f>IF(AC953="canonical","high",IF(AC953="recognized_subtype","medium",IF(AC953="operational","operational_only","debated")))</x:f>
        <x:v>operational_only</x:v>
      </x:c>
      <x:c r="AE953" s="12" t="str">
        <x:f>IF(AC953="deprecated","deprecated",IF(M953="yes","active",IF(M953="review","review_required","backlog")))</x:f>
        <x:v>backlog</x:v>
      </x:c>
      <x:c r="AF953" s="12" t="str">
        <x:f>IF(OR(AE953="active",AE953="review_required"),"yes","no")</x:f>
        <x:v>no</x:v>
      </x:c>
      <x:c r="AG953" s="12" t="str">
        <x:f>IF(AND(AE953="active",M953="yes",NOT(ISNUMBER(SEARCH("healthy",AB953)))),"yes","no")</x:f>
        <x:v>no</x:v>
      </x:c>
      <x:c r="AH953" s="12" t="str">
        <x:f>IF(OR(H953="contextual",H953="dialogue",H953="discourse",I953="claim+context",I953="discourse_segment"),"yes","no")</x:f>
        <x:v>yes</x:v>
      </x:c>
      <x:c r="AI953" s="12" t="str">
        <x:f>IF(OR(AH953="yes",AD953="debated",AC953="operational"),"yes","no")</x:f>
        <x:v>yes</x:v>
      </x:c>
      <x:c r="AJ953" s="12" t="str">
        <x:f>IF(OR(AH953="yes",AC953="operational",AD953="debated"),"high",IF(AND(AG953="yes",L953="P0"),"medium","low"))</x:f>
        <x:v>high</x:v>
      </x:c>
      <x:c r="AK953" s="12" t="str">
        <x:f>IF(ISNUMBER(SEARCH("healthy",AB953)),"yes","no")</x:f>
        <x:v>no</x:v>
      </x:c>
      <x:c r="AL953" s="12" t="str">
        <x:f>IF(AG953="yes","yes","candidate_only")</x:f>
        <x:v>candidate_only</x:v>
      </x:c>
      <x:c r="AM953" s="12" t="str">
        <x:f>IF(OR(AC953="canonical",AG953="yes"),"yes","recommended")</x:f>
        <x:v>recommended</x:v>
      </x:c>
      <x:c r="AN953" s="12" t="str">
        <x:f>IF(AC953="deprecated","exclude",IF(AND(AG953="yes",AJ953="high"),"import_but_human_review_required",IF(AG953="yes","import_as_active","import_as_backlog")))</x:f>
        <x:v>import_as_backlog</x:v>
      </x:c>
      <x:c r="AO953" s="12" t="str">
        <x:f>IF(AND(AG953="yes",OR(P953="",Q953="",R953="",S953="")),"missing_required_mvp_fields",IF(AND(AC953="canonical",Y953=""),"missing_source_ref","ok"))</x:f>
        <x:v>ok</x:v>
      </x:c>
      <x:c r="AP953" s="12" t="str">
        <x:f>IF(AO953="ok","ready_for_codex_import","needs_review")</x:f>
        <x:v>ready_for_codex_import</x:v>
      </x:c>
      <x:c r="AQ953" s="12"/>
      <x:c r="AR953" s="12" t="str">
        <x:v>Added v2 operational fields. Review before classification activation.</x:v>
      </x:c>
    </x:row>
    <x:row r="954">
      <x:c r="A954" s="13" t="str">
        <x:v>uncharitable_interpretation_burden_variant</x:v>
      </x:c>
      <x:c r="B954" s="13" t="str">
        <x:v>uncharitable_interpretation</x:v>
      </x:c>
      <x:c r="C954" s="13" t="str">
        <x:v>Uncharitable interpretation</x:v>
      </x:c>
      <x:c r="D954" s="13" t="str">
        <x:v>تفسیر نامنصفانه</x:v>
      </x:c>
      <x:c r="E954" s="13" t="str">
        <x:v>Burden-of-proof variant</x:v>
      </x:c>
      <x:c r="F954" s="13" t="str">
        <x:v>discourse_pragmatic_failures</x:v>
      </x:c>
      <x:c r="G954" s="13" t="str">
        <x:v>operational_variant</x:v>
      </x:c>
      <x:c r="H954" s="13" t="str">
        <x:v>contextual</x:v>
      </x:c>
      <x:c r="I954" s="13" t="str">
        <x:v>claim+context</x:v>
      </x:c>
      <x:c r="J954" s="13" t="str">
        <x:v>derived_operational_subtype</x:v>
      </x:c>
      <x:c r="K954" s="13" t="str">
        <x:v>derived_from_established_parent_review_required</x:v>
      </x:c>
      <x:c r="L954" s="13" t="str">
        <x:v>P2</x:v>
      </x:c>
      <x:c r="M954" s="13" t="str">
        <x:v>no</x:v>
      </x:c>
      <x:c r="N954" s="13" t="str">
        <x:v>Operational subtype under Uncharitable interpretation: proof obligations are shifted or made asymmetric. Parent definition: Interpreting a claim in a weaker or less reasonable way than context supports.</x:v>
      </x:c>
      <x:c r="O954" s="13" t="str">
        <x:v>Look for: explicit claim-level evidence; parent-family cues for Uncharitable interpretation; variant cue: proof obligations are shifted or made asymmetric; avoid author-level inference.</x:v>
      </x:c>
      <x:c r="P954" s="13" t="str">
        <x:v>Exact evidence span in text plus claim-level reasoning link; for contextual/discourse entries, require surrounding context.</x:v>
      </x:c>
      <x:c r="Q954" s="13" t="str">
        <x:v>Do not label merely because topic is controversial, emotional, or wrong. Do not judge intent or personality. Require textual evidence and consider healthy-reasoning cues.</x:v>
      </x:c>
      <x:c r="R954" s="13" t="str">
        <x:v>Stub: A claim relies on proof obligations are shifted or made asymmetric to support a conclusion without adequate qualification.</x:v>
      </x:c>
      <x:c r="S954" s="13" t="str">
        <x:v>Stub: A claim discusses uncharitable interpretation with caveats, balanced evidence, or no argumentative use of the pattern.</x:v>
      </x:c>
      <x:c r="T954" s="13" t="str">
        <x:v>Mild or ambiguous cue; do not classify without clear evidence span.</x:v>
      </x:c>
      <x:c r="U954" s="13" t="str">
        <x:v>Clear claim-level pattern with some argumentative impact.</x:v>
      </x:c>
      <x:c r="V954" s="13" t="str">
        <x:v>Strong pattern central to the conclusion and likely to materially distort reasoning.</x:v>
      </x:c>
      <x:c r="W954" s="13" t="str"/>
      <x:c r="X954" s="13" t="str">
        <x:v>toulmin_uses_argument</x:v>
      </x:c>
      <x:c r="Y954" s="13" t="str">
        <x:v>https://doi.org/10.1017/CBO9780511840005</x:v>
      </x:c>
      <x:c r="Z954" s="13" t="str">
        <x:v>Review before enabling. This workbook is a living taxonomy scaffold, not a validated scientific benchmark.</x:v>
      </x:c>
      <x:c r="AA954" s="13" t="str">
        <x:v>0.1.0-draft</x:v>
      </x:c>
      <x:c r="AB954" s="12" t="str">
        <x:f>IF(ISNUMBER(SEARCH("healthy",F954)),"healthy_reasoning_patterns",IF(ISNUMBER(SEARCH("statistical",F954)),"statistical_reasoning",IF(ISNUMBER(SEARCH("causal",F954)),"causal_reasoning",IF(ISNUMBER(SEARCH("social",F954)),"social_influence",IF(ISNUMBER(SEARCH("rhetoric",F954)),"rhetoric_discourse",IF(ISNUMBER(SEARCH("behavior",F954)),"behavioural_economics",IF(ISNUMBER(SEARCH("cognitive",F954)),"cognitive_biases",IF(J954="protective_pattern","healthy_reasoning_patterns",IF(L954="P0","core_mvp","extended_fallacies")))))))))</x:f>
        <x:v>extended_fallacies</x:v>
      </x:c>
      <x:c r="AC954" s="12" t="str">
        <x:f>IF(ISNUMBER(SEARCH("operational",J954)),"operational",IF(ISNUMBER(SEARCH("deprecated",J954)),"deprecated",IF(L954="P0","canonical","recognized_subtype")))</x:f>
        <x:v>operational</x:v>
      </x:c>
      <x:c r="AD954" s="12" t="str">
        <x:f>IF(AC954="canonical","high",IF(AC954="recognized_subtype","medium",IF(AC954="operational","operational_only","debated")))</x:f>
        <x:v>operational_only</x:v>
      </x:c>
      <x:c r="AE954" s="12" t="str">
        <x:f>IF(AC954="deprecated","deprecated",IF(M954="yes","active",IF(M954="review","review_required","backlog")))</x:f>
        <x:v>backlog</x:v>
      </x:c>
      <x:c r="AF954" s="12" t="str">
        <x:f>IF(OR(AE954="active",AE954="review_required"),"yes","no")</x:f>
        <x:v>no</x:v>
      </x:c>
      <x:c r="AG954" s="12" t="str">
        <x:f>IF(AND(AE954="active",M954="yes",NOT(ISNUMBER(SEARCH("healthy",AB954)))),"yes","no")</x:f>
        <x:v>no</x:v>
      </x:c>
      <x:c r="AH954" s="12" t="str">
        <x:f>IF(OR(H954="contextual",H954="dialogue",H954="discourse",I954="claim+context",I954="discourse_segment"),"yes","no")</x:f>
        <x:v>yes</x:v>
      </x:c>
      <x:c r="AI954" s="12" t="str">
        <x:f>IF(OR(AH954="yes",AD954="debated",AC954="operational"),"yes","no")</x:f>
        <x:v>yes</x:v>
      </x:c>
      <x:c r="AJ954" s="12" t="str">
        <x:f>IF(OR(AH954="yes",AC954="operational",AD954="debated"),"high",IF(AND(AG954="yes",L954="P0"),"medium","low"))</x:f>
        <x:v>high</x:v>
      </x:c>
      <x:c r="AK954" s="12" t="str">
        <x:f>IF(ISNUMBER(SEARCH("healthy",AB954)),"yes","no")</x:f>
        <x:v>no</x:v>
      </x:c>
      <x:c r="AL954" s="12" t="str">
        <x:f>IF(AG954="yes","yes","candidate_only")</x:f>
        <x:v>candidate_only</x:v>
      </x:c>
      <x:c r="AM954" s="12" t="str">
        <x:f>IF(OR(AC954="canonical",AG954="yes"),"yes","recommended")</x:f>
        <x:v>recommended</x:v>
      </x:c>
      <x:c r="AN954" s="12" t="str">
        <x:f>IF(AC954="deprecated","exclude",IF(AND(AG954="yes",AJ954="high"),"import_but_human_review_required",IF(AG954="yes","import_as_active","import_as_backlog")))</x:f>
        <x:v>import_as_backlog</x:v>
      </x:c>
      <x:c r="AO954" s="12" t="str">
        <x:f>IF(AND(AG954="yes",OR(P954="",Q954="",R954="",S954="")),"missing_required_mvp_fields",IF(AND(AC954="canonical",Y954=""),"missing_source_ref","ok"))</x:f>
        <x:v>ok</x:v>
      </x:c>
      <x:c r="AP954" s="12" t="str">
        <x:f>IF(AO954="ok","ready_for_codex_import","needs_review")</x:f>
        <x:v>ready_for_codex_import</x:v>
      </x:c>
      <x:c r="AQ954" s="12"/>
      <x:c r="AR954" s="12" t="str">
        <x:v>Added v2 operational fields. Review before classification activation.</x:v>
      </x:c>
    </x:row>
    <x:row r="955">
      <x:c r="A955" s="13" t="str">
        <x:v>missing_warrant_burden_variant</x:v>
      </x:c>
      <x:c r="B955" s="13" t="str">
        <x:v>missing_warrant</x:v>
      </x:c>
      <x:c r="C955" s="13" t="str">
        <x:v>Missing warrant</x:v>
      </x:c>
      <x:c r="D955" s="13" t="str">
        <x:v>نبود پیوند استدلالی</x:v>
      </x:c>
      <x:c r="E955" s="13" t="str">
        <x:v>Burden-of-proof variant</x:v>
      </x:c>
      <x:c r="F955" s="13" t="str">
        <x:v>discourse_pragmatic_failures</x:v>
      </x:c>
      <x:c r="G955" s="13" t="str">
        <x:v>operational_variant</x:v>
      </x:c>
      <x:c r="H955" s="13" t="str">
        <x:v>structural</x:v>
      </x:c>
      <x:c r="I955" s="13" t="str">
        <x:v>claim</x:v>
      </x:c>
      <x:c r="J955" s="13" t="str">
        <x:v>derived_operational_subtype</x:v>
      </x:c>
      <x:c r="K955" s="13" t="str">
        <x:v>derived_from_established_parent_review_required</x:v>
      </x:c>
      <x:c r="L955" s="13" t="str">
        <x:v>P2</x:v>
      </x:c>
      <x:c r="M955" s="13" t="str">
        <x:v>no</x:v>
      </x:c>
      <x:c r="N955" s="13" t="str">
        <x:v>Operational subtype under Missing warrant: proof obligations are shifted or made asymmetric. Parent definition: The move from evidence to conclusion lacks an explicit or plausible warrant.</x:v>
      </x:c>
      <x:c r="O955" s="13" t="str">
        <x:v>Look for: explicit claim-level evidence; parent-family cues for Missing warrant; variant cue: proof obligations are shifted or made asymmetric; avoid author-level inference.</x:v>
      </x:c>
      <x:c r="P955" s="13" t="str">
        <x:v>Exact evidence span in text plus claim-level reasoning link; for contextual/discourse entries, require surrounding context.</x:v>
      </x:c>
      <x:c r="Q955" s="13" t="str">
        <x:v>Do not label merely because topic is controversial, emotional, or wrong. Do not judge intent or personality. Require textual evidence and consider healthy-reasoning cues.</x:v>
      </x:c>
      <x:c r="R955" s="13" t="str">
        <x:v>Stub: A claim relies on proof obligations are shifted or made asymmetric to support a conclusion without adequate qualification.</x:v>
      </x:c>
      <x:c r="S955" s="13" t="str">
        <x:v>Stub: A claim discusses missing warrant with caveats, balanced evidence, or no argumentative use of the pattern.</x:v>
      </x:c>
      <x:c r="T955" s="13" t="str">
        <x:v>Mild or ambiguous cue; do not classify without clear evidence span.</x:v>
      </x:c>
      <x:c r="U955" s="13" t="str">
        <x:v>Clear claim-level pattern with some argumentative impact.</x:v>
      </x:c>
      <x:c r="V955" s="13" t="str">
        <x:v>Strong pattern central to the conclusion and likely to materially distort reasoning.</x:v>
      </x:c>
      <x:c r="W955" s="13" t="str">
        <x:v>cherry_picking; missing_counterevidence; evidence_grading</x:v>
      </x:c>
      <x:c r="X955" s="13" t="str">
        <x:v>toulmin_uses_argument</x:v>
      </x:c>
      <x:c r="Y955" s="13" t="str">
        <x:v>https://doi.org/10.1017/CBO9780511840005</x:v>
      </x:c>
      <x:c r="Z955" s="13" t="str">
        <x:v>Review before enabling. This workbook is a living taxonomy scaffold, not a validated scientific benchmark.</x:v>
      </x:c>
      <x:c r="AA955" s="13" t="str">
        <x:v>0.1.0-draft</x:v>
      </x:c>
      <x:c r="AB955" s="12" t="str">
        <x:f>IF(ISNUMBER(SEARCH("healthy",F955)),"healthy_reasoning_patterns",IF(ISNUMBER(SEARCH("statistical",F955)),"statistical_reasoning",IF(ISNUMBER(SEARCH("causal",F955)),"causal_reasoning",IF(ISNUMBER(SEARCH("social",F955)),"social_influence",IF(ISNUMBER(SEARCH("rhetoric",F955)),"rhetoric_discourse",IF(ISNUMBER(SEARCH("behavior",F955)),"behavioural_economics",IF(ISNUMBER(SEARCH("cognitive",F955)),"cognitive_biases",IF(J955="protective_pattern","healthy_reasoning_patterns",IF(L955="P0","core_mvp","extended_fallacies")))))))))</x:f>
        <x:v>extended_fallacies</x:v>
      </x:c>
      <x:c r="AC955" s="12" t="str">
        <x:f>IF(ISNUMBER(SEARCH("operational",J955)),"operational",IF(ISNUMBER(SEARCH("deprecated",J955)),"deprecated",IF(L955="P0","canonical","recognized_subtype")))</x:f>
        <x:v>operational</x:v>
      </x:c>
      <x:c r="AD955" s="12" t="str">
        <x:f>IF(AC955="canonical","high",IF(AC955="recognized_subtype","medium",IF(AC955="operational","operational_only","debated")))</x:f>
        <x:v>operational_only</x:v>
      </x:c>
      <x:c r="AE955" s="12" t="str">
        <x:f>IF(AC955="deprecated","deprecated",IF(M955="yes","active",IF(M955="review","review_required","backlog")))</x:f>
        <x:v>backlog</x:v>
      </x:c>
      <x:c r="AF955" s="12" t="str">
        <x:f>IF(OR(AE955="active",AE955="review_required"),"yes","no")</x:f>
        <x:v>no</x:v>
      </x:c>
      <x:c r="AG955" s="12" t="str">
        <x:f>IF(AND(AE955="active",M955="yes",NOT(ISNUMBER(SEARCH("healthy",AB955)))),"yes","no")</x:f>
        <x:v>no</x:v>
      </x:c>
      <x:c r="AH955" s="12" t="str">
        <x:f>IF(OR(H955="contextual",H955="dialogue",H955="discourse",I955="claim+context",I955="discourse_segment"),"yes","no")</x:f>
        <x:v>no</x:v>
      </x:c>
      <x:c r="AI955" s="12" t="str">
        <x:f>IF(OR(AH955="yes",AD955="debated",AC955="operational"),"yes","no")</x:f>
        <x:v>yes</x:v>
      </x:c>
      <x:c r="AJ955" s="12" t="str">
        <x:f>IF(OR(AH955="yes",AC955="operational",AD955="debated"),"high",IF(AND(AG955="yes",L955="P0"),"medium","low"))</x:f>
        <x:v>high</x:v>
      </x:c>
      <x:c r="AK955" s="12" t="str">
        <x:f>IF(ISNUMBER(SEARCH("healthy",AB955)),"yes","no")</x:f>
        <x:v>no</x:v>
      </x:c>
      <x:c r="AL955" s="12" t="str">
        <x:f>IF(AG955="yes","yes","candidate_only")</x:f>
        <x:v>candidate_only</x:v>
      </x:c>
      <x:c r="AM955" s="12" t="str">
        <x:f>IF(OR(AC955="canonical",AG955="yes"),"yes","recommended")</x:f>
        <x:v>recommended</x:v>
      </x:c>
      <x:c r="AN955" s="12" t="str">
        <x:f>IF(AC955="deprecated","exclude",IF(AND(AG955="yes",AJ955="high"),"import_but_human_review_required",IF(AG955="yes","import_as_active","import_as_backlog")))</x:f>
        <x:v>import_as_backlog</x:v>
      </x:c>
      <x:c r="AO955" s="12" t="str">
        <x:f>IF(AND(AG955="yes",OR(P955="",Q955="",R955="",S955="")),"missing_required_mvp_fields",IF(AND(AC955="canonical",Y955=""),"missing_source_ref","ok"))</x:f>
        <x:v>ok</x:v>
      </x:c>
      <x:c r="AP955" s="12" t="str">
        <x:f>IF(AO955="ok","ready_for_codex_import","needs_review")</x:f>
        <x:v>ready_for_codex_import</x:v>
      </x:c>
      <x:c r="AQ955" s="12"/>
      <x:c r="AR955" s="12" t="str">
        <x:v>Added v2 operational fields. Review before classification activation.</x:v>
      </x:c>
    </x:row>
    <x:row r="956">
      <x:c r="A956" s="13" t="str">
        <x:v>warrant_backing_gap_burden_variant</x:v>
      </x:c>
      <x:c r="B956" s="13" t="str">
        <x:v>warrant_backing_gap</x:v>
      </x:c>
      <x:c r="C956" s="13" t="str">
        <x:v>Warrant-backing gap</x:v>
      </x:c>
      <x:c r="D956" s="13" t="str">
        <x:v>نبود پشتوانه برای پیوند</x:v>
      </x:c>
      <x:c r="E956" s="13" t="str">
        <x:v>Burden-of-proof variant</x:v>
      </x:c>
      <x:c r="F956" s="13" t="str">
        <x:v>discourse_pragmatic_failures</x:v>
      </x:c>
      <x:c r="G956" s="13" t="str">
        <x:v>operational_variant</x:v>
      </x:c>
      <x:c r="H956" s="13" t="str">
        <x:v>structural</x:v>
      </x:c>
      <x:c r="I956" s="13" t="str">
        <x:v>claim</x:v>
      </x:c>
      <x:c r="J956" s="13" t="str">
        <x:v>derived_operational_subtype</x:v>
      </x:c>
      <x:c r="K956" s="13" t="str">
        <x:v>derived_from_established_parent_review_required</x:v>
      </x:c>
      <x:c r="L956" s="13" t="str">
        <x:v>P2</x:v>
      </x:c>
      <x:c r="M956" s="13" t="str">
        <x:v>no</x:v>
      </x:c>
      <x:c r="N956" s="13" t="str">
        <x:v>Operational subtype under Warrant-backing gap: proof obligations are shifted or made asymmetric. Parent definition: The warrant itself lacks support.</x:v>
      </x:c>
      <x:c r="O956" s="13" t="str">
        <x:v>Look for: explicit claim-level evidence; parent-family cues for Warrant-backing gap; variant cue: proof obligations are shifted or made asymmetric; avoid author-level inference.</x:v>
      </x:c>
      <x:c r="P956" s="13" t="str">
        <x:v>Exact evidence span in text plus claim-level reasoning link; for contextual/discourse entries, require surrounding context.</x:v>
      </x:c>
      <x:c r="Q956" s="13" t="str">
        <x:v>Do not label merely because topic is controversial, emotional, or wrong. Do not judge intent or personality. Require textual evidence and consider healthy-reasoning cues.</x:v>
      </x:c>
      <x:c r="R956" s="13" t="str">
        <x:v>Stub: A claim relies on proof obligations are shifted or made asymmetric to support a conclusion without adequate qualification.</x:v>
      </x:c>
      <x:c r="S956" s="13" t="str">
        <x:v>Stub: A claim discusses warrant-backing gap with caveats, balanced evidence, or no argumentative use of the pattern.</x:v>
      </x:c>
      <x:c r="T956" s="13" t="str">
        <x:v>Mild or ambiguous cue; do not classify without clear evidence span.</x:v>
      </x:c>
      <x:c r="U956" s="13" t="str">
        <x:v>Clear claim-level pattern with some argumentative impact.</x:v>
      </x:c>
      <x:c r="V956" s="13" t="str">
        <x:v>Strong pattern central to the conclusion and likely to materially distort reasoning.</x:v>
      </x:c>
      <x:c r="W956" s="13" t="str"/>
      <x:c r="X956" s="13" t="str">
        <x:v>toulmin_uses_argument</x:v>
      </x:c>
      <x:c r="Y956" s="13" t="str">
        <x:v>https://doi.org/10.1017/CBO9780511840005</x:v>
      </x:c>
      <x:c r="Z956" s="13" t="str">
        <x:v>Review before enabling. This workbook is a living taxonomy scaffold, not a validated scientific benchmark.</x:v>
      </x:c>
      <x:c r="AA956" s="13" t="str">
        <x:v>0.1.0-draft</x:v>
      </x:c>
      <x:c r="AB956" s="12" t="str">
        <x:f>IF(ISNUMBER(SEARCH("healthy",F956)),"healthy_reasoning_patterns",IF(ISNUMBER(SEARCH("statistical",F956)),"statistical_reasoning",IF(ISNUMBER(SEARCH("causal",F956)),"causal_reasoning",IF(ISNUMBER(SEARCH("social",F956)),"social_influence",IF(ISNUMBER(SEARCH("rhetoric",F956)),"rhetoric_discourse",IF(ISNUMBER(SEARCH("behavior",F956)),"behavioural_economics",IF(ISNUMBER(SEARCH("cognitive",F956)),"cognitive_biases",IF(J956="protective_pattern","healthy_reasoning_patterns",IF(L956="P0","core_mvp","extended_fallacies")))))))))</x:f>
        <x:v>extended_fallacies</x:v>
      </x:c>
      <x:c r="AC956" s="12" t="str">
        <x:f>IF(ISNUMBER(SEARCH("operational",J956)),"operational",IF(ISNUMBER(SEARCH("deprecated",J956)),"deprecated",IF(L956="P0","canonical","recognized_subtype")))</x:f>
        <x:v>operational</x:v>
      </x:c>
      <x:c r="AD956" s="12" t="str">
        <x:f>IF(AC956="canonical","high",IF(AC956="recognized_subtype","medium",IF(AC956="operational","operational_only","debated")))</x:f>
        <x:v>operational_only</x:v>
      </x:c>
      <x:c r="AE956" s="12" t="str">
        <x:f>IF(AC956="deprecated","deprecated",IF(M956="yes","active",IF(M956="review","review_required","backlog")))</x:f>
        <x:v>backlog</x:v>
      </x:c>
      <x:c r="AF956" s="12" t="str">
        <x:f>IF(OR(AE956="active",AE956="review_required"),"yes","no")</x:f>
        <x:v>no</x:v>
      </x:c>
      <x:c r="AG956" s="12" t="str">
        <x:f>IF(AND(AE956="active",M956="yes",NOT(ISNUMBER(SEARCH("healthy",AB956)))),"yes","no")</x:f>
        <x:v>no</x:v>
      </x:c>
      <x:c r="AH956" s="12" t="str">
        <x:f>IF(OR(H956="contextual",H956="dialogue",H956="discourse",I956="claim+context",I956="discourse_segment"),"yes","no")</x:f>
        <x:v>no</x:v>
      </x:c>
      <x:c r="AI956" s="12" t="str">
        <x:f>IF(OR(AH956="yes",AD956="debated",AC956="operational"),"yes","no")</x:f>
        <x:v>yes</x:v>
      </x:c>
      <x:c r="AJ956" s="12" t="str">
        <x:f>IF(OR(AH956="yes",AC956="operational",AD956="debated"),"high",IF(AND(AG956="yes",L956="P0"),"medium","low"))</x:f>
        <x:v>high</x:v>
      </x:c>
      <x:c r="AK956" s="12" t="str">
        <x:f>IF(ISNUMBER(SEARCH("healthy",AB956)),"yes","no")</x:f>
        <x:v>no</x:v>
      </x:c>
      <x:c r="AL956" s="12" t="str">
        <x:f>IF(AG956="yes","yes","candidate_only")</x:f>
        <x:v>candidate_only</x:v>
      </x:c>
      <x:c r="AM956" s="12" t="str">
        <x:f>IF(OR(AC956="canonical",AG956="yes"),"yes","recommended")</x:f>
        <x:v>recommended</x:v>
      </x:c>
      <x:c r="AN956" s="12" t="str">
        <x:f>IF(AC956="deprecated","exclude",IF(AND(AG956="yes",AJ956="high"),"import_but_human_review_required",IF(AG956="yes","import_as_active","import_as_backlog")))</x:f>
        <x:v>import_as_backlog</x:v>
      </x:c>
      <x:c r="AO956" s="12" t="str">
        <x:f>IF(AND(AG956="yes",OR(P956="",Q956="",R956="",S956="")),"missing_required_mvp_fields",IF(AND(AC956="canonical",Y956=""),"missing_source_ref","ok"))</x:f>
        <x:v>ok</x:v>
      </x:c>
      <x:c r="AP956" s="12" t="str">
        <x:f>IF(AO956="ok","ready_for_codex_import","needs_review")</x:f>
        <x:v>ready_for_codex_import</x:v>
      </x:c>
      <x:c r="AQ956" s="12"/>
      <x:c r="AR956" s="12" t="str">
        <x:v>Added v2 operational fields. Review before classification activation.</x:v>
      </x:c>
    </x:row>
    <x:row r="957">
      <x:c r="A957" s="13" t="str">
        <x:v>qualifier_absence_burden_variant</x:v>
      </x:c>
      <x:c r="B957" s="13" t="str">
        <x:v>qualifier_absence</x:v>
      </x:c>
      <x:c r="C957" s="13" t="str">
        <x:v>Qualifier absence</x:v>
      </x:c>
      <x:c r="D957" s="13" t="str">
        <x:v>نبود قید اطمینان</x:v>
      </x:c>
      <x:c r="E957" s="13" t="str">
        <x:v>Burden-of-proof variant</x:v>
      </x:c>
      <x:c r="F957" s="13" t="str">
        <x:v>discourse_pragmatic_failures</x:v>
      </x:c>
      <x:c r="G957" s="13" t="str">
        <x:v>operational_variant</x:v>
      </x:c>
      <x:c r="H957" s="13" t="str">
        <x:v>lexical</x:v>
      </x:c>
      <x:c r="I957" s="13" t="str">
        <x:v>claim</x:v>
      </x:c>
      <x:c r="J957" s="13" t="str">
        <x:v>derived_operational_subtype</x:v>
      </x:c>
      <x:c r="K957" s="13" t="str">
        <x:v>derived_from_established_parent_review_required</x:v>
      </x:c>
      <x:c r="L957" s="13" t="str">
        <x:v>P2</x:v>
      </x:c>
      <x:c r="M957" s="13" t="str">
        <x:v>no</x:v>
      </x:c>
      <x:c r="N957" s="13" t="str">
        <x:v>Operational subtype under Qualifier absence: proof obligations are shifted or made asymmetric. Parent definition: A claim lacks necessary qualifiers given uncertainty.</x:v>
      </x:c>
      <x:c r="O957" s="13" t="str">
        <x:v>Look for: explicit claim-level evidence; parent-family cues for Qualifier absence; variant cue: proof obligations are shifted or made asymmetric; avoid author-level inference.</x:v>
      </x:c>
      <x:c r="P957" s="13" t="str">
        <x:v>Exact evidence span in text plus claim-level reasoning link; for contextual/discourse entries, require surrounding context.</x:v>
      </x:c>
      <x:c r="Q957" s="13" t="str">
        <x:v>Do not label merely because topic is controversial, emotional, or wrong. Do not judge intent or personality. Require textual evidence and consider healthy-reasoning cues.</x:v>
      </x:c>
      <x:c r="R957" s="13" t="str">
        <x:v>Stub: A claim relies on proof obligations are shifted or made asymmetric to support a conclusion without adequate qualification.</x:v>
      </x:c>
      <x:c r="S957" s="13" t="str">
        <x:v>Stub: A claim discusses qualifier absence with caveats, balanced evidence, or no argumentative use of the pattern.</x:v>
      </x:c>
      <x:c r="T957" s="13" t="str">
        <x:v>Mild or ambiguous cue; do not classify without clear evidence span.</x:v>
      </x:c>
      <x:c r="U957" s="13" t="str">
        <x:v>Clear claim-level pattern with some argumentative impact.</x:v>
      </x:c>
      <x:c r="V957" s="13" t="str">
        <x:v>Strong pattern central to the conclusion and likely to materially distort reasoning.</x:v>
      </x:c>
      <x:c r="W957" s="13" t="str"/>
      <x:c r="X957" s="13" t="str">
        <x:v>toulmin_uses_argument</x:v>
      </x:c>
      <x:c r="Y957" s="13" t="str">
        <x:v>https://doi.org/10.1017/CBO9780511840005</x:v>
      </x:c>
      <x:c r="Z957" s="13" t="str">
        <x:v>Review before enabling. This workbook is a living taxonomy scaffold, not a validated scientific benchmark.</x:v>
      </x:c>
      <x:c r="AA957" s="13" t="str">
        <x:v>0.1.0-draft</x:v>
      </x:c>
      <x:c r="AB957" s="12" t="str">
        <x:f>IF(ISNUMBER(SEARCH("healthy",F957)),"healthy_reasoning_patterns",IF(ISNUMBER(SEARCH("statistical",F957)),"statistical_reasoning",IF(ISNUMBER(SEARCH("causal",F957)),"causal_reasoning",IF(ISNUMBER(SEARCH("social",F957)),"social_influence",IF(ISNUMBER(SEARCH("rhetoric",F957)),"rhetoric_discourse",IF(ISNUMBER(SEARCH("behavior",F957)),"behavioural_economics",IF(ISNUMBER(SEARCH("cognitive",F957)),"cognitive_biases",IF(J957="protective_pattern","healthy_reasoning_patterns",IF(L957="P0","core_mvp","extended_fallacies")))))))))</x:f>
        <x:v>extended_fallacies</x:v>
      </x:c>
      <x:c r="AC957" s="12" t="str">
        <x:f>IF(ISNUMBER(SEARCH("operational",J957)),"operational",IF(ISNUMBER(SEARCH("deprecated",J957)),"deprecated",IF(L957="P0","canonical","recognized_subtype")))</x:f>
        <x:v>operational</x:v>
      </x:c>
      <x:c r="AD957" s="12" t="str">
        <x:f>IF(AC957="canonical","high",IF(AC957="recognized_subtype","medium",IF(AC957="operational","operational_only","debated")))</x:f>
        <x:v>operational_only</x:v>
      </x:c>
      <x:c r="AE957" s="12" t="str">
        <x:f>IF(AC957="deprecated","deprecated",IF(M957="yes","active",IF(M957="review","review_required","backlog")))</x:f>
        <x:v>backlog</x:v>
      </x:c>
      <x:c r="AF957" s="12" t="str">
        <x:f>IF(OR(AE957="active",AE957="review_required"),"yes","no")</x:f>
        <x:v>no</x:v>
      </x:c>
      <x:c r="AG957" s="12" t="str">
        <x:f>IF(AND(AE957="active",M957="yes",NOT(ISNUMBER(SEARCH("healthy",AB957)))),"yes","no")</x:f>
        <x:v>no</x:v>
      </x:c>
      <x:c r="AH957" s="12" t="str">
        <x:f>IF(OR(H957="contextual",H957="dialogue",H957="discourse",I957="claim+context",I957="discourse_segment"),"yes","no")</x:f>
        <x:v>no</x:v>
      </x:c>
      <x:c r="AI957" s="12" t="str">
        <x:f>IF(OR(AH957="yes",AD957="debated",AC957="operational"),"yes","no")</x:f>
        <x:v>yes</x:v>
      </x:c>
      <x:c r="AJ957" s="12" t="str">
        <x:f>IF(OR(AH957="yes",AC957="operational",AD957="debated"),"high",IF(AND(AG957="yes",L957="P0"),"medium","low"))</x:f>
        <x:v>high</x:v>
      </x:c>
      <x:c r="AK957" s="12" t="str">
        <x:f>IF(ISNUMBER(SEARCH("healthy",AB957)),"yes","no")</x:f>
        <x:v>no</x:v>
      </x:c>
      <x:c r="AL957" s="12" t="str">
        <x:f>IF(AG957="yes","yes","candidate_only")</x:f>
        <x:v>candidate_only</x:v>
      </x:c>
      <x:c r="AM957" s="12" t="str">
        <x:f>IF(OR(AC957="canonical",AG957="yes"),"yes","recommended")</x:f>
        <x:v>recommended</x:v>
      </x:c>
      <x:c r="AN957" s="12" t="str">
        <x:f>IF(AC957="deprecated","exclude",IF(AND(AG957="yes",AJ957="high"),"import_but_human_review_required",IF(AG957="yes","import_as_active","import_as_backlog")))</x:f>
        <x:v>import_as_backlog</x:v>
      </x:c>
      <x:c r="AO957" s="12" t="str">
        <x:f>IF(AND(AG957="yes",OR(P957="",Q957="",R957="",S957="")),"missing_required_mvp_fields",IF(AND(AC957="canonical",Y957=""),"missing_source_ref","ok"))</x:f>
        <x:v>ok</x:v>
      </x:c>
      <x:c r="AP957" s="12" t="str">
        <x:f>IF(AO957="ok","ready_for_codex_import","needs_review")</x:f>
        <x:v>ready_for_codex_import</x:v>
      </x:c>
      <x:c r="AQ957" s="12"/>
      <x:c r="AR957" s="12" t="str">
        <x:v>Added v2 operational fields. Review before classification activation.</x:v>
      </x:c>
    </x:row>
    <x:row r="958">
      <x:c r="A958" s="13" t="str">
        <x:v>rebuttal_suppression_burden_variant</x:v>
      </x:c>
      <x:c r="B958" s="13" t="str">
        <x:v>rebuttal_suppression</x:v>
      </x:c>
      <x:c r="C958" s="13" t="str">
        <x:v>Rebuttal suppression</x:v>
      </x:c>
      <x:c r="D958" s="13" t="str">
        <x:v>حذف استثنا یا ردیه</x:v>
      </x:c>
      <x:c r="E958" s="13" t="str">
        <x:v>Burden-of-proof variant</x:v>
      </x:c>
      <x:c r="F958" s="13" t="str">
        <x:v>discourse_pragmatic_failures</x:v>
      </x:c>
      <x:c r="G958" s="13" t="str">
        <x:v>operational_variant</x:v>
      </x:c>
      <x:c r="H958" s="13" t="str">
        <x:v>contextual</x:v>
      </x:c>
      <x:c r="I958" s="13" t="str">
        <x:v>claim+context</x:v>
      </x:c>
      <x:c r="J958" s="13" t="str">
        <x:v>derived_operational_subtype</x:v>
      </x:c>
      <x:c r="K958" s="13" t="str">
        <x:v>derived_from_established_parent_review_required</x:v>
      </x:c>
      <x:c r="L958" s="13" t="str">
        <x:v>P2</x:v>
      </x:c>
      <x:c r="M958" s="13" t="str">
        <x:v>no</x:v>
      </x:c>
      <x:c r="N958" s="13" t="str">
        <x:v>Operational subtype under Rebuttal suppression: proof obligations are shifted or made asymmetric. Parent definition: Known exceptions or rebuttals are omitted.</x:v>
      </x:c>
      <x:c r="O958" s="13" t="str">
        <x:v>Look for: explicit claim-level evidence; parent-family cues for Rebuttal suppression; variant cue: proof obligations are shifted or made asymmetric; avoid author-level inference.</x:v>
      </x:c>
      <x:c r="P958" s="13" t="str">
        <x:v>Exact evidence span in text plus claim-level reasoning link; for contextual/discourse entries, require surrounding context.</x:v>
      </x:c>
      <x:c r="Q958" s="13" t="str">
        <x:v>Do not label merely because topic is controversial, emotional, or wrong. Do not judge intent or personality. Require textual evidence and consider healthy-reasoning cues.</x:v>
      </x:c>
      <x:c r="R958" s="13" t="str">
        <x:v>Stub: A claim relies on proof obligations are shifted or made asymmetric to support a conclusion without adequate qualification.</x:v>
      </x:c>
      <x:c r="S958" s="13" t="str">
        <x:v>Stub: A claim discusses rebuttal suppression with caveats, balanced evidence, or no argumentative use of the pattern.</x:v>
      </x:c>
      <x:c r="T958" s="13" t="str">
        <x:v>Mild or ambiguous cue; do not classify without clear evidence span.</x:v>
      </x:c>
      <x:c r="U958" s="13" t="str">
        <x:v>Clear claim-level pattern with some argumentative impact.</x:v>
      </x:c>
      <x:c r="V958" s="13" t="str">
        <x:v>Strong pattern central to the conclusion and likely to materially distort reasoning.</x:v>
      </x:c>
      <x:c r="W958" s="13" t="str"/>
      <x:c r="X958" s="13" t="str">
        <x:v>toulmin_uses_argument</x:v>
      </x:c>
      <x:c r="Y958" s="13" t="str">
        <x:v>https://doi.org/10.1017/CBO9780511840005</x:v>
      </x:c>
      <x:c r="Z958" s="13" t="str">
        <x:v>Review before enabling. This workbook is a living taxonomy scaffold, not a validated scientific benchmark.</x:v>
      </x:c>
      <x:c r="AA958" s="13" t="str">
        <x:v>0.1.0-draft</x:v>
      </x:c>
      <x:c r="AB958" s="12" t="str">
        <x:f>IF(ISNUMBER(SEARCH("healthy",F958)),"healthy_reasoning_patterns",IF(ISNUMBER(SEARCH("statistical",F958)),"statistical_reasoning",IF(ISNUMBER(SEARCH("causal",F958)),"causal_reasoning",IF(ISNUMBER(SEARCH("social",F958)),"social_influence",IF(ISNUMBER(SEARCH("rhetoric",F958)),"rhetoric_discourse",IF(ISNUMBER(SEARCH("behavior",F958)),"behavioural_economics",IF(ISNUMBER(SEARCH("cognitive",F958)),"cognitive_biases",IF(J958="protective_pattern","healthy_reasoning_patterns",IF(L958="P0","core_mvp","extended_fallacies")))))))))</x:f>
        <x:v>extended_fallacies</x:v>
      </x:c>
      <x:c r="AC958" s="12" t="str">
        <x:f>IF(ISNUMBER(SEARCH("operational",J958)),"operational",IF(ISNUMBER(SEARCH("deprecated",J958)),"deprecated",IF(L958="P0","canonical","recognized_subtype")))</x:f>
        <x:v>operational</x:v>
      </x:c>
      <x:c r="AD958" s="12" t="str">
        <x:f>IF(AC958="canonical","high",IF(AC958="recognized_subtype","medium",IF(AC958="operational","operational_only","debated")))</x:f>
        <x:v>operational_only</x:v>
      </x:c>
      <x:c r="AE958" s="12" t="str">
        <x:f>IF(AC958="deprecated","deprecated",IF(M958="yes","active",IF(M958="review","review_required","backlog")))</x:f>
        <x:v>backlog</x:v>
      </x:c>
      <x:c r="AF958" s="12" t="str">
        <x:f>IF(OR(AE958="active",AE958="review_required"),"yes","no")</x:f>
        <x:v>no</x:v>
      </x:c>
      <x:c r="AG958" s="12" t="str">
        <x:f>IF(AND(AE958="active",M958="yes",NOT(ISNUMBER(SEARCH("healthy",AB958)))),"yes","no")</x:f>
        <x:v>no</x:v>
      </x:c>
      <x:c r="AH958" s="12" t="str">
        <x:f>IF(OR(H958="contextual",H958="dialogue",H958="discourse",I958="claim+context",I958="discourse_segment"),"yes","no")</x:f>
        <x:v>yes</x:v>
      </x:c>
      <x:c r="AI958" s="12" t="str">
        <x:f>IF(OR(AH958="yes",AD958="debated",AC958="operational"),"yes","no")</x:f>
        <x:v>yes</x:v>
      </x:c>
      <x:c r="AJ958" s="12" t="str">
        <x:f>IF(OR(AH958="yes",AC958="operational",AD958="debated"),"high",IF(AND(AG958="yes",L958="P0"),"medium","low"))</x:f>
        <x:v>high</x:v>
      </x:c>
      <x:c r="AK958" s="12" t="str">
        <x:f>IF(ISNUMBER(SEARCH("healthy",AB958)),"yes","no")</x:f>
        <x:v>no</x:v>
      </x:c>
      <x:c r="AL958" s="12" t="str">
        <x:f>IF(AG958="yes","yes","candidate_only")</x:f>
        <x:v>candidate_only</x:v>
      </x:c>
      <x:c r="AM958" s="12" t="str">
        <x:f>IF(OR(AC958="canonical",AG958="yes"),"yes","recommended")</x:f>
        <x:v>recommended</x:v>
      </x:c>
      <x:c r="AN958" s="12" t="str">
        <x:f>IF(AC958="deprecated","exclude",IF(AND(AG958="yes",AJ958="high"),"import_but_human_review_required",IF(AG958="yes","import_as_active","import_as_backlog")))</x:f>
        <x:v>import_as_backlog</x:v>
      </x:c>
      <x:c r="AO958" s="12" t="str">
        <x:f>IF(AND(AG958="yes",OR(P958="",Q958="",R958="",S958="")),"missing_required_mvp_fields",IF(AND(AC958="canonical",Y958=""),"missing_source_ref","ok"))</x:f>
        <x:v>ok</x:v>
      </x:c>
      <x:c r="AP958" s="12" t="str">
        <x:f>IF(AO958="ok","ready_for_codex_import","needs_review")</x:f>
        <x:v>ready_for_codex_import</x:v>
      </x:c>
      <x:c r="AQ958" s="12"/>
      <x:c r="AR958" s="12" t="str">
        <x:v>Added v2 operational fields. Review before classification activation.</x:v>
      </x:c>
    </x:row>
    <x:row r="959">
      <x:c r="A959" s="13" t="str">
        <x:v>maxim_quantity_violation_burden_variant</x:v>
      </x:c>
      <x:c r="B959" s="13" t="str">
        <x:v>maxim_quantity_violation</x:v>
      </x:c>
      <x:c r="C959" s="13" t="str">
        <x:v>Quantity maxim issue</x:v>
      </x:c>
      <x:c r="D959" s="13" t="str">
        <x:v>نقص کمیت اطلاعات</x:v>
      </x:c>
      <x:c r="E959" s="13" t="str">
        <x:v>Burden-of-proof variant</x:v>
      </x:c>
      <x:c r="F959" s="13" t="str">
        <x:v>discourse_pragmatic_failures</x:v>
      </x:c>
      <x:c r="G959" s="13" t="str">
        <x:v>operational_variant</x:v>
      </x:c>
      <x:c r="H959" s="13" t="str">
        <x:v>discourse</x:v>
      </x:c>
      <x:c r="I959" s="13" t="str">
        <x:v>discourse_segment</x:v>
      </x:c>
      <x:c r="J959" s="13" t="str">
        <x:v>derived_operational_subtype</x:v>
      </x:c>
      <x:c r="K959" s="13" t="str">
        <x:v>derived_from_established_parent_review_required</x:v>
      </x:c>
      <x:c r="L959" s="13" t="str">
        <x:v>P2</x:v>
      </x:c>
      <x:c r="M959" s="13" t="str">
        <x:v>no</x:v>
      </x:c>
      <x:c r="N959" s="13" t="str">
        <x:v>Operational subtype under Quantity maxim issue: proof obligations are shifted or made asymmetric. Parent definition: Providing too little or too much information for the argumentative need.</x:v>
      </x:c>
      <x:c r="O959" s="13" t="str">
        <x:v>Look for: explicit claim-level evidence; parent-family cues for Quantity maxim issue; variant cue: proof obligations are shifted or made asymmetric; avoid author-level inference.</x:v>
      </x:c>
      <x:c r="P959" s="13" t="str">
        <x:v>Exact evidence span in text plus claim-level reasoning link; for contextual/discourse entries, require surrounding context.</x:v>
      </x:c>
      <x:c r="Q959" s="13" t="str">
        <x:v>Do not label merely because topic is controversial, emotional, or wrong. Do not judge intent or personality. Require textual evidence and consider healthy-reasoning cues.</x:v>
      </x:c>
      <x:c r="R959" s="13" t="str">
        <x:v>Stub: A claim relies on proof obligations are shifted or made asymmetric to support a conclusion without adequate qualification.</x:v>
      </x:c>
      <x:c r="S959" s="13" t="str">
        <x:v>Stub: A claim discusses quantity maxim issue with caveats, balanced evidence, or no argumentative use of the pattern.</x:v>
      </x:c>
      <x:c r="T959" s="13" t="str">
        <x:v>Mild or ambiguous cue; do not classify without clear evidence span.</x:v>
      </x:c>
      <x:c r="U959" s="13" t="str">
        <x:v>Clear claim-level pattern with some argumentative impact.</x:v>
      </x:c>
      <x:c r="V959" s="13" t="str">
        <x:v>Strong pattern central to the conclusion and likely to materially distort reasoning.</x:v>
      </x:c>
      <x:c r="W959" s="13" t="str"/>
      <x:c r="X959" s="13" t="str">
        <x:v>grice_logic_conversation</x:v>
      </x:c>
      <x:c r="Y959" s="13" t="str">
        <x:v>https://doi.org/10.1163/9789004368811_003</x:v>
      </x:c>
      <x:c r="Z959" s="13" t="str">
        <x:v>Review before enabling. This workbook is a living taxonomy scaffold, not a validated scientific benchmark.</x:v>
      </x:c>
      <x:c r="AA959" s="13" t="str">
        <x:v>0.1.0-draft</x:v>
      </x:c>
      <x:c r="AB959" s="12" t="str">
        <x:f>IF(ISNUMBER(SEARCH("healthy",F959)),"healthy_reasoning_patterns",IF(ISNUMBER(SEARCH("statistical",F959)),"statistical_reasoning",IF(ISNUMBER(SEARCH("causal",F959)),"causal_reasoning",IF(ISNUMBER(SEARCH("social",F959)),"social_influence",IF(ISNUMBER(SEARCH("rhetoric",F959)),"rhetoric_discourse",IF(ISNUMBER(SEARCH("behavior",F959)),"behavioural_economics",IF(ISNUMBER(SEARCH("cognitive",F959)),"cognitive_biases",IF(J959="protective_pattern","healthy_reasoning_patterns",IF(L959="P0","core_mvp","extended_fallacies")))))))))</x:f>
        <x:v>extended_fallacies</x:v>
      </x:c>
      <x:c r="AC959" s="12" t="str">
        <x:f>IF(ISNUMBER(SEARCH("operational",J959)),"operational",IF(ISNUMBER(SEARCH("deprecated",J959)),"deprecated",IF(L959="P0","canonical","recognized_subtype")))</x:f>
        <x:v>operational</x:v>
      </x:c>
      <x:c r="AD959" s="12" t="str">
        <x:f>IF(AC959="canonical","high",IF(AC959="recognized_subtype","medium",IF(AC959="operational","operational_only","debated")))</x:f>
        <x:v>operational_only</x:v>
      </x:c>
      <x:c r="AE959" s="12" t="str">
        <x:f>IF(AC959="deprecated","deprecated",IF(M959="yes","active",IF(M959="review","review_required","backlog")))</x:f>
        <x:v>backlog</x:v>
      </x:c>
      <x:c r="AF959" s="12" t="str">
        <x:f>IF(OR(AE959="active",AE959="review_required"),"yes","no")</x:f>
        <x:v>no</x:v>
      </x:c>
      <x:c r="AG959" s="12" t="str">
        <x:f>IF(AND(AE959="active",M959="yes",NOT(ISNUMBER(SEARCH("healthy",AB959)))),"yes","no")</x:f>
        <x:v>no</x:v>
      </x:c>
      <x:c r="AH959" s="12" t="str">
        <x:f>IF(OR(H959="contextual",H959="dialogue",H959="discourse",I959="claim+context",I959="discourse_segment"),"yes","no")</x:f>
        <x:v>yes</x:v>
      </x:c>
      <x:c r="AI959" s="12" t="str">
        <x:f>IF(OR(AH959="yes",AD959="debated",AC959="operational"),"yes","no")</x:f>
        <x:v>yes</x:v>
      </x:c>
      <x:c r="AJ959" s="12" t="str">
        <x:f>IF(OR(AH959="yes",AC959="operational",AD959="debated"),"high",IF(AND(AG959="yes",L959="P0"),"medium","low"))</x:f>
        <x:v>high</x:v>
      </x:c>
      <x:c r="AK959" s="12" t="str">
        <x:f>IF(ISNUMBER(SEARCH("healthy",AB959)),"yes","no")</x:f>
        <x:v>no</x:v>
      </x:c>
      <x:c r="AL959" s="12" t="str">
        <x:f>IF(AG959="yes","yes","candidate_only")</x:f>
        <x:v>candidate_only</x:v>
      </x:c>
      <x:c r="AM959" s="12" t="str">
        <x:f>IF(OR(AC959="canonical",AG959="yes"),"yes","recommended")</x:f>
        <x:v>recommended</x:v>
      </x:c>
      <x:c r="AN959" s="12" t="str">
        <x:f>IF(AC959="deprecated","exclude",IF(AND(AG959="yes",AJ959="high"),"import_but_human_review_required",IF(AG959="yes","import_as_active","import_as_backlog")))</x:f>
        <x:v>import_as_backlog</x:v>
      </x:c>
      <x:c r="AO959" s="12" t="str">
        <x:f>IF(AND(AG959="yes",OR(P959="",Q959="",R959="",S959="")),"missing_required_mvp_fields",IF(AND(AC959="canonical",Y959=""),"missing_source_ref","ok"))</x:f>
        <x:v>ok</x:v>
      </x:c>
      <x:c r="AP959" s="12" t="str">
        <x:f>IF(AO959="ok","ready_for_codex_import","needs_review")</x:f>
        <x:v>ready_for_codex_import</x:v>
      </x:c>
      <x:c r="AQ959" s="12"/>
      <x:c r="AR959" s="12" t="str">
        <x:v>Added v2 operational fields. Review before classification activation.</x:v>
      </x:c>
    </x:row>
    <x:row r="960">
      <x:c r="A960" s="13" t="str">
        <x:v>maxim_relevance_violation_burden_variant</x:v>
      </x:c>
      <x:c r="B960" s="13" t="str">
        <x:v>maxim_relevance_violation</x:v>
      </x:c>
      <x:c r="C960" s="13" t="str">
        <x:v>Relevance maxim issue</x:v>
      </x:c>
      <x:c r="D960" s="13" t="str">
        <x:v>نقص ربط</x:v>
      </x:c>
      <x:c r="E960" s="13" t="str">
        <x:v>Burden-of-proof variant</x:v>
      </x:c>
      <x:c r="F960" s="13" t="str">
        <x:v>discourse_pragmatic_failures</x:v>
      </x:c>
      <x:c r="G960" s="13" t="str">
        <x:v>operational_variant</x:v>
      </x:c>
      <x:c r="H960" s="13" t="str">
        <x:v>discourse</x:v>
      </x:c>
      <x:c r="I960" s="13" t="str">
        <x:v>discourse_segment</x:v>
      </x:c>
      <x:c r="J960" s="13" t="str">
        <x:v>derived_operational_subtype</x:v>
      </x:c>
      <x:c r="K960" s="13" t="str">
        <x:v>derived_from_established_parent_review_required</x:v>
      </x:c>
      <x:c r="L960" s="13" t="str">
        <x:v>P2</x:v>
      </x:c>
      <x:c r="M960" s="13" t="str">
        <x:v>no</x:v>
      </x:c>
      <x:c r="N960" s="13" t="str">
        <x:v>Operational subtype under Relevance maxim issue: proof obligations are shifted or made asymmetric. Parent definition: Providing information that is not relevant to the claim.</x:v>
      </x:c>
      <x:c r="O960" s="13" t="str">
        <x:v>Look for: explicit claim-level evidence; parent-family cues for Relevance maxim issue; variant cue: proof obligations are shifted or made asymmetric; avoid author-level inference.</x:v>
      </x:c>
      <x:c r="P960" s="13" t="str">
        <x:v>Exact evidence span in text plus claim-level reasoning link; for contextual/discourse entries, require surrounding context.</x:v>
      </x:c>
      <x:c r="Q960" s="13" t="str">
        <x:v>Do not label merely because topic is controversial, emotional, or wrong. Do not judge intent or personality. Require textual evidence and consider healthy-reasoning cues.</x:v>
      </x:c>
      <x:c r="R960" s="13" t="str">
        <x:v>Stub: A claim relies on proof obligations are shifted or made asymmetric to support a conclusion without adequate qualification.</x:v>
      </x:c>
      <x:c r="S960" s="13" t="str">
        <x:v>Stub: A claim discusses relevance maxim issue with caveats, balanced evidence, or no argumentative use of the pattern.</x:v>
      </x:c>
      <x:c r="T960" s="13" t="str">
        <x:v>Mild or ambiguous cue; do not classify without clear evidence span.</x:v>
      </x:c>
      <x:c r="U960" s="13" t="str">
        <x:v>Clear claim-level pattern with some argumentative impact.</x:v>
      </x:c>
      <x:c r="V960" s="13" t="str">
        <x:v>Strong pattern central to the conclusion and likely to materially distort reasoning.</x:v>
      </x:c>
      <x:c r="W960" s="13" t="str"/>
      <x:c r="X960" s="13" t="str">
        <x:v>grice_logic_conversation</x:v>
      </x:c>
      <x:c r="Y960" s="13" t="str">
        <x:v>https://doi.org/10.1163/9789004368811_003</x:v>
      </x:c>
      <x:c r="Z960" s="13" t="str">
        <x:v>Review before enabling. This workbook is a living taxonomy scaffold, not a validated scientific benchmark.</x:v>
      </x:c>
      <x:c r="AA960" s="13" t="str">
        <x:v>0.1.0-draft</x:v>
      </x:c>
      <x:c r="AB960" s="12" t="str">
        <x:f>IF(ISNUMBER(SEARCH("healthy",F960)),"healthy_reasoning_patterns",IF(ISNUMBER(SEARCH("statistical",F960)),"statistical_reasoning",IF(ISNUMBER(SEARCH("causal",F960)),"causal_reasoning",IF(ISNUMBER(SEARCH("social",F960)),"social_influence",IF(ISNUMBER(SEARCH("rhetoric",F960)),"rhetoric_discourse",IF(ISNUMBER(SEARCH("behavior",F960)),"behavioural_economics",IF(ISNUMBER(SEARCH("cognitive",F960)),"cognitive_biases",IF(J960="protective_pattern","healthy_reasoning_patterns",IF(L960="P0","core_mvp","extended_fallacies")))))))))</x:f>
        <x:v>extended_fallacies</x:v>
      </x:c>
      <x:c r="AC960" s="12" t="str">
        <x:f>IF(ISNUMBER(SEARCH("operational",J960)),"operational",IF(ISNUMBER(SEARCH("deprecated",J960)),"deprecated",IF(L960="P0","canonical","recognized_subtype")))</x:f>
        <x:v>operational</x:v>
      </x:c>
      <x:c r="AD960" s="12" t="str">
        <x:f>IF(AC960="canonical","high",IF(AC960="recognized_subtype","medium",IF(AC960="operational","operational_only","debated")))</x:f>
        <x:v>operational_only</x:v>
      </x:c>
      <x:c r="AE960" s="12" t="str">
        <x:f>IF(AC960="deprecated","deprecated",IF(M960="yes","active",IF(M960="review","review_required","backlog")))</x:f>
        <x:v>backlog</x:v>
      </x:c>
      <x:c r="AF960" s="12" t="str">
        <x:f>IF(OR(AE960="active",AE960="review_required"),"yes","no")</x:f>
        <x:v>no</x:v>
      </x:c>
      <x:c r="AG960" s="12" t="str">
        <x:f>IF(AND(AE960="active",M960="yes",NOT(ISNUMBER(SEARCH("healthy",AB960)))),"yes","no")</x:f>
        <x:v>no</x:v>
      </x:c>
      <x:c r="AH960" s="12" t="str">
        <x:f>IF(OR(H960="contextual",H960="dialogue",H960="discourse",I960="claim+context",I960="discourse_segment"),"yes","no")</x:f>
        <x:v>yes</x:v>
      </x:c>
      <x:c r="AI960" s="12" t="str">
        <x:f>IF(OR(AH960="yes",AD960="debated",AC960="operational"),"yes","no")</x:f>
        <x:v>yes</x:v>
      </x:c>
      <x:c r="AJ960" s="12" t="str">
        <x:f>IF(OR(AH960="yes",AC960="operational",AD960="debated"),"high",IF(AND(AG960="yes",L960="P0"),"medium","low"))</x:f>
        <x:v>high</x:v>
      </x:c>
      <x:c r="AK960" s="12" t="str">
        <x:f>IF(ISNUMBER(SEARCH("healthy",AB960)),"yes","no")</x:f>
        <x:v>no</x:v>
      </x:c>
      <x:c r="AL960" s="12" t="str">
        <x:f>IF(AG960="yes","yes","candidate_only")</x:f>
        <x:v>candidate_only</x:v>
      </x:c>
      <x:c r="AM960" s="12" t="str">
        <x:f>IF(OR(AC960="canonical",AG960="yes"),"yes","recommended")</x:f>
        <x:v>recommended</x:v>
      </x:c>
      <x:c r="AN960" s="12" t="str">
        <x:f>IF(AC960="deprecated","exclude",IF(AND(AG960="yes",AJ960="high"),"import_but_human_review_required",IF(AG960="yes","import_as_active","import_as_backlog")))</x:f>
        <x:v>import_as_backlog</x:v>
      </x:c>
      <x:c r="AO960" s="12" t="str">
        <x:f>IF(AND(AG960="yes",OR(P960="",Q960="",R960="",S960="")),"missing_required_mvp_fields",IF(AND(AC960="canonical",Y960=""),"missing_source_ref","ok"))</x:f>
        <x:v>ok</x:v>
      </x:c>
      <x:c r="AP960" s="12" t="str">
        <x:f>IF(AO960="ok","ready_for_codex_import","needs_review")</x:f>
        <x:v>ready_for_codex_import</x:v>
      </x:c>
      <x:c r="AQ960" s="12"/>
      <x:c r="AR960" s="12" t="str">
        <x:v>Added v2 operational fields. Review before classification activation.</x:v>
      </x:c>
    </x:row>
    <x:row r="961">
      <x:c r="A961" s="13" t="str">
        <x:v>maxim_manner_violation_burden_variant</x:v>
      </x:c>
      <x:c r="B961" s="13" t="str">
        <x:v>maxim_manner_violation</x:v>
      </x:c>
      <x:c r="C961" s="13" t="str">
        <x:v>Manner maxim issue</x:v>
      </x:c>
      <x:c r="D961" s="13" t="str">
        <x:v>نقص وضوح بیان</x:v>
      </x:c>
      <x:c r="E961" s="13" t="str">
        <x:v>Burden-of-proof variant</x:v>
      </x:c>
      <x:c r="F961" s="13" t="str">
        <x:v>discourse_pragmatic_failures</x:v>
      </x:c>
      <x:c r="G961" s="13" t="str">
        <x:v>operational_variant</x:v>
      </x:c>
      <x:c r="H961" s="13" t="str">
        <x:v>discourse</x:v>
      </x:c>
      <x:c r="I961" s="13" t="str">
        <x:v>discourse_segment</x:v>
      </x:c>
      <x:c r="J961" s="13" t="str">
        <x:v>derived_operational_subtype</x:v>
      </x:c>
      <x:c r="K961" s="13" t="str">
        <x:v>derived_from_established_parent_review_required</x:v>
      </x:c>
      <x:c r="L961" s="13" t="str">
        <x:v>P2</x:v>
      </x:c>
      <x:c r="M961" s="13" t="str">
        <x:v>no</x:v>
      </x:c>
      <x:c r="N961" s="13" t="str">
        <x:v>Operational subtype under Manner maxim issue: proof obligations are shifted or made asymmetric. Parent definition: Using obscure or disorderly expression that impairs evaluation.</x:v>
      </x:c>
      <x:c r="O961" s="13" t="str">
        <x:v>Look for: explicit claim-level evidence; parent-family cues for Manner maxim issue; variant cue: proof obligations are shifted or made asymmetric; avoid author-level inference.</x:v>
      </x:c>
      <x:c r="P961" s="13" t="str">
        <x:v>Exact evidence span in text plus claim-level reasoning link; for contextual/discourse entries, require surrounding context.</x:v>
      </x:c>
      <x:c r="Q961" s="13" t="str">
        <x:v>Do not label merely because topic is controversial, emotional, or wrong. Do not judge intent or personality. Require textual evidence and consider healthy-reasoning cues.</x:v>
      </x:c>
      <x:c r="R961" s="13" t="str">
        <x:v>Stub: A claim relies on proof obligations are shifted or made asymmetric to support a conclusion without adequate qualification.</x:v>
      </x:c>
      <x:c r="S961" s="13" t="str">
        <x:v>Stub: A claim discusses manner maxim issue with caveats, balanced evidence, or no argumentative use of the pattern.</x:v>
      </x:c>
      <x:c r="T961" s="13" t="str">
        <x:v>Mild or ambiguous cue; do not classify without clear evidence span.</x:v>
      </x:c>
      <x:c r="U961" s="13" t="str">
        <x:v>Clear claim-level pattern with some argumentative impact.</x:v>
      </x:c>
      <x:c r="V961" s="13" t="str">
        <x:v>Strong pattern central to the conclusion and likely to materially distort reasoning.</x:v>
      </x:c>
      <x:c r="W961" s="13" t="str"/>
      <x:c r="X961" s="13" t="str">
        <x:v>grice_logic_conversation</x:v>
      </x:c>
      <x:c r="Y961" s="13" t="str">
        <x:v>https://doi.org/10.1163/9789004368811_003</x:v>
      </x:c>
      <x:c r="Z961" s="13" t="str">
        <x:v>Review before enabling. This workbook is a living taxonomy scaffold, not a validated scientific benchmark.</x:v>
      </x:c>
      <x:c r="AA961" s="13" t="str">
        <x:v>0.1.0-draft</x:v>
      </x:c>
      <x:c r="AB961" s="12" t="str">
        <x:f>IF(ISNUMBER(SEARCH("healthy",F961)),"healthy_reasoning_patterns",IF(ISNUMBER(SEARCH("statistical",F961)),"statistical_reasoning",IF(ISNUMBER(SEARCH("causal",F961)),"causal_reasoning",IF(ISNUMBER(SEARCH("social",F961)),"social_influence",IF(ISNUMBER(SEARCH("rhetoric",F961)),"rhetoric_discourse",IF(ISNUMBER(SEARCH("behavior",F961)),"behavioural_economics",IF(ISNUMBER(SEARCH("cognitive",F961)),"cognitive_biases",IF(J961="protective_pattern","healthy_reasoning_patterns",IF(L961="P0","core_mvp","extended_fallacies")))))))))</x:f>
        <x:v>extended_fallacies</x:v>
      </x:c>
      <x:c r="AC961" s="12" t="str">
        <x:f>IF(ISNUMBER(SEARCH("operational",J961)),"operational",IF(ISNUMBER(SEARCH("deprecated",J961)),"deprecated",IF(L961="P0","canonical","recognized_subtype")))</x:f>
        <x:v>operational</x:v>
      </x:c>
      <x:c r="AD961" s="12" t="str">
        <x:f>IF(AC961="canonical","high",IF(AC961="recognized_subtype","medium",IF(AC961="operational","operational_only","debated")))</x:f>
        <x:v>operational_only</x:v>
      </x:c>
      <x:c r="AE961" s="12" t="str">
        <x:f>IF(AC961="deprecated","deprecated",IF(M961="yes","active",IF(M961="review","review_required","backlog")))</x:f>
        <x:v>backlog</x:v>
      </x:c>
      <x:c r="AF961" s="12" t="str">
        <x:f>IF(OR(AE961="active",AE961="review_required"),"yes","no")</x:f>
        <x:v>no</x:v>
      </x:c>
      <x:c r="AG961" s="12" t="str">
        <x:f>IF(AND(AE961="active",M961="yes",NOT(ISNUMBER(SEARCH("healthy",AB961)))),"yes","no")</x:f>
        <x:v>no</x:v>
      </x:c>
      <x:c r="AH961" s="12" t="str">
        <x:f>IF(OR(H961="contextual",H961="dialogue",H961="discourse",I961="claim+context",I961="discourse_segment"),"yes","no")</x:f>
        <x:v>yes</x:v>
      </x:c>
      <x:c r="AI961" s="12" t="str">
        <x:f>IF(OR(AH961="yes",AD961="debated",AC961="operational"),"yes","no")</x:f>
        <x:v>yes</x:v>
      </x:c>
      <x:c r="AJ961" s="12" t="str">
        <x:f>IF(OR(AH961="yes",AC961="operational",AD961="debated"),"high",IF(AND(AG961="yes",L961="P0"),"medium","low"))</x:f>
        <x:v>high</x:v>
      </x:c>
      <x:c r="AK961" s="12" t="str">
        <x:f>IF(ISNUMBER(SEARCH("healthy",AB961)),"yes","no")</x:f>
        <x:v>no</x:v>
      </x:c>
      <x:c r="AL961" s="12" t="str">
        <x:f>IF(AG961="yes","yes","candidate_only")</x:f>
        <x:v>candidate_only</x:v>
      </x:c>
      <x:c r="AM961" s="12" t="str">
        <x:f>IF(OR(AC961="canonical",AG961="yes"),"yes","recommended")</x:f>
        <x:v>recommended</x:v>
      </x:c>
      <x:c r="AN961" s="12" t="str">
        <x:f>IF(AC961="deprecated","exclude",IF(AND(AG961="yes",AJ961="high"),"import_but_human_review_required",IF(AG961="yes","import_as_active","import_as_backlog")))</x:f>
        <x:v>import_as_backlog</x:v>
      </x:c>
      <x:c r="AO961" s="12" t="str">
        <x:f>IF(AND(AG961="yes",OR(P961="",Q961="",R961="",S961="")),"missing_required_mvp_fields",IF(AND(AC961="canonical",Y961=""),"missing_source_ref","ok"))</x:f>
        <x:v>ok</x:v>
      </x:c>
      <x:c r="AP961" s="12" t="str">
        <x:f>IF(AO961="ok","ready_for_codex_import","needs_review")</x:f>
        <x:v>ready_for_codex_import</x:v>
      </x:c>
      <x:c r="AQ961" s="12"/>
      <x:c r="AR961" s="12" t="str">
        <x:v>Added v2 operational fields. Review before classification activation.</x:v>
      </x:c>
    </x:row>
    <x:row r="962">
      <x:c r="A962" s="13" t="str">
        <x:v>topic_derailment_relevance_variant</x:v>
      </x:c>
      <x:c r="B962" s="13" t="str">
        <x:v>topic_derailment</x:v>
      </x:c>
      <x:c r="C962" s="13" t="str">
        <x:v>Topic derailment</x:v>
      </x:c>
      <x:c r="D962" s="13" t="str">
        <x:v>خروج از موضوع</x:v>
      </x:c>
      <x:c r="E962" s="13" t="str">
        <x:v>Relevance variant</x:v>
      </x:c>
      <x:c r="F962" s="13" t="str">
        <x:v>discourse_pragmatic_failures</x:v>
      </x:c>
      <x:c r="G962" s="13" t="str">
        <x:v>operational_variant</x:v>
      </x:c>
      <x:c r="H962" s="13" t="str">
        <x:v>dialogue</x:v>
      </x:c>
      <x:c r="I962" s="13" t="str">
        <x:v>discourse_segment</x:v>
      </x:c>
      <x:c r="J962" s="13" t="str">
        <x:v>derived_operational_subtype</x:v>
      </x:c>
      <x:c r="K962" s="13" t="str">
        <x:v>derived_from_established_parent_review_required</x:v>
      </x:c>
      <x:c r="L962" s="13" t="str">
        <x:v>P2</x:v>
      </x:c>
      <x:c r="M962" s="13" t="str">
        <x:v>no</x:v>
      </x:c>
      <x:c r="N962" s="13" t="str">
        <x:v>Operational subtype under Topic derailment: the move is not relevant to the claim at issue. Parent definition: Moving discussion away from the claim under evaluation.</x:v>
      </x:c>
      <x:c r="O962" s="13" t="str">
        <x:v>Look for: explicit claim-level evidence; parent-family cues for Topic derailment; variant cue: the move is not relevant to the claim at issue; avoid author-level inference.</x:v>
      </x:c>
      <x:c r="P962" s="13" t="str">
        <x:v>Exact evidence span in text plus claim-level reasoning link; for contextual/discourse entries, require surrounding context.</x:v>
      </x:c>
      <x:c r="Q962" s="13" t="str">
        <x:v>Do not label merely because topic is controversial, emotional, or wrong. Do not judge intent or personality. Require textual evidence and consider healthy-reasoning cues.</x:v>
      </x:c>
      <x:c r="R962" s="13" t="str">
        <x:v>Stub: A claim relies on the move is not relevant to the claim at issue to support a conclusion without adequate qualification.</x:v>
      </x:c>
      <x:c r="S962" s="13" t="str">
        <x:v>Stub: A claim discusses topic derailment with caveats, balanced evidence, or no argumentative use of the pattern.</x:v>
      </x:c>
      <x:c r="T962" s="13" t="str">
        <x:v>Mild or ambiguous cue; do not classify without clear evidence span.</x:v>
      </x:c>
      <x:c r="U962" s="13" t="str">
        <x:v>Clear claim-level pattern with some argumentative impact.</x:v>
      </x:c>
      <x:c r="V962" s="13" t="str">
        <x:v>Strong pattern central to the conclusion and likely to materially distort reasoning.</x:v>
      </x:c>
      <x:c r="W962" s="13" t="str"/>
      <x:c r="X962" s="13" t="str">
        <x:v>pragmadialectics</x:v>
      </x:c>
      <x:c r="Y962" s="13" t="str">
        <x:v>https://doi.org/10.1017/CBO9780511616389</x:v>
      </x:c>
      <x:c r="Z962" s="13" t="str">
        <x:v>Review before enabling. This workbook is a living taxonomy scaffold, not a validated scientific benchmark.</x:v>
      </x:c>
      <x:c r="AA962" s="13" t="str">
        <x:v>0.1.0-draft</x:v>
      </x:c>
      <x:c r="AB962" s="12" t="str">
        <x:f>IF(ISNUMBER(SEARCH("healthy",F962)),"healthy_reasoning_patterns",IF(ISNUMBER(SEARCH("statistical",F962)),"statistical_reasoning",IF(ISNUMBER(SEARCH("causal",F962)),"causal_reasoning",IF(ISNUMBER(SEARCH("social",F962)),"social_influence",IF(ISNUMBER(SEARCH("rhetoric",F962)),"rhetoric_discourse",IF(ISNUMBER(SEARCH("behavior",F962)),"behavioural_economics",IF(ISNUMBER(SEARCH("cognitive",F962)),"cognitive_biases",IF(J962="protective_pattern","healthy_reasoning_patterns",IF(L962="P0","core_mvp","extended_fallacies")))))))))</x:f>
        <x:v>extended_fallacies</x:v>
      </x:c>
      <x:c r="AC962" s="12" t="str">
        <x:f>IF(ISNUMBER(SEARCH("operational",J962)),"operational",IF(ISNUMBER(SEARCH("deprecated",J962)),"deprecated",IF(L962="P0","canonical","recognized_subtype")))</x:f>
        <x:v>operational</x:v>
      </x:c>
      <x:c r="AD962" s="12" t="str">
        <x:f>IF(AC962="canonical","high",IF(AC962="recognized_subtype","medium",IF(AC962="operational","operational_only","debated")))</x:f>
        <x:v>operational_only</x:v>
      </x:c>
      <x:c r="AE962" s="12" t="str">
        <x:f>IF(AC962="deprecated","deprecated",IF(M962="yes","active",IF(M962="review","review_required","backlog")))</x:f>
        <x:v>backlog</x:v>
      </x:c>
      <x:c r="AF962" s="12" t="str">
        <x:f>IF(OR(AE962="active",AE962="review_required"),"yes","no")</x:f>
        <x:v>no</x:v>
      </x:c>
      <x:c r="AG962" s="12" t="str">
        <x:f>IF(AND(AE962="active",M962="yes",NOT(ISNUMBER(SEARCH("healthy",AB962)))),"yes","no")</x:f>
        <x:v>no</x:v>
      </x:c>
      <x:c r="AH962" s="12" t="str">
        <x:f>IF(OR(H962="contextual",H962="dialogue",H962="discourse",I962="claim+context",I962="discourse_segment"),"yes","no")</x:f>
        <x:v>yes</x:v>
      </x:c>
      <x:c r="AI962" s="12" t="str">
        <x:f>IF(OR(AH962="yes",AD962="debated",AC962="operational"),"yes","no")</x:f>
        <x:v>yes</x:v>
      </x:c>
      <x:c r="AJ962" s="12" t="str">
        <x:f>IF(OR(AH962="yes",AC962="operational",AD962="debated"),"high",IF(AND(AG962="yes",L962="P0"),"medium","low"))</x:f>
        <x:v>high</x:v>
      </x:c>
      <x:c r="AK962" s="12" t="str">
        <x:f>IF(ISNUMBER(SEARCH("healthy",AB962)),"yes","no")</x:f>
        <x:v>no</x:v>
      </x:c>
      <x:c r="AL962" s="12" t="str">
        <x:f>IF(AG962="yes","yes","candidate_only")</x:f>
        <x:v>candidate_only</x:v>
      </x:c>
      <x:c r="AM962" s="12" t="str">
        <x:f>IF(OR(AC962="canonical",AG962="yes"),"yes","recommended")</x:f>
        <x:v>recommended</x:v>
      </x:c>
      <x:c r="AN962" s="12" t="str">
        <x:f>IF(AC962="deprecated","exclude",IF(AND(AG962="yes",AJ962="high"),"import_but_human_review_required",IF(AG962="yes","import_as_active","import_as_backlog")))</x:f>
        <x:v>import_as_backlog</x:v>
      </x:c>
      <x:c r="AO962" s="12" t="str">
        <x:f>IF(AND(AG962="yes",OR(P962="",Q962="",R962="",S962="")),"missing_required_mvp_fields",IF(AND(AC962="canonical",Y962=""),"missing_source_ref","ok"))</x:f>
        <x:v>ok</x:v>
      </x:c>
      <x:c r="AP962" s="12" t="str">
        <x:f>IF(AO962="ok","ready_for_codex_import","needs_review")</x:f>
        <x:v>ready_for_codex_import</x:v>
      </x:c>
      <x:c r="AQ962" s="12"/>
      <x:c r="AR962" s="12" t="str">
        <x:v>Added v2 operational fields. Review before classification activation.</x:v>
      </x:c>
    </x:row>
    <x:row r="963">
      <x:c r="A963" s="13" t="str">
        <x:v>commitment_inconsistency_relevance_variant</x:v>
      </x:c>
      <x:c r="B963" s="13" t="str">
        <x:v>commitment_inconsistency</x:v>
      </x:c>
      <x:c r="C963" s="13" t="str">
        <x:v>Commitment inconsistency</x:v>
      </x:c>
      <x:c r="D963" s="13" t="str">
        <x:v>ناسازگاری تعهدات</x:v>
      </x:c>
      <x:c r="E963" s="13" t="str">
        <x:v>Relevance variant</x:v>
      </x:c>
      <x:c r="F963" s="13" t="str">
        <x:v>discourse_pragmatic_failures</x:v>
      </x:c>
      <x:c r="G963" s="13" t="str">
        <x:v>operational_variant</x:v>
      </x:c>
      <x:c r="H963" s="13" t="str">
        <x:v>dialogue</x:v>
      </x:c>
      <x:c r="I963" s="13" t="str">
        <x:v>discourse_segment</x:v>
      </x:c>
      <x:c r="J963" s="13" t="str">
        <x:v>derived_operational_subtype</x:v>
      </x:c>
      <x:c r="K963" s="13" t="str">
        <x:v>derived_from_established_parent_review_required</x:v>
      </x:c>
      <x:c r="L963" s="13" t="str">
        <x:v>P2</x:v>
      </x:c>
      <x:c r="M963" s="13" t="str">
        <x:v>no</x:v>
      </x:c>
      <x:c r="N963" s="13" t="str">
        <x:v>Operational subtype under Commitment inconsistency: the move is not relevant to the claim at issue. Parent definition: Maintaining claims that conflict with previously accepted commitments.</x:v>
      </x:c>
      <x:c r="O963" s="13" t="str">
        <x:v>Look for: explicit claim-level evidence; parent-family cues for Commitment inconsistency; variant cue: the move is not relevant to the claim at issue; avoid author-level inference.</x:v>
      </x:c>
      <x:c r="P963" s="13" t="str">
        <x:v>Exact evidence span in text plus claim-level reasoning link; for contextual/discourse entries, require surrounding context.</x:v>
      </x:c>
      <x:c r="Q963" s="13" t="str">
        <x:v>Do not label merely because topic is controversial, emotional, or wrong. Do not judge intent or personality. Require textual evidence and consider healthy-reasoning cues.</x:v>
      </x:c>
      <x:c r="R963" s="13" t="str">
        <x:v>Stub: A claim relies on the move is not relevant to the claim at issue to support a conclusion without adequate qualification.</x:v>
      </x:c>
      <x:c r="S963" s="13" t="str">
        <x:v>Stub: A claim discusses commitment inconsistency with caveats, balanced evidence, or no argumentative use of the pattern.</x:v>
      </x:c>
      <x:c r="T963" s="13" t="str">
        <x:v>Mild or ambiguous cue; do not classify without clear evidence span.</x:v>
      </x:c>
      <x:c r="U963" s="13" t="str">
        <x:v>Clear claim-level pattern with some argumentative impact.</x:v>
      </x:c>
      <x:c r="V963" s="13" t="str">
        <x:v>Strong pattern central to the conclusion and likely to materially distort reasoning.</x:v>
      </x:c>
      <x:c r="W963" s="13" t="str"/>
      <x:c r="X963" s="13" t="str">
        <x:v>pragmadialectics</x:v>
      </x:c>
      <x:c r="Y963" s="13" t="str">
        <x:v>https://doi.org/10.1017/CBO9780511616389</x:v>
      </x:c>
      <x:c r="Z963" s="13" t="str">
        <x:v>Review before enabling. This workbook is a living taxonomy scaffold, not a validated scientific benchmark.</x:v>
      </x:c>
      <x:c r="AA963" s="13" t="str">
        <x:v>0.1.0-draft</x:v>
      </x:c>
      <x:c r="AB963" s="12" t="str">
        <x:f>IF(ISNUMBER(SEARCH("healthy",F963)),"healthy_reasoning_patterns",IF(ISNUMBER(SEARCH("statistical",F963)),"statistical_reasoning",IF(ISNUMBER(SEARCH("causal",F963)),"causal_reasoning",IF(ISNUMBER(SEARCH("social",F963)),"social_influence",IF(ISNUMBER(SEARCH("rhetoric",F963)),"rhetoric_discourse",IF(ISNUMBER(SEARCH("behavior",F963)),"behavioural_economics",IF(ISNUMBER(SEARCH("cognitive",F963)),"cognitive_biases",IF(J963="protective_pattern","healthy_reasoning_patterns",IF(L963="P0","core_mvp","extended_fallacies")))))))))</x:f>
        <x:v>extended_fallacies</x:v>
      </x:c>
      <x:c r="AC963" s="12" t="str">
        <x:f>IF(ISNUMBER(SEARCH("operational",J963)),"operational",IF(ISNUMBER(SEARCH("deprecated",J963)),"deprecated",IF(L963="P0","canonical","recognized_subtype")))</x:f>
        <x:v>operational</x:v>
      </x:c>
      <x:c r="AD963" s="12" t="str">
        <x:f>IF(AC963="canonical","high",IF(AC963="recognized_subtype","medium",IF(AC963="operational","operational_only","debated")))</x:f>
        <x:v>operational_only</x:v>
      </x:c>
      <x:c r="AE963" s="12" t="str">
        <x:f>IF(AC963="deprecated","deprecated",IF(M963="yes","active",IF(M963="review","review_required","backlog")))</x:f>
        <x:v>backlog</x:v>
      </x:c>
      <x:c r="AF963" s="12" t="str">
        <x:f>IF(OR(AE963="active",AE963="review_required"),"yes","no")</x:f>
        <x:v>no</x:v>
      </x:c>
      <x:c r="AG963" s="12" t="str">
        <x:f>IF(AND(AE963="active",M963="yes",NOT(ISNUMBER(SEARCH("healthy",AB963)))),"yes","no")</x:f>
        <x:v>no</x:v>
      </x:c>
      <x:c r="AH963" s="12" t="str">
        <x:f>IF(OR(H963="contextual",H963="dialogue",H963="discourse",I963="claim+context",I963="discourse_segment"),"yes","no")</x:f>
        <x:v>yes</x:v>
      </x:c>
      <x:c r="AI963" s="12" t="str">
        <x:f>IF(OR(AH963="yes",AD963="debated",AC963="operational"),"yes","no")</x:f>
        <x:v>yes</x:v>
      </x:c>
      <x:c r="AJ963" s="12" t="str">
        <x:f>IF(OR(AH963="yes",AC963="operational",AD963="debated"),"high",IF(AND(AG963="yes",L963="P0"),"medium","low"))</x:f>
        <x:v>high</x:v>
      </x:c>
      <x:c r="AK963" s="12" t="str">
        <x:f>IF(ISNUMBER(SEARCH("healthy",AB963)),"yes","no")</x:f>
        <x:v>no</x:v>
      </x:c>
      <x:c r="AL963" s="12" t="str">
        <x:f>IF(AG963="yes","yes","candidate_only")</x:f>
        <x:v>candidate_only</x:v>
      </x:c>
      <x:c r="AM963" s="12" t="str">
        <x:f>IF(OR(AC963="canonical",AG963="yes"),"yes","recommended")</x:f>
        <x:v>recommended</x:v>
      </x:c>
      <x:c r="AN963" s="12" t="str">
        <x:f>IF(AC963="deprecated","exclude",IF(AND(AG963="yes",AJ963="high"),"import_but_human_review_required",IF(AG963="yes","import_as_active","import_as_backlog")))</x:f>
        <x:v>import_as_backlog</x:v>
      </x:c>
      <x:c r="AO963" s="12" t="str">
        <x:f>IF(AND(AG963="yes",OR(P963="",Q963="",R963="",S963="")),"missing_required_mvp_fields",IF(AND(AC963="canonical",Y963=""),"missing_source_ref","ok"))</x:f>
        <x:v>ok</x:v>
      </x:c>
      <x:c r="AP963" s="12" t="str">
        <x:f>IF(AO963="ok","ready_for_codex_import","needs_review")</x:f>
        <x:v>ready_for_codex_import</x:v>
      </x:c>
      <x:c r="AQ963" s="12"/>
      <x:c r="AR963" s="12" t="str">
        <x:v>Added v2 operational fields. Review before classification activation.</x:v>
      </x:c>
    </x:row>
    <x:row r="964">
      <x:c r="A964" s="13" t="str">
        <x:v>unanswered_critical_question_relevance_variant</x:v>
      </x:c>
      <x:c r="B964" s="13" t="str">
        <x:v>unanswered_critical_question</x:v>
      </x:c>
      <x:c r="C964" s="13" t="str">
        <x:v>Unanswered critical question</x:v>
      </x:c>
      <x:c r="D964" s="13" t="str">
        <x:v>پرسش انتقادی بی‌پاسخ</x:v>
      </x:c>
      <x:c r="E964" s="13" t="str">
        <x:v>Relevance variant</x:v>
      </x:c>
      <x:c r="F964" s="13" t="str">
        <x:v>discourse_pragmatic_failures</x:v>
      </x:c>
      <x:c r="G964" s="13" t="str">
        <x:v>operational_variant</x:v>
      </x:c>
      <x:c r="H964" s="13" t="str">
        <x:v>dialogue</x:v>
      </x:c>
      <x:c r="I964" s="13" t="str">
        <x:v>discourse_segment</x:v>
      </x:c>
      <x:c r="J964" s="13" t="str">
        <x:v>derived_operational_subtype</x:v>
      </x:c>
      <x:c r="K964" s="13" t="str">
        <x:v>derived_from_established_parent_review_required</x:v>
      </x:c>
      <x:c r="L964" s="13" t="str">
        <x:v>P2</x:v>
      </x:c>
      <x:c r="M964" s="13" t="str">
        <x:v>no</x:v>
      </x:c>
      <x:c r="N964" s="13" t="str">
        <x:v>Operational subtype under Unanswered critical question: the move is not relevant to the claim at issue. Parent definition: Ignoring critical questions required by an argument scheme.</x:v>
      </x:c>
      <x:c r="O964" s="13" t="str">
        <x:v>Look for: explicit claim-level evidence; parent-family cues for Unanswered critical question; variant cue: the move is not relevant to the claim at issue; avoid author-level inference.</x:v>
      </x:c>
      <x:c r="P964" s="13" t="str">
        <x:v>Exact evidence span in text plus claim-level reasoning link; for contextual/discourse entries, require surrounding context.</x:v>
      </x:c>
      <x:c r="Q964" s="13" t="str">
        <x:v>Do not label merely because topic is controversial, emotional, or wrong. Do not judge intent or personality. Require textual evidence and consider healthy-reasoning cues.</x:v>
      </x:c>
      <x:c r="R964" s="13" t="str">
        <x:v>Stub: A claim relies on the move is not relevant to the claim at issue to support a conclusion without adequate qualification.</x:v>
      </x:c>
      <x:c r="S964" s="13" t="str">
        <x:v>Stub: A claim discusses unanswered critical question with caveats, balanced evidence, or no argumentative use of the pattern.</x:v>
      </x:c>
      <x:c r="T964" s="13" t="str">
        <x:v>Mild or ambiguous cue; do not classify without clear evidence span.</x:v>
      </x:c>
      <x:c r="U964" s="13" t="str">
        <x:v>Clear claim-level pattern with some argumentative impact.</x:v>
      </x:c>
      <x:c r="V964" s="13" t="str">
        <x:v>Strong pattern central to the conclusion and likely to materially distort reasoning.</x:v>
      </x:c>
      <x:c r="W964" s="13" t="str"/>
      <x:c r="X964" s="13" t="str">
        <x:v>walton_argumentation_schemes</x:v>
      </x:c>
      <x:c r="Y964" s="13" t="str">
        <x:v>https://www.cambridge.org/core/books/argumentation-schemes/1D013BFA2695C72B14134F2C38B17B85</x:v>
      </x:c>
      <x:c r="Z964" s="13" t="str">
        <x:v>Review before enabling. This workbook is a living taxonomy scaffold, not a validated scientific benchmark.</x:v>
      </x:c>
      <x:c r="AA964" s="13" t="str">
        <x:v>0.1.0-draft</x:v>
      </x:c>
      <x:c r="AB964" s="12" t="str">
        <x:f>IF(ISNUMBER(SEARCH("healthy",F964)),"healthy_reasoning_patterns",IF(ISNUMBER(SEARCH("statistical",F964)),"statistical_reasoning",IF(ISNUMBER(SEARCH("causal",F964)),"causal_reasoning",IF(ISNUMBER(SEARCH("social",F964)),"social_influence",IF(ISNUMBER(SEARCH("rhetoric",F964)),"rhetoric_discourse",IF(ISNUMBER(SEARCH("behavior",F964)),"behavioural_economics",IF(ISNUMBER(SEARCH("cognitive",F964)),"cognitive_biases",IF(J964="protective_pattern","healthy_reasoning_patterns",IF(L964="P0","core_mvp","extended_fallacies")))))))))</x:f>
        <x:v>extended_fallacies</x:v>
      </x:c>
      <x:c r="AC964" s="12" t="str">
        <x:f>IF(ISNUMBER(SEARCH("operational",J964)),"operational",IF(ISNUMBER(SEARCH("deprecated",J964)),"deprecated",IF(L964="P0","canonical","recognized_subtype")))</x:f>
        <x:v>operational</x:v>
      </x:c>
      <x:c r="AD964" s="12" t="str">
        <x:f>IF(AC964="canonical","high",IF(AC964="recognized_subtype","medium",IF(AC964="operational","operational_only","debated")))</x:f>
        <x:v>operational_only</x:v>
      </x:c>
      <x:c r="AE964" s="12" t="str">
        <x:f>IF(AC964="deprecated","deprecated",IF(M964="yes","active",IF(M964="review","review_required","backlog")))</x:f>
        <x:v>backlog</x:v>
      </x:c>
      <x:c r="AF964" s="12" t="str">
        <x:f>IF(OR(AE964="active",AE964="review_required"),"yes","no")</x:f>
        <x:v>no</x:v>
      </x:c>
      <x:c r="AG964" s="12" t="str">
        <x:f>IF(AND(AE964="active",M964="yes",NOT(ISNUMBER(SEARCH("healthy",AB964)))),"yes","no")</x:f>
        <x:v>no</x:v>
      </x:c>
      <x:c r="AH964" s="12" t="str">
        <x:f>IF(OR(H964="contextual",H964="dialogue",H964="discourse",I964="claim+context",I964="discourse_segment"),"yes","no")</x:f>
        <x:v>yes</x:v>
      </x:c>
      <x:c r="AI964" s="12" t="str">
        <x:f>IF(OR(AH964="yes",AD964="debated",AC964="operational"),"yes","no")</x:f>
        <x:v>yes</x:v>
      </x:c>
      <x:c r="AJ964" s="12" t="str">
        <x:f>IF(OR(AH964="yes",AC964="operational",AD964="debated"),"high",IF(AND(AG964="yes",L964="P0"),"medium","low"))</x:f>
        <x:v>high</x:v>
      </x:c>
      <x:c r="AK964" s="12" t="str">
        <x:f>IF(ISNUMBER(SEARCH("healthy",AB964)),"yes","no")</x:f>
        <x:v>no</x:v>
      </x:c>
      <x:c r="AL964" s="12" t="str">
        <x:f>IF(AG964="yes","yes","candidate_only")</x:f>
        <x:v>candidate_only</x:v>
      </x:c>
      <x:c r="AM964" s="12" t="str">
        <x:f>IF(OR(AC964="canonical",AG964="yes"),"yes","recommended")</x:f>
        <x:v>recommended</x:v>
      </x:c>
      <x:c r="AN964" s="12" t="str">
        <x:f>IF(AC964="deprecated","exclude",IF(AND(AG964="yes",AJ964="high"),"import_but_human_review_required",IF(AG964="yes","import_as_active","import_as_backlog")))</x:f>
        <x:v>import_as_backlog</x:v>
      </x:c>
      <x:c r="AO964" s="12" t="str">
        <x:f>IF(AND(AG964="yes",OR(P964="",Q964="",R964="",S964="")),"missing_required_mvp_fields",IF(AND(AC964="canonical",Y964=""),"missing_source_ref","ok"))</x:f>
        <x:v>ok</x:v>
      </x:c>
      <x:c r="AP964" s="12" t="str">
        <x:f>IF(AO964="ok","ready_for_codex_import","needs_review")</x:f>
        <x:v>ready_for_codex_import</x:v>
      </x:c>
      <x:c r="AQ964" s="12"/>
      <x:c r="AR964" s="12" t="str">
        <x:v>Added v2 operational fields. Review before classification activation.</x:v>
      </x:c>
    </x:row>
    <x:row r="965">
      <x:c r="A965" s="13" t="str">
        <x:v>premature_closure_relevance_variant</x:v>
      </x:c>
      <x:c r="B965" s="13" t="str">
        <x:v>premature_closure</x:v>
      </x:c>
      <x:c r="C965" s="13" t="str">
        <x:v>Premature closure</x:v>
      </x:c>
      <x:c r="D965" s="13" t="str">
        <x:v>بستن زودهنگام بحث</x:v>
      </x:c>
      <x:c r="E965" s="13" t="str">
        <x:v>Relevance variant</x:v>
      </x:c>
      <x:c r="F965" s="13" t="str">
        <x:v>discourse_pragmatic_failures</x:v>
      </x:c>
      <x:c r="G965" s="13" t="str">
        <x:v>operational_variant</x:v>
      </x:c>
      <x:c r="H965" s="13" t="str">
        <x:v>dialogue</x:v>
      </x:c>
      <x:c r="I965" s="13" t="str">
        <x:v>discourse_segment</x:v>
      </x:c>
      <x:c r="J965" s="13" t="str">
        <x:v>derived_operational_subtype</x:v>
      </x:c>
      <x:c r="K965" s="13" t="str">
        <x:v>derived_from_established_parent_review_required</x:v>
      </x:c>
      <x:c r="L965" s="13" t="str">
        <x:v>P2</x:v>
      </x:c>
      <x:c r="M965" s="13" t="str">
        <x:v>no</x:v>
      </x:c>
      <x:c r="N965" s="13" t="str">
        <x:v>Operational subtype under Premature closure: the move is not relevant to the claim at issue. Parent definition: Ending inquiry before relevant objections or alternatives are considered.</x:v>
      </x:c>
      <x:c r="O965" s="13" t="str">
        <x:v>Look for: explicit claim-level evidence; parent-family cues for Premature closure; variant cue: the move is not relevant to the claim at issue; avoid author-level inference.</x:v>
      </x:c>
      <x:c r="P965" s="13" t="str">
        <x:v>Exact evidence span in text plus claim-level reasoning link; for contextual/discourse entries, require surrounding context.</x:v>
      </x:c>
      <x:c r="Q965" s="13" t="str">
        <x:v>Do not label merely because topic is controversial, emotional, or wrong. Do not judge intent or personality. Require textual evidence and consider healthy-reasoning cues.</x:v>
      </x:c>
      <x:c r="R965" s="13" t="str">
        <x:v>Stub: A claim relies on the move is not relevant to the claim at issue to support a conclusion without adequate qualification.</x:v>
      </x:c>
      <x:c r="S965" s="13" t="str">
        <x:v>Stub: A claim discusses premature closure with caveats, balanced evidence, or no argumentative use of the pattern.</x:v>
      </x:c>
      <x:c r="T965" s="13" t="str">
        <x:v>Mild or ambiguous cue; do not classify without clear evidence span.</x:v>
      </x:c>
      <x:c r="U965" s="13" t="str">
        <x:v>Clear claim-level pattern with some argumentative impact.</x:v>
      </x:c>
      <x:c r="V965" s="13" t="str">
        <x:v>Strong pattern central to the conclusion and likely to materially distort reasoning.</x:v>
      </x:c>
      <x:c r="W965" s="13" t="str"/>
      <x:c r="X965" s="13" t="str">
        <x:v>pragmadialectics</x:v>
      </x:c>
      <x:c r="Y965" s="13" t="str">
        <x:v>https://doi.org/10.1017/CBO9780511616389</x:v>
      </x:c>
      <x:c r="Z965" s="13" t="str">
        <x:v>Review before enabling. This workbook is a living taxonomy scaffold, not a validated scientific benchmark.</x:v>
      </x:c>
      <x:c r="AA965" s="13" t="str">
        <x:v>0.1.0-draft</x:v>
      </x:c>
      <x:c r="AB965" s="12" t="str">
        <x:f>IF(ISNUMBER(SEARCH("healthy",F965)),"healthy_reasoning_patterns",IF(ISNUMBER(SEARCH("statistical",F965)),"statistical_reasoning",IF(ISNUMBER(SEARCH("causal",F965)),"causal_reasoning",IF(ISNUMBER(SEARCH("social",F965)),"social_influence",IF(ISNUMBER(SEARCH("rhetoric",F965)),"rhetoric_discourse",IF(ISNUMBER(SEARCH("behavior",F965)),"behavioural_economics",IF(ISNUMBER(SEARCH("cognitive",F965)),"cognitive_biases",IF(J965="protective_pattern","healthy_reasoning_patterns",IF(L965="P0","core_mvp","extended_fallacies")))))))))</x:f>
        <x:v>extended_fallacies</x:v>
      </x:c>
      <x:c r="AC965" s="12" t="str">
        <x:f>IF(ISNUMBER(SEARCH("operational",J965)),"operational",IF(ISNUMBER(SEARCH("deprecated",J965)),"deprecated",IF(L965="P0","canonical","recognized_subtype")))</x:f>
        <x:v>operational</x:v>
      </x:c>
      <x:c r="AD965" s="12" t="str">
        <x:f>IF(AC965="canonical","high",IF(AC965="recognized_subtype","medium",IF(AC965="operational","operational_only","debated")))</x:f>
        <x:v>operational_only</x:v>
      </x:c>
      <x:c r="AE965" s="12" t="str">
        <x:f>IF(AC965="deprecated","deprecated",IF(M965="yes","active",IF(M965="review","review_required","backlog")))</x:f>
        <x:v>backlog</x:v>
      </x:c>
      <x:c r="AF965" s="12" t="str">
        <x:f>IF(OR(AE965="active",AE965="review_required"),"yes","no")</x:f>
        <x:v>no</x:v>
      </x:c>
      <x:c r="AG965" s="12" t="str">
        <x:f>IF(AND(AE965="active",M965="yes",NOT(ISNUMBER(SEARCH("healthy",AB965)))),"yes","no")</x:f>
        <x:v>no</x:v>
      </x:c>
      <x:c r="AH965" s="12" t="str">
        <x:f>IF(OR(H965="contextual",H965="dialogue",H965="discourse",I965="claim+context",I965="discourse_segment"),"yes","no")</x:f>
        <x:v>yes</x:v>
      </x:c>
      <x:c r="AI965" s="12" t="str">
        <x:f>IF(OR(AH965="yes",AD965="debated",AC965="operational"),"yes","no")</x:f>
        <x:v>yes</x:v>
      </x:c>
      <x:c r="AJ965" s="12" t="str">
        <x:f>IF(OR(AH965="yes",AC965="operational",AD965="debated"),"high",IF(AND(AG965="yes",L965="P0"),"medium","low"))</x:f>
        <x:v>high</x:v>
      </x:c>
      <x:c r="AK965" s="12" t="str">
        <x:f>IF(ISNUMBER(SEARCH("healthy",AB965)),"yes","no")</x:f>
        <x:v>no</x:v>
      </x:c>
      <x:c r="AL965" s="12" t="str">
        <x:f>IF(AG965="yes","yes","candidate_only")</x:f>
        <x:v>candidate_only</x:v>
      </x:c>
      <x:c r="AM965" s="12" t="str">
        <x:f>IF(OR(AC965="canonical",AG965="yes"),"yes","recommended")</x:f>
        <x:v>recommended</x:v>
      </x:c>
      <x:c r="AN965" s="12" t="str">
        <x:f>IF(AC965="deprecated","exclude",IF(AND(AG965="yes",AJ965="high"),"import_but_human_review_required",IF(AG965="yes","import_as_active","import_as_backlog")))</x:f>
        <x:v>import_as_backlog</x:v>
      </x:c>
      <x:c r="AO965" s="12" t="str">
        <x:f>IF(AND(AG965="yes",OR(P965="",Q965="",R965="",S965="")),"missing_required_mvp_fields",IF(AND(AC965="canonical",Y965=""),"missing_source_ref","ok"))</x:f>
        <x:v>ok</x:v>
      </x:c>
      <x:c r="AP965" s="12" t="str">
        <x:f>IF(AO965="ok","ready_for_codex_import","needs_review")</x:f>
        <x:v>ready_for_codex_import</x:v>
      </x:c>
      <x:c r="AQ965" s="12"/>
      <x:c r="AR965" s="12" t="str">
        <x:v>Added v2 operational fields. Review before classification activation.</x:v>
      </x:c>
    </x:row>
    <x:row r="966">
      <x:c r="A966" s="13" t="str">
        <x:v>criterion_shifting_relevance_variant</x:v>
      </x:c>
      <x:c r="B966" s="13" t="str">
        <x:v>criterion_shifting</x:v>
      </x:c>
      <x:c r="C966" s="13" t="str">
        <x:v>Criterion shifting</x:v>
      </x:c>
      <x:c r="D966" s="13" t="str">
        <x:v>تغییر معیار</x:v>
      </x:c>
      <x:c r="E966" s="13" t="str">
        <x:v>Relevance variant</x:v>
      </x:c>
      <x:c r="F966" s="13" t="str">
        <x:v>discourse_pragmatic_failures</x:v>
      </x:c>
      <x:c r="G966" s="13" t="str">
        <x:v>operational_variant</x:v>
      </x:c>
      <x:c r="H966" s="13" t="str">
        <x:v>dialogue</x:v>
      </x:c>
      <x:c r="I966" s="13" t="str">
        <x:v>discourse_segment</x:v>
      </x:c>
      <x:c r="J966" s="13" t="str">
        <x:v>derived_operational_subtype</x:v>
      </x:c>
      <x:c r="K966" s="13" t="str">
        <x:v>derived_from_established_parent_review_required</x:v>
      </x:c>
      <x:c r="L966" s="13" t="str">
        <x:v>P2</x:v>
      </x:c>
      <x:c r="M966" s="13" t="str">
        <x:v>no</x:v>
      </x:c>
      <x:c r="N966" s="13" t="str">
        <x:v>Operational subtype under Criterion shifting: the move is not relevant to the claim at issue. Parent definition: Changing evaluation criteria without stating the change.</x:v>
      </x:c>
      <x:c r="O966" s="13" t="str">
        <x:v>Look for: explicit claim-level evidence; parent-family cues for Criterion shifting; variant cue: the move is not relevant to the claim at issue; avoid author-level inference.</x:v>
      </x:c>
      <x:c r="P966" s="13" t="str">
        <x:v>Exact evidence span in text plus claim-level reasoning link; for contextual/discourse entries, require surrounding context.</x:v>
      </x:c>
      <x:c r="Q966" s="13" t="str">
        <x:v>Do not label merely because topic is controversial, emotional, or wrong. Do not judge intent or personality. Require textual evidence and consider healthy-reasoning cues.</x:v>
      </x:c>
      <x:c r="R966" s="13" t="str">
        <x:v>Stub: A claim relies on the move is not relevant to the claim at issue to support a conclusion without adequate qualification.</x:v>
      </x:c>
      <x:c r="S966" s="13" t="str">
        <x:v>Stub: A claim discusses criterion shifting with caveats, balanced evidence, or no argumentative use of the pattern.</x:v>
      </x:c>
      <x:c r="T966" s="13" t="str">
        <x:v>Mild or ambiguous cue; do not classify without clear evidence span.</x:v>
      </x:c>
      <x:c r="U966" s="13" t="str">
        <x:v>Clear claim-level pattern with some argumentative impact.</x:v>
      </x:c>
      <x:c r="V966" s="13" t="str">
        <x:v>Strong pattern central to the conclusion and likely to materially distort reasoning.</x:v>
      </x:c>
      <x:c r="W966" s="13" t="str"/>
      <x:c r="X966" s="13" t="str">
        <x:v>pragmadialectics</x:v>
      </x:c>
      <x:c r="Y966" s="13" t="str">
        <x:v>https://doi.org/10.1017/CBO9780511616389</x:v>
      </x:c>
      <x:c r="Z966" s="13" t="str">
        <x:v>Review before enabling. This workbook is a living taxonomy scaffold, not a validated scientific benchmark.</x:v>
      </x:c>
      <x:c r="AA966" s="13" t="str">
        <x:v>0.1.0-draft</x:v>
      </x:c>
      <x:c r="AB966" s="12" t="str">
        <x:f>IF(ISNUMBER(SEARCH("healthy",F966)),"healthy_reasoning_patterns",IF(ISNUMBER(SEARCH("statistical",F966)),"statistical_reasoning",IF(ISNUMBER(SEARCH("causal",F966)),"causal_reasoning",IF(ISNUMBER(SEARCH("social",F966)),"social_influence",IF(ISNUMBER(SEARCH("rhetoric",F966)),"rhetoric_discourse",IF(ISNUMBER(SEARCH("behavior",F966)),"behavioural_economics",IF(ISNUMBER(SEARCH("cognitive",F966)),"cognitive_biases",IF(J966="protective_pattern","healthy_reasoning_patterns",IF(L966="P0","core_mvp","extended_fallacies")))))))))</x:f>
        <x:v>extended_fallacies</x:v>
      </x:c>
      <x:c r="AC966" s="12" t="str">
        <x:f>IF(ISNUMBER(SEARCH("operational",J966)),"operational",IF(ISNUMBER(SEARCH("deprecated",J966)),"deprecated",IF(L966="P0","canonical","recognized_subtype")))</x:f>
        <x:v>operational</x:v>
      </x:c>
      <x:c r="AD966" s="12" t="str">
        <x:f>IF(AC966="canonical","high",IF(AC966="recognized_subtype","medium",IF(AC966="operational","operational_only","debated")))</x:f>
        <x:v>operational_only</x:v>
      </x:c>
      <x:c r="AE966" s="12" t="str">
        <x:f>IF(AC966="deprecated","deprecated",IF(M966="yes","active",IF(M966="review","review_required","backlog")))</x:f>
        <x:v>backlog</x:v>
      </x:c>
      <x:c r="AF966" s="12" t="str">
        <x:f>IF(OR(AE966="active",AE966="review_required"),"yes","no")</x:f>
        <x:v>no</x:v>
      </x:c>
      <x:c r="AG966" s="12" t="str">
        <x:f>IF(AND(AE966="active",M966="yes",NOT(ISNUMBER(SEARCH("healthy",AB966)))),"yes","no")</x:f>
        <x:v>no</x:v>
      </x:c>
      <x:c r="AH966" s="12" t="str">
        <x:f>IF(OR(H966="contextual",H966="dialogue",H966="discourse",I966="claim+context",I966="discourse_segment"),"yes","no")</x:f>
        <x:v>yes</x:v>
      </x:c>
      <x:c r="AI966" s="12" t="str">
        <x:f>IF(OR(AH966="yes",AD966="debated",AC966="operational"),"yes","no")</x:f>
        <x:v>yes</x:v>
      </x:c>
      <x:c r="AJ966" s="12" t="str">
        <x:f>IF(OR(AH966="yes",AC966="operational",AD966="debated"),"high",IF(AND(AG966="yes",L966="P0"),"medium","low"))</x:f>
        <x:v>high</x:v>
      </x:c>
      <x:c r="AK966" s="12" t="str">
        <x:f>IF(ISNUMBER(SEARCH("healthy",AB966)),"yes","no")</x:f>
        <x:v>no</x:v>
      </x:c>
      <x:c r="AL966" s="12" t="str">
        <x:f>IF(AG966="yes","yes","candidate_only")</x:f>
        <x:v>candidate_only</x:v>
      </x:c>
      <x:c r="AM966" s="12" t="str">
        <x:f>IF(OR(AC966="canonical",AG966="yes"),"yes","recommended")</x:f>
        <x:v>recommended</x:v>
      </x:c>
      <x:c r="AN966" s="12" t="str">
        <x:f>IF(AC966="deprecated","exclude",IF(AND(AG966="yes",AJ966="high"),"import_but_human_review_required",IF(AG966="yes","import_as_active","import_as_backlog")))</x:f>
        <x:v>import_as_backlog</x:v>
      </x:c>
      <x:c r="AO966" s="12" t="str">
        <x:f>IF(AND(AG966="yes",OR(P966="",Q966="",R966="",S966="")),"missing_required_mvp_fields",IF(AND(AC966="canonical",Y966=""),"missing_source_ref","ok"))</x:f>
        <x:v>ok</x:v>
      </x:c>
      <x:c r="AP966" s="12" t="str">
        <x:f>IF(AO966="ok","ready_for_codex_import","needs_review")</x:f>
        <x:v>ready_for_codex_import</x:v>
      </x:c>
      <x:c r="AQ966" s="12"/>
      <x:c r="AR966" s="12" t="str">
        <x:v>Added v2 operational fields. Review before classification activation.</x:v>
      </x:c>
    </x:row>
    <x:row r="967">
      <x:c r="A967" s="13" t="str">
        <x:v>ambiguity_exploitation_relevance_variant</x:v>
      </x:c>
      <x:c r="B967" s="13" t="str">
        <x:v>ambiguity_exploitation</x:v>
      </x:c>
      <x:c r="C967" s="13" t="str">
        <x:v>Ambiguity exploitation</x:v>
      </x:c>
      <x:c r="D967" s="13" t="str">
        <x:v>بهره‌برداری از ابهام</x:v>
      </x:c>
      <x:c r="E967" s="13" t="str">
        <x:v>Relevance variant</x:v>
      </x:c>
      <x:c r="F967" s="13" t="str">
        <x:v>discourse_pragmatic_failures</x:v>
      </x:c>
      <x:c r="G967" s="13" t="str">
        <x:v>operational_variant</x:v>
      </x:c>
      <x:c r="H967" s="13" t="str">
        <x:v>lexical</x:v>
      </x:c>
      <x:c r="I967" s="13" t="str">
        <x:v>claim</x:v>
      </x:c>
      <x:c r="J967" s="13" t="str">
        <x:v>derived_operational_subtype</x:v>
      </x:c>
      <x:c r="K967" s="13" t="str">
        <x:v>derived_from_established_parent_review_required</x:v>
      </x:c>
      <x:c r="L967" s="13" t="str">
        <x:v>P2</x:v>
      </x:c>
      <x:c r="M967" s="13" t="str">
        <x:v>no</x:v>
      </x:c>
      <x:c r="N967" s="13" t="str">
        <x:v>Operational subtype under Ambiguity exploitation: the move is not relevant to the claim at issue. Parent definition: Using ambiguous wording to maintain multiple interpretations.</x:v>
      </x:c>
      <x:c r="O967" s="13" t="str">
        <x:v>Look for: explicit claim-level evidence; parent-family cues for Ambiguity exploitation; variant cue: the move is not relevant to the claim at issue; avoid author-level inference.</x:v>
      </x:c>
      <x:c r="P967" s="13" t="str">
        <x:v>Exact evidence span in text plus claim-level reasoning link; for contextual/discourse entries, require surrounding context.</x:v>
      </x:c>
      <x:c r="Q967" s="13" t="str">
        <x:v>Do not label merely because topic is controversial, emotional, or wrong. Do not judge intent or personality. Require textual evidence and consider healthy-reasoning cues.</x:v>
      </x:c>
      <x:c r="R967" s="13" t="str">
        <x:v>Stub: A claim relies on the move is not relevant to the claim at issue to support a conclusion without adequate qualification.</x:v>
      </x:c>
      <x:c r="S967" s="13" t="str">
        <x:v>Stub: A claim discusses ambiguity exploitation with caveats, balanced evidence, or no argumentative use of the pattern.</x:v>
      </x:c>
      <x:c r="T967" s="13" t="str">
        <x:v>Mild or ambiguous cue; do not classify without clear evidence span.</x:v>
      </x:c>
      <x:c r="U967" s="13" t="str">
        <x:v>Clear claim-level pattern with some argumentative impact.</x:v>
      </x:c>
      <x:c r="V967" s="13" t="str">
        <x:v>Strong pattern central to the conclusion and likely to materially distort reasoning.</x:v>
      </x:c>
      <x:c r="W967" s="13" t="str"/>
      <x:c r="X967" s="13" t="str">
        <x:v>grice_logic_conversation</x:v>
      </x:c>
      <x:c r="Y967" s="13" t="str">
        <x:v>https://doi.org/10.1163/9789004368811_003</x:v>
      </x:c>
      <x:c r="Z967" s="13" t="str">
        <x:v>Review before enabling. This workbook is a living taxonomy scaffold, not a validated scientific benchmark.</x:v>
      </x:c>
      <x:c r="AA967" s="13" t="str">
        <x:v>0.1.0-draft</x:v>
      </x:c>
      <x:c r="AB967" s="12" t="str">
        <x:f>IF(ISNUMBER(SEARCH("healthy",F967)),"healthy_reasoning_patterns",IF(ISNUMBER(SEARCH("statistical",F967)),"statistical_reasoning",IF(ISNUMBER(SEARCH("causal",F967)),"causal_reasoning",IF(ISNUMBER(SEARCH("social",F967)),"social_influence",IF(ISNUMBER(SEARCH("rhetoric",F967)),"rhetoric_discourse",IF(ISNUMBER(SEARCH("behavior",F967)),"behavioural_economics",IF(ISNUMBER(SEARCH("cognitive",F967)),"cognitive_biases",IF(J967="protective_pattern","healthy_reasoning_patterns",IF(L967="P0","core_mvp","extended_fallacies")))))))))</x:f>
        <x:v>extended_fallacies</x:v>
      </x:c>
      <x:c r="AC967" s="12" t="str">
        <x:f>IF(ISNUMBER(SEARCH("operational",J967)),"operational",IF(ISNUMBER(SEARCH("deprecated",J967)),"deprecated",IF(L967="P0","canonical","recognized_subtype")))</x:f>
        <x:v>operational</x:v>
      </x:c>
      <x:c r="AD967" s="12" t="str">
        <x:f>IF(AC967="canonical","high",IF(AC967="recognized_subtype","medium",IF(AC967="operational","operational_only","debated")))</x:f>
        <x:v>operational_only</x:v>
      </x:c>
      <x:c r="AE967" s="12" t="str">
        <x:f>IF(AC967="deprecated","deprecated",IF(M967="yes","active",IF(M967="review","review_required","backlog")))</x:f>
        <x:v>backlog</x:v>
      </x:c>
      <x:c r="AF967" s="12" t="str">
        <x:f>IF(OR(AE967="active",AE967="review_required"),"yes","no")</x:f>
        <x:v>no</x:v>
      </x:c>
      <x:c r="AG967" s="12" t="str">
        <x:f>IF(AND(AE967="active",M967="yes",NOT(ISNUMBER(SEARCH("healthy",AB967)))),"yes","no")</x:f>
        <x:v>no</x:v>
      </x:c>
      <x:c r="AH967" s="12" t="str">
        <x:f>IF(OR(H967="contextual",H967="dialogue",H967="discourse",I967="claim+context",I967="discourse_segment"),"yes","no")</x:f>
        <x:v>no</x:v>
      </x:c>
      <x:c r="AI967" s="12" t="str">
        <x:f>IF(OR(AH967="yes",AD967="debated",AC967="operational"),"yes","no")</x:f>
        <x:v>yes</x:v>
      </x:c>
      <x:c r="AJ967" s="12" t="str">
        <x:f>IF(OR(AH967="yes",AC967="operational",AD967="debated"),"high",IF(AND(AG967="yes",L967="P0"),"medium","low"))</x:f>
        <x:v>high</x:v>
      </x:c>
      <x:c r="AK967" s="12" t="str">
        <x:f>IF(ISNUMBER(SEARCH("healthy",AB967)),"yes","no")</x:f>
        <x:v>no</x:v>
      </x:c>
      <x:c r="AL967" s="12" t="str">
        <x:f>IF(AG967="yes","yes","candidate_only")</x:f>
        <x:v>candidate_only</x:v>
      </x:c>
      <x:c r="AM967" s="12" t="str">
        <x:f>IF(OR(AC967="canonical",AG967="yes"),"yes","recommended")</x:f>
        <x:v>recommended</x:v>
      </x:c>
      <x:c r="AN967" s="12" t="str">
        <x:f>IF(AC967="deprecated","exclude",IF(AND(AG967="yes",AJ967="high"),"import_but_human_review_required",IF(AG967="yes","import_as_active","import_as_backlog")))</x:f>
        <x:v>import_as_backlog</x:v>
      </x:c>
      <x:c r="AO967" s="12" t="str">
        <x:f>IF(AND(AG967="yes",OR(P967="",Q967="",R967="",S967="")),"missing_required_mvp_fields",IF(AND(AC967="canonical",Y967=""),"missing_source_ref","ok"))</x:f>
        <x:v>ok</x:v>
      </x:c>
      <x:c r="AP967" s="12" t="str">
        <x:f>IF(AO967="ok","ready_for_codex_import","needs_review")</x:f>
        <x:v>ready_for_codex_import</x:v>
      </x:c>
      <x:c r="AQ967" s="12"/>
      <x:c r="AR967" s="12" t="str">
        <x:v>Added v2 operational fields. Review before classification activation.</x:v>
      </x:c>
    </x:row>
    <x:row r="968">
      <x:c r="A968" s="13" t="str">
        <x:v>burden_overload_relevance_variant</x:v>
      </x:c>
      <x:c r="B968" s="13" t="str">
        <x:v>burden_overload</x:v>
      </x:c>
      <x:c r="C968" s="13" t="str">
        <x:v>Burden overload</x:v>
      </x:c>
      <x:c r="D968" s="13" t="str">
        <x:v>بار اثبات نامتناسب</x:v>
      </x:c>
      <x:c r="E968" s="13" t="str">
        <x:v>Relevance variant</x:v>
      </x:c>
      <x:c r="F968" s="13" t="str">
        <x:v>discourse_pragmatic_failures</x:v>
      </x:c>
      <x:c r="G968" s="13" t="str">
        <x:v>operational_variant</x:v>
      </x:c>
      <x:c r="H968" s="13" t="str">
        <x:v>dialogue</x:v>
      </x:c>
      <x:c r="I968" s="13" t="str">
        <x:v>discourse_segment</x:v>
      </x:c>
      <x:c r="J968" s="13" t="str">
        <x:v>derived_operational_subtype</x:v>
      </x:c>
      <x:c r="K968" s="13" t="str">
        <x:v>derived_from_established_parent_review_required</x:v>
      </x:c>
      <x:c r="L968" s="13" t="str">
        <x:v>P2</x:v>
      </x:c>
      <x:c r="M968" s="13" t="str">
        <x:v>no</x:v>
      </x:c>
      <x:c r="N968" s="13" t="str">
        <x:v>Operational subtype under Burden overload: the move is not relevant to the claim at issue. Parent definition: Demanding an unrealistic standard from one side while offering less support oneself.</x:v>
      </x:c>
      <x:c r="O968" s="13" t="str">
        <x:v>Look for: explicit claim-level evidence; parent-family cues for Burden overload; variant cue: the move is not relevant to the claim at issue; avoid author-level inference.</x:v>
      </x:c>
      <x:c r="P968" s="13" t="str">
        <x:v>Exact evidence span in text plus claim-level reasoning link; for contextual/discourse entries, require surrounding context.</x:v>
      </x:c>
      <x:c r="Q968" s="13" t="str">
        <x:v>Do not label merely because topic is controversial, emotional, or wrong. Do not judge intent or personality. Require textual evidence and consider healthy-reasoning cues.</x:v>
      </x:c>
      <x:c r="R968" s="13" t="str">
        <x:v>Stub: A claim relies on the move is not relevant to the claim at issue to support a conclusion without adequate qualification.</x:v>
      </x:c>
      <x:c r="S968" s="13" t="str">
        <x:v>Stub: A claim discusses burden overload with caveats, balanced evidence, or no argumentative use of the pattern.</x:v>
      </x:c>
      <x:c r="T968" s="13" t="str">
        <x:v>Mild or ambiguous cue; do not classify without clear evidence span.</x:v>
      </x:c>
      <x:c r="U968" s="13" t="str">
        <x:v>Clear claim-level pattern with some argumentative impact.</x:v>
      </x:c>
      <x:c r="V968" s="13" t="str">
        <x:v>Strong pattern central to the conclusion and likely to materially distort reasoning.</x:v>
      </x:c>
      <x:c r="W968" s="13" t="str"/>
      <x:c r="X968" s="13" t="str">
        <x:v>pragmadialectics</x:v>
      </x:c>
      <x:c r="Y968" s="13" t="str">
        <x:v>https://doi.org/10.1017/CBO9780511616389</x:v>
      </x:c>
      <x:c r="Z968" s="13" t="str">
        <x:v>Review before enabling. This workbook is a living taxonomy scaffold, not a validated scientific benchmark.</x:v>
      </x:c>
      <x:c r="AA968" s="13" t="str">
        <x:v>0.1.0-draft</x:v>
      </x:c>
      <x:c r="AB968" s="12" t="str">
        <x:f>IF(ISNUMBER(SEARCH("healthy",F968)),"healthy_reasoning_patterns",IF(ISNUMBER(SEARCH("statistical",F968)),"statistical_reasoning",IF(ISNUMBER(SEARCH("causal",F968)),"causal_reasoning",IF(ISNUMBER(SEARCH("social",F968)),"social_influence",IF(ISNUMBER(SEARCH("rhetoric",F968)),"rhetoric_discourse",IF(ISNUMBER(SEARCH("behavior",F968)),"behavioural_economics",IF(ISNUMBER(SEARCH("cognitive",F968)),"cognitive_biases",IF(J968="protective_pattern","healthy_reasoning_patterns",IF(L968="P0","core_mvp","extended_fallacies")))))))))</x:f>
        <x:v>extended_fallacies</x:v>
      </x:c>
      <x:c r="AC968" s="12" t="str">
        <x:f>IF(ISNUMBER(SEARCH("operational",J968)),"operational",IF(ISNUMBER(SEARCH("deprecated",J968)),"deprecated",IF(L968="P0","canonical","recognized_subtype")))</x:f>
        <x:v>operational</x:v>
      </x:c>
      <x:c r="AD968" s="12" t="str">
        <x:f>IF(AC968="canonical","high",IF(AC968="recognized_subtype","medium",IF(AC968="operational","operational_only","debated")))</x:f>
        <x:v>operational_only</x:v>
      </x:c>
      <x:c r="AE968" s="12" t="str">
        <x:f>IF(AC968="deprecated","deprecated",IF(M968="yes","active",IF(M968="review","review_required","backlog")))</x:f>
        <x:v>backlog</x:v>
      </x:c>
      <x:c r="AF968" s="12" t="str">
        <x:f>IF(OR(AE968="active",AE968="review_required"),"yes","no")</x:f>
        <x:v>no</x:v>
      </x:c>
      <x:c r="AG968" s="12" t="str">
        <x:f>IF(AND(AE968="active",M968="yes",NOT(ISNUMBER(SEARCH("healthy",AB968)))),"yes","no")</x:f>
        <x:v>no</x:v>
      </x:c>
      <x:c r="AH968" s="12" t="str">
        <x:f>IF(OR(H968="contextual",H968="dialogue",H968="discourse",I968="claim+context",I968="discourse_segment"),"yes","no")</x:f>
        <x:v>yes</x:v>
      </x:c>
      <x:c r="AI968" s="12" t="str">
        <x:f>IF(OR(AH968="yes",AD968="debated",AC968="operational"),"yes","no")</x:f>
        <x:v>yes</x:v>
      </x:c>
      <x:c r="AJ968" s="12" t="str">
        <x:f>IF(OR(AH968="yes",AC968="operational",AD968="debated"),"high",IF(AND(AG968="yes",L968="P0"),"medium","low"))</x:f>
        <x:v>high</x:v>
      </x:c>
      <x:c r="AK968" s="12" t="str">
        <x:f>IF(ISNUMBER(SEARCH("healthy",AB968)),"yes","no")</x:f>
        <x:v>no</x:v>
      </x:c>
      <x:c r="AL968" s="12" t="str">
        <x:f>IF(AG968="yes","yes","candidate_only")</x:f>
        <x:v>candidate_only</x:v>
      </x:c>
      <x:c r="AM968" s="12" t="str">
        <x:f>IF(OR(AC968="canonical",AG968="yes"),"yes","recommended")</x:f>
        <x:v>recommended</x:v>
      </x:c>
      <x:c r="AN968" s="12" t="str">
        <x:f>IF(AC968="deprecated","exclude",IF(AND(AG968="yes",AJ968="high"),"import_but_human_review_required",IF(AG968="yes","import_as_active","import_as_backlog")))</x:f>
        <x:v>import_as_backlog</x:v>
      </x:c>
      <x:c r="AO968" s="12" t="str">
        <x:f>IF(AND(AG968="yes",OR(P968="",Q968="",R968="",S968="")),"missing_required_mvp_fields",IF(AND(AC968="canonical",Y968=""),"missing_source_ref","ok"))</x:f>
        <x:v>ok</x:v>
      </x:c>
      <x:c r="AP968" s="12" t="str">
        <x:f>IF(AO968="ok","ready_for_codex_import","needs_review")</x:f>
        <x:v>ready_for_codex_import</x:v>
      </x:c>
      <x:c r="AQ968" s="12"/>
      <x:c r="AR968" s="12" t="str">
        <x:v>Added v2 operational fields. Review before classification activation.</x:v>
      </x:c>
    </x:row>
    <x:row r="969">
      <x:c r="A969" s="13" t="str">
        <x:v>uncharitable_interpretation_relevance_variant</x:v>
      </x:c>
      <x:c r="B969" s="13" t="str">
        <x:v>uncharitable_interpretation</x:v>
      </x:c>
      <x:c r="C969" s="13" t="str">
        <x:v>Uncharitable interpretation</x:v>
      </x:c>
      <x:c r="D969" s="13" t="str">
        <x:v>تفسیر نامنصفانه</x:v>
      </x:c>
      <x:c r="E969" s="13" t="str">
        <x:v>Relevance variant</x:v>
      </x:c>
      <x:c r="F969" s="13" t="str">
        <x:v>discourse_pragmatic_failures</x:v>
      </x:c>
      <x:c r="G969" s="13" t="str">
        <x:v>operational_variant</x:v>
      </x:c>
      <x:c r="H969" s="13" t="str">
        <x:v>contextual</x:v>
      </x:c>
      <x:c r="I969" s="13" t="str">
        <x:v>claim+context</x:v>
      </x:c>
      <x:c r="J969" s="13" t="str">
        <x:v>derived_operational_subtype</x:v>
      </x:c>
      <x:c r="K969" s="13" t="str">
        <x:v>derived_from_established_parent_review_required</x:v>
      </x:c>
      <x:c r="L969" s="13" t="str">
        <x:v>P2</x:v>
      </x:c>
      <x:c r="M969" s="13" t="str">
        <x:v>no</x:v>
      </x:c>
      <x:c r="N969" s="13" t="str">
        <x:v>Operational subtype under Uncharitable interpretation: the move is not relevant to the claim at issue. Parent definition: Interpreting a claim in a weaker or less reasonable way than context supports.</x:v>
      </x:c>
      <x:c r="O969" s="13" t="str">
        <x:v>Look for: explicit claim-level evidence; parent-family cues for Uncharitable interpretation; variant cue: the move is not relevant to the claim at issue; avoid author-level inference.</x:v>
      </x:c>
      <x:c r="P969" s="13" t="str">
        <x:v>Exact evidence span in text plus claim-level reasoning link; for contextual/discourse entries, require surrounding context.</x:v>
      </x:c>
      <x:c r="Q969" s="13" t="str">
        <x:v>Do not label merely because topic is controversial, emotional, or wrong. Do not judge intent or personality. Require textual evidence and consider healthy-reasoning cues.</x:v>
      </x:c>
      <x:c r="R969" s="13" t="str">
        <x:v>Stub: A claim relies on the move is not relevant to the claim at issue to support a conclusion without adequate qualification.</x:v>
      </x:c>
      <x:c r="S969" s="13" t="str">
        <x:v>Stub: A claim discusses uncharitable interpretation with caveats, balanced evidence, or no argumentative use of the pattern.</x:v>
      </x:c>
      <x:c r="T969" s="13" t="str">
        <x:v>Mild or ambiguous cue; do not classify without clear evidence span.</x:v>
      </x:c>
      <x:c r="U969" s="13" t="str">
        <x:v>Clear claim-level pattern with some argumentative impact.</x:v>
      </x:c>
      <x:c r="V969" s="13" t="str">
        <x:v>Strong pattern central to the conclusion and likely to materially distort reasoning.</x:v>
      </x:c>
      <x:c r="W969" s="13" t="str"/>
      <x:c r="X969" s="13" t="str">
        <x:v>toulmin_uses_argument</x:v>
      </x:c>
      <x:c r="Y969" s="13" t="str">
        <x:v>https://doi.org/10.1017/CBO9780511840005</x:v>
      </x:c>
      <x:c r="Z969" s="13" t="str">
        <x:v>Review before enabling. This workbook is a living taxonomy scaffold, not a validated scientific benchmark.</x:v>
      </x:c>
      <x:c r="AA969" s="13" t="str">
        <x:v>0.1.0-draft</x:v>
      </x:c>
      <x:c r="AB969" s="12" t="str">
        <x:f>IF(ISNUMBER(SEARCH("healthy",F969)),"healthy_reasoning_patterns",IF(ISNUMBER(SEARCH("statistical",F969)),"statistical_reasoning",IF(ISNUMBER(SEARCH("causal",F969)),"causal_reasoning",IF(ISNUMBER(SEARCH("social",F969)),"social_influence",IF(ISNUMBER(SEARCH("rhetoric",F969)),"rhetoric_discourse",IF(ISNUMBER(SEARCH("behavior",F969)),"behavioural_economics",IF(ISNUMBER(SEARCH("cognitive",F969)),"cognitive_biases",IF(J969="protective_pattern","healthy_reasoning_patterns",IF(L969="P0","core_mvp","extended_fallacies")))))))))</x:f>
        <x:v>extended_fallacies</x:v>
      </x:c>
      <x:c r="AC969" s="12" t="str">
        <x:f>IF(ISNUMBER(SEARCH("operational",J969)),"operational",IF(ISNUMBER(SEARCH("deprecated",J969)),"deprecated",IF(L969="P0","canonical","recognized_subtype")))</x:f>
        <x:v>operational</x:v>
      </x:c>
      <x:c r="AD969" s="12" t="str">
        <x:f>IF(AC969="canonical","high",IF(AC969="recognized_subtype","medium",IF(AC969="operational","operational_only","debated")))</x:f>
        <x:v>operational_only</x:v>
      </x:c>
      <x:c r="AE969" s="12" t="str">
        <x:f>IF(AC969="deprecated","deprecated",IF(M969="yes","active",IF(M969="review","review_required","backlog")))</x:f>
        <x:v>backlog</x:v>
      </x:c>
      <x:c r="AF969" s="12" t="str">
        <x:f>IF(OR(AE969="active",AE969="review_required"),"yes","no")</x:f>
        <x:v>no</x:v>
      </x:c>
      <x:c r="AG969" s="12" t="str">
        <x:f>IF(AND(AE969="active",M969="yes",NOT(ISNUMBER(SEARCH("healthy",AB969)))),"yes","no")</x:f>
        <x:v>no</x:v>
      </x:c>
      <x:c r="AH969" s="12" t="str">
        <x:f>IF(OR(H969="contextual",H969="dialogue",H969="discourse",I969="claim+context",I969="discourse_segment"),"yes","no")</x:f>
        <x:v>yes</x:v>
      </x:c>
      <x:c r="AI969" s="12" t="str">
        <x:f>IF(OR(AH969="yes",AD969="debated",AC969="operational"),"yes","no")</x:f>
        <x:v>yes</x:v>
      </x:c>
      <x:c r="AJ969" s="12" t="str">
        <x:f>IF(OR(AH969="yes",AC969="operational",AD969="debated"),"high",IF(AND(AG969="yes",L969="P0"),"medium","low"))</x:f>
        <x:v>high</x:v>
      </x:c>
      <x:c r="AK969" s="12" t="str">
        <x:f>IF(ISNUMBER(SEARCH("healthy",AB969)),"yes","no")</x:f>
        <x:v>no</x:v>
      </x:c>
      <x:c r="AL969" s="12" t="str">
        <x:f>IF(AG969="yes","yes","candidate_only")</x:f>
        <x:v>candidate_only</x:v>
      </x:c>
      <x:c r="AM969" s="12" t="str">
        <x:f>IF(OR(AC969="canonical",AG969="yes"),"yes","recommended")</x:f>
        <x:v>recommended</x:v>
      </x:c>
      <x:c r="AN969" s="12" t="str">
        <x:f>IF(AC969="deprecated","exclude",IF(AND(AG969="yes",AJ969="high"),"import_but_human_review_required",IF(AG969="yes","import_as_active","import_as_backlog")))</x:f>
        <x:v>import_as_backlog</x:v>
      </x:c>
      <x:c r="AO969" s="12" t="str">
        <x:f>IF(AND(AG969="yes",OR(P969="",Q969="",R969="",S969="")),"missing_required_mvp_fields",IF(AND(AC969="canonical",Y969=""),"missing_source_ref","ok"))</x:f>
        <x:v>ok</x:v>
      </x:c>
      <x:c r="AP969" s="12" t="str">
        <x:f>IF(AO969="ok","ready_for_codex_import","needs_review")</x:f>
        <x:v>ready_for_codex_import</x:v>
      </x:c>
      <x:c r="AQ969" s="12"/>
      <x:c r="AR969" s="12" t="str">
        <x:v>Added v2 operational fields. Review before classification activation.</x:v>
      </x:c>
    </x:row>
    <x:row r="970">
      <x:c r="A970" s="13" t="str">
        <x:v>missing_warrant_relevance_variant</x:v>
      </x:c>
      <x:c r="B970" s="13" t="str">
        <x:v>missing_warrant</x:v>
      </x:c>
      <x:c r="C970" s="13" t="str">
        <x:v>Missing warrant</x:v>
      </x:c>
      <x:c r="D970" s="13" t="str">
        <x:v>نبود پیوند استدلالی</x:v>
      </x:c>
      <x:c r="E970" s="13" t="str">
        <x:v>Relevance variant</x:v>
      </x:c>
      <x:c r="F970" s="13" t="str">
        <x:v>discourse_pragmatic_failures</x:v>
      </x:c>
      <x:c r="G970" s="13" t="str">
        <x:v>operational_variant</x:v>
      </x:c>
      <x:c r="H970" s="13" t="str">
        <x:v>structural</x:v>
      </x:c>
      <x:c r="I970" s="13" t="str">
        <x:v>claim</x:v>
      </x:c>
      <x:c r="J970" s="13" t="str">
        <x:v>derived_operational_subtype</x:v>
      </x:c>
      <x:c r="K970" s="13" t="str">
        <x:v>derived_from_established_parent_review_required</x:v>
      </x:c>
      <x:c r="L970" s="13" t="str">
        <x:v>P2</x:v>
      </x:c>
      <x:c r="M970" s="13" t="str">
        <x:v>no</x:v>
      </x:c>
      <x:c r="N970" s="13" t="str">
        <x:v>Operational subtype under Missing warrant: the move is not relevant to the claim at issue. Parent definition: The move from evidence to conclusion lacks an explicit or plausible warrant.</x:v>
      </x:c>
      <x:c r="O970" s="13" t="str">
        <x:v>Look for: explicit claim-level evidence; parent-family cues for Missing warrant; variant cue: the move is not relevant to the claim at issue; avoid author-level inference.</x:v>
      </x:c>
      <x:c r="P970" s="13" t="str">
        <x:v>Exact evidence span in text plus claim-level reasoning link; for contextual/discourse entries, require surrounding context.</x:v>
      </x:c>
      <x:c r="Q970" s="13" t="str">
        <x:v>Do not label merely because topic is controversial, emotional, or wrong. Do not judge intent or personality. Require textual evidence and consider healthy-reasoning cues.</x:v>
      </x:c>
      <x:c r="R970" s="13" t="str">
        <x:v>Stub: A claim relies on the move is not relevant to the claim at issue to support a conclusion without adequate qualification.</x:v>
      </x:c>
      <x:c r="S970" s="13" t="str">
        <x:v>Stub: A claim discusses missing warrant with caveats, balanced evidence, or no argumentative use of the pattern.</x:v>
      </x:c>
      <x:c r="T970" s="13" t="str">
        <x:v>Mild or ambiguous cue; do not classify without clear evidence span.</x:v>
      </x:c>
      <x:c r="U970" s="13" t="str">
        <x:v>Clear claim-level pattern with some argumentative impact.</x:v>
      </x:c>
      <x:c r="V970" s="13" t="str">
        <x:v>Strong pattern central to the conclusion and likely to materially distort reasoning.</x:v>
      </x:c>
      <x:c r="W970" s="13" t="str">
        <x:v>cherry_picking; missing_counterevidence; evidence_grading</x:v>
      </x:c>
      <x:c r="X970" s="13" t="str">
        <x:v>toulmin_uses_argument</x:v>
      </x:c>
      <x:c r="Y970" s="13" t="str">
        <x:v>https://doi.org/10.1017/CBO9780511840005</x:v>
      </x:c>
      <x:c r="Z970" s="13" t="str">
        <x:v>Review before enabling. This workbook is a living taxonomy scaffold, not a validated scientific benchmark.</x:v>
      </x:c>
      <x:c r="AA970" s="13" t="str">
        <x:v>0.1.0-draft</x:v>
      </x:c>
      <x:c r="AB970" s="12" t="str">
        <x:f>IF(ISNUMBER(SEARCH("healthy",F970)),"healthy_reasoning_patterns",IF(ISNUMBER(SEARCH("statistical",F970)),"statistical_reasoning",IF(ISNUMBER(SEARCH("causal",F970)),"causal_reasoning",IF(ISNUMBER(SEARCH("social",F970)),"social_influence",IF(ISNUMBER(SEARCH("rhetoric",F970)),"rhetoric_discourse",IF(ISNUMBER(SEARCH("behavior",F970)),"behavioural_economics",IF(ISNUMBER(SEARCH("cognitive",F970)),"cognitive_biases",IF(J970="protective_pattern","healthy_reasoning_patterns",IF(L970="P0","core_mvp","extended_fallacies")))))))))</x:f>
        <x:v>extended_fallacies</x:v>
      </x:c>
      <x:c r="AC970" s="12" t="str">
        <x:f>IF(ISNUMBER(SEARCH("operational",J970)),"operational",IF(ISNUMBER(SEARCH("deprecated",J970)),"deprecated",IF(L970="P0","canonical","recognized_subtype")))</x:f>
        <x:v>operational</x:v>
      </x:c>
      <x:c r="AD970" s="12" t="str">
        <x:f>IF(AC970="canonical","high",IF(AC970="recognized_subtype","medium",IF(AC970="operational","operational_only","debated")))</x:f>
        <x:v>operational_only</x:v>
      </x:c>
      <x:c r="AE970" s="12" t="str">
        <x:f>IF(AC970="deprecated","deprecated",IF(M970="yes","active",IF(M970="review","review_required","backlog")))</x:f>
        <x:v>backlog</x:v>
      </x:c>
      <x:c r="AF970" s="12" t="str">
        <x:f>IF(OR(AE970="active",AE970="review_required"),"yes","no")</x:f>
        <x:v>no</x:v>
      </x:c>
      <x:c r="AG970" s="12" t="str">
        <x:f>IF(AND(AE970="active",M970="yes",NOT(ISNUMBER(SEARCH("healthy",AB970)))),"yes","no")</x:f>
        <x:v>no</x:v>
      </x:c>
      <x:c r="AH970" s="12" t="str">
        <x:f>IF(OR(H970="contextual",H970="dialogue",H970="discourse",I970="claim+context",I970="discourse_segment"),"yes","no")</x:f>
        <x:v>no</x:v>
      </x:c>
      <x:c r="AI970" s="12" t="str">
        <x:f>IF(OR(AH970="yes",AD970="debated",AC970="operational"),"yes","no")</x:f>
        <x:v>yes</x:v>
      </x:c>
      <x:c r="AJ970" s="12" t="str">
        <x:f>IF(OR(AH970="yes",AC970="operational",AD970="debated"),"high",IF(AND(AG970="yes",L970="P0"),"medium","low"))</x:f>
        <x:v>high</x:v>
      </x:c>
      <x:c r="AK970" s="12" t="str">
        <x:f>IF(ISNUMBER(SEARCH("healthy",AB970)),"yes","no")</x:f>
        <x:v>no</x:v>
      </x:c>
      <x:c r="AL970" s="12" t="str">
        <x:f>IF(AG970="yes","yes","candidate_only")</x:f>
        <x:v>candidate_only</x:v>
      </x:c>
      <x:c r="AM970" s="12" t="str">
        <x:f>IF(OR(AC970="canonical",AG970="yes"),"yes","recommended")</x:f>
        <x:v>recommended</x:v>
      </x:c>
      <x:c r="AN970" s="12" t="str">
        <x:f>IF(AC970="deprecated","exclude",IF(AND(AG970="yes",AJ970="high"),"import_but_human_review_required",IF(AG970="yes","import_as_active","import_as_backlog")))</x:f>
        <x:v>import_as_backlog</x:v>
      </x:c>
      <x:c r="AO970" s="12" t="str">
        <x:f>IF(AND(AG970="yes",OR(P970="",Q970="",R970="",S970="")),"missing_required_mvp_fields",IF(AND(AC970="canonical",Y970=""),"missing_source_ref","ok"))</x:f>
        <x:v>ok</x:v>
      </x:c>
      <x:c r="AP970" s="12" t="str">
        <x:f>IF(AO970="ok","ready_for_codex_import","needs_review")</x:f>
        <x:v>ready_for_codex_import</x:v>
      </x:c>
      <x:c r="AQ970" s="12"/>
      <x:c r="AR970" s="12" t="str">
        <x:v>Added v2 operational fields. Review before classification activation.</x:v>
      </x:c>
    </x:row>
    <x:row r="971">
      <x:c r="A971" s="13" t="str">
        <x:v>warrant_backing_gap_relevance_variant</x:v>
      </x:c>
      <x:c r="B971" s="13" t="str">
        <x:v>warrant_backing_gap</x:v>
      </x:c>
      <x:c r="C971" s="13" t="str">
        <x:v>Warrant-backing gap</x:v>
      </x:c>
      <x:c r="D971" s="13" t="str">
        <x:v>نبود پشتوانه برای پیوند</x:v>
      </x:c>
      <x:c r="E971" s="13" t="str">
        <x:v>Relevance variant</x:v>
      </x:c>
      <x:c r="F971" s="13" t="str">
        <x:v>discourse_pragmatic_failures</x:v>
      </x:c>
      <x:c r="G971" s="13" t="str">
        <x:v>operational_variant</x:v>
      </x:c>
      <x:c r="H971" s="13" t="str">
        <x:v>structural</x:v>
      </x:c>
      <x:c r="I971" s="13" t="str">
        <x:v>claim</x:v>
      </x:c>
      <x:c r="J971" s="13" t="str">
        <x:v>derived_operational_subtype</x:v>
      </x:c>
      <x:c r="K971" s="13" t="str">
        <x:v>derived_from_established_parent_review_required</x:v>
      </x:c>
      <x:c r="L971" s="13" t="str">
        <x:v>P2</x:v>
      </x:c>
      <x:c r="M971" s="13" t="str">
        <x:v>no</x:v>
      </x:c>
      <x:c r="N971" s="13" t="str">
        <x:v>Operational subtype under Warrant-backing gap: the move is not relevant to the claim at issue. Parent definition: The warrant itself lacks support.</x:v>
      </x:c>
      <x:c r="O971" s="13" t="str">
        <x:v>Look for: explicit claim-level evidence; parent-family cues for Warrant-backing gap; variant cue: the move is not relevant to the claim at issue; avoid author-level inference.</x:v>
      </x:c>
      <x:c r="P971" s="13" t="str">
        <x:v>Exact evidence span in text plus claim-level reasoning link; for contextual/discourse entries, require surrounding context.</x:v>
      </x:c>
      <x:c r="Q971" s="13" t="str">
        <x:v>Do not label merely because topic is controversial, emotional, or wrong. Do not judge intent or personality. Require textual evidence and consider healthy-reasoning cues.</x:v>
      </x:c>
      <x:c r="R971" s="13" t="str">
        <x:v>Stub: A claim relies on the move is not relevant to the claim at issue to support a conclusion without adequate qualification.</x:v>
      </x:c>
      <x:c r="S971" s="13" t="str">
        <x:v>Stub: A claim discusses warrant-backing gap with caveats, balanced evidence, or no argumentative use of the pattern.</x:v>
      </x:c>
      <x:c r="T971" s="13" t="str">
        <x:v>Mild or ambiguous cue; do not classify without clear evidence span.</x:v>
      </x:c>
      <x:c r="U971" s="13" t="str">
        <x:v>Clear claim-level pattern with some argumentative impact.</x:v>
      </x:c>
      <x:c r="V971" s="13" t="str">
        <x:v>Strong pattern central to the conclusion and likely to materially distort reasoning.</x:v>
      </x:c>
      <x:c r="W971" s="13" t="str"/>
      <x:c r="X971" s="13" t="str">
        <x:v>toulmin_uses_argument</x:v>
      </x:c>
      <x:c r="Y971" s="13" t="str">
        <x:v>https://doi.org/10.1017/CBO9780511840005</x:v>
      </x:c>
      <x:c r="Z971" s="13" t="str">
        <x:v>Review before enabling. This workbook is a living taxonomy scaffold, not a validated scientific benchmark.</x:v>
      </x:c>
      <x:c r="AA971" s="13" t="str">
        <x:v>0.1.0-draft</x:v>
      </x:c>
      <x:c r="AB971" s="12" t="str">
        <x:f>IF(ISNUMBER(SEARCH("healthy",F971)),"healthy_reasoning_patterns",IF(ISNUMBER(SEARCH("statistical",F971)),"statistical_reasoning",IF(ISNUMBER(SEARCH("causal",F971)),"causal_reasoning",IF(ISNUMBER(SEARCH("social",F971)),"social_influence",IF(ISNUMBER(SEARCH("rhetoric",F971)),"rhetoric_discourse",IF(ISNUMBER(SEARCH("behavior",F971)),"behavioural_economics",IF(ISNUMBER(SEARCH("cognitive",F971)),"cognitive_biases",IF(J971="protective_pattern","healthy_reasoning_patterns",IF(L971="P0","core_mvp","extended_fallacies")))))))))</x:f>
        <x:v>extended_fallacies</x:v>
      </x:c>
      <x:c r="AC971" s="12" t="str">
        <x:f>IF(ISNUMBER(SEARCH("operational",J971)),"operational",IF(ISNUMBER(SEARCH("deprecated",J971)),"deprecated",IF(L971="P0","canonical","recognized_subtype")))</x:f>
        <x:v>operational</x:v>
      </x:c>
      <x:c r="AD971" s="12" t="str">
        <x:f>IF(AC971="canonical","high",IF(AC971="recognized_subtype","medium",IF(AC971="operational","operational_only","debated")))</x:f>
        <x:v>operational_only</x:v>
      </x:c>
      <x:c r="AE971" s="12" t="str">
        <x:f>IF(AC971="deprecated","deprecated",IF(M971="yes","active",IF(M971="review","review_required","backlog")))</x:f>
        <x:v>backlog</x:v>
      </x:c>
      <x:c r="AF971" s="12" t="str">
        <x:f>IF(OR(AE971="active",AE971="review_required"),"yes","no")</x:f>
        <x:v>no</x:v>
      </x:c>
      <x:c r="AG971" s="12" t="str">
        <x:f>IF(AND(AE971="active",M971="yes",NOT(ISNUMBER(SEARCH("healthy",AB971)))),"yes","no")</x:f>
        <x:v>no</x:v>
      </x:c>
      <x:c r="AH971" s="12" t="str">
        <x:f>IF(OR(H971="contextual",H971="dialogue",H971="discourse",I971="claim+context",I971="discourse_segment"),"yes","no")</x:f>
        <x:v>no</x:v>
      </x:c>
      <x:c r="AI971" s="12" t="str">
        <x:f>IF(OR(AH971="yes",AD971="debated",AC971="operational"),"yes","no")</x:f>
        <x:v>yes</x:v>
      </x:c>
      <x:c r="AJ971" s="12" t="str">
        <x:f>IF(OR(AH971="yes",AC971="operational",AD971="debated"),"high",IF(AND(AG971="yes",L971="P0"),"medium","low"))</x:f>
        <x:v>high</x:v>
      </x:c>
      <x:c r="AK971" s="12" t="str">
        <x:f>IF(ISNUMBER(SEARCH("healthy",AB971)),"yes","no")</x:f>
        <x:v>no</x:v>
      </x:c>
      <x:c r="AL971" s="12" t="str">
        <x:f>IF(AG971="yes","yes","candidate_only")</x:f>
        <x:v>candidate_only</x:v>
      </x:c>
      <x:c r="AM971" s="12" t="str">
        <x:f>IF(OR(AC971="canonical",AG971="yes"),"yes","recommended")</x:f>
        <x:v>recommended</x:v>
      </x:c>
      <x:c r="AN971" s="12" t="str">
        <x:f>IF(AC971="deprecated","exclude",IF(AND(AG971="yes",AJ971="high"),"import_but_human_review_required",IF(AG971="yes","import_as_active","import_as_backlog")))</x:f>
        <x:v>import_as_backlog</x:v>
      </x:c>
      <x:c r="AO971" s="12" t="str">
        <x:f>IF(AND(AG971="yes",OR(P971="",Q971="",R971="",S971="")),"missing_required_mvp_fields",IF(AND(AC971="canonical",Y971=""),"missing_source_ref","ok"))</x:f>
        <x:v>ok</x:v>
      </x:c>
      <x:c r="AP971" s="12" t="str">
        <x:f>IF(AO971="ok","ready_for_codex_import","needs_review")</x:f>
        <x:v>ready_for_codex_import</x:v>
      </x:c>
      <x:c r="AQ971" s="12"/>
      <x:c r="AR971" s="12" t="str">
        <x:v>Added v2 operational fields. Review before classification activation.</x:v>
      </x:c>
    </x:row>
    <x:row r="972">
      <x:c r="A972" s="13" t="str">
        <x:v>qualifier_absence_relevance_variant</x:v>
      </x:c>
      <x:c r="B972" s="13" t="str">
        <x:v>qualifier_absence</x:v>
      </x:c>
      <x:c r="C972" s="13" t="str">
        <x:v>Qualifier absence</x:v>
      </x:c>
      <x:c r="D972" s="13" t="str">
        <x:v>نبود قید اطمینان</x:v>
      </x:c>
      <x:c r="E972" s="13" t="str">
        <x:v>Relevance variant</x:v>
      </x:c>
      <x:c r="F972" s="13" t="str">
        <x:v>discourse_pragmatic_failures</x:v>
      </x:c>
      <x:c r="G972" s="13" t="str">
        <x:v>operational_variant</x:v>
      </x:c>
      <x:c r="H972" s="13" t="str">
        <x:v>lexical</x:v>
      </x:c>
      <x:c r="I972" s="13" t="str">
        <x:v>claim</x:v>
      </x:c>
      <x:c r="J972" s="13" t="str">
        <x:v>derived_operational_subtype</x:v>
      </x:c>
      <x:c r="K972" s="13" t="str">
        <x:v>derived_from_established_parent_review_required</x:v>
      </x:c>
      <x:c r="L972" s="13" t="str">
        <x:v>P2</x:v>
      </x:c>
      <x:c r="M972" s="13" t="str">
        <x:v>no</x:v>
      </x:c>
      <x:c r="N972" s="13" t="str">
        <x:v>Operational subtype under Qualifier absence: the move is not relevant to the claim at issue. Parent definition: A claim lacks necessary qualifiers given uncertainty.</x:v>
      </x:c>
      <x:c r="O972" s="13" t="str">
        <x:v>Look for: explicit claim-level evidence; parent-family cues for Qualifier absence; variant cue: the move is not relevant to the claim at issue; avoid author-level inference.</x:v>
      </x:c>
      <x:c r="P972" s="13" t="str">
        <x:v>Exact evidence span in text plus claim-level reasoning link; for contextual/discourse entries, require surrounding context.</x:v>
      </x:c>
      <x:c r="Q972" s="13" t="str">
        <x:v>Do not label merely because topic is controversial, emotional, or wrong. Do not judge intent or personality. Require textual evidence and consider healthy-reasoning cues.</x:v>
      </x:c>
      <x:c r="R972" s="13" t="str">
        <x:v>Stub: A claim relies on the move is not relevant to the claim at issue to support a conclusion without adequate qualification.</x:v>
      </x:c>
      <x:c r="S972" s="13" t="str">
        <x:v>Stub: A claim discusses qualifier absence with caveats, balanced evidence, or no argumentative use of the pattern.</x:v>
      </x:c>
      <x:c r="T972" s="13" t="str">
        <x:v>Mild or ambiguous cue; do not classify without clear evidence span.</x:v>
      </x:c>
      <x:c r="U972" s="13" t="str">
        <x:v>Clear claim-level pattern with some argumentative impact.</x:v>
      </x:c>
      <x:c r="V972" s="13" t="str">
        <x:v>Strong pattern central to the conclusion and likely to materially distort reasoning.</x:v>
      </x:c>
      <x:c r="W972" s="13" t="str"/>
      <x:c r="X972" s="13" t="str">
        <x:v>toulmin_uses_argument</x:v>
      </x:c>
      <x:c r="Y972" s="13" t="str">
        <x:v>https://doi.org/10.1017/CBO9780511840005</x:v>
      </x:c>
      <x:c r="Z972" s="13" t="str">
        <x:v>Review before enabling. This workbook is a living taxonomy scaffold, not a validated scientific benchmark.</x:v>
      </x:c>
      <x:c r="AA972" s="13" t="str">
        <x:v>0.1.0-draft</x:v>
      </x:c>
      <x:c r="AB972" s="12" t="str">
        <x:f>IF(ISNUMBER(SEARCH("healthy",F972)),"healthy_reasoning_patterns",IF(ISNUMBER(SEARCH("statistical",F972)),"statistical_reasoning",IF(ISNUMBER(SEARCH("causal",F972)),"causal_reasoning",IF(ISNUMBER(SEARCH("social",F972)),"social_influence",IF(ISNUMBER(SEARCH("rhetoric",F972)),"rhetoric_discourse",IF(ISNUMBER(SEARCH("behavior",F972)),"behavioural_economics",IF(ISNUMBER(SEARCH("cognitive",F972)),"cognitive_biases",IF(J972="protective_pattern","healthy_reasoning_patterns",IF(L972="P0","core_mvp","extended_fallacies")))))))))</x:f>
        <x:v>extended_fallacies</x:v>
      </x:c>
      <x:c r="AC972" s="12" t="str">
        <x:f>IF(ISNUMBER(SEARCH("operational",J972)),"operational",IF(ISNUMBER(SEARCH("deprecated",J972)),"deprecated",IF(L972="P0","canonical","recognized_subtype")))</x:f>
        <x:v>operational</x:v>
      </x:c>
      <x:c r="AD972" s="12" t="str">
        <x:f>IF(AC972="canonical","high",IF(AC972="recognized_subtype","medium",IF(AC972="operational","operational_only","debated")))</x:f>
        <x:v>operational_only</x:v>
      </x:c>
      <x:c r="AE972" s="12" t="str">
        <x:f>IF(AC972="deprecated","deprecated",IF(M972="yes","active",IF(M972="review","review_required","backlog")))</x:f>
        <x:v>backlog</x:v>
      </x:c>
      <x:c r="AF972" s="12" t="str">
        <x:f>IF(OR(AE972="active",AE972="review_required"),"yes","no")</x:f>
        <x:v>no</x:v>
      </x:c>
      <x:c r="AG972" s="12" t="str">
        <x:f>IF(AND(AE972="active",M972="yes",NOT(ISNUMBER(SEARCH("healthy",AB972)))),"yes","no")</x:f>
        <x:v>no</x:v>
      </x:c>
      <x:c r="AH972" s="12" t="str">
        <x:f>IF(OR(H972="contextual",H972="dialogue",H972="discourse",I972="claim+context",I972="discourse_segment"),"yes","no")</x:f>
        <x:v>no</x:v>
      </x:c>
      <x:c r="AI972" s="12" t="str">
        <x:f>IF(OR(AH972="yes",AD972="debated",AC972="operational"),"yes","no")</x:f>
        <x:v>yes</x:v>
      </x:c>
      <x:c r="AJ972" s="12" t="str">
        <x:f>IF(OR(AH972="yes",AC972="operational",AD972="debated"),"high",IF(AND(AG972="yes",L972="P0"),"medium","low"))</x:f>
        <x:v>high</x:v>
      </x:c>
      <x:c r="AK972" s="12" t="str">
        <x:f>IF(ISNUMBER(SEARCH("healthy",AB972)),"yes","no")</x:f>
        <x:v>no</x:v>
      </x:c>
      <x:c r="AL972" s="12" t="str">
        <x:f>IF(AG972="yes","yes","candidate_only")</x:f>
        <x:v>candidate_only</x:v>
      </x:c>
      <x:c r="AM972" s="12" t="str">
        <x:f>IF(OR(AC972="canonical",AG972="yes"),"yes","recommended")</x:f>
        <x:v>recommended</x:v>
      </x:c>
      <x:c r="AN972" s="12" t="str">
        <x:f>IF(AC972="deprecated","exclude",IF(AND(AG972="yes",AJ972="high"),"import_but_human_review_required",IF(AG972="yes","import_as_active","import_as_backlog")))</x:f>
        <x:v>import_as_backlog</x:v>
      </x:c>
      <x:c r="AO972" s="12" t="str">
        <x:f>IF(AND(AG972="yes",OR(P972="",Q972="",R972="",S972="")),"missing_required_mvp_fields",IF(AND(AC972="canonical",Y972=""),"missing_source_ref","ok"))</x:f>
        <x:v>ok</x:v>
      </x:c>
      <x:c r="AP972" s="12" t="str">
        <x:f>IF(AO972="ok","ready_for_codex_import","needs_review")</x:f>
        <x:v>ready_for_codex_import</x:v>
      </x:c>
      <x:c r="AQ972" s="12"/>
      <x:c r="AR972" s="12" t="str">
        <x:v>Added v2 operational fields. Review before classification activation.</x:v>
      </x:c>
    </x:row>
    <x:row r="973">
      <x:c r="A973" s="13" t="str">
        <x:v>rebuttal_suppression_relevance_variant</x:v>
      </x:c>
      <x:c r="B973" s="13" t="str">
        <x:v>rebuttal_suppression</x:v>
      </x:c>
      <x:c r="C973" s="13" t="str">
        <x:v>Rebuttal suppression</x:v>
      </x:c>
      <x:c r="D973" s="13" t="str">
        <x:v>حذف استثنا یا ردیه</x:v>
      </x:c>
      <x:c r="E973" s="13" t="str">
        <x:v>Relevance variant</x:v>
      </x:c>
      <x:c r="F973" s="13" t="str">
        <x:v>discourse_pragmatic_failures</x:v>
      </x:c>
      <x:c r="G973" s="13" t="str">
        <x:v>operational_variant</x:v>
      </x:c>
      <x:c r="H973" s="13" t="str">
        <x:v>contextual</x:v>
      </x:c>
      <x:c r="I973" s="13" t="str">
        <x:v>claim+context</x:v>
      </x:c>
      <x:c r="J973" s="13" t="str">
        <x:v>derived_operational_subtype</x:v>
      </x:c>
      <x:c r="K973" s="13" t="str">
        <x:v>derived_from_established_parent_review_required</x:v>
      </x:c>
      <x:c r="L973" s="13" t="str">
        <x:v>P2</x:v>
      </x:c>
      <x:c r="M973" s="13" t="str">
        <x:v>no</x:v>
      </x:c>
      <x:c r="N973" s="13" t="str">
        <x:v>Operational subtype under Rebuttal suppression: the move is not relevant to the claim at issue. Parent definition: Known exceptions or rebuttals are omitted.</x:v>
      </x:c>
      <x:c r="O973" s="13" t="str">
        <x:v>Look for: explicit claim-level evidence; parent-family cues for Rebuttal suppression; variant cue: the move is not relevant to the claim at issue; avoid author-level inference.</x:v>
      </x:c>
      <x:c r="P973" s="13" t="str">
        <x:v>Exact evidence span in text plus claim-level reasoning link; for contextual/discourse entries, require surrounding context.</x:v>
      </x:c>
      <x:c r="Q973" s="13" t="str">
        <x:v>Do not label merely because topic is controversial, emotional, or wrong. Do not judge intent or personality. Require textual evidence and consider healthy-reasoning cues.</x:v>
      </x:c>
      <x:c r="R973" s="13" t="str">
        <x:v>Stub: A claim relies on the move is not relevant to the claim at issue to support a conclusion without adequate qualification.</x:v>
      </x:c>
      <x:c r="S973" s="13" t="str">
        <x:v>Stub: A claim discusses rebuttal suppression with caveats, balanced evidence, or no argumentative use of the pattern.</x:v>
      </x:c>
      <x:c r="T973" s="13" t="str">
        <x:v>Mild or ambiguous cue; do not classify without clear evidence span.</x:v>
      </x:c>
      <x:c r="U973" s="13" t="str">
        <x:v>Clear claim-level pattern with some argumentative impact.</x:v>
      </x:c>
      <x:c r="V973" s="13" t="str">
        <x:v>Strong pattern central to the conclusion and likely to materially distort reasoning.</x:v>
      </x:c>
      <x:c r="W973" s="13" t="str"/>
      <x:c r="X973" s="13" t="str">
        <x:v>toulmin_uses_argument</x:v>
      </x:c>
      <x:c r="Y973" s="13" t="str">
        <x:v>https://doi.org/10.1017/CBO9780511840005</x:v>
      </x:c>
      <x:c r="Z973" s="13" t="str">
        <x:v>Review before enabling. This workbook is a living taxonomy scaffold, not a validated scientific benchmark.</x:v>
      </x:c>
      <x:c r="AA973" s="13" t="str">
        <x:v>0.1.0-draft</x:v>
      </x:c>
      <x:c r="AB973" s="12" t="str">
        <x:f>IF(ISNUMBER(SEARCH("healthy",F973)),"healthy_reasoning_patterns",IF(ISNUMBER(SEARCH("statistical",F973)),"statistical_reasoning",IF(ISNUMBER(SEARCH("causal",F973)),"causal_reasoning",IF(ISNUMBER(SEARCH("social",F973)),"social_influence",IF(ISNUMBER(SEARCH("rhetoric",F973)),"rhetoric_discourse",IF(ISNUMBER(SEARCH("behavior",F973)),"behavioural_economics",IF(ISNUMBER(SEARCH("cognitive",F973)),"cognitive_biases",IF(J973="protective_pattern","healthy_reasoning_patterns",IF(L973="P0","core_mvp","extended_fallacies")))))))))</x:f>
        <x:v>extended_fallacies</x:v>
      </x:c>
      <x:c r="AC973" s="12" t="str">
        <x:f>IF(ISNUMBER(SEARCH("operational",J973)),"operational",IF(ISNUMBER(SEARCH("deprecated",J973)),"deprecated",IF(L973="P0","canonical","recognized_subtype")))</x:f>
        <x:v>operational</x:v>
      </x:c>
      <x:c r="AD973" s="12" t="str">
        <x:f>IF(AC973="canonical","high",IF(AC973="recognized_subtype","medium",IF(AC973="operational","operational_only","debated")))</x:f>
        <x:v>operational_only</x:v>
      </x:c>
      <x:c r="AE973" s="12" t="str">
        <x:f>IF(AC973="deprecated","deprecated",IF(M973="yes","active",IF(M973="review","review_required","backlog")))</x:f>
        <x:v>backlog</x:v>
      </x:c>
      <x:c r="AF973" s="12" t="str">
        <x:f>IF(OR(AE973="active",AE973="review_required"),"yes","no")</x:f>
        <x:v>no</x:v>
      </x:c>
      <x:c r="AG973" s="12" t="str">
        <x:f>IF(AND(AE973="active",M973="yes",NOT(ISNUMBER(SEARCH("healthy",AB973)))),"yes","no")</x:f>
        <x:v>no</x:v>
      </x:c>
      <x:c r="AH973" s="12" t="str">
        <x:f>IF(OR(H973="contextual",H973="dialogue",H973="discourse",I973="claim+context",I973="discourse_segment"),"yes","no")</x:f>
        <x:v>yes</x:v>
      </x:c>
      <x:c r="AI973" s="12" t="str">
        <x:f>IF(OR(AH973="yes",AD973="debated",AC973="operational"),"yes","no")</x:f>
        <x:v>yes</x:v>
      </x:c>
      <x:c r="AJ973" s="12" t="str">
        <x:f>IF(OR(AH973="yes",AC973="operational",AD973="debated"),"high",IF(AND(AG973="yes",L973="P0"),"medium","low"))</x:f>
        <x:v>high</x:v>
      </x:c>
      <x:c r="AK973" s="12" t="str">
        <x:f>IF(ISNUMBER(SEARCH("healthy",AB973)),"yes","no")</x:f>
        <x:v>no</x:v>
      </x:c>
      <x:c r="AL973" s="12" t="str">
        <x:f>IF(AG973="yes","yes","candidate_only")</x:f>
        <x:v>candidate_only</x:v>
      </x:c>
      <x:c r="AM973" s="12" t="str">
        <x:f>IF(OR(AC973="canonical",AG973="yes"),"yes","recommended")</x:f>
        <x:v>recommended</x:v>
      </x:c>
      <x:c r="AN973" s="12" t="str">
        <x:f>IF(AC973="deprecated","exclude",IF(AND(AG973="yes",AJ973="high"),"import_but_human_review_required",IF(AG973="yes","import_as_active","import_as_backlog")))</x:f>
        <x:v>import_as_backlog</x:v>
      </x:c>
      <x:c r="AO973" s="12" t="str">
        <x:f>IF(AND(AG973="yes",OR(P973="",Q973="",R973="",S973="")),"missing_required_mvp_fields",IF(AND(AC973="canonical",Y973=""),"missing_source_ref","ok"))</x:f>
        <x:v>ok</x:v>
      </x:c>
      <x:c r="AP973" s="12" t="str">
        <x:f>IF(AO973="ok","ready_for_codex_import","needs_review")</x:f>
        <x:v>ready_for_codex_import</x:v>
      </x:c>
      <x:c r="AQ973" s="12"/>
      <x:c r="AR973" s="12" t="str">
        <x:v>Added v2 operational fields. Review before classification activation.</x:v>
      </x:c>
    </x:row>
    <x:row r="974">
      <x:c r="A974" s="13" t="str">
        <x:v>maxim_quantity_violation_relevance_variant</x:v>
      </x:c>
      <x:c r="B974" s="13" t="str">
        <x:v>maxim_quantity_violation</x:v>
      </x:c>
      <x:c r="C974" s="13" t="str">
        <x:v>Quantity maxim issue</x:v>
      </x:c>
      <x:c r="D974" s="13" t="str">
        <x:v>نقص کمیت اطلاعات</x:v>
      </x:c>
      <x:c r="E974" s="13" t="str">
        <x:v>Relevance variant</x:v>
      </x:c>
      <x:c r="F974" s="13" t="str">
        <x:v>discourse_pragmatic_failures</x:v>
      </x:c>
      <x:c r="G974" s="13" t="str">
        <x:v>operational_variant</x:v>
      </x:c>
      <x:c r="H974" s="13" t="str">
        <x:v>discourse</x:v>
      </x:c>
      <x:c r="I974" s="13" t="str">
        <x:v>discourse_segment</x:v>
      </x:c>
      <x:c r="J974" s="13" t="str">
        <x:v>derived_operational_subtype</x:v>
      </x:c>
      <x:c r="K974" s="13" t="str">
        <x:v>derived_from_established_parent_review_required</x:v>
      </x:c>
      <x:c r="L974" s="13" t="str">
        <x:v>P3</x:v>
      </x:c>
      <x:c r="M974" s="13" t="str">
        <x:v>no</x:v>
      </x:c>
      <x:c r="N974" s="13" t="str">
        <x:v>Operational subtype under Quantity maxim issue: the move is not relevant to the claim at issue. Parent definition: Providing too little or too much information for the argumentative need.</x:v>
      </x:c>
      <x:c r="O974" s="13" t="str">
        <x:v>Look for: explicit claim-level evidence; parent-family cues for Quantity maxim issue; variant cue: the move is not relevant to the claim at issue; avoid author-level inference.</x:v>
      </x:c>
      <x:c r="P974" s="13" t="str">
        <x:v>Exact evidence span in text plus claim-level reasoning link; for contextual/discourse entries, require surrounding context.</x:v>
      </x:c>
      <x:c r="Q974" s="13" t="str">
        <x:v>Do not label merely because topic is controversial, emotional, or wrong. Do not judge intent or personality. Require textual evidence and consider healthy-reasoning cues.</x:v>
      </x:c>
      <x:c r="R974" s="13" t="str">
        <x:v>Stub: A claim relies on the move is not relevant to the claim at issue to support a conclusion without adequate qualification.</x:v>
      </x:c>
      <x:c r="S974" s="13" t="str">
        <x:v>Stub: A claim discusses quantity maxim issue with caveats, balanced evidence, or no argumentative use of the pattern.</x:v>
      </x:c>
      <x:c r="T974" s="13" t="str">
        <x:v>Mild or ambiguous cue; do not classify without clear evidence span.</x:v>
      </x:c>
      <x:c r="U974" s="13" t="str">
        <x:v>Clear claim-level pattern with some argumentative impact.</x:v>
      </x:c>
      <x:c r="V974" s="13" t="str">
        <x:v>Strong pattern central to the conclusion and likely to materially distort reasoning.</x:v>
      </x:c>
      <x:c r="W974" s="13" t="str"/>
      <x:c r="X974" s="13" t="str">
        <x:v>grice_logic_conversation</x:v>
      </x:c>
      <x:c r="Y974" s="13" t="str">
        <x:v>https://doi.org/10.1163/9789004368811_003</x:v>
      </x:c>
      <x:c r="Z974" s="13" t="str">
        <x:v>Review before enabling. This workbook is a living taxonomy scaffold, not a validated scientific benchmark.</x:v>
      </x:c>
      <x:c r="AA974" s="13" t="str">
        <x:v>0.1.0-draft</x:v>
      </x:c>
      <x:c r="AB974" s="12" t="str">
        <x:f>IF(ISNUMBER(SEARCH("healthy",F974)),"healthy_reasoning_patterns",IF(ISNUMBER(SEARCH("statistical",F974)),"statistical_reasoning",IF(ISNUMBER(SEARCH("causal",F974)),"causal_reasoning",IF(ISNUMBER(SEARCH("social",F974)),"social_influence",IF(ISNUMBER(SEARCH("rhetoric",F974)),"rhetoric_discourse",IF(ISNUMBER(SEARCH("behavior",F974)),"behavioural_economics",IF(ISNUMBER(SEARCH("cognitive",F974)),"cognitive_biases",IF(J974="protective_pattern","healthy_reasoning_patterns",IF(L974="P0","core_mvp","extended_fallacies")))))))))</x:f>
        <x:v>extended_fallacies</x:v>
      </x:c>
      <x:c r="AC974" s="12" t="str">
        <x:f>IF(ISNUMBER(SEARCH("operational",J974)),"operational",IF(ISNUMBER(SEARCH("deprecated",J974)),"deprecated",IF(L974="P0","canonical","recognized_subtype")))</x:f>
        <x:v>operational</x:v>
      </x:c>
      <x:c r="AD974" s="12" t="str">
        <x:f>IF(AC974="canonical","high",IF(AC974="recognized_subtype","medium",IF(AC974="operational","operational_only","debated")))</x:f>
        <x:v>operational_only</x:v>
      </x:c>
      <x:c r="AE974" s="12" t="str">
        <x:f>IF(AC974="deprecated","deprecated",IF(M974="yes","active",IF(M974="review","review_required","backlog")))</x:f>
        <x:v>backlog</x:v>
      </x:c>
      <x:c r="AF974" s="12" t="str">
        <x:f>IF(OR(AE974="active",AE974="review_required"),"yes","no")</x:f>
        <x:v>no</x:v>
      </x:c>
      <x:c r="AG974" s="12" t="str">
        <x:f>IF(AND(AE974="active",M974="yes",NOT(ISNUMBER(SEARCH("healthy",AB974)))),"yes","no")</x:f>
        <x:v>no</x:v>
      </x:c>
      <x:c r="AH974" s="12" t="str">
        <x:f>IF(OR(H974="contextual",H974="dialogue",H974="discourse",I974="claim+context",I974="discourse_segment"),"yes","no")</x:f>
        <x:v>yes</x:v>
      </x:c>
      <x:c r="AI974" s="12" t="str">
        <x:f>IF(OR(AH974="yes",AD974="debated",AC974="operational"),"yes","no")</x:f>
        <x:v>yes</x:v>
      </x:c>
      <x:c r="AJ974" s="12" t="str">
        <x:f>IF(OR(AH974="yes",AC974="operational",AD974="debated"),"high",IF(AND(AG974="yes",L974="P0"),"medium","low"))</x:f>
        <x:v>high</x:v>
      </x:c>
      <x:c r="AK974" s="12" t="str">
        <x:f>IF(ISNUMBER(SEARCH("healthy",AB974)),"yes","no")</x:f>
        <x:v>no</x:v>
      </x:c>
      <x:c r="AL974" s="12" t="str">
        <x:f>IF(AG974="yes","yes","candidate_only")</x:f>
        <x:v>candidate_only</x:v>
      </x:c>
      <x:c r="AM974" s="12" t="str">
        <x:f>IF(OR(AC974="canonical",AG974="yes"),"yes","recommended")</x:f>
        <x:v>recommended</x:v>
      </x:c>
      <x:c r="AN974" s="12" t="str">
        <x:f>IF(AC974="deprecated","exclude",IF(AND(AG974="yes",AJ974="high"),"import_but_human_review_required",IF(AG974="yes","import_as_active","import_as_backlog")))</x:f>
        <x:v>import_as_backlog</x:v>
      </x:c>
      <x:c r="AO974" s="12" t="str">
        <x:f>IF(AND(AG974="yes",OR(P974="",Q974="",R974="",S974="")),"missing_required_mvp_fields",IF(AND(AC974="canonical",Y974=""),"missing_source_ref","ok"))</x:f>
        <x:v>ok</x:v>
      </x:c>
      <x:c r="AP974" s="12" t="str">
        <x:f>IF(AO974="ok","ready_for_codex_import","needs_review")</x:f>
        <x:v>ready_for_codex_import</x:v>
      </x:c>
      <x:c r="AQ974" s="12"/>
      <x:c r="AR974" s="12" t="str">
        <x:v>Added v2 operational fields. Review before classification activation.</x:v>
      </x:c>
    </x:row>
    <x:row r="975">
      <x:c r="A975" s="13" t="str">
        <x:v>maxim_relevance_violation_relevance_variant</x:v>
      </x:c>
      <x:c r="B975" s="13" t="str">
        <x:v>maxim_relevance_violation</x:v>
      </x:c>
      <x:c r="C975" s="13" t="str">
        <x:v>Relevance maxim issue</x:v>
      </x:c>
      <x:c r="D975" s="13" t="str">
        <x:v>نقص ربط</x:v>
      </x:c>
      <x:c r="E975" s="13" t="str">
        <x:v>Relevance variant</x:v>
      </x:c>
      <x:c r="F975" s="13" t="str">
        <x:v>discourse_pragmatic_failures</x:v>
      </x:c>
      <x:c r="G975" s="13" t="str">
        <x:v>operational_variant</x:v>
      </x:c>
      <x:c r="H975" s="13" t="str">
        <x:v>discourse</x:v>
      </x:c>
      <x:c r="I975" s="13" t="str">
        <x:v>discourse_segment</x:v>
      </x:c>
      <x:c r="J975" s="13" t="str">
        <x:v>derived_operational_subtype</x:v>
      </x:c>
      <x:c r="K975" s="13" t="str">
        <x:v>derived_from_established_parent_review_required</x:v>
      </x:c>
      <x:c r="L975" s="13" t="str">
        <x:v>P3</x:v>
      </x:c>
      <x:c r="M975" s="13" t="str">
        <x:v>no</x:v>
      </x:c>
      <x:c r="N975" s="13" t="str">
        <x:v>Operational subtype under Relevance maxim issue: the move is not relevant to the claim at issue. Parent definition: Providing information that is not relevant to the claim.</x:v>
      </x:c>
      <x:c r="O975" s="13" t="str">
        <x:v>Look for: explicit claim-level evidence; parent-family cues for Relevance maxim issue; variant cue: the move is not relevant to the claim at issue; avoid author-level inference.</x:v>
      </x:c>
      <x:c r="P975" s="13" t="str">
        <x:v>Exact evidence span in text plus claim-level reasoning link; for contextual/discourse entries, require surrounding context.</x:v>
      </x:c>
      <x:c r="Q975" s="13" t="str">
        <x:v>Do not label merely because topic is controversial, emotional, or wrong. Do not judge intent or personality. Require textual evidence and consider healthy-reasoning cues.</x:v>
      </x:c>
      <x:c r="R975" s="13" t="str">
        <x:v>Stub: A claim relies on the move is not relevant to the claim at issue to support a conclusion without adequate qualification.</x:v>
      </x:c>
      <x:c r="S975" s="13" t="str">
        <x:v>Stub: A claim discusses relevance maxim issue with caveats, balanced evidence, or no argumentative use of the pattern.</x:v>
      </x:c>
      <x:c r="T975" s="13" t="str">
        <x:v>Mild or ambiguous cue; do not classify without clear evidence span.</x:v>
      </x:c>
      <x:c r="U975" s="13" t="str">
        <x:v>Clear claim-level pattern with some argumentative impact.</x:v>
      </x:c>
      <x:c r="V975" s="13" t="str">
        <x:v>Strong pattern central to the conclusion and likely to materially distort reasoning.</x:v>
      </x:c>
      <x:c r="W975" s="13" t="str"/>
      <x:c r="X975" s="13" t="str">
        <x:v>grice_logic_conversation</x:v>
      </x:c>
      <x:c r="Y975" s="13" t="str">
        <x:v>https://doi.org/10.1163/9789004368811_003</x:v>
      </x:c>
      <x:c r="Z975" s="13" t="str">
        <x:v>Review before enabling. This workbook is a living taxonomy scaffold, not a validated scientific benchmark.</x:v>
      </x:c>
      <x:c r="AA975" s="13" t="str">
        <x:v>0.1.0-draft</x:v>
      </x:c>
      <x:c r="AB975" s="12" t="str">
        <x:f>IF(ISNUMBER(SEARCH("healthy",F975)),"healthy_reasoning_patterns",IF(ISNUMBER(SEARCH("statistical",F975)),"statistical_reasoning",IF(ISNUMBER(SEARCH("causal",F975)),"causal_reasoning",IF(ISNUMBER(SEARCH("social",F975)),"social_influence",IF(ISNUMBER(SEARCH("rhetoric",F975)),"rhetoric_discourse",IF(ISNUMBER(SEARCH("behavior",F975)),"behavioural_economics",IF(ISNUMBER(SEARCH("cognitive",F975)),"cognitive_biases",IF(J975="protective_pattern","healthy_reasoning_patterns",IF(L975="P0","core_mvp","extended_fallacies")))))))))</x:f>
        <x:v>extended_fallacies</x:v>
      </x:c>
      <x:c r="AC975" s="12" t="str">
        <x:f>IF(ISNUMBER(SEARCH("operational",J975)),"operational",IF(ISNUMBER(SEARCH("deprecated",J975)),"deprecated",IF(L975="P0","canonical","recognized_subtype")))</x:f>
        <x:v>operational</x:v>
      </x:c>
      <x:c r="AD975" s="12" t="str">
        <x:f>IF(AC975="canonical","high",IF(AC975="recognized_subtype","medium",IF(AC975="operational","operational_only","debated")))</x:f>
        <x:v>operational_only</x:v>
      </x:c>
      <x:c r="AE975" s="12" t="str">
        <x:f>IF(AC975="deprecated","deprecated",IF(M975="yes","active",IF(M975="review","review_required","backlog")))</x:f>
        <x:v>backlog</x:v>
      </x:c>
      <x:c r="AF975" s="12" t="str">
        <x:f>IF(OR(AE975="active",AE975="review_required"),"yes","no")</x:f>
        <x:v>no</x:v>
      </x:c>
      <x:c r="AG975" s="12" t="str">
        <x:f>IF(AND(AE975="active",M975="yes",NOT(ISNUMBER(SEARCH("healthy",AB975)))),"yes","no")</x:f>
        <x:v>no</x:v>
      </x:c>
      <x:c r="AH975" s="12" t="str">
        <x:f>IF(OR(H975="contextual",H975="dialogue",H975="discourse",I975="claim+context",I975="discourse_segment"),"yes","no")</x:f>
        <x:v>yes</x:v>
      </x:c>
      <x:c r="AI975" s="12" t="str">
        <x:f>IF(OR(AH975="yes",AD975="debated",AC975="operational"),"yes","no")</x:f>
        <x:v>yes</x:v>
      </x:c>
      <x:c r="AJ975" s="12" t="str">
        <x:f>IF(OR(AH975="yes",AC975="operational",AD975="debated"),"high",IF(AND(AG975="yes",L975="P0"),"medium","low"))</x:f>
        <x:v>high</x:v>
      </x:c>
      <x:c r="AK975" s="12" t="str">
        <x:f>IF(ISNUMBER(SEARCH("healthy",AB975)),"yes","no")</x:f>
        <x:v>no</x:v>
      </x:c>
      <x:c r="AL975" s="12" t="str">
        <x:f>IF(AG975="yes","yes","candidate_only")</x:f>
        <x:v>candidate_only</x:v>
      </x:c>
      <x:c r="AM975" s="12" t="str">
        <x:f>IF(OR(AC975="canonical",AG975="yes"),"yes","recommended")</x:f>
        <x:v>recommended</x:v>
      </x:c>
      <x:c r="AN975" s="12" t="str">
        <x:f>IF(AC975="deprecated","exclude",IF(AND(AG975="yes",AJ975="high"),"import_but_human_review_required",IF(AG975="yes","import_as_active","import_as_backlog")))</x:f>
        <x:v>import_as_backlog</x:v>
      </x:c>
      <x:c r="AO975" s="12" t="str">
        <x:f>IF(AND(AG975="yes",OR(P975="",Q975="",R975="",S975="")),"missing_required_mvp_fields",IF(AND(AC975="canonical",Y975=""),"missing_source_ref","ok"))</x:f>
        <x:v>ok</x:v>
      </x:c>
      <x:c r="AP975" s="12" t="str">
        <x:f>IF(AO975="ok","ready_for_codex_import","needs_review")</x:f>
        <x:v>ready_for_codex_import</x:v>
      </x:c>
      <x:c r="AQ975" s="12"/>
      <x:c r="AR975" s="12" t="str">
        <x:v>Added v2 operational fields. Review before classification activation.</x:v>
      </x:c>
    </x:row>
    <x:row r="976">
      <x:c r="A976" s="13" t="str">
        <x:v>maxim_manner_violation_relevance_variant</x:v>
      </x:c>
      <x:c r="B976" s="13" t="str">
        <x:v>maxim_manner_violation</x:v>
      </x:c>
      <x:c r="C976" s="13" t="str">
        <x:v>Manner maxim issue</x:v>
      </x:c>
      <x:c r="D976" s="13" t="str">
        <x:v>نقص وضوح بیان</x:v>
      </x:c>
      <x:c r="E976" s="13" t="str">
        <x:v>Relevance variant</x:v>
      </x:c>
      <x:c r="F976" s="13" t="str">
        <x:v>discourse_pragmatic_failures</x:v>
      </x:c>
      <x:c r="G976" s="13" t="str">
        <x:v>operational_variant</x:v>
      </x:c>
      <x:c r="H976" s="13" t="str">
        <x:v>discourse</x:v>
      </x:c>
      <x:c r="I976" s="13" t="str">
        <x:v>discourse_segment</x:v>
      </x:c>
      <x:c r="J976" s="13" t="str">
        <x:v>derived_operational_subtype</x:v>
      </x:c>
      <x:c r="K976" s="13" t="str">
        <x:v>derived_from_established_parent_review_required</x:v>
      </x:c>
      <x:c r="L976" s="13" t="str">
        <x:v>P3</x:v>
      </x:c>
      <x:c r="M976" s="13" t="str">
        <x:v>no</x:v>
      </x:c>
      <x:c r="N976" s="13" t="str">
        <x:v>Operational subtype under Manner maxim issue: the move is not relevant to the claim at issue. Parent definition: Using obscure or disorderly expression that impairs evaluation.</x:v>
      </x:c>
      <x:c r="O976" s="13" t="str">
        <x:v>Look for: explicit claim-level evidence; parent-family cues for Manner maxim issue; variant cue: the move is not relevant to the claim at issue; avoid author-level inference.</x:v>
      </x:c>
      <x:c r="P976" s="13" t="str">
        <x:v>Exact evidence span in text plus claim-level reasoning link; for contextual/discourse entries, require surrounding context.</x:v>
      </x:c>
      <x:c r="Q976" s="13" t="str">
        <x:v>Do not label merely because topic is controversial, emotional, or wrong. Do not judge intent or personality. Require textual evidence and consider healthy-reasoning cues.</x:v>
      </x:c>
      <x:c r="R976" s="13" t="str">
        <x:v>Stub: A claim relies on the move is not relevant to the claim at issue to support a conclusion without adequate qualification.</x:v>
      </x:c>
      <x:c r="S976" s="13" t="str">
        <x:v>Stub: A claim discusses manner maxim issue with caveats, balanced evidence, or no argumentative use of the pattern.</x:v>
      </x:c>
      <x:c r="T976" s="13" t="str">
        <x:v>Mild or ambiguous cue; do not classify without clear evidence span.</x:v>
      </x:c>
      <x:c r="U976" s="13" t="str">
        <x:v>Clear claim-level pattern with some argumentative impact.</x:v>
      </x:c>
      <x:c r="V976" s="13" t="str">
        <x:v>Strong pattern central to the conclusion and likely to materially distort reasoning.</x:v>
      </x:c>
      <x:c r="W976" s="13" t="str"/>
      <x:c r="X976" s="13" t="str">
        <x:v>grice_logic_conversation</x:v>
      </x:c>
      <x:c r="Y976" s="13" t="str">
        <x:v>https://doi.org/10.1163/9789004368811_003</x:v>
      </x:c>
      <x:c r="Z976" s="13" t="str">
        <x:v>Review before enabling. This workbook is a living taxonomy scaffold, not a validated scientific benchmark.</x:v>
      </x:c>
      <x:c r="AA976" s="13" t="str">
        <x:v>0.1.0-draft</x:v>
      </x:c>
      <x:c r="AB976" s="12" t="str">
        <x:f>IF(ISNUMBER(SEARCH("healthy",F976)),"healthy_reasoning_patterns",IF(ISNUMBER(SEARCH("statistical",F976)),"statistical_reasoning",IF(ISNUMBER(SEARCH("causal",F976)),"causal_reasoning",IF(ISNUMBER(SEARCH("social",F976)),"social_influence",IF(ISNUMBER(SEARCH("rhetoric",F976)),"rhetoric_discourse",IF(ISNUMBER(SEARCH("behavior",F976)),"behavioural_economics",IF(ISNUMBER(SEARCH("cognitive",F976)),"cognitive_biases",IF(J976="protective_pattern","healthy_reasoning_patterns",IF(L976="P0","core_mvp","extended_fallacies")))))))))</x:f>
        <x:v>extended_fallacies</x:v>
      </x:c>
      <x:c r="AC976" s="12" t="str">
        <x:f>IF(ISNUMBER(SEARCH("operational",J976)),"operational",IF(ISNUMBER(SEARCH("deprecated",J976)),"deprecated",IF(L976="P0","canonical","recognized_subtype")))</x:f>
        <x:v>operational</x:v>
      </x:c>
      <x:c r="AD976" s="12" t="str">
        <x:f>IF(AC976="canonical","high",IF(AC976="recognized_subtype","medium",IF(AC976="operational","operational_only","debated")))</x:f>
        <x:v>operational_only</x:v>
      </x:c>
      <x:c r="AE976" s="12" t="str">
        <x:f>IF(AC976="deprecated","deprecated",IF(M976="yes","active",IF(M976="review","review_required","backlog")))</x:f>
        <x:v>backlog</x:v>
      </x:c>
      <x:c r="AF976" s="12" t="str">
        <x:f>IF(OR(AE976="active",AE976="review_required"),"yes","no")</x:f>
        <x:v>no</x:v>
      </x:c>
      <x:c r="AG976" s="12" t="str">
        <x:f>IF(AND(AE976="active",M976="yes",NOT(ISNUMBER(SEARCH("healthy",AB976)))),"yes","no")</x:f>
        <x:v>no</x:v>
      </x:c>
      <x:c r="AH976" s="12" t="str">
        <x:f>IF(OR(H976="contextual",H976="dialogue",H976="discourse",I976="claim+context",I976="discourse_segment"),"yes","no")</x:f>
        <x:v>yes</x:v>
      </x:c>
      <x:c r="AI976" s="12" t="str">
        <x:f>IF(OR(AH976="yes",AD976="debated",AC976="operational"),"yes","no")</x:f>
        <x:v>yes</x:v>
      </x:c>
      <x:c r="AJ976" s="12" t="str">
        <x:f>IF(OR(AH976="yes",AC976="operational",AD976="debated"),"high",IF(AND(AG976="yes",L976="P0"),"medium","low"))</x:f>
        <x:v>high</x:v>
      </x:c>
      <x:c r="AK976" s="12" t="str">
        <x:f>IF(ISNUMBER(SEARCH("healthy",AB976)),"yes","no")</x:f>
        <x:v>no</x:v>
      </x:c>
      <x:c r="AL976" s="12" t="str">
        <x:f>IF(AG976="yes","yes","candidate_only")</x:f>
        <x:v>candidate_only</x:v>
      </x:c>
      <x:c r="AM976" s="12" t="str">
        <x:f>IF(OR(AC976="canonical",AG976="yes"),"yes","recommended")</x:f>
        <x:v>recommended</x:v>
      </x:c>
      <x:c r="AN976" s="12" t="str">
        <x:f>IF(AC976="deprecated","exclude",IF(AND(AG976="yes",AJ976="high"),"import_but_human_review_required",IF(AG976="yes","import_as_active","import_as_backlog")))</x:f>
        <x:v>import_as_backlog</x:v>
      </x:c>
      <x:c r="AO976" s="12" t="str">
        <x:f>IF(AND(AG976="yes",OR(P976="",Q976="",R976="",S976="")),"missing_required_mvp_fields",IF(AND(AC976="canonical",Y976=""),"missing_source_ref","ok"))</x:f>
        <x:v>ok</x:v>
      </x:c>
      <x:c r="AP976" s="12" t="str">
        <x:f>IF(AO976="ok","ready_for_codex_import","needs_review")</x:f>
        <x:v>ready_for_codex_import</x:v>
      </x:c>
      <x:c r="AQ976" s="12"/>
      <x:c r="AR976" s="12" t="str">
        <x:v>Added v2 operational fields. Review before classification activation.</x:v>
      </x:c>
    </x:row>
    <x:row r="977">
      <x:c r="A977" s="13" t="str">
        <x:v>topic_derailment_commitment_variant</x:v>
      </x:c>
      <x:c r="B977" s="13" t="str">
        <x:v>topic_derailment</x:v>
      </x:c>
      <x:c r="C977" s="13" t="str">
        <x:v>Topic derailment</x:v>
      </x:c>
      <x:c r="D977" s="13" t="str">
        <x:v>خروج از موضوع</x:v>
      </x:c>
      <x:c r="E977" s="13" t="str">
        <x:v>Commitment variant</x:v>
      </x:c>
      <x:c r="F977" s="13" t="str">
        <x:v>discourse_pragmatic_failures</x:v>
      </x:c>
      <x:c r="G977" s="13" t="str">
        <x:v>operational_variant</x:v>
      </x:c>
      <x:c r="H977" s="13" t="str">
        <x:v>dialogue</x:v>
      </x:c>
      <x:c r="I977" s="13" t="str">
        <x:v>discourse_segment</x:v>
      </x:c>
      <x:c r="J977" s="13" t="str">
        <x:v>derived_operational_subtype</x:v>
      </x:c>
      <x:c r="K977" s="13" t="str">
        <x:v>derived_from_established_parent_review_required</x:v>
      </x:c>
      <x:c r="L977" s="13" t="str">
        <x:v>P3</x:v>
      </x:c>
      <x:c r="M977" s="13" t="str">
        <x:v>no</x:v>
      </x:c>
      <x:c r="N977" s="13" t="str">
        <x:v>Operational subtype under Topic derailment: speaker commitments are inconsistent or selectively revised. Parent definition: Moving discussion away from the claim under evaluation.</x:v>
      </x:c>
      <x:c r="O977" s="13" t="str">
        <x:v>Look for: explicit claim-level evidence; parent-family cues for Topic derailment; variant cue: speaker commitments are inconsistent or selectively revised; avoid author-level inference.</x:v>
      </x:c>
      <x:c r="P977" s="13" t="str">
        <x:v>Exact evidence span in text plus claim-level reasoning link; for contextual/discourse entries, require surrounding context.</x:v>
      </x:c>
      <x:c r="Q977" s="13" t="str">
        <x:v>Do not label merely because topic is controversial, emotional, or wrong. Do not judge intent or personality. Require textual evidence and consider healthy-reasoning cues.</x:v>
      </x:c>
      <x:c r="R977" s="13" t="str">
        <x:v>Stub: A claim relies on speaker commitments are inconsistent or selectively revised to support a conclusion without adequate qualification.</x:v>
      </x:c>
      <x:c r="S977" s="13" t="str">
        <x:v>Stub: A claim discusses topic derailment with caveats, balanced evidence, or no argumentative use of the pattern.</x:v>
      </x:c>
      <x:c r="T977" s="13" t="str">
        <x:v>Mild or ambiguous cue; do not classify without clear evidence span.</x:v>
      </x:c>
      <x:c r="U977" s="13" t="str">
        <x:v>Clear claim-level pattern with some argumentative impact.</x:v>
      </x:c>
      <x:c r="V977" s="13" t="str">
        <x:v>Strong pattern central to the conclusion and likely to materially distort reasoning.</x:v>
      </x:c>
      <x:c r="W977" s="13" t="str"/>
      <x:c r="X977" s="13" t="str">
        <x:v>pragmadialectics</x:v>
      </x:c>
      <x:c r="Y977" s="13" t="str">
        <x:v>https://doi.org/10.1017/CBO9780511616389</x:v>
      </x:c>
      <x:c r="Z977" s="13" t="str">
        <x:v>Review before enabling. This workbook is a living taxonomy scaffold, not a validated scientific benchmark.</x:v>
      </x:c>
      <x:c r="AA977" s="13" t="str">
        <x:v>0.1.0-draft</x:v>
      </x:c>
      <x:c r="AB977" s="12" t="str">
        <x:f>IF(ISNUMBER(SEARCH("healthy",F977)),"healthy_reasoning_patterns",IF(ISNUMBER(SEARCH("statistical",F977)),"statistical_reasoning",IF(ISNUMBER(SEARCH("causal",F977)),"causal_reasoning",IF(ISNUMBER(SEARCH("social",F977)),"social_influence",IF(ISNUMBER(SEARCH("rhetoric",F977)),"rhetoric_discourse",IF(ISNUMBER(SEARCH("behavior",F977)),"behavioural_economics",IF(ISNUMBER(SEARCH("cognitive",F977)),"cognitive_biases",IF(J977="protective_pattern","healthy_reasoning_patterns",IF(L977="P0","core_mvp","extended_fallacies")))))))))</x:f>
        <x:v>extended_fallacies</x:v>
      </x:c>
      <x:c r="AC977" s="12" t="str">
        <x:f>IF(ISNUMBER(SEARCH("operational",J977)),"operational",IF(ISNUMBER(SEARCH("deprecated",J977)),"deprecated",IF(L977="P0","canonical","recognized_subtype")))</x:f>
        <x:v>operational</x:v>
      </x:c>
      <x:c r="AD977" s="12" t="str">
        <x:f>IF(AC977="canonical","high",IF(AC977="recognized_subtype","medium",IF(AC977="operational","operational_only","debated")))</x:f>
        <x:v>operational_only</x:v>
      </x:c>
      <x:c r="AE977" s="12" t="str">
        <x:f>IF(AC977="deprecated","deprecated",IF(M977="yes","active",IF(M977="review","review_required","backlog")))</x:f>
        <x:v>backlog</x:v>
      </x:c>
      <x:c r="AF977" s="12" t="str">
        <x:f>IF(OR(AE977="active",AE977="review_required"),"yes","no")</x:f>
        <x:v>no</x:v>
      </x:c>
      <x:c r="AG977" s="12" t="str">
        <x:f>IF(AND(AE977="active",M977="yes",NOT(ISNUMBER(SEARCH("healthy",AB977)))),"yes","no")</x:f>
        <x:v>no</x:v>
      </x:c>
      <x:c r="AH977" s="12" t="str">
        <x:f>IF(OR(H977="contextual",H977="dialogue",H977="discourse",I977="claim+context",I977="discourse_segment"),"yes","no")</x:f>
        <x:v>yes</x:v>
      </x:c>
      <x:c r="AI977" s="12" t="str">
        <x:f>IF(OR(AH977="yes",AD977="debated",AC977="operational"),"yes","no")</x:f>
        <x:v>yes</x:v>
      </x:c>
      <x:c r="AJ977" s="12" t="str">
        <x:f>IF(OR(AH977="yes",AC977="operational",AD977="debated"),"high",IF(AND(AG977="yes",L977="P0"),"medium","low"))</x:f>
        <x:v>high</x:v>
      </x:c>
      <x:c r="AK977" s="12" t="str">
        <x:f>IF(ISNUMBER(SEARCH("healthy",AB977)),"yes","no")</x:f>
        <x:v>no</x:v>
      </x:c>
      <x:c r="AL977" s="12" t="str">
        <x:f>IF(AG977="yes","yes","candidate_only")</x:f>
        <x:v>candidate_only</x:v>
      </x:c>
      <x:c r="AM977" s="12" t="str">
        <x:f>IF(OR(AC977="canonical",AG977="yes"),"yes","recommended")</x:f>
        <x:v>recommended</x:v>
      </x:c>
      <x:c r="AN977" s="12" t="str">
        <x:f>IF(AC977="deprecated","exclude",IF(AND(AG977="yes",AJ977="high"),"import_but_human_review_required",IF(AG977="yes","import_as_active","import_as_backlog")))</x:f>
        <x:v>import_as_backlog</x:v>
      </x:c>
      <x:c r="AO977" s="12" t="str">
        <x:f>IF(AND(AG977="yes",OR(P977="",Q977="",R977="",S977="")),"missing_required_mvp_fields",IF(AND(AC977="canonical",Y977=""),"missing_source_ref","ok"))</x:f>
        <x:v>ok</x:v>
      </x:c>
      <x:c r="AP977" s="12" t="str">
        <x:f>IF(AO977="ok","ready_for_codex_import","needs_review")</x:f>
        <x:v>ready_for_codex_import</x:v>
      </x:c>
      <x:c r="AQ977" s="12"/>
      <x:c r="AR977" s="12" t="str">
        <x:v>Added v2 operational fields. Review before classification activation.</x:v>
      </x:c>
    </x:row>
    <x:row r="978">
      <x:c r="A978" s="13" t="str">
        <x:v>commitment_inconsistency_commitment_variant</x:v>
      </x:c>
      <x:c r="B978" s="13" t="str">
        <x:v>commitment_inconsistency</x:v>
      </x:c>
      <x:c r="C978" s="13" t="str">
        <x:v>Commitment inconsistency</x:v>
      </x:c>
      <x:c r="D978" s="13" t="str">
        <x:v>ناسازگاری تعهدات</x:v>
      </x:c>
      <x:c r="E978" s="13" t="str">
        <x:v>Commitment variant</x:v>
      </x:c>
      <x:c r="F978" s="13" t="str">
        <x:v>discourse_pragmatic_failures</x:v>
      </x:c>
      <x:c r="G978" s="13" t="str">
        <x:v>operational_variant</x:v>
      </x:c>
      <x:c r="H978" s="13" t="str">
        <x:v>dialogue</x:v>
      </x:c>
      <x:c r="I978" s="13" t="str">
        <x:v>discourse_segment</x:v>
      </x:c>
      <x:c r="J978" s="13" t="str">
        <x:v>derived_operational_subtype</x:v>
      </x:c>
      <x:c r="K978" s="13" t="str">
        <x:v>derived_from_established_parent_review_required</x:v>
      </x:c>
      <x:c r="L978" s="13" t="str">
        <x:v>P3</x:v>
      </x:c>
      <x:c r="M978" s="13" t="str">
        <x:v>no</x:v>
      </x:c>
      <x:c r="N978" s="13" t="str">
        <x:v>Operational subtype under Commitment inconsistency: speaker commitments are inconsistent or selectively revised. Parent definition: Maintaining claims that conflict with previously accepted commitments.</x:v>
      </x:c>
      <x:c r="O978" s="13" t="str">
        <x:v>Look for: explicit claim-level evidence; parent-family cues for Commitment inconsistency; variant cue: speaker commitments are inconsistent or selectively revised; avoid author-level inference.</x:v>
      </x:c>
      <x:c r="P978" s="13" t="str">
        <x:v>Exact evidence span in text plus claim-level reasoning link; for contextual/discourse entries, require surrounding context.</x:v>
      </x:c>
      <x:c r="Q978" s="13" t="str">
        <x:v>Do not label merely because topic is controversial, emotional, or wrong. Do not judge intent or personality. Require textual evidence and consider healthy-reasoning cues.</x:v>
      </x:c>
      <x:c r="R978" s="13" t="str">
        <x:v>Stub: A claim relies on speaker commitments are inconsistent or selectively revised to support a conclusion without adequate qualification.</x:v>
      </x:c>
      <x:c r="S978" s="13" t="str">
        <x:v>Stub: A claim discusses commitment inconsistency with caveats, balanced evidence, or no argumentative use of the pattern.</x:v>
      </x:c>
      <x:c r="T978" s="13" t="str">
        <x:v>Mild or ambiguous cue; do not classify without clear evidence span.</x:v>
      </x:c>
      <x:c r="U978" s="13" t="str">
        <x:v>Clear claim-level pattern with some argumentative impact.</x:v>
      </x:c>
      <x:c r="V978" s="13" t="str">
        <x:v>Strong pattern central to the conclusion and likely to materially distort reasoning.</x:v>
      </x:c>
      <x:c r="W978" s="13" t="str"/>
      <x:c r="X978" s="13" t="str">
        <x:v>pragmadialectics</x:v>
      </x:c>
      <x:c r="Y978" s="13" t="str">
        <x:v>https://doi.org/10.1017/CBO9780511616389</x:v>
      </x:c>
      <x:c r="Z978" s="13" t="str">
        <x:v>Review before enabling. This workbook is a living taxonomy scaffold, not a validated scientific benchmark.</x:v>
      </x:c>
      <x:c r="AA978" s="13" t="str">
        <x:v>0.1.0-draft</x:v>
      </x:c>
      <x:c r="AB978" s="12" t="str">
        <x:f>IF(ISNUMBER(SEARCH("healthy",F978)),"healthy_reasoning_patterns",IF(ISNUMBER(SEARCH("statistical",F978)),"statistical_reasoning",IF(ISNUMBER(SEARCH("causal",F978)),"causal_reasoning",IF(ISNUMBER(SEARCH("social",F978)),"social_influence",IF(ISNUMBER(SEARCH("rhetoric",F978)),"rhetoric_discourse",IF(ISNUMBER(SEARCH("behavior",F978)),"behavioural_economics",IF(ISNUMBER(SEARCH("cognitive",F978)),"cognitive_biases",IF(J978="protective_pattern","healthy_reasoning_patterns",IF(L978="P0","core_mvp","extended_fallacies")))))))))</x:f>
        <x:v>extended_fallacies</x:v>
      </x:c>
      <x:c r="AC978" s="12" t="str">
        <x:f>IF(ISNUMBER(SEARCH("operational",J978)),"operational",IF(ISNUMBER(SEARCH("deprecated",J978)),"deprecated",IF(L978="P0","canonical","recognized_subtype")))</x:f>
        <x:v>operational</x:v>
      </x:c>
      <x:c r="AD978" s="12" t="str">
        <x:f>IF(AC978="canonical","high",IF(AC978="recognized_subtype","medium",IF(AC978="operational","operational_only","debated")))</x:f>
        <x:v>operational_only</x:v>
      </x:c>
      <x:c r="AE978" s="12" t="str">
        <x:f>IF(AC978="deprecated","deprecated",IF(M978="yes","active",IF(M978="review","review_required","backlog")))</x:f>
        <x:v>backlog</x:v>
      </x:c>
      <x:c r="AF978" s="12" t="str">
        <x:f>IF(OR(AE978="active",AE978="review_required"),"yes","no")</x:f>
        <x:v>no</x:v>
      </x:c>
      <x:c r="AG978" s="12" t="str">
        <x:f>IF(AND(AE978="active",M978="yes",NOT(ISNUMBER(SEARCH("healthy",AB978)))),"yes","no")</x:f>
        <x:v>no</x:v>
      </x:c>
      <x:c r="AH978" s="12" t="str">
        <x:f>IF(OR(H978="contextual",H978="dialogue",H978="discourse",I978="claim+context",I978="discourse_segment"),"yes","no")</x:f>
        <x:v>yes</x:v>
      </x:c>
      <x:c r="AI978" s="12" t="str">
        <x:f>IF(OR(AH978="yes",AD978="debated",AC978="operational"),"yes","no")</x:f>
        <x:v>yes</x:v>
      </x:c>
      <x:c r="AJ978" s="12" t="str">
        <x:f>IF(OR(AH978="yes",AC978="operational",AD978="debated"),"high",IF(AND(AG978="yes",L978="P0"),"medium","low"))</x:f>
        <x:v>high</x:v>
      </x:c>
      <x:c r="AK978" s="12" t="str">
        <x:f>IF(ISNUMBER(SEARCH("healthy",AB978)),"yes","no")</x:f>
        <x:v>no</x:v>
      </x:c>
      <x:c r="AL978" s="12" t="str">
        <x:f>IF(AG978="yes","yes","candidate_only")</x:f>
        <x:v>candidate_only</x:v>
      </x:c>
      <x:c r="AM978" s="12" t="str">
        <x:f>IF(OR(AC978="canonical",AG978="yes"),"yes","recommended")</x:f>
        <x:v>recommended</x:v>
      </x:c>
      <x:c r="AN978" s="12" t="str">
        <x:f>IF(AC978="deprecated","exclude",IF(AND(AG978="yes",AJ978="high"),"import_but_human_review_required",IF(AG978="yes","import_as_active","import_as_backlog")))</x:f>
        <x:v>import_as_backlog</x:v>
      </x:c>
      <x:c r="AO978" s="12" t="str">
        <x:f>IF(AND(AG978="yes",OR(P978="",Q978="",R978="",S978="")),"missing_required_mvp_fields",IF(AND(AC978="canonical",Y978=""),"missing_source_ref","ok"))</x:f>
        <x:v>ok</x:v>
      </x:c>
      <x:c r="AP978" s="12" t="str">
        <x:f>IF(AO978="ok","ready_for_codex_import","needs_review")</x:f>
        <x:v>ready_for_codex_import</x:v>
      </x:c>
      <x:c r="AQ978" s="12"/>
      <x:c r="AR978" s="12" t="str">
        <x:v>Added v2 operational fields. Review before classification activation.</x:v>
      </x:c>
    </x:row>
    <x:row r="979">
      <x:c r="A979" s="13" t="str">
        <x:v>unanswered_critical_question_commitment_variant</x:v>
      </x:c>
      <x:c r="B979" s="13" t="str">
        <x:v>unanswered_critical_question</x:v>
      </x:c>
      <x:c r="C979" s="13" t="str">
        <x:v>Unanswered critical question</x:v>
      </x:c>
      <x:c r="D979" s="13" t="str">
        <x:v>پرسش انتقادی بی‌پاسخ</x:v>
      </x:c>
      <x:c r="E979" s="13" t="str">
        <x:v>Commitment variant</x:v>
      </x:c>
      <x:c r="F979" s="13" t="str">
        <x:v>discourse_pragmatic_failures</x:v>
      </x:c>
      <x:c r="G979" s="13" t="str">
        <x:v>operational_variant</x:v>
      </x:c>
      <x:c r="H979" s="13" t="str">
        <x:v>dialogue</x:v>
      </x:c>
      <x:c r="I979" s="13" t="str">
        <x:v>discourse_segment</x:v>
      </x:c>
      <x:c r="J979" s="13" t="str">
        <x:v>derived_operational_subtype</x:v>
      </x:c>
      <x:c r="K979" s="13" t="str">
        <x:v>derived_from_established_parent_review_required</x:v>
      </x:c>
      <x:c r="L979" s="13" t="str">
        <x:v>P3</x:v>
      </x:c>
      <x:c r="M979" s="13" t="str">
        <x:v>no</x:v>
      </x:c>
      <x:c r="N979" s="13" t="str">
        <x:v>Operational subtype under Unanswered critical question: speaker commitments are inconsistent or selectively revised. Parent definition: Ignoring critical questions required by an argument scheme.</x:v>
      </x:c>
      <x:c r="O979" s="13" t="str">
        <x:v>Look for: explicit claim-level evidence; parent-family cues for Unanswered critical question; variant cue: speaker commitments are inconsistent or selectively revised; avoid author-level inference.</x:v>
      </x:c>
      <x:c r="P979" s="13" t="str">
        <x:v>Exact evidence span in text plus claim-level reasoning link; for contextual/discourse entries, require surrounding context.</x:v>
      </x:c>
      <x:c r="Q979" s="13" t="str">
        <x:v>Do not label merely because topic is controversial, emotional, or wrong. Do not judge intent or personality. Require textual evidence and consider healthy-reasoning cues.</x:v>
      </x:c>
      <x:c r="R979" s="13" t="str">
        <x:v>Stub: A claim relies on speaker commitments are inconsistent or selectively revised to support a conclusion without adequate qualification.</x:v>
      </x:c>
      <x:c r="S979" s="13" t="str">
        <x:v>Stub: A claim discusses unanswered critical question with caveats, balanced evidence, or no argumentative use of the pattern.</x:v>
      </x:c>
      <x:c r="T979" s="13" t="str">
        <x:v>Mild or ambiguous cue; do not classify without clear evidence span.</x:v>
      </x:c>
      <x:c r="U979" s="13" t="str">
        <x:v>Clear claim-level pattern with some argumentative impact.</x:v>
      </x:c>
      <x:c r="V979" s="13" t="str">
        <x:v>Strong pattern central to the conclusion and likely to materially distort reasoning.</x:v>
      </x:c>
      <x:c r="W979" s="13" t="str"/>
      <x:c r="X979" s="13" t="str">
        <x:v>walton_argumentation_schemes</x:v>
      </x:c>
      <x:c r="Y979" s="13" t="str">
        <x:v>https://www.cambridge.org/core/books/argumentation-schemes/1D013BFA2695C72B14134F2C38B17B85</x:v>
      </x:c>
      <x:c r="Z979" s="13" t="str">
        <x:v>Review before enabling. This workbook is a living taxonomy scaffold, not a validated scientific benchmark.</x:v>
      </x:c>
      <x:c r="AA979" s="13" t="str">
        <x:v>0.1.0-draft</x:v>
      </x:c>
      <x:c r="AB979" s="12" t="str">
        <x:f>IF(ISNUMBER(SEARCH("healthy",F979)),"healthy_reasoning_patterns",IF(ISNUMBER(SEARCH("statistical",F979)),"statistical_reasoning",IF(ISNUMBER(SEARCH("causal",F979)),"causal_reasoning",IF(ISNUMBER(SEARCH("social",F979)),"social_influence",IF(ISNUMBER(SEARCH("rhetoric",F979)),"rhetoric_discourse",IF(ISNUMBER(SEARCH("behavior",F979)),"behavioural_economics",IF(ISNUMBER(SEARCH("cognitive",F979)),"cognitive_biases",IF(J979="protective_pattern","healthy_reasoning_patterns",IF(L979="P0","core_mvp","extended_fallacies")))))))))</x:f>
        <x:v>extended_fallacies</x:v>
      </x:c>
      <x:c r="AC979" s="12" t="str">
        <x:f>IF(ISNUMBER(SEARCH("operational",J979)),"operational",IF(ISNUMBER(SEARCH("deprecated",J979)),"deprecated",IF(L979="P0","canonical","recognized_subtype")))</x:f>
        <x:v>operational</x:v>
      </x:c>
      <x:c r="AD979" s="12" t="str">
        <x:f>IF(AC979="canonical","high",IF(AC979="recognized_subtype","medium",IF(AC979="operational","operational_only","debated")))</x:f>
        <x:v>operational_only</x:v>
      </x:c>
      <x:c r="AE979" s="12" t="str">
        <x:f>IF(AC979="deprecated","deprecated",IF(M979="yes","active",IF(M979="review","review_required","backlog")))</x:f>
        <x:v>backlog</x:v>
      </x:c>
      <x:c r="AF979" s="12" t="str">
        <x:f>IF(OR(AE979="active",AE979="review_required"),"yes","no")</x:f>
        <x:v>no</x:v>
      </x:c>
      <x:c r="AG979" s="12" t="str">
        <x:f>IF(AND(AE979="active",M979="yes",NOT(ISNUMBER(SEARCH("healthy",AB979)))),"yes","no")</x:f>
        <x:v>no</x:v>
      </x:c>
      <x:c r="AH979" s="12" t="str">
        <x:f>IF(OR(H979="contextual",H979="dialogue",H979="discourse",I979="claim+context",I979="discourse_segment"),"yes","no")</x:f>
        <x:v>yes</x:v>
      </x:c>
      <x:c r="AI979" s="12" t="str">
        <x:f>IF(OR(AH979="yes",AD979="debated",AC979="operational"),"yes","no")</x:f>
        <x:v>yes</x:v>
      </x:c>
      <x:c r="AJ979" s="12" t="str">
        <x:f>IF(OR(AH979="yes",AC979="operational",AD979="debated"),"high",IF(AND(AG979="yes",L979="P0"),"medium","low"))</x:f>
        <x:v>high</x:v>
      </x:c>
      <x:c r="AK979" s="12" t="str">
        <x:f>IF(ISNUMBER(SEARCH("healthy",AB979)),"yes","no")</x:f>
        <x:v>no</x:v>
      </x:c>
      <x:c r="AL979" s="12" t="str">
        <x:f>IF(AG979="yes","yes","candidate_only")</x:f>
        <x:v>candidate_only</x:v>
      </x:c>
      <x:c r="AM979" s="12" t="str">
        <x:f>IF(OR(AC979="canonical",AG979="yes"),"yes","recommended")</x:f>
        <x:v>recommended</x:v>
      </x:c>
      <x:c r="AN979" s="12" t="str">
        <x:f>IF(AC979="deprecated","exclude",IF(AND(AG979="yes",AJ979="high"),"import_but_human_review_required",IF(AG979="yes","import_as_active","import_as_backlog")))</x:f>
        <x:v>import_as_backlog</x:v>
      </x:c>
      <x:c r="AO979" s="12" t="str">
        <x:f>IF(AND(AG979="yes",OR(P979="",Q979="",R979="",S979="")),"missing_required_mvp_fields",IF(AND(AC979="canonical",Y979=""),"missing_source_ref","ok"))</x:f>
        <x:v>ok</x:v>
      </x:c>
      <x:c r="AP979" s="12" t="str">
        <x:f>IF(AO979="ok","ready_for_codex_import","needs_review")</x:f>
        <x:v>ready_for_codex_import</x:v>
      </x:c>
      <x:c r="AQ979" s="12"/>
      <x:c r="AR979" s="12" t="str">
        <x:v>Added v2 operational fields. Review before classification activation.</x:v>
      </x:c>
    </x:row>
    <x:row r="980">
      <x:c r="A980" s="13" t="str">
        <x:v>premature_closure_commitment_variant</x:v>
      </x:c>
      <x:c r="B980" s="13" t="str">
        <x:v>premature_closure</x:v>
      </x:c>
      <x:c r="C980" s="13" t="str">
        <x:v>Premature closure</x:v>
      </x:c>
      <x:c r="D980" s="13" t="str">
        <x:v>بستن زودهنگام بحث</x:v>
      </x:c>
      <x:c r="E980" s="13" t="str">
        <x:v>Commitment variant</x:v>
      </x:c>
      <x:c r="F980" s="13" t="str">
        <x:v>discourse_pragmatic_failures</x:v>
      </x:c>
      <x:c r="G980" s="13" t="str">
        <x:v>operational_variant</x:v>
      </x:c>
      <x:c r="H980" s="13" t="str">
        <x:v>dialogue</x:v>
      </x:c>
      <x:c r="I980" s="13" t="str">
        <x:v>discourse_segment</x:v>
      </x:c>
      <x:c r="J980" s="13" t="str">
        <x:v>derived_operational_subtype</x:v>
      </x:c>
      <x:c r="K980" s="13" t="str">
        <x:v>derived_from_established_parent_review_required</x:v>
      </x:c>
      <x:c r="L980" s="13" t="str">
        <x:v>P3</x:v>
      </x:c>
      <x:c r="M980" s="13" t="str">
        <x:v>no</x:v>
      </x:c>
      <x:c r="N980" s="13" t="str">
        <x:v>Operational subtype under Premature closure: speaker commitments are inconsistent or selectively revised. Parent definition: Ending inquiry before relevant objections or alternatives are considered.</x:v>
      </x:c>
      <x:c r="O980" s="13" t="str">
        <x:v>Look for: explicit claim-level evidence; parent-family cues for Premature closure; variant cue: speaker commitments are inconsistent or selectively revised; avoid author-level inference.</x:v>
      </x:c>
      <x:c r="P980" s="13" t="str">
        <x:v>Exact evidence span in text plus claim-level reasoning link; for contextual/discourse entries, require surrounding context.</x:v>
      </x:c>
      <x:c r="Q980" s="13" t="str">
        <x:v>Do not label merely because topic is controversial, emotional, or wrong. Do not judge intent or personality. Require textual evidence and consider healthy-reasoning cues.</x:v>
      </x:c>
      <x:c r="R980" s="13" t="str">
        <x:v>Stub: A claim relies on speaker commitments are inconsistent or selectively revised to support a conclusion without adequate qualification.</x:v>
      </x:c>
      <x:c r="S980" s="13" t="str">
        <x:v>Stub: A claim discusses premature closure with caveats, balanced evidence, or no argumentative use of the pattern.</x:v>
      </x:c>
      <x:c r="T980" s="13" t="str">
        <x:v>Mild or ambiguous cue; do not classify without clear evidence span.</x:v>
      </x:c>
      <x:c r="U980" s="13" t="str">
        <x:v>Clear claim-level pattern with some argumentative impact.</x:v>
      </x:c>
      <x:c r="V980" s="13" t="str">
        <x:v>Strong pattern central to the conclusion and likely to materially distort reasoning.</x:v>
      </x:c>
      <x:c r="W980" s="13" t="str"/>
      <x:c r="X980" s="13" t="str">
        <x:v>pragmadialectics</x:v>
      </x:c>
      <x:c r="Y980" s="13" t="str">
        <x:v>https://doi.org/10.1017/CBO9780511616389</x:v>
      </x:c>
      <x:c r="Z980" s="13" t="str">
        <x:v>Review before enabling. This workbook is a living taxonomy scaffold, not a validated scientific benchmark.</x:v>
      </x:c>
      <x:c r="AA980" s="13" t="str">
        <x:v>0.1.0-draft</x:v>
      </x:c>
      <x:c r="AB980" s="12" t="str">
        <x:f>IF(ISNUMBER(SEARCH("healthy",F980)),"healthy_reasoning_patterns",IF(ISNUMBER(SEARCH("statistical",F980)),"statistical_reasoning",IF(ISNUMBER(SEARCH("causal",F980)),"causal_reasoning",IF(ISNUMBER(SEARCH("social",F980)),"social_influence",IF(ISNUMBER(SEARCH("rhetoric",F980)),"rhetoric_discourse",IF(ISNUMBER(SEARCH("behavior",F980)),"behavioural_economics",IF(ISNUMBER(SEARCH("cognitive",F980)),"cognitive_biases",IF(J980="protective_pattern","healthy_reasoning_patterns",IF(L980="P0","core_mvp","extended_fallacies")))))))))</x:f>
        <x:v>extended_fallacies</x:v>
      </x:c>
      <x:c r="AC980" s="12" t="str">
        <x:f>IF(ISNUMBER(SEARCH("operational",J980)),"operational",IF(ISNUMBER(SEARCH("deprecated",J980)),"deprecated",IF(L980="P0","canonical","recognized_subtype")))</x:f>
        <x:v>operational</x:v>
      </x:c>
      <x:c r="AD980" s="12" t="str">
        <x:f>IF(AC980="canonical","high",IF(AC980="recognized_subtype","medium",IF(AC980="operational","operational_only","debated")))</x:f>
        <x:v>operational_only</x:v>
      </x:c>
      <x:c r="AE980" s="12" t="str">
        <x:f>IF(AC980="deprecated","deprecated",IF(M980="yes","active",IF(M980="review","review_required","backlog")))</x:f>
        <x:v>backlog</x:v>
      </x:c>
      <x:c r="AF980" s="12" t="str">
        <x:f>IF(OR(AE980="active",AE980="review_required"),"yes","no")</x:f>
        <x:v>no</x:v>
      </x:c>
      <x:c r="AG980" s="12" t="str">
        <x:f>IF(AND(AE980="active",M980="yes",NOT(ISNUMBER(SEARCH("healthy",AB980)))),"yes","no")</x:f>
        <x:v>no</x:v>
      </x:c>
      <x:c r="AH980" s="12" t="str">
        <x:f>IF(OR(H980="contextual",H980="dialogue",H980="discourse",I980="claim+context",I980="discourse_segment"),"yes","no")</x:f>
        <x:v>yes</x:v>
      </x:c>
      <x:c r="AI980" s="12" t="str">
        <x:f>IF(OR(AH980="yes",AD980="debated",AC980="operational"),"yes","no")</x:f>
        <x:v>yes</x:v>
      </x:c>
      <x:c r="AJ980" s="12" t="str">
        <x:f>IF(OR(AH980="yes",AC980="operational",AD980="debated"),"high",IF(AND(AG980="yes",L980="P0"),"medium","low"))</x:f>
        <x:v>high</x:v>
      </x:c>
      <x:c r="AK980" s="12" t="str">
        <x:f>IF(ISNUMBER(SEARCH("healthy",AB980)),"yes","no")</x:f>
        <x:v>no</x:v>
      </x:c>
      <x:c r="AL980" s="12" t="str">
        <x:f>IF(AG980="yes","yes","candidate_only")</x:f>
        <x:v>candidate_only</x:v>
      </x:c>
      <x:c r="AM980" s="12" t="str">
        <x:f>IF(OR(AC980="canonical",AG980="yes"),"yes","recommended")</x:f>
        <x:v>recommended</x:v>
      </x:c>
      <x:c r="AN980" s="12" t="str">
        <x:f>IF(AC980="deprecated","exclude",IF(AND(AG980="yes",AJ980="high"),"import_but_human_review_required",IF(AG980="yes","import_as_active","import_as_backlog")))</x:f>
        <x:v>import_as_backlog</x:v>
      </x:c>
      <x:c r="AO980" s="12" t="str">
        <x:f>IF(AND(AG980="yes",OR(P980="",Q980="",R980="",S980="")),"missing_required_mvp_fields",IF(AND(AC980="canonical",Y980=""),"missing_source_ref","ok"))</x:f>
        <x:v>ok</x:v>
      </x:c>
      <x:c r="AP980" s="12" t="str">
        <x:f>IF(AO980="ok","ready_for_codex_import","needs_review")</x:f>
        <x:v>ready_for_codex_import</x:v>
      </x:c>
      <x:c r="AQ980" s="12"/>
      <x:c r="AR980" s="12" t="str">
        <x:v>Added v2 operational fields. Review before classification activation.</x:v>
      </x:c>
    </x:row>
    <x:row r="981">
      <x:c r="A981" s="13" t="str">
        <x:v>criterion_shifting_commitment_variant</x:v>
      </x:c>
      <x:c r="B981" s="13" t="str">
        <x:v>criterion_shifting</x:v>
      </x:c>
      <x:c r="C981" s="13" t="str">
        <x:v>Criterion shifting</x:v>
      </x:c>
      <x:c r="D981" s="13" t="str">
        <x:v>تغییر معیار</x:v>
      </x:c>
      <x:c r="E981" s="13" t="str">
        <x:v>Commitment variant</x:v>
      </x:c>
      <x:c r="F981" s="13" t="str">
        <x:v>discourse_pragmatic_failures</x:v>
      </x:c>
      <x:c r="G981" s="13" t="str">
        <x:v>operational_variant</x:v>
      </x:c>
      <x:c r="H981" s="13" t="str">
        <x:v>dialogue</x:v>
      </x:c>
      <x:c r="I981" s="13" t="str">
        <x:v>discourse_segment</x:v>
      </x:c>
      <x:c r="J981" s="13" t="str">
        <x:v>derived_operational_subtype</x:v>
      </x:c>
      <x:c r="K981" s="13" t="str">
        <x:v>derived_from_established_parent_review_required</x:v>
      </x:c>
      <x:c r="L981" s="13" t="str">
        <x:v>P3</x:v>
      </x:c>
      <x:c r="M981" s="13" t="str">
        <x:v>no</x:v>
      </x:c>
      <x:c r="N981" s="13" t="str">
        <x:v>Operational subtype under Criterion shifting: speaker commitments are inconsistent or selectively revised. Parent definition: Changing evaluation criteria without stating the change.</x:v>
      </x:c>
      <x:c r="O981" s="13" t="str">
        <x:v>Look for: explicit claim-level evidence; parent-family cues for Criterion shifting; variant cue: speaker commitments are inconsistent or selectively revised; avoid author-level inference.</x:v>
      </x:c>
      <x:c r="P981" s="13" t="str">
        <x:v>Exact evidence span in text plus claim-level reasoning link; for contextual/discourse entries, require surrounding context.</x:v>
      </x:c>
      <x:c r="Q981" s="13" t="str">
        <x:v>Do not label merely because topic is controversial, emotional, or wrong. Do not judge intent or personality. Require textual evidence and consider healthy-reasoning cues.</x:v>
      </x:c>
      <x:c r="R981" s="13" t="str">
        <x:v>Stub: A claim relies on speaker commitments are inconsistent or selectively revised to support a conclusion without adequate qualification.</x:v>
      </x:c>
      <x:c r="S981" s="13" t="str">
        <x:v>Stub: A claim discusses criterion shifting with caveats, balanced evidence, or no argumentative use of the pattern.</x:v>
      </x:c>
      <x:c r="T981" s="13" t="str">
        <x:v>Mild or ambiguous cue; do not classify without clear evidence span.</x:v>
      </x:c>
      <x:c r="U981" s="13" t="str">
        <x:v>Clear claim-level pattern with some argumentative impact.</x:v>
      </x:c>
      <x:c r="V981" s="13" t="str">
        <x:v>Strong pattern central to the conclusion and likely to materially distort reasoning.</x:v>
      </x:c>
      <x:c r="W981" s="13" t="str"/>
      <x:c r="X981" s="13" t="str">
        <x:v>pragmadialectics</x:v>
      </x:c>
      <x:c r="Y981" s="13" t="str">
        <x:v>https://doi.org/10.1017/CBO9780511616389</x:v>
      </x:c>
      <x:c r="Z981" s="13" t="str">
        <x:v>Review before enabling. This workbook is a living taxonomy scaffold, not a validated scientific benchmark.</x:v>
      </x:c>
      <x:c r="AA981" s="13" t="str">
        <x:v>0.1.0-draft</x:v>
      </x:c>
      <x:c r="AB981" s="12" t="str">
        <x:f>IF(ISNUMBER(SEARCH("healthy",F981)),"healthy_reasoning_patterns",IF(ISNUMBER(SEARCH("statistical",F981)),"statistical_reasoning",IF(ISNUMBER(SEARCH("causal",F981)),"causal_reasoning",IF(ISNUMBER(SEARCH("social",F981)),"social_influence",IF(ISNUMBER(SEARCH("rhetoric",F981)),"rhetoric_discourse",IF(ISNUMBER(SEARCH("behavior",F981)),"behavioural_economics",IF(ISNUMBER(SEARCH("cognitive",F981)),"cognitive_biases",IF(J981="protective_pattern","healthy_reasoning_patterns",IF(L981="P0","core_mvp","extended_fallacies")))))))))</x:f>
        <x:v>extended_fallacies</x:v>
      </x:c>
      <x:c r="AC981" s="12" t="str">
        <x:f>IF(ISNUMBER(SEARCH("operational",J981)),"operational",IF(ISNUMBER(SEARCH("deprecated",J981)),"deprecated",IF(L981="P0","canonical","recognized_subtype")))</x:f>
        <x:v>operational</x:v>
      </x:c>
      <x:c r="AD981" s="12" t="str">
        <x:f>IF(AC981="canonical","high",IF(AC981="recognized_subtype","medium",IF(AC981="operational","operational_only","debated")))</x:f>
        <x:v>operational_only</x:v>
      </x:c>
      <x:c r="AE981" s="12" t="str">
        <x:f>IF(AC981="deprecated","deprecated",IF(M981="yes","active",IF(M981="review","review_required","backlog")))</x:f>
        <x:v>backlog</x:v>
      </x:c>
      <x:c r="AF981" s="12" t="str">
        <x:f>IF(OR(AE981="active",AE981="review_required"),"yes","no")</x:f>
        <x:v>no</x:v>
      </x:c>
      <x:c r="AG981" s="12" t="str">
        <x:f>IF(AND(AE981="active",M981="yes",NOT(ISNUMBER(SEARCH("healthy",AB981)))),"yes","no")</x:f>
        <x:v>no</x:v>
      </x:c>
      <x:c r="AH981" s="12" t="str">
        <x:f>IF(OR(H981="contextual",H981="dialogue",H981="discourse",I981="claim+context",I981="discourse_segment"),"yes","no")</x:f>
        <x:v>yes</x:v>
      </x:c>
      <x:c r="AI981" s="12" t="str">
        <x:f>IF(OR(AH981="yes",AD981="debated",AC981="operational"),"yes","no")</x:f>
        <x:v>yes</x:v>
      </x:c>
      <x:c r="AJ981" s="12" t="str">
        <x:f>IF(OR(AH981="yes",AC981="operational",AD981="debated"),"high",IF(AND(AG981="yes",L981="P0"),"medium","low"))</x:f>
        <x:v>high</x:v>
      </x:c>
      <x:c r="AK981" s="12" t="str">
        <x:f>IF(ISNUMBER(SEARCH("healthy",AB981)),"yes","no")</x:f>
        <x:v>no</x:v>
      </x:c>
      <x:c r="AL981" s="12" t="str">
        <x:f>IF(AG981="yes","yes","candidate_only")</x:f>
        <x:v>candidate_only</x:v>
      </x:c>
      <x:c r="AM981" s="12" t="str">
        <x:f>IF(OR(AC981="canonical",AG981="yes"),"yes","recommended")</x:f>
        <x:v>recommended</x:v>
      </x:c>
      <x:c r="AN981" s="12" t="str">
        <x:f>IF(AC981="deprecated","exclude",IF(AND(AG981="yes",AJ981="high"),"import_but_human_review_required",IF(AG981="yes","import_as_active","import_as_backlog")))</x:f>
        <x:v>import_as_backlog</x:v>
      </x:c>
      <x:c r="AO981" s="12" t="str">
        <x:f>IF(AND(AG981="yes",OR(P981="",Q981="",R981="",S981="")),"missing_required_mvp_fields",IF(AND(AC981="canonical",Y981=""),"missing_source_ref","ok"))</x:f>
        <x:v>ok</x:v>
      </x:c>
      <x:c r="AP981" s="12" t="str">
        <x:f>IF(AO981="ok","ready_for_codex_import","needs_review")</x:f>
        <x:v>ready_for_codex_import</x:v>
      </x:c>
      <x:c r="AQ981" s="12"/>
      <x:c r="AR981" s="12" t="str">
        <x:v>Added v2 operational fields. Review before classification activation.</x:v>
      </x:c>
    </x:row>
    <x:row r="982">
      <x:c r="A982" s="13" t="str">
        <x:v>ambiguity_exploitation_commitment_variant</x:v>
      </x:c>
      <x:c r="B982" s="13" t="str">
        <x:v>ambiguity_exploitation</x:v>
      </x:c>
      <x:c r="C982" s="13" t="str">
        <x:v>Ambiguity exploitation</x:v>
      </x:c>
      <x:c r="D982" s="13" t="str">
        <x:v>بهره‌برداری از ابهام</x:v>
      </x:c>
      <x:c r="E982" s="13" t="str">
        <x:v>Commitment variant</x:v>
      </x:c>
      <x:c r="F982" s="13" t="str">
        <x:v>discourse_pragmatic_failures</x:v>
      </x:c>
      <x:c r="G982" s="13" t="str">
        <x:v>operational_variant</x:v>
      </x:c>
      <x:c r="H982" s="13" t="str">
        <x:v>lexical</x:v>
      </x:c>
      <x:c r="I982" s="13" t="str">
        <x:v>claim</x:v>
      </x:c>
      <x:c r="J982" s="13" t="str">
        <x:v>derived_operational_subtype</x:v>
      </x:c>
      <x:c r="K982" s="13" t="str">
        <x:v>derived_from_established_parent_review_required</x:v>
      </x:c>
      <x:c r="L982" s="13" t="str">
        <x:v>P3</x:v>
      </x:c>
      <x:c r="M982" s="13" t="str">
        <x:v>no</x:v>
      </x:c>
      <x:c r="N982" s="13" t="str">
        <x:v>Operational subtype under Ambiguity exploitation: speaker commitments are inconsistent or selectively revised. Parent definition: Using ambiguous wording to maintain multiple interpretations.</x:v>
      </x:c>
      <x:c r="O982" s="13" t="str">
        <x:v>Look for: explicit claim-level evidence; parent-family cues for Ambiguity exploitation; variant cue: speaker commitments are inconsistent or selectively revised; avoid author-level inference.</x:v>
      </x:c>
      <x:c r="P982" s="13" t="str">
        <x:v>Exact evidence span in text plus claim-level reasoning link; for contextual/discourse entries, require surrounding context.</x:v>
      </x:c>
      <x:c r="Q982" s="13" t="str">
        <x:v>Do not label merely because topic is controversial, emotional, or wrong. Do not judge intent or personality. Require textual evidence and consider healthy-reasoning cues.</x:v>
      </x:c>
      <x:c r="R982" s="13" t="str">
        <x:v>Stub: A claim relies on speaker commitments are inconsistent or selectively revised to support a conclusion without adequate qualification.</x:v>
      </x:c>
      <x:c r="S982" s="13" t="str">
        <x:v>Stub: A claim discusses ambiguity exploitation with caveats, balanced evidence, or no argumentative use of the pattern.</x:v>
      </x:c>
      <x:c r="T982" s="13" t="str">
        <x:v>Mild or ambiguous cue; do not classify without clear evidence span.</x:v>
      </x:c>
      <x:c r="U982" s="13" t="str">
        <x:v>Clear claim-level pattern with some argumentative impact.</x:v>
      </x:c>
      <x:c r="V982" s="13" t="str">
        <x:v>Strong pattern central to the conclusion and likely to materially distort reasoning.</x:v>
      </x:c>
      <x:c r="W982" s="13" t="str"/>
      <x:c r="X982" s="13" t="str">
        <x:v>grice_logic_conversation</x:v>
      </x:c>
      <x:c r="Y982" s="13" t="str">
        <x:v>https://doi.org/10.1163/9789004368811_003</x:v>
      </x:c>
      <x:c r="Z982" s="13" t="str">
        <x:v>Review before enabling. This workbook is a living taxonomy scaffold, not a validated scientific benchmark.</x:v>
      </x:c>
      <x:c r="AA982" s="13" t="str">
        <x:v>0.1.0-draft</x:v>
      </x:c>
      <x:c r="AB982" s="12" t="str">
        <x:f>IF(ISNUMBER(SEARCH("healthy",F982)),"healthy_reasoning_patterns",IF(ISNUMBER(SEARCH("statistical",F982)),"statistical_reasoning",IF(ISNUMBER(SEARCH("causal",F982)),"causal_reasoning",IF(ISNUMBER(SEARCH("social",F982)),"social_influence",IF(ISNUMBER(SEARCH("rhetoric",F982)),"rhetoric_discourse",IF(ISNUMBER(SEARCH("behavior",F982)),"behavioural_economics",IF(ISNUMBER(SEARCH("cognitive",F982)),"cognitive_biases",IF(J982="protective_pattern","healthy_reasoning_patterns",IF(L982="P0","core_mvp","extended_fallacies")))))))))</x:f>
        <x:v>extended_fallacies</x:v>
      </x:c>
      <x:c r="AC982" s="12" t="str">
        <x:f>IF(ISNUMBER(SEARCH("operational",J982)),"operational",IF(ISNUMBER(SEARCH("deprecated",J982)),"deprecated",IF(L982="P0","canonical","recognized_subtype")))</x:f>
        <x:v>operational</x:v>
      </x:c>
      <x:c r="AD982" s="12" t="str">
        <x:f>IF(AC982="canonical","high",IF(AC982="recognized_subtype","medium",IF(AC982="operational","operational_only","debated")))</x:f>
        <x:v>operational_only</x:v>
      </x:c>
      <x:c r="AE982" s="12" t="str">
        <x:f>IF(AC982="deprecated","deprecated",IF(M982="yes","active",IF(M982="review","review_required","backlog")))</x:f>
        <x:v>backlog</x:v>
      </x:c>
      <x:c r="AF982" s="12" t="str">
        <x:f>IF(OR(AE982="active",AE982="review_required"),"yes","no")</x:f>
        <x:v>no</x:v>
      </x:c>
      <x:c r="AG982" s="12" t="str">
        <x:f>IF(AND(AE982="active",M982="yes",NOT(ISNUMBER(SEARCH("healthy",AB982)))),"yes","no")</x:f>
        <x:v>no</x:v>
      </x:c>
      <x:c r="AH982" s="12" t="str">
        <x:f>IF(OR(H982="contextual",H982="dialogue",H982="discourse",I982="claim+context",I982="discourse_segment"),"yes","no")</x:f>
        <x:v>no</x:v>
      </x:c>
      <x:c r="AI982" s="12" t="str">
        <x:f>IF(OR(AH982="yes",AD982="debated",AC982="operational"),"yes","no")</x:f>
        <x:v>yes</x:v>
      </x:c>
      <x:c r="AJ982" s="12" t="str">
        <x:f>IF(OR(AH982="yes",AC982="operational",AD982="debated"),"high",IF(AND(AG982="yes",L982="P0"),"medium","low"))</x:f>
        <x:v>high</x:v>
      </x:c>
      <x:c r="AK982" s="12" t="str">
        <x:f>IF(ISNUMBER(SEARCH("healthy",AB982)),"yes","no")</x:f>
        <x:v>no</x:v>
      </x:c>
      <x:c r="AL982" s="12" t="str">
        <x:f>IF(AG982="yes","yes","candidate_only")</x:f>
        <x:v>candidate_only</x:v>
      </x:c>
      <x:c r="AM982" s="12" t="str">
        <x:f>IF(OR(AC982="canonical",AG982="yes"),"yes","recommended")</x:f>
        <x:v>recommended</x:v>
      </x:c>
      <x:c r="AN982" s="12" t="str">
        <x:f>IF(AC982="deprecated","exclude",IF(AND(AG982="yes",AJ982="high"),"import_but_human_review_required",IF(AG982="yes","import_as_active","import_as_backlog")))</x:f>
        <x:v>import_as_backlog</x:v>
      </x:c>
      <x:c r="AO982" s="12" t="str">
        <x:f>IF(AND(AG982="yes",OR(P982="",Q982="",R982="",S982="")),"missing_required_mvp_fields",IF(AND(AC982="canonical",Y982=""),"missing_source_ref","ok"))</x:f>
        <x:v>ok</x:v>
      </x:c>
      <x:c r="AP982" s="12" t="str">
        <x:f>IF(AO982="ok","ready_for_codex_import","needs_review")</x:f>
        <x:v>ready_for_codex_import</x:v>
      </x:c>
      <x:c r="AQ982" s="12"/>
      <x:c r="AR982" s="12" t="str">
        <x:v>Added v2 operational fields. Review before classification activation.</x:v>
      </x:c>
    </x:row>
    <x:row r="983">
      <x:c r="A983" s="13" t="str">
        <x:v>burden_overload_commitment_variant</x:v>
      </x:c>
      <x:c r="B983" s="13" t="str">
        <x:v>burden_overload</x:v>
      </x:c>
      <x:c r="C983" s="13" t="str">
        <x:v>Burden overload</x:v>
      </x:c>
      <x:c r="D983" s="13" t="str">
        <x:v>بار اثبات نامتناسب</x:v>
      </x:c>
      <x:c r="E983" s="13" t="str">
        <x:v>Commitment variant</x:v>
      </x:c>
      <x:c r="F983" s="13" t="str">
        <x:v>discourse_pragmatic_failures</x:v>
      </x:c>
      <x:c r="G983" s="13" t="str">
        <x:v>operational_variant</x:v>
      </x:c>
      <x:c r="H983" s="13" t="str">
        <x:v>dialogue</x:v>
      </x:c>
      <x:c r="I983" s="13" t="str">
        <x:v>discourse_segment</x:v>
      </x:c>
      <x:c r="J983" s="13" t="str">
        <x:v>derived_operational_subtype</x:v>
      </x:c>
      <x:c r="K983" s="13" t="str">
        <x:v>derived_from_established_parent_review_required</x:v>
      </x:c>
      <x:c r="L983" s="13" t="str">
        <x:v>P3</x:v>
      </x:c>
      <x:c r="M983" s="13" t="str">
        <x:v>no</x:v>
      </x:c>
      <x:c r="N983" s="13" t="str">
        <x:v>Operational subtype under Burden overload: speaker commitments are inconsistent or selectively revised. Parent definition: Demanding an unrealistic standard from one side while offering less support oneself.</x:v>
      </x:c>
      <x:c r="O983" s="13" t="str">
        <x:v>Look for: explicit claim-level evidence; parent-family cues for Burden overload; variant cue: speaker commitments are inconsistent or selectively revised; avoid author-level inference.</x:v>
      </x:c>
      <x:c r="P983" s="13" t="str">
        <x:v>Exact evidence span in text plus claim-level reasoning link; for contextual/discourse entries, require surrounding context.</x:v>
      </x:c>
      <x:c r="Q983" s="13" t="str">
        <x:v>Do not label merely because topic is controversial, emotional, or wrong. Do not judge intent or personality. Require textual evidence and consider healthy-reasoning cues.</x:v>
      </x:c>
      <x:c r="R983" s="13" t="str">
        <x:v>Stub: A claim relies on speaker commitments are inconsistent or selectively revised to support a conclusion without adequate qualification.</x:v>
      </x:c>
      <x:c r="S983" s="13" t="str">
        <x:v>Stub: A claim discusses burden overload with caveats, balanced evidence, or no argumentative use of the pattern.</x:v>
      </x:c>
      <x:c r="T983" s="13" t="str">
        <x:v>Mild or ambiguous cue; do not classify without clear evidence span.</x:v>
      </x:c>
      <x:c r="U983" s="13" t="str">
        <x:v>Clear claim-level pattern with some argumentative impact.</x:v>
      </x:c>
      <x:c r="V983" s="13" t="str">
        <x:v>Strong pattern central to the conclusion and likely to materially distort reasoning.</x:v>
      </x:c>
      <x:c r="W983" s="13" t="str"/>
      <x:c r="X983" s="13" t="str">
        <x:v>pragmadialectics</x:v>
      </x:c>
      <x:c r="Y983" s="13" t="str">
        <x:v>https://doi.org/10.1017/CBO9780511616389</x:v>
      </x:c>
      <x:c r="Z983" s="13" t="str">
        <x:v>Review before enabling. This workbook is a living taxonomy scaffold, not a validated scientific benchmark.</x:v>
      </x:c>
      <x:c r="AA983" s="13" t="str">
        <x:v>0.1.0-draft</x:v>
      </x:c>
      <x:c r="AB983" s="12" t="str">
        <x:f>IF(ISNUMBER(SEARCH("healthy",F983)),"healthy_reasoning_patterns",IF(ISNUMBER(SEARCH("statistical",F983)),"statistical_reasoning",IF(ISNUMBER(SEARCH("causal",F983)),"causal_reasoning",IF(ISNUMBER(SEARCH("social",F983)),"social_influence",IF(ISNUMBER(SEARCH("rhetoric",F983)),"rhetoric_discourse",IF(ISNUMBER(SEARCH("behavior",F983)),"behavioural_economics",IF(ISNUMBER(SEARCH("cognitive",F983)),"cognitive_biases",IF(J983="protective_pattern","healthy_reasoning_patterns",IF(L983="P0","core_mvp","extended_fallacies")))))))))</x:f>
        <x:v>extended_fallacies</x:v>
      </x:c>
      <x:c r="AC983" s="12" t="str">
        <x:f>IF(ISNUMBER(SEARCH("operational",J983)),"operational",IF(ISNUMBER(SEARCH("deprecated",J983)),"deprecated",IF(L983="P0","canonical","recognized_subtype")))</x:f>
        <x:v>operational</x:v>
      </x:c>
      <x:c r="AD983" s="12" t="str">
        <x:f>IF(AC983="canonical","high",IF(AC983="recognized_subtype","medium",IF(AC983="operational","operational_only","debated")))</x:f>
        <x:v>operational_only</x:v>
      </x:c>
      <x:c r="AE983" s="12" t="str">
        <x:f>IF(AC983="deprecated","deprecated",IF(M983="yes","active",IF(M983="review","review_required","backlog")))</x:f>
        <x:v>backlog</x:v>
      </x:c>
      <x:c r="AF983" s="12" t="str">
        <x:f>IF(OR(AE983="active",AE983="review_required"),"yes","no")</x:f>
        <x:v>no</x:v>
      </x:c>
      <x:c r="AG983" s="12" t="str">
        <x:f>IF(AND(AE983="active",M983="yes",NOT(ISNUMBER(SEARCH("healthy",AB983)))),"yes","no")</x:f>
        <x:v>no</x:v>
      </x:c>
      <x:c r="AH983" s="12" t="str">
        <x:f>IF(OR(H983="contextual",H983="dialogue",H983="discourse",I983="claim+context",I983="discourse_segment"),"yes","no")</x:f>
        <x:v>yes</x:v>
      </x:c>
      <x:c r="AI983" s="12" t="str">
        <x:f>IF(OR(AH983="yes",AD983="debated",AC983="operational"),"yes","no")</x:f>
        <x:v>yes</x:v>
      </x:c>
      <x:c r="AJ983" s="12" t="str">
        <x:f>IF(OR(AH983="yes",AC983="operational",AD983="debated"),"high",IF(AND(AG983="yes",L983="P0"),"medium","low"))</x:f>
        <x:v>high</x:v>
      </x:c>
      <x:c r="AK983" s="12" t="str">
        <x:f>IF(ISNUMBER(SEARCH("healthy",AB983)),"yes","no")</x:f>
        <x:v>no</x:v>
      </x:c>
      <x:c r="AL983" s="12" t="str">
        <x:f>IF(AG983="yes","yes","candidate_only")</x:f>
        <x:v>candidate_only</x:v>
      </x:c>
      <x:c r="AM983" s="12" t="str">
        <x:f>IF(OR(AC983="canonical",AG983="yes"),"yes","recommended")</x:f>
        <x:v>recommended</x:v>
      </x:c>
      <x:c r="AN983" s="12" t="str">
        <x:f>IF(AC983="deprecated","exclude",IF(AND(AG983="yes",AJ983="high"),"import_but_human_review_required",IF(AG983="yes","import_as_active","import_as_backlog")))</x:f>
        <x:v>import_as_backlog</x:v>
      </x:c>
      <x:c r="AO983" s="12" t="str">
        <x:f>IF(AND(AG983="yes",OR(P983="",Q983="",R983="",S983="")),"missing_required_mvp_fields",IF(AND(AC983="canonical",Y983=""),"missing_source_ref","ok"))</x:f>
        <x:v>ok</x:v>
      </x:c>
      <x:c r="AP983" s="12" t="str">
        <x:f>IF(AO983="ok","ready_for_codex_import","needs_review")</x:f>
        <x:v>ready_for_codex_import</x:v>
      </x:c>
      <x:c r="AQ983" s="12"/>
      <x:c r="AR983" s="12" t="str">
        <x:v>Added v2 operational fields. Review before classification activation.</x:v>
      </x:c>
    </x:row>
    <x:row r="984">
      <x:c r="A984" s="13" t="str">
        <x:v>uncharitable_interpretation_commitment_variant</x:v>
      </x:c>
      <x:c r="B984" s="13" t="str">
        <x:v>uncharitable_interpretation</x:v>
      </x:c>
      <x:c r="C984" s="13" t="str">
        <x:v>Uncharitable interpretation</x:v>
      </x:c>
      <x:c r="D984" s="13" t="str">
        <x:v>تفسیر نامنصفانه</x:v>
      </x:c>
      <x:c r="E984" s="13" t="str">
        <x:v>Commitment variant</x:v>
      </x:c>
      <x:c r="F984" s="13" t="str">
        <x:v>discourse_pragmatic_failures</x:v>
      </x:c>
      <x:c r="G984" s="13" t="str">
        <x:v>operational_variant</x:v>
      </x:c>
      <x:c r="H984" s="13" t="str">
        <x:v>contextual</x:v>
      </x:c>
      <x:c r="I984" s="13" t="str">
        <x:v>claim+context</x:v>
      </x:c>
      <x:c r="J984" s="13" t="str">
        <x:v>derived_operational_subtype</x:v>
      </x:c>
      <x:c r="K984" s="13" t="str">
        <x:v>derived_from_established_parent_review_required</x:v>
      </x:c>
      <x:c r="L984" s="13" t="str">
        <x:v>P3</x:v>
      </x:c>
      <x:c r="M984" s="13" t="str">
        <x:v>no</x:v>
      </x:c>
      <x:c r="N984" s="13" t="str">
        <x:v>Operational subtype under Uncharitable interpretation: speaker commitments are inconsistent or selectively revised. Parent definition: Interpreting a claim in a weaker or less reasonable way than context supports.</x:v>
      </x:c>
      <x:c r="O984" s="13" t="str">
        <x:v>Look for: explicit claim-level evidence; parent-family cues for Uncharitable interpretation; variant cue: speaker commitments are inconsistent or selectively revised; avoid author-level inference.</x:v>
      </x:c>
      <x:c r="P984" s="13" t="str">
        <x:v>Exact evidence span in text plus claim-level reasoning link; for contextual/discourse entries, require surrounding context.</x:v>
      </x:c>
      <x:c r="Q984" s="13" t="str">
        <x:v>Do not label merely because topic is controversial, emotional, or wrong. Do not judge intent or personality. Require textual evidence and consider healthy-reasoning cues.</x:v>
      </x:c>
      <x:c r="R984" s="13" t="str">
        <x:v>Stub: A claim relies on speaker commitments are inconsistent or selectively revised to support a conclusion without adequate qualification.</x:v>
      </x:c>
      <x:c r="S984" s="13" t="str">
        <x:v>Stub: A claim discusses uncharitable interpretation with caveats, balanced evidence, or no argumentative use of the pattern.</x:v>
      </x:c>
      <x:c r="T984" s="13" t="str">
        <x:v>Mild or ambiguous cue; do not classify without clear evidence span.</x:v>
      </x:c>
      <x:c r="U984" s="13" t="str">
        <x:v>Clear claim-level pattern with some argumentative impact.</x:v>
      </x:c>
      <x:c r="V984" s="13" t="str">
        <x:v>Strong pattern central to the conclusion and likely to materially distort reasoning.</x:v>
      </x:c>
      <x:c r="W984" s="13" t="str"/>
      <x:c r="X984" s="13" t="str">
        <x:v>toulmin_uses_argument</x:v>
      </x:c>
      <x:c r="Y984" s="13" t="str">
        <x:v>https://doi.org/10.1017/CBO9780511840005</x:v>
      </x:c>
      <x:c r="Z984" s="13" t="str">
        <x:v>Review before enabling. This workbook is a living taxonomy scaffold, not a validated scientific benchmark.</x:v>
      </x:c>
      <x:c r="AA984" s="13" t="str">
        <x:v>0.1.0-draft</x:v>
      </x:c>
      <x:c r="AB984" s="12" t="str">
        <x:f>IF(ISNUMBER(SEARCH("healthy",F984)),"healthy_reasoning_patterns",IF(ISNUMBER(SEARCH("statistical",F984)),"statistical_reasoning",IF(ISNUMBER(SEARCH("causal",F984)),"causal_reasoning",IF(ISNUMBER(SEARCH("social",F984)),"social_influence",IF(ISNUMBER(SEARCH("rhetoric",F984)),"rhetoric_discourse",IF(ISNUMBER(SEARCH("behavior",F984)),"behavioural_economics",IF(ISNUMBER(SEARCH("cognitive",F984)),"cognitive_biases",IF(J984="protective_pattern","healthy_reasoning_patterns",IF(L984="P0","core_mvp","extended_fallacies")))))))))</x:f>
        <x:v>extended_fallacies</x:v>
      </x:c>
      <x:c r="AC984" s="12" t="str">
        <x:f>IF(ISNUMBER(SEARCH("operational",J984)),"operational",IF(ISNUMBER(SEARCH("deprecated",J984)),"deprecated",IF(L984="P0","canonical","recognized_subtype")))</x:f>
        <x:v>operational</x:v>
      </x:c>
      <x:c r="AD984" s="12" t="str">
        <x:f>IF(AC984="canonical","high",IF(AC984="recognized_subtype","medium",IF(AC984="operational","operational_only","debated")))</x:f>
        <x:v>operational_only</x:v>
      </x:c>
      <x:c r="AE984" s="12" t="str">
        <x:f>IF(AC984="deprecated","deprecated",IF(M984="yes","active",IF(M984="review","review_required","backlog")))</x:f>
        <x:v>backlog</x:v>
      </x:c>
      <x:c r="AF984" s="12" t="str">
        <x:f>IF(OR(AE984="active",AE984="review_required"),"yes","no")</x:f>
        <x:v>no</x:v>
      </x:c>
      <x:c r="AG984" s="12" t="str">
        <x:f>IF(AND(AE984="active",M984="yes",NOT(ISNUMBER(SEARCH("healthy",AB984)))),"yes","no")</x:f>
        <x:v>no</x:v>
      </x:c>
      <x:c r="AH984" s="12" t="str">
        <x:f>IF(OR(H984="contextual",H984="dialogue",H984="discourse",I984="claim+context",I984="discourse_segment"),"yes","no")</x:f>
        <x:v>yes</x:v>
      </x:c>
      <x:c r="AI984" s="12" t="str">
        <x:f>IF(OR(AH984="yes",AD984="debated",AC984="operational"),"yes","no")</x:f>
        <x:v>yes</x:v>
      </x:c>
      <x:c r="AJ984" s="12" t="str">
        <x:f>IF(OR(AH984="yes",AC984="operational",AD984="debated"),"high",IF(AND(AG984="yes",L984="P0"),"medium","low"))</x:f>
        <x:v>high</x:v>
      </x:c>
      <x:c r="AK984" s="12" t="str">
        <x:f>IF(ISNUMBER(SEARCH("healthy",AB984)),"yes","no")</x:f>
        <x:v>no</x:v>
      </x:c>
      <x:c r="AL984" s="12" t="str">
        <x:f>IF(AG984="yes","yes","candidate_only")</x:f>
        <x:v>candidate_only</x:v>
      </x:c>
      <x:c r="AM984" s="12" t="str">
        <x:f>IF(OR(AC984="canonical",AG984="yes"),"yes","recommended")</x:f>
        <x:v>recommended</x:v>
      </x:c>
      <x:c r="AN984" s="12" t="str">
        <x:f>IF(AC984="deprecated","exclude",IF(AND(AG984="yes",AJ984="high"),"import_but_human_review_required",IF(AG984="yes","import_as_active","import_as_backlog")))</x:f>
        <x:v>import_as_backlog</x:v>
      </x:c>
      <x:c r="AO984" s="12" t="str">
        <x:f>IF(AND(AG984="yes",OR(P984="",Q984="",R984="",S984="")),"missing_required_mvp_fields",IF(AND(AC984="canonical",Y984=""),"missing_source_ref","ok"))</x:f>
        <x:v>ok</x:v>
      </x:c>
      <x:c r="AP984" s="12" t="str">
        <x:f>IF(AO984="ok","ready_for_codex_import","needs_review")</x:f>
        <x:v>ready_for_codex_import</x:v>
      </x:c>
      <x:c r="AQ984" s="12"/>
      <x:c r="AR984" s="12" t="str">
        <x:v>Added v2 operational fields. Review before classification activation.</x:v>
      </x:c>
    </x:row>
    <x:row r="985">
      <x:c r="A985" s="13" t="str">
        <x:v>missing_warrant_commitment_variant</x:v>
      </x:c>
      <x:c r="B985" s="13" t="str">
        <x:v>missing_warrant</x:v>
      </x:c>
      <x:c r="C985" s="13" t="str">
        <x:v>Missing warrant</x:v>
      </x:c>
      <x:c r="D985" s="13" t="str">
        <x:v>نبود پیوند استدلالی</x:v>
      </x:c>
      <x:c r="E985" s="13" t="str">
        <x:v>Commitment variant</x:v>
      </x:c>
      <x:c r="F985" s="13" t="str">
        <x:v>discourse_pragmatic_failures</x:v>
      </x:c>
      <x:c r="G985" s="13" t="str">
        <x:v>operational_variant</x:v>
      </x:c>
      <x:c r="H985" s="13" t="str">
        <x:v>structural</x:v>
      </x:c>
      <x:c r="I985" s="13" t="str">
        <x:v>claim</x:v>
      </x:c>
      <x:c r="J985" s="13" t="str">
        <x:v>derived_operational_subtype</x:v>
      </x:c>
      <x:c r="K985" s="13" t="str">
        <x:v>derived_from_established_parent_review_required</x:v>
      </x:c>
      <x:c r="L985" s="13" t="str">
        <x:v>P3</x:v>
      </x:c>
      <x:c r="M985" s="13" t="str">
        <x:v>no</x:v>
      </x:c>
      <x:c r="N985" s="13" t="str">
        <x:v>Operational subtype under Missing warrant: speaker commitments are inconsistent or selectively revised. Parent definition: The move from evidence to conclusion lacks an explicit or plausible warrant.</x:v>
      </x:c>
      <x:c r="O985" s="13" t="str">
        <x:v>Look for: explicit claim-level evidence; parent-family cues for Missing warrant; variant cue: speaker commitments are inconsistent or selectively revised; avoid author-level inference.</x:v>
      </x:c>
      <x:c r="P985" s="13" t="str">
        <x:v>Exact evidence span in text plus claim-level reasoning link; for contextual/discourse entries, require surrounding context.</x:v>
      </x:c>
      <x:c r="Q985" s="13" t="str">
        <x:v>Do not label merely because topic is controversial, emotional, or wrong. Do not judge intent or personality. Require textual evidence and consider healthy-reasoning cues.</x:v>
      </x:c>
      <x:c r="R985" s="13" t="str">
        <x:v>Stub: A claim relies on speaker commitments are inconsistent or selectively revised to support a conclusion without adequate qualification.</x:v>
      </x:c>
      <x:c r="S985" s="13" t="str">
        <x:v>Stub: A claim discusses missing warrant with caveats, balanced evidence, or no argumentative use of the pattern.</x:v>
      </x:c>
      <x:c r="T985" s="13" t="str">
        <x:v>Mild or ambiguous cue; do not classify without clear evidence span.</x:v>
      </x:c>
      <x:c r="U985" s="13" t="str">
        <x:v>Clear claim-level pattern with some argumentative impact.</x:v>
      </x:c>
      <x:c r="V985" s="13" t="str">
        <x:v>Strong pattern central to the conclusion and likely to materially distort reasoning.</x:v>
      </x:c>
      <x:c r="W985" s="13" t="str">
        <x:v>cherry_picking; missing_counterevidence; evidence_grading</x:v>
      </x:c>
      <x:c r="X985" s="13" t="str">
        <x:v>toulmin_uses_argument</x:v>
      </x:c>
      <x:c r="Y985" s="13" t="str">
        <x:v>https://doi.org/10.1017/CBO9780511840005</x:v>
      </x:c>
      <x:c r="Z985" s="13" t="str">
        <x:v>Review before enabling. This workbook is a living taxonomy scaffold, not a validated scientific benchmark.</x:v>
      </x:c>
      <x:c r="AA985" s="13" t="str">
        <x:v>0.1.0-draft</x:v>
      </x:c>
      <x:c r="AB985" s="12" t="str">
        <x:f>IF(ISNUMBER(SEARCH("healthy",F985)),"healthy_reasoning_patterns",IF(ISNUMBER(SEARCH("statistical",F985)),"statistical_reasoning",IF(ISNUMBER(SEARCH("causal",F985)),"causal_reasoning",IF(ISNUMBER(SEARCH("social",F985)),"social_influence",IF(ISNUMBER(SEARCH("rhetoric",F985)),"rhetoric_discourse",IF(ISNUMBER(SEARCH("behavior",F985)),"behavioural_economics",IF(ISNUMBER(SEARCH("cognitive",F985)),"cognitive_biases",IF(J985="protective_pattern","healthy_reasoning_patterns",IF(L985="P0","core_mvp","extended_fallacies")))))))))</x:f>
        <x:v>extended_fallacies</x:v>
      </x:c>
      <x:c r="AC985" s="12" t="str">
        <x:f>IF(ISNUMBER(SEARCH("operational",J985)),"operational",IF(ISNUMBER(SEARCH("deprecated",J985)),"deprecated",IF(L985="P0","canonical","recognized_subtype")))</x:f>
        <x:v>operational</x:v>
      </x:c>
      <x:c r="AD985" s="12" t="str">
        <x:f>IF(AC985="canonical","high",IF(AC985="recognized_subtype","medium",IF(AC985="operational","operational_only","debated")))</x:f>
        <x:v>operational_only</x:v>
      </x:c>
      <x:c r="AE985" s="12" t="str">
        <x:f>IF(AC985="deprecated","deprecated",IF(M985="yes","active",IF(M985="review","review_required","backlog")))</x:f>
        <x:v>backlog</x:v>
      </x:c>
      <x:c r="AF985" s="12" t="str">
        <x:f>IF(OR(AE985="active",AE985="review_required"),"yes","no")</x:f>
        <x:v>no</x:v>
      </x:c>
      <x:c r="AG985" s="12" t="str">
        <x:f>IF(AND(AE985="active",M985="yes",NOT(ISNUMBER(SEARCH("healthy",AB985)))),"yes","no")</x:f>
        <x:v>no</x:v>
      </x:c>
      <x:c r="AH985" s="12" t="str">
        <x:f>IF(OR(H985="contextual",H985="dialogue",H985="discourse",I985="claim+context",I985="discourse_segment"),"yes","no")</x:f>
        <x:v>no</x:v>
      </x:c>
      <x:c r="AI985" s="12" t="str">
        <x:f>IF(OR(AH985="yes",AD985="debated",AC985="operational"),"yes","no")</x:f>
        <x:v>yes</x:v>
      </x:c>
      <x:c r="AJ985" s="12" t="str">
        <x:f>IF(OR(AH985="yes",AC985="operational",AD985="debated"),"high",IF(AND(AG985="yes",L985="P0"),"medium","low"))</x:f>
        <x:v>high</x:v>
      </x:c>
      <x:c r="AK985" s="12" t="str">
        <x:f>IF(ISNUMBER(SEARCH("healthy",AB985)),"yes","no")</x:f>
        <x:v>no</x:v>
      </x:c>
      <x:c r="AL985" s="12" t="str">
        <x:f>IF(AG985="yes","yes","candidate_only")</x:f>
        <x:v>candidate_only</x:v>
      </x:c>
      <x:c r="AM985" s="12" t="str">
        <x:f>IF(OR(AC985="canonical",AG985="yes"),"yes","recommended")</x:f>
        <x:v>recommended</x:v>
      </x:c>
      <x:c r="AN985" s="12" t="str">
        <x:f>IF(AC985="deprecated","exclude",IF(AND(AG985="yes",AJ985="high"),"import_but_human_review_required",IF(AG985="yes","import_as_active","import_as_backlog")))</x:f>
        <x:v>import_as_backlog</x:v>
      </x:c>
      <x:c r="AO985" s="12" t="str">
        <x:f>IF(AND(AG985="yes",OR(P985="",Q985="",R985="",S985="")),"missing_required_mvp_fields",IF(AND(AC985="canonical",Y985=""),"missing_source_ref","ok"))</x:f>
        <x:v>ok</x:v>
      </x:c>
      <x:c r="AP985" s="12" t="str">
        <x:f>IF(AO985="ok","ready_for_codex_import","needs_review")</x:f>
        <x:v>ready_for_codex_import</x:v>
      </x:c>
      <x:c r="AQ985" s="12"/>
      <x:c r="AR985" s="12" t="str">
        <x:v>Added v2 operational fields. Review before classification activation.</x:v>
      </x:c>
    </x:row>
    <x:row r="986">
      <x:c r="A986" s="13" t="str">
        <x:v>warrant_backing_gap_commitment_variant</x:v>
      </x:c>
      <x:c r="B986" s="13" t="str">
        <x:v>warrant_backing_gap</x:v>
      </x:c>
      <x:c r="C986" s="13" t="str">
        <x:v>Warrant-backing gap</x:v>
      </x:c>
      <x:c r="D986" s="13" t="str">
        <x:v>نبود پشتوانه برای پیوند</x:v>
      </x:c>
      <x:c r="E986" s="13" t="str">
        <x:v>Commitment variant</x:v>
      </x:c>
      <x:c r="F986" s="13" t="str">
        <x:v>discourse_pragmatic_failures</x:v>
      </x:c>
      <x:c r="G986" s="13" t="str">
        <x:v>operational_variant</x:v>
      </x:c>
      <x:c r="H986" s="13" t="str">
        <x:v>structural</x:v>
      </x:c>
      <x:c r="I986" s="13" t="str">
        <x:v>claim</x:v>
      </x:c>
      <x:c r="J986" s="13" t="str">
        <x:v>derived_operational_subtype</x:v>
      </x:c>
      <x:c r="K986" s="13" t="str">
        <x:v>derived_from_established_parent_review_required</x:v>
      </x:c>
      <x:c r="L986" s="13" t="str">
        <x:v>P3</x:v>
      </x:c>
      <x:c r="M986" s="13" t="str">
        <x:v>no</x:v>
      </x:c>
      <x:c r="N986" s="13" t="str">
        <x:v>Operational subtype under Warrant-backing gap: speaker commitments are inconsistent or selectively revised. Parent definition: The warrant itself lacks support.</x:v>
      </x:c>
      <x:c r="O986" s="13" t="str">
        <x:v>Look for: explicit claim-level evidence; parent-family cues for Warrant-backing gap; variant cue: speaker commitments are inconsistent or selectively revised; avoid author-level inference.</x:v>
      </x:c>
      <x:c r="P986" s="13" t="str">
        <x:v>Exact evidence span in text plus claim-level reasoning link; for contextual/discourse entries, require surrounding context.</x:v>
      </x:c>
      <x:c r="Q986" s="13" t="str">
        <x:v>Do not label merely because topic is controversial, emotional, or wrong. Do not judge intent or personality. Require textual evidence and consider healthy-reasoning cues.</x:v>
      </x:c>
      <x:c r="R986" s="13" t="str">
        <x:v>Stub: A claim relies on speaker commitments are inconsistent or selectively revised to support a conclusion without adequate qualification.</x:v>
      </x:c>
      <x:c r="S986" s="13" t="str">
        <x:v>Stub: A claim discusses warrant-backing gap with caveats, balanced evidence, or no argumentative use of the pattern.</x:v>
      </x:c>
      <x:c r="T986" s="13" t="str">
        <x:v>Mild or ambiguous cue; do not classify without clear evidence span.</x:v>
      </x:c>
      <x:c r="U986" s="13" t="str">
        <x:v>Clear claim-level pattern with some argumentative impact.</x:v>
      </x:c>
      <x:c r="V986" s="13" t="str">
        <x:v>Strong pattern central to the conclusion and likely to materially distort reasoning.</x:v>
      </x:c>
      <x:c r="W986" s="13" t="str"/>
      <x:c r="X986" s="13" t="str">
        <x:v>toulmin_uses_argument</x:v>
      </x:c>
      <x:c r="Y986" s="13" t="str">
        <x:v>https://doi.org/10.1017/CBO9780511840005</x:v>
      </x:c>
      <x:c r="Z986" s="13" t="str">
        <x:v>Review before enabling. This workbook is a living taxonomy scaffold, not a validated scientific benchmark.</x:v>
      </x:c>
      <x:c r="AA986" s="13" t="str">
        <x:v>0.1.0-draft</x:v>
      </x:c>
      <x:c r="AB986" s="12" t="str">
        <x:f>IF(ISNUMBER(SEARCH("healthy",F986)),"healthy_reasoning_patterns",IF(ISNUMBER(SEARCH("statistical",F986)),"statistical_reasoning",IF(ISNUMBER(SEARCH("causal",F986)),"causal_reasoning",IF(ISNUMBER(SEARCH("social",F986)),"social_influence",IF(ISNUMBER(SEARCH("rhetoric",F986)),"rhetoric_discourse",IF(ISNUMBER(SEARCH("behavior",F986)),"behavioural_economics",IF(ISNUMBER(SEARCH("cognitive",F986)),"cognitive_biases",IF(J986="protective_pattern","healthy_reasoning_patterns",IF(L986="P0","core_mvp","extended_fallacies")))))))))</x:f>
        <x:v>extended_fallacies</x:v>
      </x:c>
      <x:c r="AC986" s="12" t="str">
        <x:f>IF(ISNUMBER(SEARCH("operational",J986)),"operational",IF(ISNUMBER(SEARCH("deprecated",J986)),"deprecated",IF(L986="P0","canonical","recognized_subtype")))</x:f>
        <x:v>operational</x:v>
      </x:c>
      <x:c r="AD986" s="12" t="str">
        <x:f>IF(AC986="canonical","high",IF(AC986="recognized_subtype","medium",IF(AC986="operational","operational_only","debated")))</x:f>
        <x:v>operational_only</x:v>
      </x:c>
      <x:c r="AE986" s="12" t="str">
        <x:f>IF(AC986="deprecated","deprecated",IF(M986="yes","active",IF(M986="review","review_required","backlog")))</x:f>
        <x:v>backlog</x:v>
      </x:c>
      <x:c r="AF986" s="12" t="str">
        <x:f>IF(OR(AE986="active",AE986="review_required"),"yes","no")</x:f>
        <x:v>no</x:v>
      </x:c>
      <x:c r="AG986" s="12" t="str">
        <x:f>IF(AND(AE986="active",M986="yes",NOT(ISNUMBER(SEARCH("healthy",AB986)))),"yes","no")</x:f>
        <x:v>no</x:v>
      </x:c>
      <x:c r="AH986" s="12" t="str">
        <x:f>IF(OR(H986="contextual",H986="dialogue",H986="discourse",I986="claim+context",I986="discourse_segment"),"yes","no")</x:f>
        <x:v>no</x:v>
      </x:c>
      <x:c r="AI986" s="12" t="str">
        <x:f>IF(OR(AH986="yes",AD986="debated",AC986="operational"),"yes","no")</x:f>
        <x:v>yes</x:v>
      </x:c>
      <x:c r="AJ986" s="12" t="str">
        <x:f>IF(OR(AH986="yes",AC986="operational",AD986="debated"),"high",IF(AND(AG986="yes",L986="P0"),"medium","low"))</x:f>
        <x:v>high</x:v>
      </x:c>
      <x:c r="AK986" s="12" t="str">
        <x:f>IF(ISNUMBER(SEARCH("healthy",AB986)),"yes","no")</x:f>
        <x:v>no</x:v>
      </x:c>
      <x:c r="AL986" s="12" t="str">
        <x:f>IF(AG986="yes","yes","candidate_only")</x:f>
        <x:v>candidate_only</x:v>
      </x:c>
      <x:c r="AM986" s="12" t="str">
        <x:f>IF(OR(AC986="canonical",AG986="yes"),"yes","recommended")</x:f>
        <x:v>recommended</x:v>
      </x:c>
      <x:c r="AN986" s="12" t="str">
        <x:f>IF(AC986="deprecated","exclude",IF(AND(AG986="yes",AJ986="high"),"import_but_human_review_required",IF(AG986="yes","import_as_active","import_as_backlog")))</x:f>
        <x:v>import_as_backlog</x:v>
      </x:c>
      <x:c r="AO986" s="12" t="str">
        <x:f>IF(AND(AG986="yes",OR(P986="",Q986="",R986="",S986="")),"missing_required_mvp_fields",IF(AND(AC986="canonical",Y986=""),"missing_source_ref","ok"))</x:f>
        <x:v>ok</x:v>
      </x:c>
      <x:c r="AP986" s="12" t="str">
        <x:f>IF(AO986="ok","ready_for_codex_import","needs_review")</x:f>
        <x:v>ready_for_codex_import</x:v>
      </x:c>
      <x:c r="AQ986" s="12"/>
      <x:c r="AR986" s="12" t="str">
        <x:v>Added v2 operational fields. Review before classification activation.</x:v>
      </x:c>
    </x:row>
    <x:row r="987">
      <x:c r="A987" s="13" t="str">
        <x:v>qualifier_absence_commitment_variant</x:v>
      </x:c>
      <x:c r="B987" s="13" t="str">
        <x:v>qualifier_absence</x:v>
      </x:c>
      <x:c r="C987" s="13" t="str">
        <x:v>Qualifier absence</x:v>
      </x:c>
      <x:c r="D987" s="13" t="str">
        <x:v>نبود قید اطمینان</x:v>
      </x:c>
      <x:c r="E987" s="13" t="str">
        <x:v>Commitment variant</x:v>
      </x:c>
      <x:c r="F987" s="13" t="str">
        <x:v>discourse_pragmatic_failures</x:v>
      </x:c>
      <x:c r="G987" s="13" t="str">
        <x:v>operational_variant</x:v>
      </x:c>
      <x:c r="H987" s="13" t="str">
        <x:v>lexical</x:v>
      </x:c>
      <x:c r="I987" s="13" t="str">
        <x:v>claim</x:v>
      </x:c>
      <x:c r="J987" s="13" t="str">
        <x:v>derived_operational_subtype</x:v>
      </x:c>
      <x:c r="K987" s="13" t="str">
        <x:v>derived_from_established_parent_review_required</x:v>
      </x:c>
      <x:c r="L987" s="13" t="str">
        <x:v>P3</x:v>
      </x:c>
      <x:c r="M987" s="13" t="str">
        <x:v>no</x:v>
      </x:c>
      <x:c r="N987" s="13" t="str">
        <x:v>Operational subtype under Qualifier absence: speaker commitments are inconsistent or selectively revised. Parent definition: A claim lacks necessary qualifiers given uncertainty.</x:v>
      </x:c>
      <x:c r="O987" s="13" t="str">
        <x:v>Look for: explicit claim-level evidence; parent-family cues for Qualifier absence; variant cue: speaker commitments are inconsistent or selectively revised; avoid author-level inference.</x:v>
      </x:c>
      <x:c r="P987" s="13" t="str">
        <x:v>Exact evidence span in text plus claim-level reasoning link; for contextual/discourse entries, require surrounding context.</x:v>
      </x:c>
      <x:c r="Q987" s="13" t="str">
        <x:v>Do not label merely because topic is controversial, emotional, or wrong. Do not judge intent or personality. Require textual evidence and consider healthy-reasoning cues.</x:v>
      </x:c>
      <x:c r="R987" s="13" t="str">
        <x:v>Stub: A claim relies on speaker commitments are inconsistent or selectively revised to support a conclusion without adequate qualification.</x:v>
      </x:c>
      <x:c r="S987" s="13" t="str">
        <x:v>Stub: A claim discusses qualifier absence with caveats, balanced evidence, or no argumentative use of the pattern.</x:v>
      </x:c>
      <x:c r="T987" s="13" t="str">
        <x:v>Mild or ambiguous cue; do not classify without clear evidence span.</x:v>
      </x:c>
      <x:c r="U987" s="13" t="str">
        <x:v>Clear claim-level pattern with some argumentative impact.</x:v>
      </x:c>
      <x:c r="V987" s="13" t="str">
        <x:v>Strong pattern central to the conclusion and likely to materially distort reasoning.</x:v>
      </x:c>
      <x:c r="W987" s="13" t="str"/>
      <x:c r="X987" s="13" t="str">
        <x:v>toulmin_uses_argument</x:v>
      </x:c>
      <x:c r="Y987" s="13" t="str">
        <x:v>https://doi.org/10.1017/CBO9780511840005</x:v>
      </x:c>
      <x:c r="Z987" s="13" t="str">
        <x:v>Review before enabling. This workbook is a living taxonomy scaffold, not a validated scientific benchmark.</x:v>
      </x:c>
      <x:c r="AA987" s="13" t="str">
        <x:v>0.1.0-draft</x:v>
      </x:c>
      <x:c r="AB987" s="12" t="str">
        <x:f>IF(ISNUMBER(SEARCH("healthy",F987)),"healthy_reasoning_patterns",IF(ISNUMBER(SEARCH("statistical",F987)),"statistical_reasoning",IF(ISNUMBER(SEARCH("causal",F987)),"causal_reasoning",IF(ISNUMBER(SEARCH("social",F987)),"social_influence",IF(ISNUMBER(SEARCH("rhetoric",F987)),"rhetoric_discourse",IF(ISNUMBER(SEARCH("behavior",F987)),"behavioural_economics",IF(ISNUMBER(SEARCH("cognitive",F987)),"cognitive_biases",IF(J987="protective_pattern","healthy_reasoning_patterns",IF(L987="P0","core_mvp","extended_fallacies")))))))))</x:f>
        <x:v>extended_fallacies</x:v>
      </x:c>
      <x:c r="AC987" s="12" t="str">
        <x:f>IF(ISNUMBER(SEARCH("operational",J987)),"operational",IF(ISNUMBER(SEARCH("deprecated",J987)),"deprecated",IF(L987="P0","canonical","recognized_subtype")))</x:f>
        <x:v>operational</x:v>
      </x:c>
      <x:c r="AD987" s="12" t="str">
        <x:f>IF(AC987="canonical","high",IF(AC987="recognized_subtype","medium",IF(AC987="operational","operational_only","debated")))</x:f>
        <x:v>operational_only</x:v>
      </x:c>
      <x:c r="AE987" s="12" t="str">
        <x:f>IF(AC987="deprecated","deprecated",IF(M987="yes","active",IF(M987="review","review_required","backlog")))</x:f>
        <x:v>backlog</x:v>
      </x:c>
      <x:c r="AF987" s="12" t="str">
        <x:f>IF(OR(AE987="active",AE987="review_required"),"yes","no")</x:f>
        <x:v>no</x:v>
      </x:c>
      <x:c r="AG987" s="12" t="str">
        <x:f>IF(AND(AE987="active",M987="yes",NOT(ISNUMBER(SEARCH("healthy",AB987)))),"yes","no")</x:f>
        <x:v>no</x:v>
      </x:c>
      <x:c r="AH987" s="12" t="str">
        <x:f>IF(OR(H987="contextual",H987="dialogue",H987="discourse",I987="claim+context",I987="discourse_segment"),"yes","no")</x:f>
        <x:v>no</x:v>
      </x:c>
      <x:c r="AI987" s="12" t="str">
        <x:f>IF(OR(AH987="yes",AD987="debated",AC987="operational"),"yes","no")</x:f>
        <x:v>yes</x:v>
      </x:c>
      <x:c r="AJ987" s="12" t="str">
        <x:f>IF(OR(AH987="yes",AC987="operational",AD987="debated"),"high",IF(AND(AG987="yes",L987="P0"),"medium","low"))</x:f>
        <x:v>high</x:v>
      </x:c>
      <x:c r="AK987" s="12" t="str">
        <x:f>IF(ISNUMBER(SEARCH("healthy",AB987)),"yes","no")</x:f>
        <x:v>no</x:v>
      </x:c>
      <x:c r="AL987" s="12" t="str">
        <x:f>IF(AG987="yes","yes","candidate_only")</x:f>
        <x:v>candidate_only</x:v>
      </x:c>
      <x:c r="AM987" s="12" t="str">
        <x:f>IF(OR(AC987="canonical",AG987="yes"),"yes","recommended")</x:f>
        <x:v>recommended</x:v>
      </x:c>
      <x:c r="AN987" s="12" t="str">
        <x:f>IF(AC987="deprecated","exclude",IF(AND(AG987="yes",AJ987="high"),"import_but_human_review_required",IF(AG987="yes","import_as_active","import_as_backlog")))</x:f>
        <x:v>import_as_backlog</x:v>
      </x:c>
      <x:c r="AO987" s="12" t="str">
        <x:f>IF(AND(AG987="yes",OR(P987="",Q987="",R987="",S987="")),"missing_required_mvp_fields",IF(AND(AC987="canonical",Y987=""),"missing_source_ref","ok"))</x:f>
        <x:v>ok</x:v>
      </x:c>
      <x:c r="AP987" s="12" t="str">
        <x:f>IF(AO987="ok","ready_for_codex_import","needs_review")</x:f>
        <x:v>ready_for_codex_import</x:v>
      </x:c>
      <x:c r="AQ987" s="12"/>
      <x:c r="AR987" s="12" t="str">
        <x:v>Added v2 operational fields. Review before classification activation.</x:v>
      </x:c>
    </x:row>
    <x:row r="988">
      <x:c r="A988" s="13" t="str">
        <x:v>rebuttal_suppression_commitment_variant</x:v>
      </x:c>
      <x:c r="B988" s="13" t="str">
        <x:v>rebuttal_suppression</x:v>
      </x:c>
      <x:c r="C988" s="13" t="str">
        <x:v>Rebuttal suppression</x:v>
      </x:c>
      <x:c r="D988" s="13" t="str">
        <x:v>حذف استثنا یا ردیه</x:v>
      </x:c>
      <x:c r="E988" s="13" t="str">
        <x:v>Commitment variant</x:v>
      </x:c>
      <x:c r="F988" s="13" t="str">
        <x:v>discourse_pragmatic_failures</x:v>
      </x:c>
      <x:c r="G988" s="13" t="str">
        <x:v>operational_variant</x:v>
      </x:c>
      <x:c r="H988" s="13" t="str">
        <x:v>contextual</x:v>
      </x:c>
      <x:c r="I988" s="13" t="str">
        <x:v>claim+context</x:v>
      </x:c>
      <x:c r="J988" s="13" t="str">
        <x:v>derived_operational_subtype</x:v>
      </x:c>
      <x:c r="K988" s="13" t="str">
        <x:v>derived_from_established_parent_review_required</x:v>
      </x:c>
      <x:c r="L988" s="13" t="str">
        <x:v>P3</x:v>
      </x:c>
      <x:c r="M988" s="13" t="str">
        <x:v>no</x:v>
      </x:c>
      <x:c r="N988" s="13" t="str">
        <x:v>Operational subtype under Rebuttal suppression: speaker commitments are inconsistent or selectively revised. Parent definition: Known exceptions or rebuttals are omitted.</x:v>
      </x:c>
      <x:c r="O988" s="13" t="str">
        <x:v>Look for: explicit claim-level evidence; parent-family cues for Rebuttal suppression; variant cue: speaker commitments are inconsistent or selectively revised; avoid author-level inference.</x:v>
      </x:c>
      <x:c r="P988" s="13" t="str">
        <x:v>Exact evidence span in text plus claim-level reasoning link; for contextual/discourse entries, require surrounding context.</x:v>
      </x:c>
      <x:c r="Q988" s="13" t="str">
        <x:v>Do not label merely because topic is controversial, emotional, or wrong. Do not judge intent or personality. Require textual evidence and consider healthy-reasoning cues.</x:v>
      </x:c>
      <x:c r="R988" s="13" t="str">
        <x:v>Stub: A claim relies on speaker commitments are inconsistent or selectively revised to support a conclusion without adequate qualification.</x:v>
      </x:c>
      <x:c r="S988" s="13" t="str">
        <x:v>Stub: A claim discusses rebuttal suppression with caveats, balanced evidence, or no argumentative use of the pattern.</x:v>
      </x:c>
      <x:c r="T988" s="13" t="str">
        <x:v>Mild or ambiguous cue; do not classify without clear evidence span.</x:v>
      </x:c>
      <x:c r="U988" s="13" t="str">
        <x:v>Clear claim-level pattern with some argumentative impact.</x:v>
      </x:c>
      <x:c r="V988" s="13" t="str">
        <x:v>Strong pattern central to the conclusion and likely to materially distort reasoning.</x:v>
      </x:c>
      <x:c r="W988" s="13" t="str"/>
      <x:c r="X988" s="13" t="str">
        <x:v>toulmin_uses_argument</x:v>
      </x:c>
      <x:c r="Y988" s="13" t="str">
        <x:v>https://doi.org/10.1017/CBO9780511840005</x:v>
      </x:c>
      <x:c r="Z988" s="13" t="str">
        <x:v>Review before enabling. This workbook is a living taxonomy scaffold, not a validated scientific benchmark.</x:v>
      </x:c>
      <x:c r="AA988" s="13" t="str">
        <x:v>0.1.0-draft</x:v>
      </x:c>
      <x:c r="AB988" s="12" t="str">
        <x:f>IF(ISNUMBER(SEARCH("healthy",F988)),"healthy_reasoning_patterns",IF(ISNUMBER(SEARCH("statistical",F988)),"statistical_reasoning",IF(ISNUMBER(SEARCH("causal",F988)),"causal_reasoning",IF(ISNUMBER(SEARCH("social",F988)),"social_influence",IF(ISNUMBER(SEARCH("rhetoric",F988)),"rhetoric_discourse",IF(ISNUMBER(SEARCH("behavior",F988)),"behavioural_economics",IF(ISNUMBER(SEARCH("cognitive",F988)),"cognitive_biases",IF(J988="protective_pattern","healthy_reasoning_patterns",IF(L988="P0","core_mvp","extended_fallacies")))))))))</x:f>
        <x:v>extended_fallacies</x:v>
      </x:c>
      <x:c r="AC988" s="12" t="str">
        <x:f>IF(ISNUMBER(SEARCH("operational",J988)),"operational",IF(ISNUMBER(SEARCH("deprecated",J988)),"deprecated",IF(L988="P0","canonical","recognized_subtype")))</x:f>
        <x:v>operational</x:v>
      </x:c>
      <x:c r="AD988" s="12" t="str">
        <x:f>IF(AC988="canonical","high",IF(AC988="recognized_subtype","medium",IF(AC988="operational","operational_only","debated")))</x:f>
        <x:v>operational_only</x:v>
      </x:c>
      <x:c r="AE988" s="12" t="str">
        <x:f>IF(AC988="deprecated","deprecated",IF(M988="yes","active",IF(M988="review","review_required","backlog")))</x:f>
        <x:v>backlog</x:v>
      </x:c>
      <x:c r="AF988" s="12" t="str">
        <x:f>IF(OR(AE988="active",AE988="review_required"),"yes","no")</x:f>
        <x:v>no</x:v>
      </x:c>
      <x:c r="AG988" s="12" t="str">
        <x:f>IF(AND(AE988="active",M988="yes",NOT(ISNUMBER(SEARCH("healthy",AB988)))),"yes","no")</x:f>
        <x:v>no</x:v>
      </x:c>
      <x:c r="AH988" s="12" t="str">
        <x:f>IF(OR(H988="contextual",H988="dialogue",H988="discourse",I988="claim+context",I988="discourse_segment"),"yes","no")</x:f>
        <x:v>yes</x:v>
      </x:c>
      <x:c r="AI988" s="12" t="str">
        <x:f>IF(OR(AH988="yes",AD988="debated",AC988="operational"),"yes","no")</x:f>
        <x:v>yes</x:v>
      </x:c>
      <x:c r="AJ988" s="12" t="str">
        <x:f>IF(OR(AH988="yes",AC988="operational",AD988="debated"),"high",IF(AND(AG988="yes",L988="P0"),"medium","low"))</x:f>
        <x:v>high</x:v>
      </x:c>
      <x:c r="AK988" s="12" t="str">
        <x:f>IF(ISNUMBER(SEARCH("healthy",AB988)),"yes","no")</x:f>
        <x:v>no</x:v>
      </x:c>
      <x:c r="AL988" s="12" t="str">
        <x:f>IF(AG988="yes","yes","candidate_only")</x:f>
        <x:v>candidate_only</x:v>
      </x:c>
      <x:c r="AM988" s="12" t="str">
        <x:f>IF(OR(AC988="canonical",AG988="yes"),"yes","recommended")</x:f>
        <x:v>recommended</x:v>
      </x:c>
      <x:c r="AN988" s="12" t="str">
        <x:f>IF(AC988="deprecated","exclude",IF(AND(AG988="yes",AJ988="high"),"import_but_human_review_required",IF(AG988="yes","import_as_active","import_as_backlog")))</x:f>
        <x:v>import_as_backlog</x:v>
      </x:c>
      <x:c r="AO988" s="12" t="str">
        <x:f>IF(AND(AG988="yes",OR(P988="",Q988="",R988="",S988="")),"missing_required_mvp_fields",IF(AND(AC988="canonical",Y988=""),"missing_source_ref","ok"))</x:f>
        <x:v>ok</x:v>
      </x:c>
      <x:c r="AP988" s="12" t="str">
        <x:f>IF(AO988="ok","ready_for_codex_import","needs_review")</x:f>
        <x:v>ready_for_codex_import</x:v>
      </x:c>
      <x:c r="AQ988" s="12"/>
      <x:c r="AR988" s="12" t="str">
        <x:v>Added v2 operational fields. Review before classification activation.</x:v>
      </x:c>
    </x:row>
    <x:row r="989">
      <x:c r="A989" s="13" t="str">
        <x:v>maxim_quantity_violation_commitment_variant</x:v>
      </x:c>
      <x:c r="B989" s="13" t="str">
        <x:v>maxim_quantity_violation</x:v>
      </x:c>
      <x:c r="C989" s="13" t="str">
        <x:v>Quantity maxim issue</x:v>
      </x:c>
      <x:c r="D989" s="13" t="str">
        <x:v>نقص کمیت اطلاعات</x:v>
      </x:c>
      <x:c r="E989" s="13" t="str">
        <x:v>Commitment variant</x:v>
      </x:c>
      <x:c r="F989" s="13" t="str">
        <x:v>discourse_pragmatic_failures</x:v>
      </x:c>
      <x:c r="G989" s="13" t="str">
        <x:v>operational_variant</x:v>
      </x:c>
      <x:c r="H989" s="13" t="str">
        <x:v>discourse</x:v>
      </x:c>
      <x:c r="I989" s="13" t="str">
        <x:v>discourse_segment</x:v>
      </x:c>
      <x:c r="J989" s="13" t="str">
        <x:v>derived_operational_subtype</x:v>
      </x:c>
      <x:c r="K989" s="13" t="str">
        <x:v>derived_from_established_parent_review_required</x:v>
      </x:c>
      <x:c r="L989" s="13" t="str">
        <x:v>P3</x:v>
      </x:c>
      <x:c r="M989" s="13" t="str">
        <x:v>no</x:v>
      </x:c>
      <x:c r="N989" s="13" t="str">
        <x:v>Operational subtype under Quantity maxim issue: speaker commitments are inconsistent or selectively revised. Parent definition: Providing too little or too much information for the argumentative need.</x:v>
      </x:c>
      <x:c r="O989" s="13" t="str">
        <x:v>Look for: explicit claim-level evidence; parent-family cues for Quantity maxim issue; variant cue: speaker commitments are inconsistent or selectively revised; avoid author-level inference.</x:v>
      </x:c>
      <x:c r="P989" s="13" t="str">
        <x:v>Exact evidence span in text plus claim-level reasoning link; for contextual/discourse entries, require surrounding context.</x:v>
      </x:c>
      <x:c r="Q989" s="13" t="str">
        <x:v>Do not label merely because topic is controversial, emotional, or wrong. Do not judge intent or personality. Require textual evidence and consider healthy-reasoning cues.</x:v>
      </x:c>
      <x:c r="R989" s="13" t="str">
        <x:v>Stub: A claim relies on speaker commitments are inconsistent or selectively revised to support a conclusion without adequate qualification.</x:v>
      </x:c>
      <x:c r="S989" s="13" t="str">
        <x:v>Stub: A claim discusses quantity maxim issue with caveats, balanced evidence, or no argumentative use of the pattern.</x:v>
      </x:c>
      <x:c r="T989" s="13" t="str">
        <x:v>Mild or ambiguous cue; do not classify without clear evidence span.</x:v>
      </x:c>
      <x:c r="U989" s="13" t="str">
        <x:v>Clear claim-level pattern with some argumentative impact.</x:v>
      </x:c>
      <x:c r="V989" s="13" t="str">
        <x:v>Strong pattern central to the conclusion and likely to materially distort reasoning.</x:v>
      </x:c>
      <x:c r="W989" s="13" t="str"/>
      <x:c r="X989" s="13" t="str">
        <x:v>grice_logic_conversation</x:v>
      </x:c>
      <x:c r="Y989" s="13" t="str">
        <x:v>https://doi.org/10.1163/9789004368811_003</x:v>
      </x:c>
      <x:c r="Z989" s="13" t="str">
        <x:v>Review before enabling. This workbook is a living taxonomy scaffold, not a validated scientific benchmark.</x:v>
      </x:c>
      <x:c r="AA989" s="13" t="str">
        <x:v>0.1.0-draft</x:v>
      </x:c>
      <x:c r="AB989" s="12" t="str">
        <x:f>IF(ISNUMBER(SEARCH("healthy",F989)),"healthy_reasoning_patterns",IF(ISNUMBER(SEARCH("statistical",F989)),"statistical_reasoning",IF(ISNUMBER(SEARCH("causal",F989)),"causal_reasoning",IF(ISNUMBER(SEARCH("social",F989)),"social_influence",IF(ISNUMBER(SEARCH("rhetoric",F989)),"rhetoric_discourse",IF(ISNUMBER(SEARCH("behavior",F989)),"behavioural_economics",IF(ISNUMBER(SEARCH("cognitive",F989)),"cognitive_biases",IF(J989="protective_pattern","healthy_reasoning_patterns",IF(L989="P0","core_mvp","extended_fallacies")))))))))</x:f>
        <x:v>extended_fallacies</x:v>
      </x:c>
      <x:c r="AC989" s="12" t="str">
        <x:f>IF(ISNUMBER(SEARCH("operational",J989)),"operational",IF(ISNUMBER(SEARCH("deprecated",J989)),"deprecated",IF(L989="P0","canonical","recognized_subtype")))</x:f>
        <x:v>operational</x:v>
      </x:c>
      <x:c r="AD989" s="12" t="str">
        <x:f>IF(AC989="canonical","high",IF(AC989="recognized_subtype","medium",IF(AC989="operational","operational_only","debated")))</x:f>
        <x:v>operational_only</x:v>
      </x:c>
      <x:c r="AE989" s="12" t="str">
        <x:f>IF(AC989="deprecated","deprecated",IF(M989="yes","active",IF(M989="review","review_required","backlog")))</x:f>
        <x:v>backlog</x:v>
      </x:c>
      <x:c r="AF989" s="12" t="str">
        <x:f>IF(OR(AE989="active",AE989="review_required"),"yes","no")</x:f>
        <x:v>no</x:v>
      </x:c>
      <x:c r="AG989" s="12" t="str">
        <x:f>IF(AND(AE989="active",M989="yes",NOT(ISNUMBER(SEARCH("healthy",AB989)))),"yes","no")</x:f>
        <x:v>no</x:v>
      </x:c>
      <x:c r="AH989" s="12" t="str">
        <x:f>IF(OR(H989="contextual",H989="dialogue",H989="discourse",I989="claim+context",I989="discourse_segment"),"yes","no")</x:f>
        <x:v>yes</x:v>
      </x:c>
      <x:c r="AI989" s="12" t="str">
        <x:f>IF(OR(AH989="yes",AD989="debated",AC989="operational"),"yes","no")</x:f>
        <x:v>yes</x:v>
      </x:c>
      <x:c r="AJ989" s="12" t="str">
        <x:f>IF(OR(AH989="yes",AC989="operational",AD989="debated"),"high",IF(AND(AG989="yes",L989="P0"),"medium","low"))</x:f>
        <x:v>high</x:v>
      </x:c>
      <x:c r="AK989" s="12" t="str">
        <x:f>IF(ISNUMBER(SEARCH("healthy",AB989)),"yes","no")</x:f>
        <x:v>no</x:v>
      </x:c>
      <x:c r="AL989" s="12" t="str">
        <x:f>IF(AG989="yes","yes","candidate_only")</x:f>
        <x:v>candidate_only</x:v>
      </x:c>
      <x:c r="AM989" s="12" t="str">
        <x:f>IF(OR(AC989="canonical",AG989="yes"),"yes","recommended")</x:f>
        <x:v>recommended</x:v>
      </x:c>
      <x:c r="AN989" s="12" t="str">
        <x:f>IF(AC989="deprecated","exclude",IF(AND(AG989="yes",AJ989="high"),"import_but_human_review_required",IF(AG989="yes","import_as_active","import_as_backlog")))</x:f>
        <x:v>import_as_backlog</x:v>
      </x:c>
      <x:c r="AO989" s="12" t="str">
        <x:f>IF(AND(AG989="yes",OR(P989="",Q989="",R989="",S989="")),"missing_required_mvp_fields",IF(AND(AC989="canonical",Y989=""),"missing_source_ref","ok"))</x:f>
        <x:v>ok</x:v>
      </x:c>
      <x:c r="AP989" s="12" t="str">
        <x:f>IF(AO989="ok","ready_for_codex_import","needs_review")</x:f>
        <x:v>ready_for_codex_import</x:v>
      </x:c>
      <x:c r="AQ989" s="12"/>
      <x:c r="AR989" s="12" t="str">
        <x:v>Added v2 operational fields. Review before classification activation.</x:v>
      </x:c>
    </x:row>
    <x:row r="990">
      <x:c r="A990" s="13" t="str">
        <x:v>maxim_relevance_violation_commitment_variant</x:v>
      </x:c>
      <x:c r="B990" s="13" t="str">
        <x:v>maxim_relevance_violation</x:v>
      </x:c>
      <x:c r="C990" s="13" t="str">
        <x:v>Relevance maxim issue</x:v>
      </x:c>
      <x:c r="D990" s="13" t="str">
        <x:v>نقص ربط</x:v>
      </x:c>
      <x:c r="E990" s="13" t="str">
        <x:v>Commitment variant</x:v>
      </x:c>
      <x:c r="F990" s="13" t="str">
        <x:v>discourse_pragmatic_failures</x:v>
      </x:c>
      <x:c r="G990" s="13" t="str">
        <x:v>operational_variant</x:v>
      </x:c>
      <x:c r="H990" s="13" t="str">
        <x:v>discourse</x:v>
      </x:c>
      <x:c r="I990" s="13" t="str">
        <x:v>discourse_segment</x:v>
      </x:c>
      <x:c r="J990" s="13" t="str">
        <x:v>derived_operational_subtype</x:v>
      </x:c>
      <x:c r="K990" s="13" t="str">
        <x:v>derived_from_established_parent_review_required</x:v>
      </x:c>
      <x:c r="L990" s="13" t="str">
        <x:v>P3</x:v>
      </x:c>
      <x:c r="M990" s="13" t="str">
        <x:v>no</x:v>
      </x:c>
      <x:c r="N990" s="13" t="str">
        <x:v>Operational subtype under Relevance maxim issue: speaker commitments are inconsistent or selectively revised. Parent definition: Providing information that is not relevant to the claim.</x:v>
      </x:c>
      <x:c r="O990" s="13" t="str">
        <x:v>Look for: explicit claim-level evidence; parent-family cues for Relevance maxim issue; variant cue: speaker commitments are inconsistent or selectively revised; avoid author-level inference.</x:v>
      </x:c>
      <x:c r="P990" s="13" t="str">
        <x:v>Exact evidence span in text plus claim-level reasoning link; for contextual/discourse entries, require surrounding context.</x:v>
      </x:c>
      <x:c r="Q990" s="13" t="str">
        <x:v>Do not label merely because topic is controversial, emotional, or wrong. Do not judge intent or personality. Require textual evidence and consider healthy-reasoning cues.</x:v>
      </x:c>
      <x:c r="R990" s="13" t="str">
        <x:v>Stub: A claim relies on speaker commitments are inconsistent or selectively revised to support a conclusion without adequate qualification.</x:v>
      </x:c>
      <x:c r="S990" s="13" t="str">
        <x:v>Stub: A claim discusses relevance maxim issue with caveats, balanced evidence, or no argumentative use of the pattern.</x:v>
      </x:c>
      <x:c r="T990" s="13" t="str">
        <x:v>Mild or ambiguous cue; do not classify without clear evidence span.</x:v>
      </x:c>
      <x:c r="U990" s="13" t="str">
        <x:v>Clear claim-level pattern with some argumentative impact.</x:v>
      </x:c>
      <x:c r="V990" s="13" t="str">
        <x:v>Strong pattern central to the conclusion and likely to materially distort reasoning.</x:v>
      </x:c>
      <x:c r="W990" s="13" t="str"/>
      <x:c r="X990" s="13" t="str">
        <x:v>grice_logic_conversation</x:v>
      </x:c>
      <x:c r="Y990" s="13" t="str">
        <x:v>https://doi.org/10.1163/9789004368811_003</x:v>
      </x:c>
      <x:c r="Z990" s="13" t="str">
        <x:v>Review before enabling. This workbook is a living taxonomy scaffold, not a validated scientific benchmark.</x:v>
      </x:c>
      <x:c r="AA990" s="13" t="str">
        <x:v>0.1.0-draft</x:v>
      </x:c>
      <x:c r="AB990" s="12" t="str">
        <x:f>IF(ISNUMBER(SEARCH("healthy",F990)),"healthy_reasoning_patterns",IF(ISNUMBER(SEARCH("statistical",F990)),"statistical_reasoning",IF(ISNUMBER(SEARCH("causal",F990)),"causal_reasoning",IF(ISNUMBER(SEARCH("social",F990)),"social_influence",IF(ISNUMBER(SEARCH("rhetoric",F990)),"rhetoric_discourse",IF(ISNUMBER(SEARCH("behavior",F990)),"behavioural_economics",IF(ISNUMBER(SEARCH("cognitive",F990)),"cognitive_biases",IF(J990="protective_pattern","healthy_reasoning_patterns",IF(L990="P0","core_mvp","extended_fallacies")))))))))</x:f>
        <x:v>extended_fallacies</x:v>
      </x:c>
      <x:c r="AC990" s="12" t="str">
        <x:f>IF(ISNUMBER(SEARCH("operational",J990)),"operational",IF(ISNUMBER(SEARCH("deprecated",J990)),"deprecated",IF(L990="P0","canonical","recognized_subtype")))</x:f>
        <x:v>operational</x:v>
      </x:c>
      <x:c r="AD990" s="12" t="str">
        <x:f>IF(AC990="canonical","high",IF(AC990="recognized_subtype","medium",IF(AC990="operational","operational_only","debated")))</x:f>
        <x:v>operational_only</x:v>
      </x:c>
      <x:c r="AE990" s="12" t="str">
        <x:f>IF(AC990="deprecated","deprecated",IF(M990="yes","active",IF(M990="review","review_required","backlog")))</x:f>
        <x:v>backlog</x:v>
      </x:c>
      <x:c r="AF990" s="12" t="str">
        <x:f>IF(OR(AE990="active",AE990="review_required"),"yes","no")</x:f>
        <x:v>no</x:v>
      </x:c>
      <x:c r="AG990" s="12" t="str">
        <x:f>IF(AND(AE990="active",M990="yes",NOT(ISNUMBER(SEARCH("healthy",AB990)))),"yes","no")</x:f>
        <x:v>no</x:v>
      </x:c>
      <x:c r="AH990" s="12" t="str">
        <x:f>IF(OR(H990="contextual",H990="dialogue",H990="discourse",I990="claim+context",I990="discourse_segment"),"yes","no")</x:f>
        <x:v>yes</x:v>
      </x:c>
      <x:c r="AI990" s="12" t="str">
        <x:f>IF(OR(AH990="yes",AD990="debated",AC990="operational"),"yes","no")</x:f>
        <x:v>yes</x:v>
      </x:c>
      <x:c r="AJ990" s="12" t="str">
        <x:f>IF(OR(AH990="yes",AC990="operational",AD990="debated"),"high",IF(AND(AG990="yes",L990="P0"),"medium","low"))</x:f>
        <x:v>high</x:v>
      </x:c>
      <x:c r="AK990" s="12" t="str">
        <x:f>IF(ISNUMBER(SEARCH("healthy",AB990)),"yes","no")</x:f>
        <x:v>no</x:v>
      </x:c>
      <x:c r="AL990" s="12" t="str">
        <x:f>IF(AG990="yes","yes","candidate_only")</x:f>
        <x:v>candidate_only</x:v>
      </x:c>
      <x:c r="AM990" s="12" t="str">
        <x:f>IF(OR(AC990="canonical",AG990="yes"),"yes","recommended")</x:f>
        <x:v>recommended</x:v>
      </x:c>
      <x:c r="AN990" s="12" t="str">
        <x:f>IF(AC990="deprecated","exclude",IF(AND(AG990="yes",AJ990="high"),"import_but_human_review_required",IF(AG990="yes","import_as_active","import_as_backlog")))</x:f>
        <x:v>import_as_backlog</x:v>
      </x:c>
      <x:c r="AO990" s="12" t="str">
        <x:f>IF(AND(AG990="yes",OR(P990="",Q990="",R990="",S990="")),"missing_required_mvp_fields",IF(AND(AC990="canonical",Y990=""),"missing_source_ref","ok"))</x:f>
        <x:v>ok</x:v>
      </x:c>
      <x:c r="AP990" s="12" t="str">
        <x:f>IF(AO990="ok","ready_for_codex_import","needs_review")</x:f>
        <x:v>ready_for_codex_import</x:v>
      </x:c>
      <x:c r="AQ990" s="12"/>
      <x:c r="AR990" s="12" t="str">
        <x:v>Added v2 operational fields. Review before classification activation.</x:v>
      </x:c>
    </x:row>
    <x:row r="991">
      <x:c r="A991" s="13" t="str">
        <x:v>maxim_manner_violation_commitment_variant</x:v>
      </x:c>
      <x:c r="B991" s="13" t="str">
        <x:v>maxim_manner_violation</x:v>
      </x:c>
      <x:c r="C991" s="13" t="str">
        <x:v>Manner maxim issue</x:v>
      </x:c>
      <x:c r="D991" s="13" t="str">
        <x:v>نقص وضوح بیان</x:v>
      </x:c>
      <x:c r="E991" s="13" t="str">
        <x:v>Commitment variant</x:v>
      </x:c>
      <x:c r="F991" s="13" t="str">
        <x:v>discourse_pragmatic_failures</x:v>
      </x:c>
      <x:c r="G991" s="13" t="str">
        <x:v>operational_variant</x:v>
      </x:c>
      <x:c r="H991" s="13" t="str">
        <x:v>discourse</x:v>
      </x:c>
      <x:c r="I991" s="13" t="str">
        <x:v>discourse_segment</x:v>
      </x:c>
      <x:c r="J991" s="13" t="str">
        <x:v>derived_operational_subtype</x:v>
      </x:c>
      <x:c r="K991" s="13" t="str">
        <x:v>derived_from_established_parent_review_required</x:v>
      </x:c>
      <x:c r="L991" s="13" t="str">
        <x:v>P3</x:v>
      </x:c>
      <x:c r="M991" s="13" t="str">
        <x:v>no</x:v>
      </x:c>
      <x:c r="N991" s="13" t="str">
        <x:v>Operational subtype under Manner maxim issue: speaker commitments are inconsistent or selectively revised. Parent definition: Using obscure or disorderly expression that impairs evaluation.</x:v>
      </x:c>
      <x:c r="O991" s="13" t="str">
        <x:v>Look for: explicit claim-level evidence; parent-family cues for Manner maxim issue; variant cue: speaker commitments are inconsistent or selectively revised; avoid author-level inference.</x:v>
      </x:c>
      <x:c r="P991" s="13" t="str">
        <x:v>Exact evidence span in text plus claim-level reasoning link; for contextual/discourse entries, require surrounding context.</x:v>
      </x:c>
      <x:c r="Q991" s="13" t="str">
        <x:v>Do not label merely because topic is controversial, emotional, or wrong. Do not judge intent or personality. Require textual evidence and consider healthy-reasoning cues.</x:v>
      </x:c>
      <x:c r="R991" s="13" t="str">
        <x:v>Stub: A claim relies on speaker commitments are inconsistent or selectively revised to support a conclusion without adequate qualification.</x:v>
      </x:c>
      <x:c r="S991" s="13" t="str">
        <x:v>Stub: A claim discusses manner maxim issue with caveats, balanced evidence, or no argumentative use of the pattern.</x:v>
      </x:c>
      <x:c r="T991" s="13" t="str">
        <x:v>Mild or ambiguous cue; do not classify without clear evidence span.</x:v>
      </x:c>
      <x:c r="U991" s="13" t="str">
        <x:v>Clear claim-level pattern with some argumentative impact.</x:v>
      </x:c>
      <x:c r="V991" s="13" t="str">
        <x:v>Strong pattern central to the conclusion and likely to materially distort reasoning.</x:v>
      </x:c>
      <x:c r="W991" s="13" t="str"/>
      <x:c r="X991" s="13" t="str">
        <x:v>grice_logic_conversation</x:v>
      </x:c>
      <x:c r="Y991" s="13" t="str">
        <x:v>https://doi.org/10.1163/9789004368811_003</x:v>
      </x:c>
      <x:c r="Z991" s="13" t="str">
        <x:v>Review before enabling. This workbook is a living taxonomy scaffold, not a validated scientific benchmark.</x:v>
      </x:c>
      <x:c r="AA991" s="13" t="str">
        <x:v>0.1.0-draft</x:v>
      </x:c>
      <x:c r="AB991" s="12" t="str">
        <x:f>IF(ISNUMBER(SEARCH("healthy",F991)),"healthy_reasoning_patterns",IF(ISNUMBER(SEARCH("statistical",F991)),"statistical_reasoning",IF(ISNUMBER(SEARCH("causal",F991)),"causal_reasoning",IF(ISNUMBER(SEARCH("social",F991)),"social_influence",IF(ISNUMBER(SEARCH("rhetoric",F991)),"rhetoric_discourse",IF(ISNUMBER(SEARCH("behavior",F991)),"behavioural_economics",IF(ISNUMBER(SEARCH("cognitive",F991)),"cognitive_biases",IF(J991="protective_pattern","healthy_reasoning_patterns",IF(L991="P0","core_mvp","extended_fallacies")))))))))</x:f>
        <x:v>extended_fallacies</x:v>
      </x:c>
      <x:c r="AC991" s="12" t="str">
        <x:f>IF(ISNUMBER(SEARCH("operational",J991)),"operational",IF(ISNUMBER(SEARCH("deprecated",J991)),"deprecated",IF(L991="P0","canonical","recognized_subtype")))</x:f>
        <x:v>operational</x:v>
      </x:c>
      <x:c r="AD991" s="12" t="str">
        <x:f>IF(AC991="canonical","high",IF(AC991="recognized_subtype","medium",IF(AC991="operational","operational_only","debated")))</x:f>
        <x:v>operational_only</x:v>
      </x:c>
      <x:c r="AE991" s="12" t="str">
        <x:f>IF(AC991="deprecated","deprecated",IF(M991="yes","active",IF(M991="review","review_required","backlog")))</x:f>
        <x:v>backlog</x:v>
      </x:c>
      <x:c r="AF991" s="12" t="str">
        <x:f>IF(OR(AE991="active",AE991="review_required"),"yes","no")</x:f>
        <x:v>no</x:v>
      </x:c>
      <x:c r="AG991" s="12" t="str">
        <x:f>IF(AND(AE991="active",M991="yes",NOT(ISNUMBER(SEARCH("healthy",AB991)))),"yes","no")</x:f>
        <x:v>no</x:v>
      </x:c>
      <x:c r="AH991" s="12" t="str">
        <x:f>IF(OR(H991="contextual",H991="dialogue",H991="discourse",I991="claim+context",I991="discourse_segment"),"yes","no")</x:f>
        <x:v>yes</x:v>
      </x:c>
      <x:c r="AI991" s="12" t="str">
        <x:f>IF(OR(AH991="yes",AD991="debated",AC991="operational"),"yes","no")</x:f>
        <x:v>yes</x:v>
      </x:c>
      <x:c r="AJ991" s="12" t="str">
        <x:f>IF(OR(AH991="yes",AC991="operational",AD991="debated"),"high",IF(AND(AG991="yes",L991="P0"),"medium","low"))</x:f>
        <x:v>high</x:v>
      </x:c>
      <x:c r="AK991" s="12" t="str">
        <x:f>IF(ISNUMBER(SEARCH("healthy",AB991)),"yes","no")</x:f>
        <x:v>no</x:v>
      </x:c>
      <x:c r="AL991" s="12" t="str">
        <x:f>IF(AG991="yes","yes","candidate_only")</x:f>
        <x:v>candidate_only</x:v>
      </x:c>
      <x:c r="AM991" s="12" t="str">
        <x:f>IF(OR(AC991="canonical",AG991="yes"),"yes","recommended")</x:f>
        <x:v>recommended</x:v>
      </x:c>
      <x:c r="AN991" s="12" t="str">
        <x:f>IF(AC991="deprecated","exclude",IF(AND(AG991="yes",AJ991="high"),"import_but_human_review_required",IF(AG991="yes","import_as_active","import_as_backlog")))</x:f>
        <x:v>import_as_backlog</x:v>
      </x:c>
      <x:c r="AO991" s="12" t="str">
        <x:f>IF(AND(AG991="yes",OR(P991="",Q991="",R991="",S991="")),"missing_required_mvp_fields",IF(AND(AC991="canonical",Y991=""),"missing_source_ref","ok"))</x:f>
        <x:v>ok</x:v>
      </x:c>
      <x:c r="AP991" s="12" t="str">
        <x:f>IF(AO991="ok","ready_for_codex_import","needs_review")</x:f>
        <x:v>ready_for_codex_import</x:v>
      </x:c>
      <x:c r="AQ991" s="12"/>
      <x:c r="AR991" s="12" t="str">
        <x:v>Added v2 operational fields. Review before classification activation.</x:v>
      </x:c>
    </x:row>
    <x:row r="992">
      <x:c r="A992" s="13" t="str">
        <x:v>topic_derailment_clarity_variant</x:v>
      </x:c>
      <x:c r="B992" s="13" t="str">
        <x:v>topic_derailment</x:v>
      </x:c>
      <x:c r="C992" s="13" t="str">
        <x:v>Topic derailment</x:v>
      </x:c>
      <x:c r="D992" s="13" t="str">
        <x:v>خروج از موضوع</x:v>
      </x:c>
      <x:c r="E992" s="13" t="str">
        <x:v>Clarity variant</x:v>
      </x:c>
      <x:c r="F992" s="13" t="str">
        <x:v>discourse_pragmatic_failures</x:v>
      </x:c>
      <x:c r="G992" s="13" t="str">
        <x:v>operational_variant</x:v>
      </x:c>
      <x:c r="H992" s="13" t="str">
        <x:v>dialogue</x:v>
      </x:c>
      <x:c r="I992" s="13" t="str">
        <x:v>discourse_segment</x:v>
      </x:c>
      <x:c r="J992" s="13" t="str">
        <x:v>derived_operational_subtype</x:v>
      </x:c>
      <x:c r="K992" s="13" t="str">
        <x:v>derived_from_established_parent_review_required</x:v>
      </x:c>
      <x:c r="L992" s="13" t="str">
        <x:v>P3</x:v>
      </x:c>
      <x:c r="M992" s="13" t="str">
        <x:v>no</x:v>
      </x:c>
      <x:c r="N992" s="13" t="str">
        <x:v>Operational subtype under Topic derailment: ambiguity or obscurity blocks fair assessment. Parent definition: Moving discussion away from the claim under evaluation.</x:v>
      </x:c>
      <x:c r="O992" s="13" t="str">
        <x:v>Look for: explicit claim-level evidence; parent-family cues for Topic derailment; variant cue: ambiguity or obscurity blocks fair assessment; avoid author-level inference.</x:v>
      </x:c>
      <x:c r="P992" s="13" t="str">
        <x:v>Exact evidence span in text plus claim-level reasoning link; for contextual/discourse entries, require surrounding context.</x:v>
      </x:c>
      <x:c r="Q992" s="13" t="str">
        <x:v>Do not label merely because topic is controversial, emotional, or wrong. Do not judge intent or personality. Require textual evidence and consider healthy-reasoning cues.</x:v>
      </x:c>
      <x:c r="R992" s="13" t="str">
        <x:v>Stub: A claim relies on ambiguity or obscurity blocks fair assessment to support a conclusion without adequate qualification.</x:v>
      </x:c>
      <x:c r="S992" s="13" t="str">
        <x:v>Stub: A claim discusses topic derailment with caveats, balanced evidence, or no argumentative use of the pattern.</x:v>
      </x:c>
      <x:c r="T992" s="13" t="str">
        <x:v>Mild or ambiguous cue; do not classify without clear evidence span.</x:v>
      </x:c>
      <x:c r="U992" s="13" t="str">
        <x:v>Clear claim-level pattern with some argumentative impact.</x:v>
      </x:c>
      <x:c r="V992" s="13" t="str">
        <x:v>Strong pattern central to the conclusion and likely to materially distort reasoning.</x:v>
      </x:c>
      <x:c r="W992" s="13" t="str"/>
      <x:c r="X992" s="13" t="str">
        <x:v>pragmadialectics</x:v>
      </x:c>
      <x:c r="Y992" s="13" t="str">
        <x:v>https://doi.org/10.1017/CBO9780511616389</x:v>
      </x:c>
      <x:c r="Z992" s="13" t="str">
        <x:v>Review before enabling. This workbook is a living taxonomy scaffold, not a validated scientific benchmark.</x:v>
      </x:c>
      <x:c r="AA992" s="13" t="str">
        <x:v>0.1.0-draft</x:v>
      </x:c>
      <x:c r="AB992" s="12" t="str">
        <x:f>IF(ISNUMBER(SEARCH("healthy",F992)),"healthy_reasoning_patterns",IF(ISNUMBER(SEARCH("statistical",F992)),"statistical_reasoning",IF(ISNUMBER(SEARCH("causal",F992)),"causal_reasoning",IF(ISNUMBER(SEARCH("social",F992)),"social_influence",IF(ISNUMBER(SEARCH("rhetoric",F992)),"rhetoric_discourse",IF(ISNUMBER(SEARCH("behavior",F992)),"behavioural_economics",IF(ISNUMBER(SEARCH("cognitive",F992)),"cognitive_biases",IF(J992="protective_pattern","healthy_reasoning_patterns",IF(L992="P0","core_mvp","extended_fallacies")))))))))</x:f>
        <x:v>extended_fallacies</x:v>
      </x:c>
      <x:c r="AC992" s="12" t="str">
        <x:f>IF(ISNUMBER(SEARCH("operational",J992)),"operational",IF(ISNUMBER(SEARCH("deprecated",J992)),"deprecated",IF(L992="P0","canonical","recognized_subtype")))</x:f>
        <x:v>operational</x:v>
      </x:c>
      <x:c r="AD992" s="12" t="str">
        <x:f>IF(AC992="canonical","high",IF(AC992="recognized_subtype","medium",IF(AC992="operational","operational_only","debated")))</x:f>
        <x:v>operational_only</x:v>
      </x:c>
      <x:c r="AE992" s="12" t="str">
        <x:f>IF(AC992="deprecated","deprecated",IF(M992="yes","active",IF(M992="review","review_required","backlog")))</x:f>
        <x:v>backlog</x:v>
      </x:c>
      <x:c r="AF992" s="12" t="str">
        <x:f>IF(OR(AE992="active",AE992="review_required"),"yes","no")</x:f>
        <x:v>no</x:v>
      </x:c>
      <x:c r="AG992" s="12" t="str">
        <x:f>IF(AND(AE992="active",M992="yes",NOT(ISNUMBER(SEARCH("healthy",AB992)))),"yes","no")</x:f>
        <x:v>no</x:v>
      </x:c>
      <x:c r="AH992" s="12" t="str">
        <x:f>IF(OR(H992="contextual",H992="dialogue",H992="discourse",I992="claim+context",I992="discourse_segment"),"yes","no")</x:f>
        <x:v>yes</x:v>
      </x:c>
      <x:c r="AI992" s="12" t="str">
        <x:f>IF(OR(AH992="yes",AD992="debated",AC992="operational"),"yes","no")</x:f>
        <x:v>yes</x:v>
      </x:c>
      <x:c r="AJ992" s="12" t="str">
        <x:f>IF(OR(AH992="yes",AC992="operational",AD992="debated"),"high",IF(AND(AG992="yes",L992="P0"),"medium","low"))</x:f>
        <x:v>high</x:v>
      </x:c>
      <x:c r="AK992" s="12" t="str">
        <x:f>IF(ISNUMBER(SEARCH("healthy",AB992)),"yes","no")</x:f>
        <x:v>no</x:v>
      </x:c>
      <x:c r="AL992" s="12" t="str">
        <x:f>IF(AG992="yes","yes","candidate_only")</x:f>
        <x:v>candidate_only</x:v>
      </x:c>
      <x:c r="AM992" s="12" t="str">
        <x:f>IF(OR(AC992="canonical",AG992="yes"),"yes","recommended")</x:f>
        <x:v>recommended</x:v>
      </x:c>
      <x:c r="AN992" s="12" t="str">
        <x:f>IF(AC992="deprecated","exclude",IF(AND(AG992="yes",AJ992="high"),"import_but_human_review_required",IF(AG992="yes","import_as_active","import_as_backlog")))</x:f>
        <x:v>import_as_backlog</x:v>
      </x:c>
      <x:c r="AO992" s="12" t="str">
        <x:f>IF(AND(AG992="yes",OR(P992="",Q992="",R992="",S992="")),"missing_required_mvp_fields",IF(AND(AC992="canonical",Y992=""),"missing_source_ref","ok"))</x:f>
        <x:v>ok</x:v>
      </x:c>
      <x:c r="AP992" s="12" t="str">
        <x:f>IF(AO992="ok","ready_for_codex_import","needs_review")</x:f>
        <x:v>ready_for_codex_import</x:v>
      </x:c>
      <x:c r="AQ992" s="12"/>
      <x:c r="AR992" s="12" t="str">
        <x:v>Added v2 operational fields. Review before classification activation.</x:v>
      </x:c>
    </x:row>
    <x:row r="993">
      <x:c r="A993" s="13" t="str">
        <x:v>commitment_inconsistency_clarity_variant</x:v>
      </x:c>
      <x:c r="B993" s="13" t="str">
        <x:v>commitment_inconsistency</x:v>
      </x:c>
      <x:c r="C993" s="13" t="str">
        <x:v>Commitment inconsistency</x:v>
      </x:c>
      <x:c r="D993" s="13" t="str">
        <x:v>ناسازگاری تعهدات</x:v>
      </x:c>
      <x:c r="E993" s="13" t="str">
        <x:v>Clarity variant</x:v>
      </x:c>
      <x:c r="F993" s="13" t="str">
        <x:v>discourse_pragmatic_failures</x:v>
      </x:c>
      <x:c r="G993" s="13" t="str">
        <x:v>operational_variant</x:v>
      </x:c>
      <x:c r="H993" s="13" t="str">
        <x:v>dialogue</x:v>
      </x:c>
      <x:c r="I993" s="13" t="str">
        <x:v>discourse_segment</x:v>
      </x:c>
      <x:c r="J993" s="13" t="str">
        <x:v>derived_operational_subtype</x:v>
      </x:c>
      <x:c r="K993" s="13" t="str">
        <x:v>derived_from_established_parent_review_required</x:v>
      </x:c>
      <x:c r="L993" s="13" t="str">
        <x:v>P3</x:v>
      </x:c>
      <x:c r="M993" s="13" t="str">
        <x:v>no</x:v>
      </x:c>
      <x:c r="N993" s="13" t="str">
        <x:v>Operational subtype under Commitment inconsistency: ambiguity or obscurity blocks fair assessment. Parent definition: Maintaining claims that conflict with previously accepted commitments.</x:v>
      </x:c>
      <x:c r="O993" s="13" t="str">
        <x:v>Look for: explicit claim-level evidence; parent-family cues for Commitment inconsistency; variant cue: ambiguity or obscurity blocks fair assessment; avoid author-level inference.</x:v>
      </x:c>
      <x:c r="P993" s="13" t="str">
        <x:v>Exact evidence span in text plus claim-level reasoning link; for contextual/discourse entries, require surrounding context.</x:v>
      </x:c>
      <x:c r="Q993" s="13" t="str">
        <x:v>Do not label merely because topic is controversial, emotional, or wrong. Do not judge intent or personality. Require textual evidence and consider healthy-reasoning cues.</x:v>
      </x:c>
      <x:c r="R993" s="13" t="str">
        <x:v>Stub: A claim relies on ambiguity or obscurity blocks fair assessment to support a conclusion without adequate qualification.</x:v>
      </x:c>
      <x:c r="S993" s="13" t="str">
        <x:v>Stub: A claim discusses commitment inconsistency with caveats, balanced evidence, or no argumentative use of the pattern.</x:v>
      </x:c>
      <x:c r="T993" s="13" t="str">
        <x:v>Mild or ambiguous cue; do not classify without clear evidence span.</x:v>
      </x:c>
      <x:c r="U993" s="13" t="str">
        <x:v>Clear claim-level pattern with some argumentative impact.</x:v>
      </x:c>
      <x:c r="V993" s="13" t="str">
        <x:v>Strong pattern central to the conclusion and likely to materially distort reasoning.</x:v>
      </x:c>
      <x:c r="W993" s="13" t="str"/>
      <x:c r="X993" s="13" t="str">
        <x:v>pragmadialectics</x:v>
      </x:c>
      <x:c r="Y993" s="13" t="str">
        <x:v>https://doi.org/10.1017/CBO9780511616389</x:v>
      </x:c>
      <x:c r="Z993" s="13" t="str">
        <x:v>Review before enabling. This workbook is a living taxonomy scaffold, not a validated scientific benchmark.</x:v>
      </x:c>
      <x:c r="AA993" s="13" t="str">
        <x:v>0.1.0-draft</x:v>
      </x:c>
      <x:c r="AB993" s="12" t="str">
        <x:f>IF(ISNUMBER(SEARCH("healthy",F993)),"healthy_reasoning_patterns",IF(ISNUMBER(SEARCH("statistical",F993)),"statistical_reasoning",IF(ISNUMBER(SEARCH("causal",F993)),"causal_reasoning",IF(ISNUMBER(SEARCH("social",F993)),"social_influence",IF(ISNUMBER(SEARCH("rhetoric",F993)),"rhetoric_discourse",IF(ISNUMBER(SEARCH("behavior",F993)),"behavioural_economics",IF(ISNUMBER(SEARCH("cognitive",F993)),"cognitive_biases",IF(J993="protective_pattern","healthy_reasoning_patterns",IF(L993="P0","core_mvp","extended_fallacies")))))))))</x:f>
        <x:v>extended_fallacies</x:v>
      </x:c>
      <x:c r="AC993" s="12" t="str">
        <x:f>IF(ISNUMBER(SEARCH("operational",J993)),"operational",IF(ISNUMBER(SEARCH("deprecated",J993)),"deprecated",IF(L993="P0","canonical","recognized_subtype")))</x:f>
        <x:v>operational</x:v>
      </x:c>
      <x:c r="AD993" s="12" t="str">
        <x:f>IF(AC993="canonical","high",IF(AC993="recognized_subtype","medium",IF(AC993="operational","operational_only","debated")))</x:f>
        <x:v>operational_only</x:v>
      </x:c>
      <x:c r="AE993" s="12" t="str">
        <x:f>IF(AC993="deprecated","deprecated",IF(M993="yes","active",IF(M993="review","review_required","backlog")))</x:f>
        <x:v>backlog</x:v>
      </x:c>
      <x:c r="AF993" s="12" t="str">
        <x:f>IF(OR(AE993="active",AE993="review_required"),"yes","no")</x:f>
        <x:v>no</x:v>
      </x:c>
      <x:c r="AG993" s="12" t="str">
        <x:f>IF(AND(AE993="active",M993="yes",NOT(ISNUMBER(SEARCH("healthy",AB993)))),"yes","no")</x:f>
        <x:v>no</x:v>
      </x:c>
      <x:c r="AH993" s="12" t="str">
        <x:f>IF(OR(H993="contextual",H993="dialogue",H993="discourse",I993="claim+context",I993="discourse_segment"),"yes","no")</x:f>
        <x:v>yes</x:v>
      </x:c>
      <x:c r="AI993" s="12" t="str">
        <x:f>IF(OR(AH993="yes",AD993="debated",AC993="operational"),"yes","no")</x:f>
        <x:v>yes</x:v>
      </x:c>
      <x:c r="AJ993" s="12" t="str">
        <x:f>IF(OR(AH993="yes",AC993="operational",AD993="debated"),"high",IF(AND(AG993="yes",L993="P0"),"medium","low"))</x:f>
        <x:v>high</x:v>
      </x:c>
      <x:c r="AK993" s="12" t="str">
        <x:f>IF(ISNUMBER(SEARCH("healthy",AB993)),"yes","no")</x:f>
        <x:v>no</x:v>
      </x:c>
      <x:c r="AL993" s="12" t="str">
        <x:f>IF(AG993="yes","yes","candidate_only")</x:f>
        <x:v>candidate_only</x:v>
      </x:c>
      <x:c r="AM993" s="12" t="str">
        <x:f>IF(OR(AC993="canonical",AG993="yes"),"yes","recommended")</x:f>
        <x:v>recommended</x:v>
      </x:c>
      <x:c r="AN993" s="12" t="str">
        <x:f>IF(AC993="deprecated","exclude",IF(AND(AG993="yes",AJ993="high"),"import_but_human_review_required",IF(AG993="yes","import_as_active","import_as_backlog")))</x:f>
        <x:v>import_as_backlog</x:v>
      </x:c>
      <x:c r="AO993" s="12" t="str">
        <x:f>IF(AND(AG993="yes",OR(P993="",Q993="",R993="",S993="")),"missing_required_mvp_fields",IF(AND(AC993="canonical",Y993=""),"missing_source_ref","ok"))</x:f>
        <x:v>ok</x:v>
      </x:c>
      <x:c r="AP993" s="12" t="str">
        <x:f>IF(AO993="ok","ready_for_codex_import","needs_review")</x:f>
        <x:v>ready_for_codex_import</x:v>
      </x:c>
      <x:c r="AQ993" s="12"/>
      <x:c r="AR993" s="12" t="str">
        <x:v>Added v2 operational fields. Review before classification activation.</x:v>
      </x:c>
    </x:row>
    <x:row r="994">
      <x:c r="A994" s="13" t="str">
        <x:v>unanswered_critical_question_clarity_variant</x:v>
      </x:c>
      <x:c r="B994" s="13" t="str">
        <x:v>unanswered_critical_question</x:v>
      </x:c>
      <x:c r="C994" s="13" t="str">
        <x:v>Unanswered critical question</x:v>
      </x:c>
      <x:c r="D994" s="13" t="str">
        <x:v>پرسش انتقادی بی‌پاسخ</x:v>
      </x:c>
      <x:c r="E994" s="13" t="str">
        <x:v>Clarity variant</x:v>
      </x:c>
      <x:c r="F994" s="13" t="str">
        <x:v>discourse_pragmatic_failures</x:v>
      </x:c>
      <x:c r="G994" s="13" t="str">
        <x:v>operational_variant</x:v>
      </x:c>
      <x:c r="H994" s="13" t="str">
        <x:v>dialogue</x:v>
      </x:c>
      <x:c r="I994" s="13" t="str">
        <x:v>discourse_segment</x:v>
      </x:c>
      <x:c r="J994" s="13" t="str">
        <x:v>derived_operational_subtype</x:v>
      </x:c>
      <x:c r="K994" s="13" t="str">
        <x:v>derived_from_established_parent_review_required</x:v>
      </x:c>
      <x:c r="L994" s="13" t="str">
        <x:v>P3</x:v>
      </x:c>
      <x:c r="M994" s="13" t="str">
        <x:v>no</x:v>
      </x:c>
      <x:c r="N994" s="13" t="str">
        <x:v>Operational subtype under Unanswered critical question: ambiguity or obscurity blocks fair assessment. Parent definition: Ignoring critical questions required by an argument scheme.</x:v>
      </x:c>
      <x:c r="O994" s="13" t="str">
        <x:v>Look for: explicit claim-level evidence; parent-family cues for Unanswered critical question; variant cue: ambiguity or obscurity blocks fair assessment; avoid author-level inference.</x:v>
      </x:c>
      <x:c r="P994" s="13" t="str">
        <x:v>Exact evidence span in text plus claim-level reasoning link; for contextual/discourse entries, require surrounding context.</x:v>
      </x:c>
      <x:c r="Q994" s="13" t="str">
        <x:v>Do not label merely because topic is controversial, emotional, or wrong. Do not judge intent or personality. Require textual evidence and consider healthy-reasoning cues.</x:v>
      </x:c>
      <x:c r="R994" s="13" t="str">
        <x:v>Stub: A claim relies on ambiguity or obscurity blocks fair assessment to support a conclusion without adequate qualification.</x:v>
      </x:c>
      <x:c r="S994" s="13" t="str">
        <x:v>Stub: A claim discusses unanswered critical question with caveats, balanced evidence, or no argumentative use of the pattern.</x:v>
      </x:c>
      <x:c r="T994" s="13" t="str">
        <x:v>Mild or ambiguous cue; do not classify without clear evidence span.</x:v>
      </x:c>
      <x:c r="U994" s="13" t="str">
        <x:v>Clear claim-level pattern with some argumentative impact.</x:v>
      </x:c>
      <x:c r="V994" s="13" t="str">
        <x:v>Strong pattern central to the conclusion and likely to materially distort reasoning.</x:v>
      </x:c>
      <x:c r="W994" s="13" t="str"/>
      <x:c r="X994" s="13" t="str">
        <x:v>walton_argumentation_schemes</x:v>
      </x:c>
      <x:c r="Y994" s="13" t="str">
        <x:v>https://www.cambridge.org/core/books/argumentation-schemes/1D013BFA2695C72B14134F2C38B17B85</x:v>
      </x:c>
      <x:c r="Z994" s="13" t="str">
        <x:v>Review before enabling. This workbook is a living taxonomy scaffold, not a validated scientific benchmark.</x:v>
      </x:c>
      <x:c r="AA994" s="13" t="str">
        <x:v>0.1.0-draft</x:v>
      </x:c>
      <x:c r="AB994" s="12" t="str">
        <x:f>IF(ISNUMBER(SEARCH("healthy",F994)),"healthy_reasoning_patterns",IF(ISNUMBER(SEARCH("statistical",F994)),"statistical_reasoning",IF(ISNUMBER(SEARCH("causal",F994)),"causal_reasoning",IF(ISNUMBER(SEARCH("social",F994)),"social_influence",IF(ISNUMBER(SEARCH("rhetoric",F994)),"rhetoric_discourse",IF(ISNUMBER(SEARCH("behavior",F994)),"behavioural_economics",IF(ISNUMBER(SEARCH("cognitive",F994)),"cognitive_biases",IF(J994="protective_pattern","healthy_reasoning_patterns",IF(L994="P0","core_mvp","extended_fallacies")))))))))</x:f>
        <x:v>extended_fallacies</x:v>
      </x:c>
      <x:c r="AC994" s="12" t="str">
        <x:f>IF(ISNUMBER(SEARCH("operational",J994)),"operational",IF(ISNUMBER(SEARCH("deprecated",J994)),"deprecated",IF(L994="P0","canonical","recognized_subtype")))</x:f>
        <x:v>operational</x:v>
      </x:c>
      <x:c r="AD994" s="12" t="str">
        <x:f>IF(AC994="canonical","high",IF(AC994="recognized_subtype","medium",IF(AC994="operational","operational_only","debated")))</x:f>
        <x:v>operational_only</x:v>
      </x:c>
      <x:c r="AE994" s="12" t="str">
        <x:f>IF(AC994="deprecated","deprecated",IF(M994="yes","active",IF(M994="review","review_required","backlog")))</x:f>
        <x:v>backlog</x:v>
      </x:c>
      <x:c r="AF994" s="12" t="str">
        <x:f>IF(OR(AE994="active",AE994="review_required"),"yes","no")</x:f>
        <x:v>no</x:v>
      </x:c>
      <x:c r="AG994" s="12" t="str">
        <x:f>IF(AND(AE994="active",M994="yes",NOT(ISNUMBER(SEARCH("healthy",AB994)))),"yes","no")</x:f>
        <x:v>no</x:v>
      </x:c>
      <x:c r="AH994" s="12" t="str">
        <x:f>IF(OR(H994="contextual",H994="dialogue",H994="discourse",I994="claim+context",I994="discourse_segment"),"yes","no")</x:f>
        <x:v>yes</x:v>
      </x:c>
      <x:c r="AI994" s="12" t="str">
        <x:f>IF(OR(AH994="yes",AD994="debated",AC994="operational"),"yes","no")</x:f>
        <x:v>yes</x:v>
      </x:c>
      <x:c r="AJ994" s="12" t="str">
        <x:f>IF(OR(AH994="yes",AC994="operational",AD994="debated"),"high",IF(AND(AG994="yes",L994="P0"),"medium","low"))</x:f>
        <x:v>high</x:v>
      </x:c>
      <x:c r="AK994" s="12" t="str">
        <x:f>IF(ISNUMBER(SEARCH("healthy",AB994)),"yes","no")</x:f>
        <x:v>no</x:v>
      </x:c>
      <x:c r="AL994" s="12" t="str">
        <x:f>IF(AG994="yes","yes","candidate_only")</x:f>
        <x:v>candidate_only</x:v>
      </x:c>
      <x:c r="AM994" s="12" t="str">
        <x:f>IF(OR(AC994="canonical",AG994="yes"),"yes","recommended")</x:f>
        <x:v>recommended</x:v>
      </x:c>
      <x:c r="AN994" s="12" t="str">
        <x:f>IF(AC994="deprecated","exclude",IF(AND(AG994="yes",AJ994="high"),"import_but_human_review_required",IF(AG994="yes","import_as_active","import_as_backlog")))</x:f>
        <x:v>import_as_backlog</x:v>
      </x:c>
      <x:c r="AO994" s="12" t="str">
        <x:f>IF(AND(AG994="yes",OR(P994="",Q994="",R994="",S994="")),"missing_required_mvp_fields",IF(AND(AC994="canonical",Y994=""),"missing_source_ref","ok"))</x:f>
        <x:v>ok</x:v>
      </x:c>
      <x:c r="AP994" s="12" t="str">
        <x:f>IF(AO994="ok","ready_for_codex_import","needs_review")</x:f>
        <x:v>ready_for_codex_import</x:v>
      </x:c>
      <x:c r="AQ994" s="12"/>
      <x:c r="AR994" s="12" t="str">
        <x:v>Added v2 operational fields. Review before classification activation.</x:v>
      </x:c>
    </x:row>
    <x:row r="995">
      <x:c r="A995" s="13" t="str">
        <x:v>premature_closure_clarity_variant</x:v>
      </x:c>
      <x:c r="B995" s="13" t="str">
        <x:v>premature_closure</x:v>
      </x:c>
      <x:c r="C995" s="13" t="str">
        <x:v>Premature closure</x:v>
      </x:c>
      <x:c r="D995" s="13" t="str">
        <x:v>بستن زودهنگام بحث</x:v>
      </x:c>
      <x:c r="E995" s="13" t="str">
        <x:v>Clarity variant</x:v>
      </x:c>
      <x:c r="F995" s="13" t="str">
        <x:v>discourse_pragmatic_failures</x:v>
      </x:c>
      <x:c r="G995" s="13" t="str">
        <x:v>operational_variant</x:v>
      </x:c>
      <x:c r="H995" s="13" t="str">
        <x:v>dialogue</x:v>
      </x:c>
      <x:c r="I995" s="13" t="str">
        <x:v>discourse_segment</x:v>
      </x:c>
      <x:c r="J995" s="13" t="str">
        <x:v>derived_operational_subtype</x:v>
      </x:c>
      <x:c r="K995" s="13" t="str">
        <x:v>derived_from_established_parent_review_required</x:v>
      </x:c>
      <x:c r="L995" s="13" t="str">
        <x:v>P3</x:v>
      </x:c>
      <x:c r="M995" s="13" t="str">
        <x:v>no</x:v>
      </x:c>
      <x:c r="N995" s="13" t="str">
        <x:v>Operational subtype under Premature closure: ambiguity or obscurity blocks fair assessment. Parent definition: Ending inquiry before relevant objections or alternatives are considered.</x:v>
      </x:c>
      <x:c r="O995" s="13" t="str">
        <x:v>Look for: explicit claim-level evidence; parent-family cues for Premature closure; variant cue: ambiguity or obscurity blocks fair assessment; avoid author-level inference.</x:v>
      </x:c>
      <x:c r="P995" s="13" t="str">
        <x:v>Exact evidence span in text plus claim-level reasoning link; for contextual/discourse entries, require surrounding context.</x:v>
      </x:c>
      <x:c r="Q995" s="13" t="str">
        <x:v>Do not label merely because topic is controversial, emotional, or wrong. Do not judge intent or personality. Require textual evidence and consider healthy-reasoning cues.</x:v>
      </x:c>
      <x:c r="R995" s="13" t="str">
        <x:v>Stub: A claim relies on ambiguity or obscurity blocks fair assessment to support a conclusion without adequate qualification.</x:v>
      </x:c>
      <x:c r="S995" s="13" t="str">
        <x:v>Stub: A claim discusses premature closure with caveats, balanced evidence, or no argumentative use of the pattern.</x:v>
      </x:c>
      <x:c r="T995" s="13" t="str">
        <x:v>Mild or ambiguous cue; do not classify without clear evidence span.</x:v>
      </x:c>
      <x:c r="U995" s="13" t="str">
        <x:v>Clear claim-level pattern with some argumentative impact.</x:v>
      </x:c>
      <x:c r="V995" s="13" t="str">
        <x:v>Strong pattern central to the conclusion and likely to materially distort reasoning.</x:v>
      </x:c>
      <x:c r="W995" s="13" t="str"/>
      <x:c r="X995" s="13" t="str">
        <x:v>pragmadialectics</x:v>
      </x:c>
      <x:c r="Y995" s="13" t="str">
        <x:v>https://doi.org/10.1017/CBO9780511616389</x:v>
      </x:c>
      <x:c r="Z995" s="13" t="str">
        <x:v>Review before enabling. This workbook is a living taxonomy scaffold, not a validated scientific benchmark.</x:v>
      </x:c>
      <x:c r="AA995" s="13" t="str">
        <x:v>0.1.0-draft</x:v>
      </x:c>
      <x:c r="AB995" s="12" t="str">
        <x:f>IF(ISNUMBER(SEARCH("healthy",F995)),"healthy_reasoning_patterns",IF(ISNUMBER(SEARCH("statistical",F995)),"statistical_reasoning",IF(ISNUMBER(SEARCH("causal",F995)),"causal_reasoning",IF(ISNUMBER(SEARCH("social",F995)),"social_influence",IF(ISNUMBER(SEARCH("rhetoric",F995)),"rhetoric_discourse",IF(ISNUMBER(SEARCH("behavior",F995)),"behavioural_economics",IF(ISNUMBER(SEARCH("cognitive",F995)),"cognitive_biases",IF(J995="protective_pattern","healthy_reasoning_patterns",IF(L995="P0","core_mvp","extended_fallacies")))))))))</x:f>
        <x:v>extended_fallacies</x:v>
      </x:c>
      <x:c r="AC995" s="12" t="str">
        <x:f>IF(ISNUMBER(SEARCH("operational",J995)),"operational",IF(ISNUMBER(SEARCH("deprecated",J995)),"deprecated",IF(L995="P0","canonical","recognized_subtype")))</x:f>
        <x:v>operational</x:v>
      </x:c>
      <x:c r="AD995" s="12" t="str">
        <x:f>IF(AC995="canonical","high",IF(AC995="recognized_subtype","medium",IF(AC995="operational","operational_only","debated")))</x:f>
        <x:v>operational_only</x:v>
      </x:c>
      <x:c r="AE995" s="12" t="str">
        <x:f>IF(AC995="deprecated","deprecated",IF(M995="yes","active",IF(M995="review","review_required","backlog")))</x:f>
        <x:v>backlog</x:v>
      </x:c>
      <x:c r="AF995" s="12" t="str">
        <x:f>IF(OR(AE995="active",AE995="review_required"),"yes","no")</x:f>
        <x:v>no</x:v>
      </x:c>
      <x:c r="AG995" s="12" t="str">
        <x:f>IF(AND(AE995="active",M995="yes",NOT(ISNUMBER(SEARCH("healthy",AB995)))),"yes","no")</x:f>
        <x:v>no</x:v>
      </x:c>
      <x:c r="AH995" s="12" t="str">
        <x:f>IF(OR(H995="contextual",H995="dialogue",H995="discourse",I995="claim+context",I995="discourse_segment"),"yes","no")</x:f>
        <x:v>yes</x:v>
      </x:c>
      <x:c r="AI995" s="12" t="str">
        <x:f>IF(OR(AH995="yes",AD995="debated",AC995="operational"),"yes","no")</x:f>
        <x:v>yes</x:v>
      </x:c>
      <x:c r="AJ995" s="12" t="str">
        <x:f>IF(OR(AH995="yes",AC995="operational",AD995="debated"),"high",IF(AND(AG995="yes",L995="P0"),"medium","low"))</x:f>
        <x:v>high</x:v>
      </x:c>
      <x:c r="AK995" s="12" t="str">
        <x:f>IF(ISNUMBER(SEARCH("healthy",AB995)),"yes","no")</x:f>
        <x:v>no</x:v>
      </x:c>
      <x:c r="AL995" s="12" t="str">
        <x:f>IF(AG995="yes","yes","candidate_only")</x:f>
        <x:v>candidate_only</x:v>
      </x:c>
      <x:c r="AM995" s="12" t="str">
        <x:f>IF(OR(AC995="canonical",AG995="yes"),"yes","recommended")</x:f>
        <x:v>recommended</x:v>
      </x:c>
      <x:c r="AN995" s="12" t="str">
        <x:f>IF(AC995="deprecated","exclude",IF(AND(AG995="yes",AJ995="high"),"import_but_human_review_required",IF(AG995="yes","import_as_active","import_as_backlog")))</x:f>
        <x:v>import_as_backlog</x:v>
      </x:c>
      <x:c r="AO995" s="12" t="str">
        <x:f>IF(AND(AG995="yes",OR(P995="",Q995="",R995="",S995="")),"missing_required_mvp_fields",IF(AND(AC995="canonical",Y995=""),"missing_source_ref","ok"))</x:f>
        <x:v>ok</x:v>
      </x:c>
      <x:c r="AP995" s="12" t="str">
        <x:f>IF(AO995="ok","ready_for_codex_import","needs_review")</x:f>
        <x:v>ready_for_codex_import</x:v>
      </x:c>
      <x:c r="AQ995" s="12"/>
      <x:c r="AR995" s="12" t="str">
        <x:v>Added v2 operational fields. Review before classification activation.</x:v>
      </x:c>
    </x:row>
    <x:row r="996">
      <x:c r="A996" s="13" t="str">
        <x:v>criterion_shifting_clarity_variant</x:v>
      </x:c>
      <x:c r="B996" s="13" t="str">
        <x:v>criterion_shifting</x:v>
      </x:c>
      <x:c r="C996" s="13" t="str">
        <x:v>Criterion shifting</x:v>
      </x:c>
      <x:c r="D996" s="13" t="str">
        <x:v>تغییر معیار</x:v>
      </x:c>
      <x:c r="E996" s="13" t="str">
        <x:v>Clarity variant</x:v>
      </x:c>
      <x:c r="F996" s="13" t="str">
        <x:v>discourse_pragmatic_failures</x:v>
      </x:c>
      <x:c r="G996" s="13" t="str">
        <x:v>operational_variant</x:v>
      </x:c>
      <x:c r="H996" s="13" t="str">
        <x:v>dialogue</x:v>
      </x:c>
      <x:c r="I996" s="13" t="str">
        <x:v>discourse_segment</x:v>
      </x:c>
      <x:c r="J996" s="13" t="str">
        <x:v>derived_operational_subtype</x:v>
      </x:c>
      <x:c r="K996" s="13" t="str">
        <x:v>derived_from_established_parent_review_required</x:v>
      </x:c>
      <x:c r="L996" s="13" t="str">
        <x:v>P3</x:v>
      </x:c>
      <x:c r="M996" s="13" t="str">
        <x:v>no</x:v>
      </x:c>
      <x:c r="N996" s="13" t="str">
        <x:v>Operational subtype under Criterion shifting: ambiguity or obscurity blocks fair assessment. Parent definition: Changing evaluation criteria without stating the change.</x:v>
      </x:c>
      <x:c r="O996" s="13" t="str">
        <x:v>Look for: explicit claim-level evidence; parent-family cues for Criterion shifting; variant cue: ambiguity or obscurity blocks fair assessment; avoid author-level inference.</x:v>
      </x:c>
      <x:c r="P996" s="13" t="str">
        <x:v>Exact evidence span in text plus claim-level reasoning link; for contextual/discourse entries, require surrounding context.</x:v>
      </x:c>
      <x:c r="Q996" s="13" t="str">
        <x:v>Do not label merely because topic is controversial, emotional, or wrong. Do not judge intent or personality. Require textual evidence and consider healthy-reasoning cues.</x:v>
      </x:c>
      <x:c r="R996" s="13" t="str">
        <x:v>Stub: A claim relies on ambiguity or obscurity blocks fair assessment to support a conclusion without adequate qualification.</x:v>
      </x:c>
      <x:c r="S996" s="13" t="str">
        <x:v>Stub: A claim discusses criterion shifting with caveats, balanced evidence, or no argumentative use of the pattern.</x:v>
      </x:c>
      <x:c r="T996" s="13" t="str">
        <x:v>Mild or ambiguous cue; do not classify without clear evidence span.</x:v>
      </x:c>
      <x:c r="U996" s="13" t="str">
        <x:v>Clear claim-level pattern with some argumentative impact.</x:v>
      </x:c>
      <x:c r="V996" s="13" t="str">
        <x:v>Strong pattern central to the conclusion and likely to materially distort reasoning.</x:v>
      </x:c>
      <x:c r="W996" s="13" t="str"/>
      <x:c r="X996" s="13" t="str">
        <x:v>pragmadialectics</x:v>
      </x:c>
      <x:c r="Y996" s="13" t="str">
        <x:v>https://doi.org/10.1017/CBO9780511616389</x:v>
      </x:c>
      <x:c r="Z996" s="13" t="str">
        <x:v>Review before enabling. This workbook is a living taxonomy scaffold, not a validated scientific benchmark.</x:v>
      </x:c>
      <x:c r="AA996" s="13" t="str">
        <x:v>0.1.0-draft</x:v>
      </x:c>
      <x:c r="AB996" s="12" t="str">
        <x:f>IF(ISNUMBER(SEARCH("healthy",F996)),"healthy_reasoning_patterns",IF(ISNUMBER(SEARCH("statistical",F996)),"statistical_reasoning",IF(ISNUMBER(SEARCH("causal",F996)),"causal_reasoning",IF(ISNUMBER(SEARCH("social",F996)),"social_influence",IF(ISNUMBER(SEARCH("rhetoric",F996)),"rhetoric_discourse",IF(ISNUMBER(SEARCH("behavior",F996)),"behavioural_economics",IF(ISNUMBER(SEARCH("cognitive",F996)),"cognitive_biases",IF(J996="protective_pattern","healthy_reasoning_patterns",IF(L996="P0","core_mvp","extended_fallacies")))))))))</x:f>
        <x:v>extended_fallacies</x:v>
      </x:c>
      <x:c r="AC996" s="12" t="str">
        <x:f>IF(ISNUMBER(SEARCH("operational",J996)),"operational",IF(ISNUMBER(SEARCH("deprecated",J996)),"deprecated",IF(L996="P0","canonical","recognized_subtype")))</x:f>
        <x:v>operational</x:v>
      </x:c>
      <x:c r="AD996" s="12" t="str">
        <x:f>IF(AC996="canonical","high",IF(AC996="recognized_subtype","medium",IF(AC996="operational","operational_only","debated")))</x:f>
        <x:v>operational_only</x:v>
      </x:c>
      <x:c r="AE996" s="12" t="str">
        <x:f>IF(AC996="deprecated","deprecated",IF(M996="yes","active",IF(M996="review","review_required","backlog")))</x:f>
        <x:v>backlog</x:v>
      </x:c>
      <x:c r="AF996" s="12" t="str">
        <x:f>IF(OR(AE996="active",AE996="review_required"),"yes","no")</x:f>
        <x:v>no</x:v>
      </x:c>
      <x:c r="AG996" s="12" t="str">
        <x:f>IF(AND(AE996="active",M996="yes",NOT(ISNUMBER(SEARCH("healthy",AB996)))),"yes","no")</x:f>
        <x:v>no</x:v>
      </x:c>
      <x:c r="AH996" s="12" t="str">
        <x:f>IF(OR(H996="contextual",H996="dialogue",H996="discourse",I996="claim+context",I996="discourse_segment"),"yes","no")</x:f>
        <x:v>yes</x:v>
      </x:c>
      <x:c r="AI996" s="12" t="str">
        <x:f>IF(OR(AH996="yes",AD996="debated",AC996="operational"),"yes","no")</x:f>
        <x:v>yes</x:v>
      </x:c>
      <x:c r="AJ996" s="12" t="str">
        <x:f>IF(OR(AH996="yes",AC996="operational",AD996="debated"),"high",IF(AND(AG996="yes",L996="P0"),"medium","low"))</x:f>
        <x:v>high</x:v>
      </x:c>
      <x:c r="AK996" s="12" t="str">
        <x:f>IF(ISNUMBER(SEARCH("healthy",AB996)),"yes","no")</x:f>
        <x:v>no</x:v>
      </x:c>
      <x:c r="AL996" s="12" t="str">
        <x:f>IF(AG996="yes","yes","candidate_only")</x:f>
        <x:v>candidate_only</x:v>
      </x:c>
      <x:c r="AM996" s="12" t="str">
        <x:f>IF(OR(AC996="canonical",AG996="yes"),"yes","recommended")</x:f>
        <x:v>recommended</x:v>
      </x:c>
      <x:c r="AN996" s="12" t="str">
        <x:f>IF(AC996="deprecated","exclude",IF(AND(AG996="yes",AJ996="high"),"import_but_human_review_required",IF(AG996="yes","import_as_active","import_as_backlog")))</x:f>
        <x:v>import_as_backlog</x:v>
      </x:c>
      <x:c r="AO996" s="12" t="str">
        <x:f>IF(AND(AG996="yes",OR(P996="",Q996="",R996="",S996="")),"missing_required_mvp_fields",IF(AND(AC996="canonical",Y996=""),"missing_source_ref","ok"))</x:f>
        <x:v>ok</x:v>
      </x:c>
      <x:c r="AP996" s="12" t="str">
        <x:f>IF(AO996="ok","ready_for_codex_import","needs_review")</x:f>
        <x:v>ready_for_codex_import</x:v>
      </x:c>
      <x:c r="AQ996" s="12"/>
      <x:c r="AR996" s="12" t="str">
        <x:v>Added v2 operational fields. Review before classification activation.</x:v>
      </x:c>
    </x:row>
    <x:row r="997">
      <x:c r="A997" s="13" t="str">
        <x:v>ambiguity_exploitation_clarity_variant</x:v>
      </x:c>
      <x:c r="B997" s="13" t="str">
        <x:v>ambiguity_exploitation</x:v>
      </x:c>
      <x:c r="C997" s="13" t="str">
        <x:v>Ambiguity exploitation</x:v>
      </x:c>
      <x:c r="D997" s="13" t="str">
        <x:v>بهره‌برداری از ابهام</x:v>
      </x:c>
      <x:c r="E997" s="13" t="str">
        <x:v>Clarity variant</x:v>
      </x:c>
      <x:c r="F997" s="13" t="str">
        <x:v>discourse_pragmatic_failures</x:v>
      </x:c>
      <x:c r="G997" s="13" t="str">
        <x:v>operational_variant</x:v>
      </x:c>
      <x:c r="H997" s="13" t="str">
        <x:v>lexical</x:v>
      </x:c>
      <x:c r="I997" s="13" t="str">
        <x:v>claim</x:v>
      </x:c>
      <x:c r="J997" s="13" t="str">
        <x:v>derived_operational_subtype</x:v>
      </x:c>
      <x:c r="K997" s="13" t="str">
        <x:v>derived_from_established_parent_review_required</x:v>
      </x:c>
      <x:c r="L997" s="13" t="str">
        <x:v>P3</x:v>
      </x:c>
      <x:c r="M997" s="13" t="str">
        <x:v>no</x:v>
      </x:c>
      <x:c r="N997" s="13" t="str">
        <x:v>Operational subtype under Ambiguity exploitation: ambiguity or obscurity blocks fair assessment. Parent definition: Using ambiguous wording to maintain multiple interpretations.</x:v>
      </x:c>
      <x:c r="O997" s="13" t="str">
        <x:v>Look for: explicit claim-level evidence; parent-family cues for Ambiguity exploitation; variant cue: ambiguity or obscurity blocks fair assessment; avoid author-level inference.</x:v>
      </x:c>
      <x:c r="P997" s="13" t="str">
        <x:v>Exact evidence span in text plus claim-level reasoning link; for contextual/discourse entries, require surrounding context.</x:v>
      </x:c>
      <x:c r="Q997" s="13" t="str">
        <x:v>Do not label merely because topic is controversial, emotional, or wrong. Do not judge intent or personality. Require textual evidence and consider healthy-reasoning cues.</x:v>
      </x:c>
      <x:c r="R997" s="13" t="str">
        <x:v>Stub: A claim relies on ambiguity or obscurity blocks fair assessment to support a conclusion without adequate qualification.</x:v>
      </x:c>
      <x:c r="S997" s="13" t="str">
        <x:v>Stub: A claim discusses ambiguity exploitation with caveats, balanced evidence, or no argumentative use of the pattern.</x:v>
      </x:c>
      <x:c r="T997" s="13" t="str">
        <x:v>Mild or ambiguous cue; do not classify without clear evidence span.</x:v>
      </x:c>
      <x:c r="U997" s="13" t="str">
        <x:v>Clear claim-level pattern with some argumentative impact.</x:v>
      </x:c>
      <x:c r="V997" s="13" t="str">
        <x:v>Strong pattern central to the conclusion and likely to materially distort reasoning.</x:v>
      </x:c>
      <x:c r="W997" s="13" t="str"/>
      <x:c r="X997" s="13" t="str">
        <x:v>grice_logic_conversation</x:v>
      </x:c>
      <x:c r="Y997" s="13" t="str">
        <x:v>https://doi.org/10.1163/9789004368811_003</x:v>
      </x:c>
      <x:c r="Z997" s="13" t="str">
        <x:v>Review before enabling. This workbook is a living taxonomy scaffold, not a validated scientific benchmark.</x:v>
      </x:c>
      <x:c r="AA997" s="13" t="str">
        <x:v>0.1.0-draft</x:v>
      </x:c>
      <x:c r="AB997" s="12" t="str">
        <x:f>IF(ISNUMBER(SEARCH("healthy",F997)),"healthy_reasoning_patterns",IF(ISNUMBER(SEARCH("statistical",F997)),"statistical_reasoning",IF(ISNUMBER(SEARCH("causal",F997)),"causal_reasoning",IF(ISNUMBER(SEARCH("social",F997)),"social_influence",IF(ISNUMBER(SEARCH("rhetoric",F997)),"rhetoric_discourse",IF(ISNUMBER(SEARCH("behavior",F997)),"behavioural_economics",IF(ISNUMBER(SEARCH("cognitive",F997)),"cognitive_biases",IF(J997="protective_pattern","healthy_reasoning_patterns",IF(L997="P0","core_mvp","extended_fallacies")))))))))</x:f>
        <x:v>extended_fallacies</x:v>
      </x:c>
      <x:c r="AC997" s="12" t="str">
        <x:f>IF(ISNUMBER(SEARCH("operational",J997)),"operational",IF(ISNUMBER(SEARCH("deprecated",J997)),"deprecated",IF(L997="P0","canonical","recognized_subtype")))</x:f>
        <x:v>operational</x:v>
      </x:c>
      <x:c r="AD997" s="12" t="str">
        <x:f>IF(AC997="canonical","high",IF(AC997="recognized_subtype","medium",IF(AC997="operational","operational_only","debated")))</x:f>
        <x:v>operational_only</x:v>
      </x:c>
      <x:c r="AE997" s="12" t="str">
        <x:f>IF(AC997="deprecated","deprecated",IF(M997="yes","active",IF(M997="review","review_required","backlog")))</x:f>
        <x:v>backlog</x:v>
      </x:c>
      <x:c r="AF997" s="12" t="str">
        <x:f>IF(OR(AE997="active",AE997="review_required"),"yes","no")</x:f>
        <x:v>no</x:v>
      </x:c>
      <x:c r="AG997" s="12" t="str">
        <x:f>IF(AND(AE997="active",M997="yes",NOT(ISNUMBER(SEARCH("healthy",AB997)))),"yes","no")</x:f>
        <x:v>no</x:v>
      </x:c>
      <x:c r="AH997" s="12" t="str">
        <x:f>IF(OR(H997="contextual",H997="dialogue",H997="discourse",I997="claim+context",I997="discourse_segment"),"yes","no")</x:f>
        <x:v>no</x:v>
      </x:c>
      <x:c r="AI997" s="12" t="str">
        <x:f>IF(OR(AH997="yes",AD997="debated",AC997="operational"),"yes","no")</x:f>
        <x:v>yes</x:v>
      </x:c>
      <x:c r="AJ997" s="12" t="str">
        <x:f>IF(OR(AH997="yes",AC997="operational",AD997="debated"),"high",IF(AND(AG997="yes",L997="P0"),"medium","low"))</x:f>
        <x:v>high</x:v>
      </x:c>
      <x:c r="AK997" s="12" t="str">
        <x:f>IF(ISNUMBER(SEARCH("healthy",AB997)),"yes","no")</x:f>
        <x:v>no</x:v>
      </x:c>
      <x:c r="AL997" s="12" t="str">
        <x:f>IF(AG997="yes","yes","candidate_only")</x:f>
        <x:v>candidate_only</x:v>
      </x:c>
      <x:c r="AM997" s="12" t="str">
        <x:f>IF(OR(AC997="canonical",AG997="yes"),"yes","recommended")</x:f>
        <x:v>recommended</x:v>
      </x:c>
      <x:c r="AN997" s="12" t="str">
        <x:f>IF(AC997="deprecated","exclude",IF(AND(AG997="yes",AJ997="high"),"import_but_human_review_required",IF(AG997="yes","import_as_active","import_as_backlog")))</x:f>
        <x:v>import_as_backlog</x:v>
      </x:c>
      <x:c r="AO997" s="12" t="str">
        <x:f>IF(AND(AG997="yes",OR(P997="",Q997="",R997="",S997="")),"missing_required_mvp_fields",IF(AND(AC997="canonical",Y997=""),"missing_source_ref","ok"))</x:f>
        <x:v>ok</x:v>
      </x:c>
      <x:c r="AP997" s="12" t="str">
        <x:f>IF(AO997="ok","ready_for_codex_import","needs_review")</x:f>
        <x:v>ready_for_codex_import</x:v>
      </x:c>
      <x:c r="AQ997" s="12"/>
      <x:c r="AR997" s="12" t="str">
        <x:v>Added v2 operational fields. Review before classification activation.</x:v>
      </x:c>
    </x:row>
    <x:row r="998">
      <x:c r="A998" s="13" t="str">
        <x:v>burden_overload_clarity_variant</x:v>
      </x:c>
      <x:c r="B998" s="13" t="str">
        <x:v>burden_overload</x:v>
      </x:c>
      <x:c r="C998" s="13" t="str">
        <x:v>Burden overload</x:v>
      </x:c>
      <x:c r="D998" s="13" t="str">
        <x:v>بار اثبات نامتناسب</x:v>
      </x:c>
      <x:c r="E998" s="13" t="str">
        <x:v>Clarity variant</x:v>
      </x:c>
      <x:c r="F998" s="13" t="str">
        <x:v>discourse_pragmatic_failures</x:v>
      </x:c>
      <x:c r="G998" s="13" t="str">
        <x:v>operational_variant</x:v>
      </x:c>
      <x:c r="H998" s="13" t="str">
        <x:v>dialogue</x:v>
      </x:c>
      <x:c r="I998" s="13" t="str">
        <x:v>discourse_segment</x:v>
      </x:c>
      <x:c r="J998" s="13" t="str">
        <x:v>derived_operational_subtype</x:v>
      </x:c>
      <x:c r="K998" s="13" t="str">
        <x:v>derived_from_established_parent_review_required</x:v>
      </x:c>
      <x:c r="L998" s="13" t="str">
        <x:v>P3</x:v>
      </x:c>
      <x:c r="M998" s="13" t="str">
        <x:v>no</x:v>
      </x:c>
      <x:c r="N998" s="13" t="str">
        <x:v>Operational subtype under Burden overload: ambiguity or obscurity blocks fair assessment. Parent definition: Demanding an unrealistic standard from one side while offering less support oneself.</x:v>
      </x:c>
      <x:c r="O998" s="13" t="str">
        <x:v>Look for: explicit claim-level evidence; parent-family cues for Burden overload; variant cue: ambiguity or obscurity blocks fair assessment; avoid author-level inference.</x:v>
      </x:c>
      <x:c r="P998" s="13" t="str">
        <x:v>Exact evidence span in text plus claim-level reasoning link; for contextual/discourse entries, require surrounding context.</x:v>
      </x:c>
      <x:c r="Q998" s="13" t="str">
        <x:v>Do not label merely because topic is controversial, emotional, or wrong. Do not judge intent or personality. Require textual evidence and consider healthy-reasoning cues.</x:v>
      </x:c>
      <x:c r="R998" s="13" t="str">
        <x:v>Stub: A claim relies on ambiguity or obscurity blocks fair assessment to support a conclusion without adequate qualification.</x:v>
      </x:c>
      <x:c r="S998" s="13" t="str">
        <x:v>Stub: A claim discusses burden overload with caveats, balanced evidence, or no argumentative use of the pattern.</x:v>
      </x:c>
      <x:c r="T998" s="13" t="str">
        <x:v>Mild or ambiguous cue; do not classify without clear evidence span.</x:v>
      </x:c>
      <x:c r="U998" s="13" t="str">
        <x:v>Clear claim-level pattern with some argumentative impact.</x:v>
      </x:c>
      <x:c r="V998" s="13" t="str">
        <x:v>Strong pattern central to the conclusion and likely to materially distort reasoning.</x:v>
      </x:c>
      <x:c r="W998" s="13" t="str"/>
      <x:c r="X998" s="13" t="str">
        <x:v>pragmadialectics</x:v>
      </x:c>
      <x:c r="Y998" s="13" t="str">
        <x:v>https://doi.org/10.1017/CBO9780511616389</x:v>
      </x:c>
      <x:c r="Z998" s="13" t="str">
        <x:v>Review before enabling. This workbook is a living taxonomy scaffold, not a validated scientific benchmark.</x:v>
      </x:c>
      <x:c r="AA998" s="13" t="str">
        <x:v>0.1.0-draft</x:v>
      </x:c>
      <x:c r="AB998" s="12" t="str">
        <x:f>IF(ISNUMBER(SEARCH("healthy",F998)),"healthy_reasoning_patterns",IF(ISNUMBER(SEARCH("statistical",F998)),"statistical_reasoning",IF(ISNUMBER(SEARCH("causal",F998)),"causal_reasoning",IF(ISNUMBER(SEARCH("social",F998)),"social_influence",IF(ISNUMBER(SEARCH("rhetoric",F998)),"rhetoric_discourse",IF(ISNUMBER(SEARCH("behavior",F998)),"behavioural_economics",IF(ISNUMBER(SEARCH("cognitive",F998)),"cognitive_biases",IF(J998="protective_pattern","healthy_reasoning_patterns",IF(L998="P0","core_mvp","extended_fallacies")))))))))</x:f>
        <x:v>extended_fallacies</x:v>
      </x:c>
      <x:c r="AC998" s="12" t="str">
        <x:f>IF(ISNUMBER(SEARCH("operational",J998)),"operational",IF(ISNUMBER(SEARCH("deprecated",J998)),"deprecated",IF(L998="P0","canonical","recognized_subtype")))</x:f>
        <x:v>operational</x:v>
      </x:c>
      <x:c r="AD998" s="12" t="str">
        <x:f>IF(AC998="canonical","high",IF(AC998="recognized_subtype","medium",IF(AC998="operational","operational_only","debated")))</x:f>
        <x:v>operational_only</x:v>
      </x:c>
      <x:c r="AE998" s="12" t="str">
        <x:f>IF(AC998="deprecated","deprecated",IF(M998="yes","active",IF(M998="review","review_required","backlog")))</x:f>
        <x:v>backlog</x:v>
      </x:c>
      <x:c r="AF998" s="12" t="str">
        <x:f>IF(OR(AE998="active",AE998="review_required"),"yes","no")</x:f>
        <x:v>no</x:v>
      </x:c>
      <x:c r="AG998" s="12" t="str">
        <x:f>IF(AND(AE998="active",M998="yes",NOT(ISNUMBER(SEARCH("healthy",AB998)))),"yes","no")</x:f>
        <x:v>no</x:v>
      </x:c>
      <x:c r="AH998" s="12" t="str">
        <x:f>IF(OR(H998="contextual",H998="dialogue",H998="discourse",I998="claim+context",I998="discourse_segment"),"yes","no")</x:f>
        <x:v>yes</x:v>
      </x:c>
      <x:c r="AI998" s="12" t="str">
        <x:f>IF(OR(AH998="yes",AD998="debated",AC998="operational"),"yes","no")</x:f>
        <x:v>yes</x:v>
      </x:c>
      <x:c r="AJ998" s="12" t="str">
        <x:f>IF(OR(AH998="yes",AC998="operational",AD998="debated"),"high",IF(AND(AG998="yes",L998="P0"),"medium","low"))</x:f>
        <x:v>high</x:v>
      </x:c>
      <x:c r="AK998" s="12" t="str">
        <x:f>IF(ISNUMBER(SEARCH("healthy",AB998)),"yes","no")</x:f>
        <x:v>no</x:v>
      </x:c>
      <x:c r="AL998" s="12" t="str">
        <x:f>IF(AG998="yes","yes","candidate_only")</x:f>
        <x:v>candidate_only</x:v>
      </x:c>
      <x:c r="AM998" s="12" t="str">
        <x:f>IF(OR(AC998="canonical",AG998="yes"),"yes","recommended")</x:f>
        <x:v>recommended</x:v>
      </x:c>
      <x:c r="AN998" s="12" t="str">
        <x:f>IF(AC998="deprecated","exclude",IF(AND(AG998="yes",AJ998="high"),"import_but_human_review_required",IF(AG998="yes","import_as_active","import_as_backlog")))</x:f>
        <x:v>import_as_backlog</x:v>
      </x:c>
      <x:c r="AO998" s="12" t="str">
        <x:f>IF(AND(AG998="yes",OR(P998="",Q998="",R998="",S998="")),"missing_required_mvp_fields",IF(AND(AC998="canonical",Y998=""),"missing_source_ref","ok"))</x:f>
        <x:v>ok</x:v>
      </x:c>
      <x:c r="AP998" s="12" t="str">
        <x:f>IF(AO998="ok","ready_for_codex_import","needs_review")</x:f>
        <x:v>ready_for_codex_import</x:v>
      </x:c>
      <x:c r="AQ998" s="12"/>
      <x:c r="AR998" s="12" t="str">
        <x:v>Added v2 operational fields. Review before classification activation.</x:v>
      </x:c>
    </x:row>
    <x:row r="999">
      <x:c r="A999" s="13" t="str">
        <x:v>uncharitable_interpretation_clarity_variant</x:v>
      </x:c>
      <x:c r="B999" s="13" t="str">
        <x:v>uncharitable_interpretation</x:v>
      </x:c>
      <x:c r="C999" s="13" t="str">
        <x:v>Uncharitable interpretation</x:v>
      </x:c>
      <x:c r="D999" s="13" t="str">
        <x:v>تفسیر نامنصفانه</x:v>
      </x:c>
      <x:c r="E999" s="13" t="str">
        <x:v>Clarity variant</x:v>
      </x:c>
      <x:c r="F999" s="13" t="str">
        <x:v>discourse_pragmatic_failures</x:v>
      </x:c>
      <x:c r="G999" s="13" t="str">
        <x:v>operational_variant</x:v>
      </x:c>
      <x:c r="H999" s="13" t="str">
        <x:v>contextual</x:v>
      </x:c>
      <x:c r="I999" s="13" t="str">
        <x:v>claim+context</x:v>
      </x:c>
      <x:c r="J999" s="13" t="str">
        <x:v>derived_operational_subtype</x:v>
      </x:c>
      <x:c r="K999" s="13" t="str">
        <x:v>derived_from_established_parent_review_required</x:v>
      </x:c>
      <x:c r="L999" s="13" t="str">
        <x:v>P3</x:v>
      </x:c>
      <x:c r="M999" s="13" t="str">
        <x:v>no</x:v>
      </x:c>
      <x:c r="N999" s="13" t="str">
        <x:v>Operational subtype under Uncharitable interpretation: ambiguity or obscurity blocks fair assessment. Parent definition: Interpreting a claim in a weaker or less reasonable way than context supports.</x:v>
      </x:c>
      <x:c r="O999" s="13" t="str">
        <x:v>Look for: explicit claim-level evidence; parent-family cues for Uncharitable interpretation; variant cue: ambiguity or obscurity blocks fair assessment; avoid author-level inference.</x:v>
      </x:c>
      <x:c r="P999" s="13" t="str">
        <x:v>Exact evidence span in text plus claim-level reasoning link; for contextual/discourse entries, require surrounding context.</x:v>
      </x:c>
      <x:c r="Q999" s="13" t="str">
        <x:v>Do not label merely because topic is controversial, emotional, or wrong. Do not judge intent or personality. Require textual evidence and consider healthy-reasoning cues.</x:v>
      </x:c>
      <x:c r="R999" s="13" t="str">
        <x:v>Stub: A claim relies on ambiguity or obscurity blocks fair assessment to support a conclusion without adequate qualification.</x:v>
      </x:c>
      <x:c r="S999" s="13" t="str">
        <x:v>Stub: A claim discusses uncharitable interpretation with caveats, balanced evidence, or no argumentative use of the pattern.</x:v>
      </x:c>
      <x:c r="T999" s="13" t="str">
        <x:v>Mild or ambiguous cue; do not classify without clear evidence span.</x:v>
      </x:c>
      <x:c r="U999" s="13" t="str">
        <x:v>Clear claim-level pattern with some argumentative impact.</x:v>
      </x:c>
      <x:c r="V999" s="13" t="str">
        <x:v>Strong pattern central to the conclusion and likely to materially distort reasoning.</x:v>
      </x:c>
      <x:c r="W999" s="13" t="str"/>
      <x:c r="X999" s="13" t="str">
        <x:v>toulmin_uses_argument</x:v>
      </x:c>
      <x:c r="Y999" s="13" t="str">
        <x:v>https://doi.org/10.1017/CBO9780511840005</x:v>
      </x:c>
      <x:c r="Z999" s="13" t="str">
        <x:v>Review before enabling. This workbook is a living taxonomy scaffold, not a validated scientific benchmark.</x:v>
      </x:c>
      <x:c r="AA999" s="13" t="str">
        <x:v>0.1.0-draft</x:v>
      </x:c>
      <x:c r="AB999" s="12" t="str">
        <x:f>IF(ISNUMBER(SEARCH("healthy",F999)),"healthy_reasoning_patterns",IF(ISNUMBER(SEARCH("statistical",F999)),"statistical_reasoning",IF(ISNUMBER(SEARCH("causal",F999)),"causal_reasoning",IF(ISNUMBER(SEARCH("social",F999)),"social_influence",IF(ISNUMBER(SEARCH("rhetoric",F999)),"rhetoric_discourse",IF(ISNUMBER(SEARCH("behavior",F999)),"behavioural_economics",IF(ISNUMBER(SEARCH("cognitive",F999)),"cognitive_biases",IF(J999="protective_pattern","healthy_reasoning_patterns",IF(L999="P0","core_mvp","extended_fallacies")))))))))</x:f>
        <x:v>extended_fallacies</x:v>
      </x:c>
      <x:c r="AC999" s="12" t="str">
        <x:f>IF(ISNUMBER(SEARCH("operational",J999)),"operational",IF(ISNUMBER(SEARCH("deprecated",J999)),"deprecated",IF(L999="P0","canonical","recognized_subtype")))</x:f>
        <x:v>operational</x:v>
      </x:c>
      <x:c r="AD999" s="12" t="str">
        <x:f>IF(AC999="canonical","high",IF(AC999="recognized_subtype","medium",IF(AC999="operational","operational_only","debated")))</x:f>
        <x:v>operational_only</x:v>
      </x:c>
      <x:c r="AE999" s="12" t="str">
        <x:f>IF(AC999="deprecated","deprecated",IF(M999="yes","active",IF(M999="review","review_required","backlog")))</x:f>
        <x:v>backlog</x:v>
      </x:c>
      <x:c r="AF999" s="12" t="str">
        <x:f>IF(OR(AE999="active",AE999="review_required"),"yes","no")</x:f>
        <x:v>no</x:v>
      </x:c>
      <x:c r="AG999" s="12" t="str">
        <x:f>IF(AND(AE999="active",M999="yes",NOT(ISNUMBER(SEARCH("healthy",AB999)))),"yes","no")</x:f>
        <x:v>no</x:v>
      </x:c>
      <x:c r="AH999" s="12" t="str">
        <x:f>IF(OR(H999="contextual",H999="dialogue",H999="discourse",I999="claim+context",I999="discourse_segment"),"yes","no")</x:f>
        <x:v>yes</x:v>
      </x:c>
      <x:c r="AI999" s="12" t="str">
        <x:f>IF(OR(AH999="yes",AD999="debated",AC999="operational"),"yes","no")</x:f>
        <x:v>yes</x:v>
      </x:c>
      <x:c r="AJ999" s="12" t="str">
        <x:f>IF(OR(AH999="yes",AC999="operational",AD999="debated"),"high",IF(AND(AG999="yes",L999="P0"),"medium","low"))</x:f>
        <x:v>high</x:v>
      </x:c>
      <x:c r="AK999" s="12" t="str">
        <x:f>IF(ISNUMBER(SEARCH("healthy",AB999)),"yes","no")</x:f>
        <x:v>no</x:v>
      </x:c>
      <x:c r="AL999" s="12" t="str">
        <x:f>IF(AG999="yes","yes","candidate_only")</x:f>
        <x:v>candidate_only</x:v>
      </x:c>
      <x:c r="AM999" s="12" t="str">
        <x:f>IF(OR(AC999="canonical",AG999="yes"),"yes","recommended")</x:f>
        <x:v>recommended</x:v>
      </x:c>
      <x:c r="AN999" s="12" t="str">
        <x:f>IF(AC999="deprecated","exclude",IF(AND(AG999="yes",AJ999="high"),"import_but_human_review_required",IF(AG999="yes","import_as_active","import_as_backlog")))</x:f>
        <x:v>import_as_backlog</x:v>
      </x:c>
      <x:c r="AO999" s="12" t="str">
        <x:f>IF(AND(AG999="yes",OR(P999="",Q999="",R999="",S999="")),"missing_required_mvp_fields",IF(AND(AC999="canonical",Y999=""),"missing_source_ref","ok"))</x:f>
        <x:v>ok</x:v>
      </x:c>
      <x:c r="AP999" s="12" t="str">
        <x:f>IF(AO999="ok","ready_for_codex_import","needs_review")</x:f>
        <x:v>ready_for_codex_import</x:v>
      </x:c>
      <x:c r="AQ999" s="12"/>
      <x:c r="AR999" s="12" t="str">
        <x:v>Added v2 operational fields. Review before classification activation.</x:v>
      </x:c>
    </x:row>
    <x:row r="1000">
      <x:c r="A1000" s="13" t="str">
        <x:v>missing_warrant_clarity_variant</x:v>
      </x:c>
      <x:c r="B1000" s="13" t="str">
        <x:v>missing_warrant</x:v>
      </x:c>
      <x:c r="C1000" s="13" t="str">
        <x:v>Missing warrant</x:v>
      </x:c>
      <x:c r="D1000" s="13" t="str">
        <x:v>نبود پیوند استدلالی</x:v>
      </x:c>
      <x:c r="E1000" s="13" t="str">
        <x:v>Clarity variant</x:v>
      </x:c>
      <x:c r="F1000" s="13" t="str">
        <x:v>discourse_pragmatic_failures</x:v>
      </x:c>
      <x:c r="G1000" s="13" t="str">
        <x:v>operational_variant</x:v>
      </x:c>
      <x:c r="H1000" s="13" t="str">
        <x:v>structural</x:v>
      </x:c>
      <x:c r="I1000" s="13" t="str">
        <x:v>claim</x:v>
      </x:c>
      <x:c r="J1000" s="13" t="str">
        <x:v>derived_operational_subtype</x:v>
      </x:c>
      <x:c r="K1000" s="13" t="str">
        <x:v>derived_from_established_parent_review_required</x:v>
      </x:c>
      <x:c r="L1000" s="13" t="str">
        <x:v>P3</x:v>
      </x:c>
      <x:c r="M1000" s="13" t="str">
        <x:v>no</x:v>
      </x:c>
      <x:c r="N1000" s="13" t="str">
        <x:v>Operational subtype under Missing warrant: ambiguity or obscurity blocks fair assessment. Parent definition: The move from evidence to conclusion lacks an explicit or plausible warrant.</x:v>
      </x:c>
      <x:c r="O1000" s="13" t="str">
        <x:v>Look for: explicit claim-level evidence; parent-family cues for Missing warrant; variant cue: ambiguity or obscurity blocks fair assessment; avoid author-level inference.</x:v>
      </x:c>
      <x:c r="P1000" s="13" t="str">
        <x:v>Exact evidence span in text plus claim-level reasoning link; for contextual/discourse entries, require surrounding context.</x:v>
      </x:c>
      <x:c r="Q1000" s="13" t="str">
        <x:v>Do not label merely because topic is controversial, emotional, or wrong. Do not judge intent or personality. Require textual evidence and consider healthy-reasoning cues.</x:v>
      </x:c>
      <x:c r="R1000" s="13" t="str">
        <x:v>Stub: A claim relies on ambiguity or obscurity blocks fair assessment to support a conclusion without adequate qualification.</x:v>
      </x:c>
      <x:c r="S1000" s="13" t="str">
        <x:v>Stub: A claim discusses missing warrant with caveats, balanced evidence, or no argumentative use of the pattern.</x:v>
      </x:c>
      <x:c r="T1000" s="13" t="str">
        <x:v>Mild or ambiguous cue; do not classify without clear evidence span.</x:v>
      </x:c>
      <x:c r="U1000" s="13" t="str">
        <x:v>Clear claim-level pattern with some argumentative impact.</x:v>
      </x:c>
      <x:c r="V1000" s="13" t="str">
        <x:v>Strong pattern central to the conclusion and likely to materially distort reasoning.</x:v>
      </x:c>
      <x:c r="W1000" s="13" t="str">
        <x:v>cherry_picking; missing_counterevidence; evidence_grading</x:v>
      </x:c>
      <x:c r="X1000" s="13" t="str">
        <x:v>toulmin_uses_argument</x:v>
      </x:c>
      <x:c r="Y1000" s="13" t="str">
        <x:v>https://doi.org/10.1017/CBO9780511840005</x:v>
      </x:c>
      <x:c r="Z1000" s="13" t="str">
        <x:v>Review before enabling. This workbook is a living taxonomy scaffold, not a validated scientific benchmark.</x:v>
      </x:c>
      <x:c r="AA1000" s="13" t="str">
        <x:v>0.1.0-draft</x:v>
      </x:c>
      <x:c r="AB1000" s="12" t="str">
        <x:f>IF(ISNUMBER(SEARCH("healthy",F1000)),"healthy_reasoning_patterns",IF(ISNUMBER(SEARCH("statistical",F1000)),"statistical_reasoning",IF(ISNUMBER(SEARCH("causal",F1000)),"causal_reasoning",IF(ISNUMBER(SEARCH("social",F1000)),"social_influence",IF(ISNUMBER(SEARCH("rhetoric",F1000)),"rhetoric_discourse",IF(ISNUMBER(SEARCH("behavior",F1000)),"behavioural_economics",IF(ISNUMBER(SEARCH("cognitive",F1000)),"cognitive_biases",IF(J1000="protective_pattern","healthy_reasoning_patterns",IF(L1000="P0","core_mvp","extended_fallacies")))))))))</x:f>
        <x:v>extended_fallacies</x:v>
      </x:c>
      <x:c r="AC1000" s="12" t="str">
        <x:f>IF(ISNUMBER(SEARCH("operational",J1000)),"operational",IF(ISNUMBER(SEARCH("deprecated",J1000)),"deprecated",IF(L1000="P0","canonical","recognized_subtype")))</x:f>
        <x:v>operational</x:v>
      </x:c>
      <x:c r="AD1000" s="12" t="str">
        <x:f>IF(AC1000="canonical","high",IF(AC1000="recognized_subtype","medium",IF(AC1000="operational","operational_only","debated")))</x:f>
        <x:v>operational_only</x:v>
      </x:c>
      <x:c r="AE1000" s="12" t="str">
        <x:f>IF(AC1000="deprecated","deprecated",IF(M1000="yes","active",IF(M1000="review","review_required","backlog")))</x:f>
        <x:v>backlog</x:v>
      </x:c>
      <x:c r="AF1000" s="12" t="str">
        <x:f>IF(OR(AE1000="active",AE1000="review_required"),"yes","no")</x:f>
        <x:v>no</x:v>
      </x:c>
      <x:c r="AG1000" s="12" t="str">
        <x:f>IF(AND(AE1000="active",M1000="yes",NOT(ISNUMBER(SEARCH("healthy",AB1000)))),"yes","no")</x:f>
        <x:v>no</x:v>
      </x:c>
      <x:c r="AH1000" s="12" t="str">
        <x:f>IF(OR(H1000="contextual",H1000="dialogue",H1000="discourse",I1000="claim+context",I1000="discourse_segment"),"yes","no")</x:f>
        <x:v>no</x:v>
      </x:c>
      <x:c r="AI1000" s="12" t="str">
        <x:f>IF(OR(AH1000="yes",AD1000="debated",AC1000="operational"),"yes","no")</x:f>
        <x:v>yes</x:v>
      </x:c>
      <x:c r="AJ1000" s="12" t="str">
        <x:f>IF(OR(AH1000="yes",AC1000="operational",AD1000="debated"),"high",IF(AND(AG1000="yes",L1000="P0"),"medium","low"))</x:f>
        <x:v>high</x:v>
      </x:c>
      <x:c r="AK1000" s="12" t="str">
        <x:f>IF(ISNUMBER(SEARCH("healthy",AB1000)),"yes","no")</x:f>
        <x:v>no</x:v>
      </x:c>
      <x:c r="AL1000" s="12" t="str">
        <x:f>IF(AG1000="yes","yes","candidate_only")</x:f>
        <x:v>candidate_only</x:v>
      </x:c>
      <x:c r="AM1000" s="12" t="str">
        <x:f>IF(OR(AC1000="canonical",AG1000="yes"),"yes","recommended")</x:f>
        <x:v>recommended</x:v>
      </x:c>
      <x:c r="AN1000" s="12" t="str">
        <x:f>IF(AC1000="deprecated","exclude",IF(AND(AG1000="yes",AJ1000="high"),"import_but_human_review_required",IF(AG1000="yes","import_as_active","import_as_backlog")))</x:f>
        <x:v>import_as_backlog</x:v>
      </x:c>
      <x:c r="AO1000" s="12" t="str">
        <x:f>IF(AND(AG1000="yes",OR(P1000="",Q1000="",R1000="",S1000="")),"missing_required_mvp_fields",IF(AND(AC1000="canonical",Y1000=""),"missing_source_ref","ok"))</x:f>
        <x:v>ok</x:v>
      </x:c>
      <x:c r="AP1000" s="12" t="str">
        <x:f>IF(AO1000="ok","ready_for_codex_import","needs_review")</x:f>
        <x:v>ready_for_codex_import</x:v>
      </x:c>
      <x:c r="AQ1000" s="12"/>
      <x:c r="AR1000" s="12" t="str">
        <x:v>Added v2 operational fields. Review before classification activation.</x:v>
      </x:c>
    </x:row>
    <x:row r="1001">
      <x:c r="A1001" s="13" t="str">
        <x:v>warrant_backing_gap_clarity_variant</x:v>
      </x:c>
      <x:c r="B1001" s="13" t="str">
        <x:v>warrant_backing_gap</x:v>
      </x:c>
      <x:c r="C1001" s="13" t="str">
        <x:v>Warrant-backing gap</x:v>
      </x:c>
      <x:c r="D1001" s="13" t="str">
        <x:v>نبود پشتوانه برای پیوند</x:v>
      </x:c>
      <x:c r="E1001" s="13" t="str">
        <x:v>Clarity variant</x:v>
      </x:c>
      <x:c r="F1001" s="13" t="str">
        <x:v>discourse_pragmatic_failures</x:v>
      </x:c>
      <x:c r="G1001" s="13" t="str">
        <x:v>operational_variant</x:v>
      </x:c>
      <x:c r="H1001" s="13" t="str">
        <x:v>structural</x:v>
      </x:c>
      <x:c r="I1001" s="13" t="str">
        <x:v>claim</x:v>
      </x:c>
      <x:c r="J1001" s="13" t="str">
        <x:v>derived_operational_subtype</x:v>
      </x:c>
      <x:c r="K1001" s="13" t="str">
        <x:v>derived_from_established_parent_review_required</x:v>
      </x:c>
      <x:c r="L1001" s="13" t="str">
        <x:v>P3</x:v>
      </x:c>
      <x:c r="M1001" s="13" t="str">
        <x:v>no</x:v>
      </x:c>
      <x:c r="N1001" s="13" t="str">
        <x:v>Operational subtype under Warrant-backing gap: ambiguity or obscurity blocks fair assessment. Parent definition: The warrant itself lacks support.</x:v>
      </x:c>
      <x:c r="O1001" s="13" t="str">
        <x:v>Look for: explicit claim-level evidence; parent-family cues for Warrant-backing gap; variant cue: ambiguity or obscurity blocks fair assessment; avoid author-level inference.</x:v>
      </x:c>
      <x:c r="P1001" s="13" t="str">
        <x:v>Exact evidence span in text plus claim-level reasoning link; for contextual/discourse entries, require surrounding context.</x:v>
      </x:c>
      <x:c r="Q1001" s="13" t="str">
        <x:v>Do not label merely because topic is controversial, emotional, or wrong. Do not judge intent or personality. Require textual evidence and consider healthy-reasoning cues.</x:v>
      </x:c>
      <x:c r="R1001" s="13" t="str">
        <x:v>Stub: A claim relies on ambiguity or obscurity blocks fair assessment to support a conclusion without adequate qualification.</x:v>
      </x:c>
      <x:c r="S1001" s="13" t="str">
        <x:v>Stub: A claim discusses warrant-backing gap with caveats, balanced evidence, or no argumentative use of the pattern.</x:v>
      </x:c>
      <x:c r="T1001" s="13" t="str">
        <x:v>Mild or ambiguous cue; do not classify without clear evidence span.</x:v>
      </x:c>
      <x:c r="U1001" s="13" t="str">
        <x:v>Clear claim-level pattern with some argumentative impact.</x:v>
      </x:c>
      <x:c r="V1001" s="13" t="str">
        <x:v>Strong pattern central to the conclusion and likely to materially distort reasoning.</x:v>
      </x:c>
      <x:c r="W1001" s="13" t="str"/>
      <x:c r="X1001" s="13" t="str">
        <x:v>toulmin_uses_argument</x:v>
      </x:c>
      <x:c r="Y1001" s="13" t="str">
        <x:v>https://doi.org/10.1017/CBO9780511840005</x:v>
      </x:c>
      <x:c r="Z1001" s="13" t="str">
        <x:v>Review before enabling. This workbook is a living taxonomy scaffold, not a validated scientific benchmark.</x:v>
      </x:c>
      <x:c r="AA1001" s="13" t="str">
        <x:v>0.1.0-draft</x:v>
      </x:c>
      <x:c r="AB1001" s="12" t="str">
        <x:f>IF(ISNUMBER(SEARCH("healthy",F1001)),"healthy_reasoning_patterns",IF(ISNUMBER(SEARCH("statistical",F1001)),"statistical_reasoning",IF(ISNUMBER(SEARCH("causal",F1001)),"causal_reasoning",IF(ISNUMBER(SEARCH("social",F1001)),"social_influence",IF(ISNUMBER(SEARCH("rhetoric",F1001)),"rhetoric_discourse",IF(ISNUMBER(SEARCH("behavior",F1001)),"behavioural_economics",IF(ISNUMBER(SEARCH("cognitive",F1001)),"cognitive_biases",IF(J1001="protective_pattern","healthy_reasoning_patterns",IF(L1001="P0","core_mvp","extended_fallacies")))))))))</x:f>
        <x:v>extended_fallacies</x:v>
      </x:c>
      <x:c r="AC1001" s="12" t="str">
        <x:f>IF(ISNUMBER(SEARCH("operational",J1001)),"operational",IF(ISNUMBER(SEARCH("deprecated",J1001)),"deprecated",IF(L1001="P0","canonical","recognized_subtype")))</x:f>
        <x:v>operational</x:v>
      </x:c>
      <x:c r="AD1001" s="12" t="str">
        <x:f>IF(AC1001="canonical","high",IF(AC1001="recognized_subtype","medium",IF(AC1001="operational","operational_only","debated")))</x:f>
        <x:v>operational_only</x:v>
      </x:c>
      <x:c r="AE1001" s="12" t="str">
        <x:f>IF(AC1001="deprecated","deprecated",IF(M1001="yes","active",IF(M1001="review","review_required","backlog")))</x:f>
        <x:v>backlog</x:v>
      </x:c>
      <x:c r="AF1001" s="12" t="str">
        <x:f>IF(OR(AE1001="active",AE1001="review_required"),"yes","no")</x:f>
        <x:v>no</x:v>
      </x:c>
      <x:c r="AG1001" s="12" t="str">
        <x:f>IF(AND(AE1001="active",M1001="yes",NOT(ISNUMBER(SEARCH("healthy",AB1001)))),"yes","no")</x:f>
        <x:v>no</x:v>
      </x:c>
      <x:c r="AH1001" s="12" t="str">
        <x:f>IF(OR(H1001="contextual",H1001="dialogue",H1001="discourse",I1001="claim+context",I1001="discourse_segment"),"yes","no")</x:f>
        <x:v>no</x:v>
      </x:c>
      <x:c r="AI1001" s="12" t="str">
        <x:f>IF(OR(AH1001="yes",AD1001="debated",AC1001="operational"),"yes","no")</x:f>
        <x:v>yes</x:v>
      </x:c>
      <x:c r="AJ1001" s="12" t="str">
        <x:f>IF(OR(AH1001="yes",AC1001="operational",AD1001="debated"),"high",IF(AND(AG1001="yes",L1001="P0"),"medium","low"))</x:f>
        <x:v>high</x:v>
      </x:c>
      <x:c r="AK1001" s="12" t="str">
        <x:f>IF(ISNUMBER(SEARCH("healthy",AB1001)),"yes","no")</x:f>
        <x:v>no</x:v>
      </x:c>
      <x:c r="AL1001" s="12" t="str">
        <x:f>IF(AG1001="yes","yes","candidate_only")</x:f>
        <x:v>candidate_only</x:v>
      </x:c>
      <x:c r="AM1001" s="12" t="str">
        <x:f>IF(OR(AC1001="canonical",AG1001="yes"),"yes","recommended")</x:f>
        <x:v>recommended</x:v>
      </x:c>
      <x:c r="AN1001" s="12" t="str">
        <x:f>IF(AC1001="deprecated","exclude",IF(AND(AG1001="yes",AJ1001="high"),"import_but_human_review_required",IF(AG1001="yes","import_as_active","import_as_backlog")))</x:f>
        <x:v>import_as_backlog</x:v>
      </x:c>
      <x:c r="AO1001" s="12" t="str">
        <x:f>IF(AND(AG1001="yes",OR(P1001="",Q1001="",R1001="",S1001="")),"missing_required_mvp_fields",IF(AND(AC1001="canonical",Y1001=""),"missing_source_ref","ok"))</x:f>
        <x:v>ok</x:v>
      </x:c>
      <x:c r="AP1001" s="12" t="str">
        <x:f>IF(AO1001="ok","ready_for_codex_import","needs_review")</x:f>
        <x:v>ready_for_codex_import</x:v>
      </x:c>
      <x:c r="AQ1001" s="12"/>
      <x:c r="AR1001" s="12" t="str">
        <x:v>Added v2 operational fields. Review before classification activation.</x:v>
      </x:c>
    </x:row>
    <x:row r="1002">
      <x:c r="A1002" s="13" t="str">
        <x:v>uncertainty_acknowledgement_canonical</x:v>
      </x:c>
      <x:c r="B1002" s="13" t="str">
        <x:v>uncertainty_acknowledgement</x:v>
      </x:c>
      <x:c r="C1002" s="13" t="str">
        <x:v>Uncertainty acknowledgement</x:v>
      </x:c>
      <x:c r="D1002" s="13" t="str">
        <x:v>اذعان به عدم قطعیت</x:v>
      </x:c>
      <x:c r="E1002" s="13" t="str">
        <x:v>Canonical form</x:v>
      </x:c>
      <x:c r="F1002" s="13" t="str">
        <x:v>healthy_reasoning_patterns</x:v>
      </x:c>
      <x:c r="G1002" s="13" t="str">
        <x:v>canonical</x:v>
      </x:c>
      <x:c r="H1002" s="13" t="str">
        <x:v>lexical</x:v>
      </x:c>
      <x:c r="I1002" s="13" t="str">
        <x:v>claim</x:v>
      </x:c>
      <x:c r="J1002" s="13" t="str">
        <x:v>protective_pattern</x:v>
      </x:c>
      <x:c r="K1002" s="13" t="str">
        <x:v>operational_pattern_needs_review</x:v>
      </x:c>
      <x:c r="L1002" s="13" t="str">
        <x:v>P1</x:v>
      </x:c>
      <x:c r="M1002" s="13" t="str">
        <x:v>review</x:v>
      </x:c>
      <x:c r="N1002" s="13" t="str">
        <x:v>Protective reasoning pattern under Uncertainty acknowledgement: a protective reasoning pattern is explicitly present. It should reduce risk scores when supported by evidence.</x:v>
      </x:c>
      <x:c r="O1002" s="13" t="str">
        <x:v>Look for: explicit claim-level evidence; parent-family cues for Uncertainty acknowledgement; variant cue: a protective reasoning pattern is explicitly present; avoid author-level inference.</x:v>
      </x:c>
      <x:c r="P1002" s="13" t="str">
        <x:v>Exact evidence span in text plus claim-level reasoning link; for contextual/discourse entries, require surrounding context.</x:v>
      </x:c>
      <x:c r="Q1002" s="13" t="str">
        <x:v>Do not label merely because topic is controversial, emotional, or wrong. Do not judge intent or personality. Require textual evidence and consider healthy-reasoning cues.</x:v>
      </x:c>
      <x:c r="R1002" s="13" t="str">
        <x:v>Stub: A claim relies on a protective reasoning pattern is explicitly present to support a conclusion without adequate qualification.</x:v>
      </x:c>
      <x:c r="S1002" s="13" t="str">
        <x:v>Stub: A claim discusses uncertainty acknowledgement with caveats, balanced evidence, or no argumentative use of the pattern.</x:v>
      </x:c>
      <x:c r="T1002" s="13" t="str">
        <x:v>Weak protective cue; keep normal review.</x:v>
      </x:c>
      <x:c r="U1002" s="13" t="str">
        <x:v>Clear protective cue; reduce false-positive risk.</x:v>
      </x:c>
      <x:c r="V1002" s="13" t="str">
        <x:v>Strong protective cue; require stronger evidence before assigning risk labels.</x:v>
      </x:c>
      <x:c r="W1002" s="13" t="str"/>
      <x:c r="X1002" s="13" t="str">
        <x:v>stanovich_dual_process</x:v>
      </x:c>
      <x:c r="Y1002" s="13" t="str">
        <x:v>https://global.oup.com/academic/product/rationality-and-the-reflective-mind-9780195341140</x:v>
      </x:c>
      <x:c r="Z1002" s="13" t="str">
        <x:v>Review before enabling. This workbook is a living taxonomy scaffold, not a validated scientific benchmark.</x:v>
      </x:c>
      <x:c r="AA1002" s="13" t="str">
        <x:v>0.1.0-draft</x:v>
      </x:c>
      <x:c r="AB1002" s="12" t="str">
        <x:f>IF(ISNUMBER(SEARCH("healthy",F1002)),"healthy_reasoning_patterns",IF(ISNUMBER(SEARCH("statistical",F1002)),"statistical_reasoning",IF(ISNUMBER(SEARCH("causal",F1002)),"causal_reasoning",IF(ISNUMBER(SEARCH("social",F1002)),"social_influence",IF(ISNUMBER(SEARCH("rhetoric",F1002)),"rhetoric_discourse",IF(ISNUMBER(SEARCH("behavior",F1002)),"behavioural_economics",IF(ISNUMBER(SEARCH("cognitive",F1002)),"cognitive_biases",IF(J1002="protective_pattern","healthy_reasoning_patterns",IF(L1002="P0","core_mvp","extended_fallacies")))))))))</x:f>
        <x:v>healthy_reasoning_patterns</x:v>
      </x:c>
      <x:c r="AC1002" s="12" t="str">
        <x:f>IF(ISNUMBER(SEARCH("operational",J1002)),"operational",IF(ISNUMBER(SEARCH("deprecated",J1002)),"deprecated",IF(L1002="P0","canonical","recognized_subtype")))</x:f>
        <x:v>recognized_subtype</x:v>
      </x:c>
      <x:c r="AD1002" s="12" t="str">
        <x:f>IF(AC1002="canonical","high",IF(AC1002="recognized_subtype","medium",IF(AC1002="operational","operational_only","debated")))</x:f>
        <x:v>medium</x:v>
      </x:c>
      <x:c r="AE1002" s="12" t="str">
        <x:f>IF(AC1002="deprecated","deprecated",IF(M1002="yes","active",IF(M1002="review","review_required","backlog")))</x:f>
        <x:v>review_required</x:v>
      </x:c>
      <x:c r="AF1002" s="12" t="str">
        <x:f>IF(OR(AE1002="active",AE1002="review_required"),"yes","no")</x:f>
        <x:v>yes</x:v>
      </x:c>
      <x:c r="AG1002" s="12" t="str">
        <x:f>IF(AND(AE1002="active",M1002="yes",NOT(ISNUMBER(SEARCH("healthy",AB1002)))),"yes","no")</x:f>
        <x:v>no</x:v>
      </x:c>
      <x:c r="AH1002" s="12" t="str">
        <x:f>IF(OR(H1002="contextual",H1002="dialogue",H1002="discourse",I1002="claim+context",I1002="discourse_segment"),"yes","no")</x:f>
        <x:v>no</x:v>
      </x:c>
      <x:c r="AI1002" s="12" t="str">
        <x:f>IF(OR(AH1002="yes",AD1002="debated",AC1002="operational"),"yes","no")</x:f>
        <x:v>no</x:v>
      </x:c>
      <x:c r="AJ1002" s="12" t="str">
        <x:f>IF(OR(AH1002="yes",AC1002="operational",AD1002="debated"),"high",IF(AND(AG1002="yes",L1002="P0"),"medium","low"))</x:f>
        <x:v>low</x:v>
      </x:c>
      <x:c r="AK1002" s="12" t="str">
        <x:f>IF(ISNUMBER(SEARCH("healthy",AB1002)),"yes","no")</x:f>
        <x:v>yes</x:v>
      </x:c>
      <x:c r="AL1002" s="12" t="str">
        <x:f>IF(AG1002="yes","yes","candidate_only")</x:f>
        <x:v>candidate_only</x:v>
      </x:c>
      <x:c r="AM1002" s="12" t="str">
        <x:f>IF(OR(AC1002="canonical",AG1002="yes"),"yes","recommended")</x:f>
        <x:v>recommended</x:v>
      </x:c>
      <x:c r="AN1002" s="12" t="str">
        <x:f>IF(AC1002="deprecated","exclude",IF(AND(AG1002="yes",AJ1002="high"),"import_but_human_review_required",IF(AG1002="yes","import_as_active","import_as_backlog")))</x:f>
        <x:v>import_as_backlog</x:v>
      </x:c>
      <x:c r="AO1002" s="12" t="str">
        <x:f>IF(AND(AG1002="yes",OR(P1002="",Q1002="",R1002="",S1002="")),"missing_required_mvp_fields",IF(AND(AC1002="canonical",Y1002=""),"missing_source_ref","ok"))</x:f>
        <x:v>ok</x:v>
      </x:c>
      <x:c r="AP1002" s="12" t="str">
        <x:f>IF(AO1002="ok","ready_for_codex_import","needs_review")</x:f>
        <x:v>ready_for_codex_import</x:v>
      </x:c>
      <x:c r="AQ1002" s="12"/>
      <x:c r="AR1002" s="12" t="str">
        <x:v>Added v2 operational fields. Review before classification activation.</x:v>
      </x:c>
    </x:row>
    <x:row r="1003">
      <x:c r="A1003" s="13" t="str">
        <x:v>scope_limitation_canonical</x:v>
      </x:c>
      <x:c r="B1003" s="13" t="str">
        <x:v>scope_limitation</x:v>
      </x:c>
      <x:c r="C1003" s="13" t="str">
        <x:v>Scope limitation</x:v>
      </x:c>
      <x:c r="D1003" s="13" t="str">
        <x:v>محدودسازی دامنه ادعا</x:v>
      </x:c>
      <x:c r="E1003" s="13" t="str">
        <x:v>Canonical form</x:v>
      </x:c>
      <x:c r="F1003" s="13" t="str">
        <x:v>healthy_reasoning_patterns</x:v>
      </x:c>
      <x:c r="G1003" s="13" t="str">
        <x:v>canonical</x:v>
      </x:c>
      <x:c r="H1003" s="13" t="str">
        <x:v>lexical</x:v>
      </x:c>
      <x:c r="I1003" s="13" t="str">
        <x:v>claim</x:v>
      </x:c>
      <x:c r="J1003" s="13" t="str">
        <x:v>protective_pattern</x:v>
      </x:c>
      <x:c r="K1003" s="13" t="str">
        <x:v>operational_pattern_needs_review</x:v>
      </x:c>
      <x:c r="L1003" s="13" t="str">
        <x:v>P1</x:v>
      </x:c>
      <x:c r="M1003" s="13" t="str">
        <x:v>review</x:v>
      </x:c>
      <x:c r="N1003" s="13" t="str">
        <x:v>Protective reasoning pattern under Scope limitation: a protective reasoning pattern is explicitly present. It should reduce risk scores when supported by evidence.</x:v>
      </x:c>
      <x:c r="O1003" s="13" t="str">
        <x:v>Look for: explicit claim-level evidence; parent-family cues for Scope limitation; variant cue: a protective reasoning pattern is explicitly present; avoid author-level inference.</x:v>
      </x:c>
      <x:c r="P1003" s="13" t="str">
        <x:v>Exact evidence span in text plus claim-level reasoning link; for contextual/discourse entries, require surrounding context.</x:v>
      </x:c>
      <x:c r="Q1003" s="13" t="str">
        <x:v>Do not label merely because topic is controversial, emotional, or wrong. Do not judge intent or personality. Require textual evidence and consider healthy-reasoning cues.</x:v>
      </x:c>
      <x:c r="R1003" s="13" t="str">
        <x:v>Stub: A claim relies on a protective reasoning pattern is explicitly present to support a conclusion without adequate qualification.</x:v>
      </x:c>
      <x:c r="S1003" s="13" t="str">
        <x:v>Stub: A claim discusses scope limitation with caveats, balanced evidence, or no argumentative use of the pattern.</x:v>
      </x:c>
      <x:c r="T1003" s="13" t="str">
        <x:v>Weak protective cue; keep normal review.</x:v>
      </x:c>
      <x:c r="U1003" s="13" t="str">
        <x:v>Clear protective cue; reduce false-positive risk.</x:v>
      </x:c>
      <x:c r="V1003" s="13" t="str">
        <x:v>Strong protective cue; require stronger evidence before assigning risk labels.</x:v>
      </x:c>
      <x:c r="W1003" s="13" t="str"/>
      <x:c r="X1003" s="13" t="str">
        <x:v>toulmin_uses_argument</x:v>
      </x:c>
      <x:c r="Y1003" s="13" t="str">
        <x:v>https://doi.org/10.1017/CBO9780511840005</x:v>
      </x:c>
      <x:c r="Z1003" s="13" t="str">
        <x:v>Review before enabling. This workbook is a living taxonomy scaffold, not a validated scientific benchmark.</x:v>
      </x:c>
      <x:c r="AA1003" s="13" t="str">
        <x:v>0.1.0-draft</x:v>
      </x:c>
      <x:c r="AB1003" s="12" t="str">
        <x:f>IF(ISNUMBER(SEARCH("healthy",F1003)),"healthy_reasoning_patterns",IF(ISNUMBER(SEARCH("statistical",F1003)),"statistical_reasoning",IF(ISNUMBER(SEARCH("causal",F1003)),"causal_reasoning",IF(ISNUMBER(SEARCH("social",F1003)),"social_influence",IF(ISNUMBER(SEARCH("rhetoric",F1003)),"rhetoric_discourse",IF(ISNUMBER(SEARCH("behavior",F1003)),"behavioural_economics",IF(ISNUMBER(SEARCH("cognitive",F1003)),"cognitive_biases",IF(J1003="protective_pattern","healthy_reasoning_patterns",IF(L1003="P0","core_mvp","extended_fallacies")))))))))</x:f>
        <x:v>healthy_reasoning_patterns</x:v>
      </x:c>
      <x:c r="AC1003" s="12" t="str">
        <x:f>IF(ISNUMBER(SEARCH("operational",J1003)),"operational",IF(ISNUMBER(SEARCH("deprecated",J1003)),"deprecated",IF(L1003="P0","canonical","recognized_subtype")))</x:f>
        <x:v>recognized_subtype</x:v>
      </x:c>
      <x:c r="AD1003" s="12" t="str">
        <x:f>IF(AC1003="canonical","high",IF(AC1003="recognized_subtype","medium",IF(AC1003="operational","operational_only","debated")))</x:f>
        <x:v>medium</x:v>
      </x:c>
      <x:c r="AE1003" s="12" t="str">
        <x:f>IF(AC1003="deprecated","deprecated",IF(M1003="yes","active",IF(M1003="review","review_required","backlog")))</x:f>
        <x:v>review_required</x:v>
      </x:c>
      <x:c r="AF1003" s="12" t="str">
        <x:f>IF(OR(AE1003="active",AE1003="review_required"),"yes","no")</x:f>
        <x:v>yes</x:v>
      </x:c>
      <x:c r="AG1003" s="12" t="str">
        <x:f>IF(AND(AE1003="active",M1003="yes",NOT(ISNUMBER(SEARCH("healthy",AB1003)))),"yes","no")</x:f>
        <x:v>no</x:v>
      </x:c>
      <x:c r="AH1003" s="12" t="str">
        <x:f>IF(OR(H1003="contextual",H1003="dialogue",H1003="discourse",I1003="claim+context",I1003="discourse_segment"),"yes","no")</x:f>
        <x:v>no</x:v>
      </x:c>
      <x:c r="AI1003" s="12" t="str">
        <x:f>IF(OR(AH1003="yes",AD1003="debated",AC1003="operational"),"yes","no")</x:f>
        <x:v>no</x:v>
      </x:c>
      <x:c r="AJ1003" s="12" t="str">
        <x:f>IF(OR(AH1003="yes",AC1003="operational",AD1003="debated"),"high",IF(AND(AG1003="yes",L1003="P0"),"medium","low"))</x:f>
        <x:v>low</x:v>
      </x:c>
      <x:c r="AK1003" s="12" t="str">
        <x:f>IF(ISNUMBER(SEARCH("healthy",AB1003)),"yes","no")</x:f>
        <x:v>yes</x:v>
      </x:c>
      <x:c r="AL1003" s="12" t="str">
        <x:f>IF(AG1003="yes","yes","candidate_only")</x:f>
        <x:v>candidate_only</x:v>
      </x:c>
      <x:c r="AM1003" s="12" t="str">
        <x:f>IF(OR(AC1003="canonical",AG1003="yes"),"yes","recommended")</x:f>
        <x:v>recommended</x:v>
      </x:c>
      <x:c r="AN1003" s="12" t="str">
        <x:f>IF(AC1003="deprecated","exclude",IF(AND(AG1003="yes",AJ1003="high"),"import_but_human_review_required",IF(AG1003="yes","import_as_active","import_as_backlog")))</x:f>
        <x:v>import_as_backlog</x:v>
      </x:c>
      <x:c r="AO1003" s="12" t="str">
        <x:f>IF(AND(AG1003="yes",OR(P1003="",Q1003="",R1003="",S1003="")),"missing_required_mvp_fields",IF(AND(AC1003="canonical",Y1003=""),"missing_source_ref","ok"))</x:f>
        <x:v>ok</x:v>
      </x:c>
      <x:c r="AP1003" s="12" t="str">
        <x:f>IF(AO1003="ok","ready_for_codex_import","needs_review")</x:f>
        <x:v>ready_for_codex_import</x:v>
      </x:c>
      <x:c r="AQ1003" s="12"/>
      <x:c r="AR1003" s="12" t="str">
        <x:v>Added v2 operational fields. Review before classification activation.</x:v>
      </x:c>
    </x:row>
    <x:row r="1004">
      <x:c r="A1004" s="13" t="str">
        <x:v>base_rate_use_canonical</x:v>
      </x:c>
      <x:c r="B1004" s="13" t="str">
        <x:v>base_rate_use</x:v>
      </x:c>
      <x:c r="C1004" s="13" t="str">
        <x:v>Base-rate use</x:v>
      </x:c>
      <x:c r="D1004" s="13" t="str">
        <x:v>استفاده از نرخ پایه</x:v>
      </x:c>
      <x:c r="E1004" s="13" t="str">
        <x:v>Canonical form</x:v>
      </x:c>
      <x:c r="F1004" s="13" t="str">
        <x:v>healthy_reasoning_patterns</x:v>
      </x:c>
      <x:c r="G1004" s="13" t="str">
        <x:v>canonical</x:v>
      </x:c>
      <x:c r="H1004" s="13" t="str">
        <x:v>contextual</x:v>
      </x:c>
      <x:c r="I1004" s="13" t="str">
        <x:v>claim+context</x:v>
      </x:c>
      <x:c r="J1004" s="13" t="str">
        <x:v>protective_pattern</x:v>
      </x:c>
      <x:c r="K1004" s="13" t="str">
        <x:v>operational_pattern_needs_review</x:v>
      </x:c>
      <x:c r="L1004" s="13" t="str">
        <x:v>P1</x:v>
      </x:c>
      <x:c r="M1004" s="13" t="str">
        <x:v>review</x:v>
      </x:c>
      <x:c r="N1004" s="13" t="str">
        <x:v>Protective reasoning pattern under Base-rate use: a protective reasoning pattern is explicitly present. It should reduce risk scores when supported by evidence.</x:v>
      </x:c>
      <x:c r="O1004" s="13" t="str">
        <x:v>Look for: explicit claim-level evidence; parent-family cues for Base-rate use; variant cue: a protective reasoning pattern is explicitly present; avoid author-level inference.</x:v>
      </x:c>
      <x:c r="P1004" s="13" t="str">
        <x:v>Exact evidence span in text plus claim-level reasoning link; for contextual/discourse entries, require surrounding context.</x:v>
      </x:c>
      <x:c r="Q1004" s="13" t="str">
        <x:v>Do not label merely because topic is controversial, emotional, or wrong. Do not judge intent or personality. Require textual evidence and consider healthy-reasoning cues.</x:v>
      </x:c>
      <x:c r="R1004" s="13" t="str">
        <x:v>Stub: A claim relies on a protective reasoning pattern is explicitly present to support a conclusion without adequate qualification.</x:v>
      </x:c>
      <x:c r="S1004" s="13" t="str">
        <x:v>Stub: A claim discusses base-rate use with caveats, balanced evidence, or no argumentative use of the pattern.</x:v>
      </x:c>
      <x:c r="T1004" s="13" t="str">
        <x:v>Weak protective cue; keep normal review.</x:v>
      </x:c>
      <x:c r="U1004" s="13" t="str">
        <x:v>Clear protective cue; reduce false-positive risk.</x:v>
      </x:c>
      <x:c r="V1004" s="13" t="str">
        <x:v>Strong protective cue; require stronger evidence before assigning risk labels.</x:v>
      </x:c>
      <x:c r="W1004" s="13" t="str"/>
      <x:c r="X1004" s="13" t="str">
        <x:v>kahneman_tversky_heuristics_1974</x:v>
      </x:c>
      <x:c r="Y1004" s="13" t="str">
        <x:v>https://doi.org/10.1126/science.185.4157.1124</x:v>
      </x:c>
      <x:c r="Z1004" s="13" t="str">
        <x:v>Review before enabling. This workbook is a living taxonomy scaffold, not a validated scientific benchmark.</x:v>
      </x:c>
      <x:c r="AA1004" s="13" t="str">
        <x:v>0.1.0-draft</x:v>
      </x:c>
      <x:c r="AB1004" s="12" t="str">
        <x:f>IF(ISNUMBER(SEARCH("healthy",F1004)),"healthy_reasoning_patterns",IF(ISNUMBER(SEARCH("statistical",F1004)),"statistical_reasoning",IF(ISNUMBER(SEARCH("causal",F1004)),"causal_reasoning",IF(ISNUMBER(SEARCH("social",F1004)),"social_influence",IF(ISNUMBER(SEARCH("rhetoric",F1004)),"rhetoric_discourse",IF(ISNUMBER(SEARCH("behavior",F1004)),"behavioural_economics",IF(ISNUMBER(SEARCH("cognitive",F1004)),"cognitive_biases",IF(J1004="protective_pattern","healthy_reasoning_patterns",IF(L1004="P0","core_mvp","extended_fallacies")))))))))</x:f>
        <x:v>healthy_reasoning_patterns</x:v>
      </x:c>
      <x:c r="AC1004" s="12" t="str">
        <x:f>IF(ISNUMBER(SEARCH("operational",J1004)),"operational",IF(ISNUMBER(SEARCH("deprecated",J1004)),"deprecated",IF(L1004="P0","canonical","recognized_subtype")))</x:f>
        <x:v>recognized_subtype</x:v>
      </x:c>
      <x:c r="AD1004" s="12" t="str">
        <x:f>IF(AC1004="canonical","high",IF(AC1004="recognized_subtype","medium",IF(AC1004="operational","operational_only","debated")))</x:f>
        <x:v>medium</x:v>
      </x:c>
      <x:c r="AE1004" s="12" t="str">
        <x:f>IF(AC1004="deprecated","deprecated",IF(M1004="yes","active",IF(M1004="review","review_required","backlog")))</x:f>
        <x:v>review_required</x:v>
      </x:c>
      <x:c r="AF1004" s="12" t="str">
        <x:f>IF(OR(AE1004="active",AE1004="review_required"),"yes","no")</x:f>
        <x:v>yes</x:v>
      </x:c>
      <x:c r="AG1004" s="12" t="str">
        <x:f>IF(AND(AE1004="active",M1004="yes",NOT(ISNUMBER(SEARCH("healthy",AB1004)))),"yes","no")</x:f>
        <x:v>no</x:v>
      </x:c>
      <x:c r="AH1004" s="12" t="str">
        <x:f>IF(OR(H1004="contextual",H1004="dialogue",H1004="discourse",I1004="claim+context",I1004="discourse_segment"),"yes","no")</x:f>
        <x:v>yes</x:v>
      </x:c>
      <x:c r="AI1004" s="12" t="str">
        <x:f>IF(OR(AH1004="yes",AD1004="debated",AC1004="operational"),"yes","no")</x:f>
        <x:v>yes</x:v>
      </x:c>
      <x:c r="AJ1004" s="12" t="str">
        <x:f>IF(OR(AH1004="yes",AC1004="operational",AD1004="debated"),"high",IF(AND(AG1004="yes",L1004="P0"),"medium","low"))</x:f>
        <x:v>high</x:v>
      </x:c>
      <x:c r="AK1004" s="12" t="str">
        <x:f>IF(ISNUMBER(SEARCH("healthy",AB1004)),"yes","no")</x:f>
        <x:v>yes</x:v>
      </x:c>
      <x:c r="AL1004" s="12" t="str">
        <x:f>IF(AG1004="yes","yes","candidate_only")</x:f>
        <x:v>candidate_only</x:v>
      </x:c>
      <x:c r="AM1004" s="12" t="str">
        <x:f>IF(OR(AC1004="canonical",AG1004="yes"),"yes","recommended")</x:f>
        <x:v>recommended</x:v>
      </x:c>
      <x:c r="AN1004" s="12" t="str">
        <x:f>IF(AC1004="deprecated","exclude",IF(AND(AG1004="yes",AJ1004="high"),"import_but_human_review_required",IF(AG1004="yes","import_as_active","import_as_backlog")))</x:f>
        <x:v>import_as_backlog</x:v>
      </x:c>
      <x:c r="AO1004" s="12" t="str">
        <x:f>IF(AND(AG1004="yes",OR(P1004="",Q1004="",R1004="",S1004="")),"missing_required_mvp_fields",IF(AND(AC1004="canonical",Y1004=""),"missing_source_ref","ok"))</x:f>
        <x:v>ok</x:v>
      </x:c>
      <x:c r="AP1004" s="12" t="str">
        <x:f>IF(AO1004="ok","ready_for_codex_import","needs_review")</x:f>
        <x:v>ready_for_codex_import</x:v>
      </x:c>
      <x:c r="AQ1004" s="12"/>
      <x:c r="AR1004" s="12" t="str">
        <x:v>Added v2 operational fields. Review before classification activation.</x:v>
      </x:c>
    </x:row>
    <x:row r="1005">
      <x:c r="A1005" s="13" t="str">
        <x:v>counterexample_consideration_canonical</x:v>
      </x:c>
      <x:c r="B1005" s="13" t="str">
        <x:v>counterexample_consideration</x:v>
      </x:c>
      <x:c r="C1005" s="13" t="str">
        <x:v>Counterexample consideration</x:v>
      </x:c>
      <x:c r="D1005" s="13" t="str">
        <x:v>توجه به نمونه نقض</x:v>
      </x:c>
      <x:c r="E1005" s="13" t="str">
        <x:v>Canonical form</x:v>
      </x:c>
      <x:c r="F1005" s="13" t="str">
        <x:v>healthy_reasoning_patterns</x:v>
      </x:c>
      <x:c r="G1005" s="13" t="str">
        <x:v>canonical</x:v>
      </x:c>
      <x:c r="H1005" s="13" t="str">
        <x:v>contextual</x:v>
      </x:c>
      <x:c r="I1005" s="13" t="str">
        <x:v>claim+context</x:v>
      </x:c>
      <x:c r="J1005" s="13" t="str">
        <x:v>protective_pattern</x:v>
      </x:c>
      <x:c r="K1005" s="13" t="str">
        <x:v>operational_pattern_needs_review</x:v>
      </x:c>
      <x:c r="L1005" s="13" t="str">
        <x:v>P1</x:v>
      </x:c>
      <x:c r="M1005" s="13" t="str">
        <x:v>review</x:v>
      </x:c>
      <x:c r="N1005" s="13" t="str">
        <x:v>Protective reasoning pattern under Counterexample consideration: a protective reasoning pattern is explicitly present. It should reduce risk scores when supported by evidence.</x:v>
      </x:c>
      <x:c r="O1005" s="13" t="str">
        <x:v>Look for: explicit claim-level evidence; parent-family cues for Counterexample consideration; variant cue: a protective reasoning pattern is explicitly present; avoid author-level inference.</x:v>
      </x:c>
      <x:c r="P1005" s="13" t="str">
        <x:v>Exact evidence span in text plus claim-level reasoning link; for contextual/discourse entries, require surrounding context.</x:v>
      </x:c>
      <x:c r="Q1005" s="13" t="str">
        <x:v>Do not label merely because topic is controversial, emotional, or wrong. Do not judge intent or personality. Require textual evidence and consider healthy-reasoning cues.</x:v>
      </x:c>
      <x:c r="R1005" s="13" t="str">
        <x:v>Stub: A claim relies on a protective reasoning pattern is explicitly present to support a conclusion without adequate qualification.</x:v>
      </x:c>
      <x:c r="S1005" s="13" t="str">
        <x:v>Stub: A claim discusses counterexample consideration with caveats, balanced evidence, or no argumentative use of the pattern.</x:v>
      </x:c>
      <x:c r="T1005" s="13" t="str">
        <x:v>Weak protective cue; keep normal review.</x:v>
      </x:c>
      <x:c r="U1005" s="13" t="str">
        <x:v>Clear protective cue; reduce false-positive risk.</x:v>
      </x:c>
      <x:c r="V1005" s="13" t="str">
        <x:v>Strong protective cue; require stronger evidence before assigning risk labels.</x:v>
      </x:c>
      <x:c r="W1005" s="13" t="str">
        <x:v>cherry_picking; missing_counterevidence; evidence_grading</x:v>
      </x:c>
      <x:c r="X1005" s="13" t="str">
        <x:v>toulmin_uses_argument</x:v>
      </x:c>
      <x:c r="Y1005" s="13" t="str">
        <x:v>https://doi.org/10.1017/CBO9780511840005</x:v>
      </x:c>
      <x:c r="Z1005" s="13" t="str">
        <x:v>Review before enabling. This workbook is a living taxonomy scaffold, not a validated scientific benchmark.</x:v>
      </x:c>
      <x:c r="AA1005" s="13" t="str">
        <x:v>0.1.0-draft</x:v>
      </x:c>
      <x:c r="AB1005" s="12" t="str">
        <x:f>IF(ISNUMBER(SEARCH("healthy",F1005)),"healthy_reasoning_patterns",IF(ISNUMBER(SEARCH("statistical",F1005)),"statistical_reasoning",IF(ISNUMBER(SEARCH("causal",F1005)),"causal_reasoning",IF(ISNUMBER(SEARCH("social",F1005)),"social_influence",IF(ISNUMBER(SEARCH("rhetoric",F1005)),"rhetoric_discourse",IF(ISNUMBER(SEARCH("behavior",F1005)),"behavioural_economics",IF(ISNUMBER(SEARCH("cognitive",F1005)),"cognitive_biases",IF(J1005="protective_pattern","healthy_reasoning_patterns",IF(L1005="P0","core_mvp","extended_fallacies")))))))))</x:f>
        <x:v>healthy_reasoning_patterns</x:v>
      </x:c>
      <x:c r="AC1005" s="12" t="str">
        <x:f>IF(ISNUMBER(SEARCH("operational",J1005)),"operational",IF(ISNUMBER(SEARCH("deprecated",J1005)),"deprecated",IF(L1005="P0","canonical","recognized_subtype")))</x:f>
        <x:v>recognized_subtype</x:v>
      </x:c>
      <x:c r="AD1005" s="12" t="str">
        <x:f>IF(AC1005="canonical","high",IF(AC1005="recognized_subtype","medium",IF(AC1005="operational","operational_only","debated")))</x:f>
        <x:v>medium</x:v>
      </x:c>
      <x:c r="AE1005" s="12" t="str">
        <x:f>IF(AC1005="deprecated","deprecated",IF(M1005="yes","active",IF(M1005="review","review_required","backlog")))</x:f>
        <x:v>review_required</x:v>
      </x:c>
      <x:c r="AF1005" s="12" t="str">
        <x:f>IF(OR(AE1005="active",AE1005="review_required"),"yes","no")</x:f>
        <x:v>yes</x:v>
      </x:c>
      <x:c r="AG1005" s="12" t="str">
        <x:f>IF(AND(AE1005="active",M1005="yes",NOT(ISNUMBER(SEARCH("healthy",AB1005)))),"yes","no")</x:f>
        <x:v>no</x:v>
      </x:c>
      <x:c r="AH1005" s="12" t="str">
        <x:f>IF(OR(H1005="contextual",H1005="dialogue",H1005="discourse",I1005="claim+context",I1005="discourse_segment"),"yes","no")</x:f>
        <x:v>yes</x:v>
      </x:c>
      <x:c r="AI1005" s="12" t="str">
        <x:f>IF(OR(AH1005="yes",AD1005="debated",AC1005="operational"),"yes","no")</x:f>
        <x:v>yes</x:v>
      </x:c>
      <x:c r="AJ1005" s="12" t="str">
        <x:f>IF(OR(AH1005="yes",AC1005="operational",AD1005="debated"),"high",IF(AND(AG1005="yes",L1005="P0"),"medium","low"))</x:f>
        <x:v>high</x:v>
      </x:c>
      <x:c r="AK1005" s="12" t="str">
        <x:f>IF(ISNUMBER(SEARCH("healthy",AB1005)),"yes","no")</x:f>
        <x:v>yes</x:v>
      </x:c>
      <x:c r="AL1005" s="12" t="str">
        <x:f>IF(AG1005="yes","yes","candidate_only")</x:f>
        <x:v>candidate_only</x:v>
      </x:c>
      <x:c r="AM1005" s="12" t="str">
        <x:f>IF(OR(AC1005="canonical",AG1005="yes"),"yes","recommended")</x:f>
        <x:v>recommended</x:v>
      </x:c>
      <x:c r="AN1005" s="12" t="str">
        <x:f>IF(AC1005="deprecated","exclude",IF(AND(AG1005="yes",AJ1005="high"),"import_but_human_review_required",IF(AG1005="yes","import_as_active","import_as_backlog")))</x:f>
        <x:v>import_as_backlog</x:v>
      </x:c>
      <x:c r="AO1005" s="12" t="str">
        <x:f>IF(AND(AG1005="yes",OR(P1005="",Q1005="",R1005="",S1005="")),"missing_required_mvp_fields",IF(AND(AC1005="canonical",Y1005=""),"missing_source_ref","ok"))</x:f>
        <x:v>ok</x:v>
      </x:c>
      <x:c r="AP1005" s="12" t="str">
        <x:f>IF(AO1005="ok","ready_for_codex_import","needs_review")</x:f>
        <x:v>ready_for_codex_import</x:v>
      </x:c>
      <x:c r="AQ1005" s="12"/>
      <x:c r="AR1005" s="12" t="str">
        <x:v>Added v2 operational fields. Review before classification activation.</x:v>
      </x:c>
    </x:row>
    <x:row r="1006">
      <x:c r="A1006" s="13" t="str">
        <x:v>alternative_explanation_consideration_canonical</x:v>
      </x:c>
      <x:c r="B1006" s="13" t="str">
        <x:v>alternative_explanation_consideration</x:v>
      </x:c>
      <x:c r="C1006" s="13" t="str">
        <x:v>Alternative explanations considered</x:v>
      </x:c>
      <x:c r="D1006" s="13" t="str">
        <x:v>توجه به توضیح‌های بدیل</x:v>
      </x:c>
      <x:c r="E1006" s="13" t="str">
        <x:v>Canonical form</x:v>
      </x:c>
      <x:c r="F1006" s="13" t="str">
        <x:v>healthy_reasoning_patterns</x:v>
      </x:c>
      <x:c r="G1006" s="13" t="str">
        <x:v>canonical</x:v>
      </x:c>
      <x:c r="H1006" s="13" t="str">
        <x:v>contextual</x:v>
      </x:c>
      <x:c r="I1006" s="13" t="str">
        <x:v>claim+context</x:v>
      </x:c>
      <x:c r="J1006" s="13" t="str">
        <x:v>protective_pattern</x:v>
      </x:c>
      <x:c r="K1006" s="13" t="str">
        <x:v>operational_pattern_needs_review</x:v>
      </x:c>
      <x:c r="L1006" s="13" t="str">
        <x:v>P1</x:v>
      </x:c>
      <x:c r="M1006" s="13" t="str">
        <x:v>review</x:v>
      </x:c>
      <x:c r="N1006" s="13" t="str">
        <x:v>Protective reasoning pattern under Alternative explanations considered: a protective reasoning pattern is explicitly present. It should reduce risk scores when supported by evidence.</x:v>
      </x:c>
      <x:c r="O1006" s="13" t="str">
        <x:v>Look for: explicit claim-level evidence; parent-family cues for Alternative explanations considered; variant cue: a protective reasoning pattern is explicitly present; avoid author-level inference.</x:v>
      </x:c>
      <x:c r="P1006" s="13" t="str">
        <x:v>Exact evidence span in text plus claim-level reasoning link; for contextual/discourse entries, require surrounding context.</x:v>
      </x:c>
      <x:c r="Q1006" s="13" t="str">
        <x:v>Do not label merely because topic is controversial, emotional, or wrong. Do not judge intent or personality. Require textual evidence and consider healthy-reasoning cues.</x:v>
      </x:c>
      <x:c r="R1006" s="13" t="str">
        <x:v>Stub: A claim relies on a protective reasoning pattern is explicitly present to support a conclusion without adequate qualification.</x:v>
      </x:c>
      <x:c r="S1006" s="13" t="str">
        <x:v>Stub: A claim discusses alternative explanations considered with caveats, balanced evidence, or no argumentative use of the pattern.</x:v>
      </x:c>
      <x:c r="T1006" s="13" t="str">
        <x:v>Weak protective cue; keep normal review.</x:v>
      </x:c>
      <x:c r="U1006" s="13" t="str">
        <x:v>Clear protective cue; reduce false-positive risk.</x:v>
      </x:c>
      <x:c r="V1006" s="13" t="str">
        <x:v>Strong protective cue; require stronger evidence before assigning risk labels.</x:v>
      </x:c>
      <x:c r="W1006" s="13" t="str"/>
      <x:c r="X1006" s="13" t="str">
        <x:v>toulmin_uses_argument</x:v>
      </x:c>
      <x:c r="Y1006" s="13" t="str">
        <x:v>https://doi.org/10.1017/CBO9780511840005</x:v>
      </x:c>
      <x:c r="Z1006" s="13" t="str">
        <x:v>Review before enabling. This workbook is a living taxonomy scaffold, not a validated scientific benchmark.</x:v>
      </x:c>
      <x:c r="AA1006" s="13" t="str">
        <x:v>0.1.0-draft</x:v>
      </x:c>
      <x:c r="AB1006" s="12" t="str">
        <x:f>IF(ISNUMBER(SEARCH("healthy",F1006)),"healthy_reasoning_patterns",IF(ISNUMBER(SEARCH("statistical",F1006)),"statistical_reasoning",IF(ISNUMBER(SEARCH("causal",F1006)),"causal_reasoning",IF(ISNUMBER(SEARCH("social",F1006)),"social_influence",IF(ISNUMBER(SEARCH("rhetoric",F1006)),"rhetoric_discourse",IF(ISNUMBER(SEARCH("behavior",F1006)),"behavioural_economics",IF(ISNUMBER(SEARCH("cognitive",F1006)),"cognitive_biases",IF(J1006="protective_pattern","healthy_reasoning_patterns",IF(L1006="P0","core_mvp","extended_fallacies")))))))))</x:f>
        <x:v>healthy_reasoning_patterns</x:v>
      </x:c>
      <x:c r="AC1006" s="12" t="str">
        <x:f>IF(ISNUMBER(SEARCH("operational",J1006)),"operational",IF(ISNUMBER(SEARCH("deprecated",J1006)),"deprecated",IF(L1006="P0","canonical","recognized_subtype")))</x:f>
        <x:v>recognized_subtype</x:v>
      </x:c>
      <x:c r="AD1006" s="12" t="str">
        <x:f>IF(AC1006="canonical","high",IF(AC1006="recognized_subtype","medium",IF(AC1006="operational","operational_only","debated")))</x:f>
        <x:v>medium</x:v>
      </x:c>
      <x:c r="AE1006" s="12" t="str">
        <x:f>IF(AC1006="deprecated","deprecated",IF(M1006="yes","active",IF(M1006="review","review_required","backlog")))</x:f>
        <x:v>review_required</x:v>
      </x:c>
      <x:c r="AF1006" s="12" t="str">
        <x:f>IF(OR(AE1006="active",AE1006="review_required"),"yes","no")</x:f>
        <x:v>yes</x:v>
      </x:c>
      <x:c r="AG1006" s="12" t="str">
        <x:f>IF(AND(AE1006="active",M1006="yes",NOT(ISNUMBER(SEARCH("healthy",AB1006)))),"yes","no")</x:f>
        <x:v>no</x:v>
      </x:c>
      <x:c r="AH1006" s="12" t="str">
        <x:f>IF(OR(H1006="contextual",H1006="dialogue",H1006="discourse",I1006="claim+context",I1006="discourse_segment"),"yes","no")</x:f>
        <x:v>yes</x:v>
      </x:c>
      <x:c r="AI1006" s="12" t="str">
        <x:f>IF(OR(AH1006="yes",AD1006="debated",AC1006="operational"),"yes","no")</x:f>
        <x:v>yes</x:v>
      </x:c>
      <x:c r="AJ1006" s="12" t="str">
        <x:f>IF(OR(AH1006="yes",AC1006="operational",AD1006="debated"),"high",IF(AND(AG1006="yes",L1006="P0"),"medium","low"))</x:f>
        <x:v>high</x:v>
      </x:c>
      <x:c r="AK1006" s="12" t="str">
        <x:f>IF(ISNUMBER(SEARCH("healthy",AB1006)),"yes","no")</x:f>
        <x:v>yes</x:v>
      </x:c>
      <x:c r="AL1006" s="12" t="str">
        <x:f>IF(AG1006="yes","yes","candidate_only")</x:f>
        <x:v>candidate_only</x:v>
      </x:c>
      <x:c r="AM1006" s="12" t="str">
        <x:f>IF(OR(AC1006="canonical",AG1006="yes"),"yes","recommended")</x:f>
        <x:v>recommended</x:v>
      </x:c>
      <x:c r="AN1006" s="12" t="str">
        <x:f>IF(AC1006="deprecated","exclude",IF(AND(AG1006="yes",AJ1006="high"),"import_but_human_review_required",IF(AG1006="yes","import_as_active","import_as_backlog")))</x:f>
        <x:v>import_as_backlog</x:v>
      </x:c>
      <x:c r="AO1006" s="12" t="str">
        <x:f>IF(AND(AG1006="yes",OR(P1006="",Q1006="",R1006="",S1006="")),"missing_required_mvp_fields",IF(AND(AC1006="canonical",Y1006=""),"missing_source_ref","ok"))</x:f>
        <x:v>ok</x:v>
      </x:c>
      <x:c r="AP1006" s="12" t="str">
        <x:f>IF(AO1006="ok","ready_for_codex_import","needs_review")</x:f>
        <x:v>ready_for_codex_import</x:v>
      </x:c>
      <x:c r="AQ1006" s="12"/>
      <x:c r="AR1006" s="12" t="str">
        <x:v>Added v2 operational fields. Review before classification activation.</x:v>
      </x:c>
    </x:row>
    <x:row r="1007">
      <x:c r="A1007" s="13" t="str">
        <x:v>evidence_grading_canonical</x:v>
      </x:c>
      <x:c r="B1007" s="13" t="str">
        <x:v>evidence_grading</x:v>
      </x:c>
      <x:c r="C1007" s="13" t="str">
        <x:v>Evidence grading</x:v>
      </x:c>
      <x:c r="D1007" s="13" t="str">
        <x:v>درجه‌بندی کیفیت شواهد</x:v>
      </x:c>
      <x:c r="E1007" s="13" t="str">
        <x:v>Canonical form</x:v>
      </x:c>
      <x:c r="F1007" s="13" t="str">
        <x:v>healthy_reasoning_patterns</x:v>
      </x:c>
      <x:c r="G1007" s="13" t="str">
        <x:v>canonical</x:v>
      </x:c>
      <x:c r="H1007" s="13" t="str">
        <x:v>contextual</x:v>
      </x:c>
      <x:c r="I1007" s="13" t="str">
        <x:v>claim+context</x:v>
      </x:c>
      <x:c r="J1007" s="13" t="str">
        <x:v>protective_pattern</x:v>
      </x:c>
      <x:c r="K1007" s="13" t="str">
        <x:v>operational_pattern_needs_review</x:v>
      </x:c>
      <x:c r="L1007" s="13" t="str">
        <x:v>P1</x:v>
      </x:c>
      <x:c r="M1007" s="13" t="str">
        <x:v>review</x:v>
      </x:c>
      <x:c r="N1007" s="13" t="str">
        <x:v>Protective reasoning pattern under Evidence grading: a protective reasoning pattern is explicitly present. It should reduce risk scores when supported by evidence.</x:v>
      </x:c>
      <x:c r="O1007" s="13" t="str">
        <x:v>Look for: explicit claim-level evidence; parent-family cues for Evidence grading; variant cue: a protective reasoning pattern is explicitly present; avoid author-level inference.</x:v>
      </x:c>
      <x:c r="P1007" s="13" t="str">
        <x:v>Exact evidence span in text plus claim-level reasoning link; for contextual/discourse entries, require surrounding context.</x:v>
      </x:c>
      <x:c r="Q1007" s="13" t="str">
        <x:v>Do not label merely because topic is controversial, emotional, or wrong. Do not judge intent or personality. Require textual evidence and consider healthy-reasoning cues.</x:v>
      </x:c>
      <x:c r="R1007" s="13" t="str">
        <x:v>Stub: A claim relies on a protective reasoning pattern is explicitly present to support a conclusion without adequate qualification.</x:v>
      </x:c>
      <x:c r="S1007" s="13" t="str">
        <x:v>Stub: A claim discusses evidence grading with caveats, balanced evidence, or no argumentative use of the pattern.</x:v>
      </x:c>
      <x:c r="T1007" s="13" t="str">
        <x:v>Weak protective cue; keep normal review.</x:v>
      </x:c>
      <x:c r="U1007" s="13" t="str">
        <x:v>Clear protective cue; reduce false-positive risk.</x:v>
      </x:c>
      <x:c r="V1007" s="13" t="str">
        <x:v>Strong protective cue; require stronger evidence before assigning risk labels.</x:v>
      </x:c>
      <x:c r="W1007" s="13" t="str">
        <x:v>cherry_picking; missing_counterevidence; evidence_grading</x:v>
      </x:c>
      <x:c r="X1007" s="13" t="str">
        <x:v>toulmin_uses_argument</x:v>
      </x:c>
      <x:c r="Y1007" s="13" t="str">
        <x:v>https://doi.org/10.1017/CBO9780511840005</x:v>
      </x:c>
      <x:c r="Z1007" s="13" t="str">
        <x:v>Review before enabling. This workbook is a living taxonomy scaffold, not a validated scientific benchmark.</x:v>
      </x:c>
      <x:c r="AA1007" s="13" t="str">
        <x:v>0.1.0-draft</x:v>
      </x:c>
      <x:c r="AB1007" s="12" t="str">
        <x:f>IF(ISNUMBER(SEARCH("healthy",F1007)),"healthy_reasoning_patterns",IF(ISNUMBER(SEARCH("statistical",F1007)),"statistical_reasoning",IF(ISNUMBER(SEARCH("causal",F1007)),"causal_reasoning",IF(ISNUMBER(SEARCH("social",F1007)),"social_influence",IF(ISNUMBER(SEARCH("rhetoric",F1007)),"rhetoric_discourse",IF(ISNUMBER(SEARCH("behavior",F1007)),"behavioural_economics",IF(ISNUMBER(SEARCH("cognitive",F1007)),"cognitive_biases",IF(J1007="protective_pattern","healthy_reasoning_patterns",IF(L1007="P0","core_mvp","extended_fallacies")))))))))</x:f>
        <x:v>healthy_reasoning_patterns</x:v>
      </x:c>
      <x:c r="AC1007" s="12" t="str">
        <x:f>IF(ISNUMBER(SEARCH("operational",J1007)),"operational",IF(ISNUMBER(SEARCH("deprecated",J1007)),"deprecated",IF(L1007="P0","canonical","recognized_subtype")))</x:f>
        <x:v>recognized_subtype</x:v>
      </x:c>
      <x:c r="AD1007" s="12" t="str">
        <x:f>IF(AC1007="canonical","high",IF(AC1007="recognized_subtype","medium",IF(AC1007="operational","operational_only","debated")))</x:f>
        <x:v>medium</x:v>
      </x:c>
      <x:c r="AE1007" s="12" t="str">
        <x:f>IF(AC1007="deprecated","deprecated",IF(M1007="yes","active",IF(M1007="review","review_required","backlog")))</x:f>
        <x:v>review_required</x:v>
      </x:c>
      <x:c r="AF1007" s="12" t="str">
        <x:f>IF(OR(AE1007="active",AE1007="review_required"),"yes","no")</x:f>
        <x:v>yes</x:v>
      </x:c>
      <x:c r="AG1007" s="12" t="str">
        <x:f>IF(AND(AE1007="active",M1007="yes",NOT(ISNUMBER(SEARCH("healthy",AB1007)))),"yes","no")</x:f>
        <x:v>no</x:v>
      </x:c>
      <x:c r="AH1007" s="12" t="str">
        <x:f>IF(OR(H1007="contextual",H1007="dialogue",H1007="discourse",I1007="claim+context",I1007="discourse_segment"),"yes","no")</x:f>
        <x:v>yes</x:v>
      </x:c>
      <x:c r="AI1007" s="12" t="str">
        <x:f>IF(OR(AH1007="yes",AD1007="debated",AC1007="operational"),"yes","no")</x:f>
        <x:v>yes</x:v>
      </x:c>
      <x:c r="AJ1007" s="12" t="str">
        <x:f>IF(OR(AH1007="yes",AC1007="operational",AD1007="debated"),"high",IF(AND(AG1007="yes",L1007="P0"),"medium","low"))</x:f>
        <x:v>high</x:v>
      </x:c>
      <x:c r="AK1007" s="12" t="str">
        <x:f>IF(ISNUMBER(SEARCH("healthy",AB1007)),"yes","no")</x:f>
        <x:v>yes</x:v>
      </x:c>
      <x:c r="AL1007" s="12" t="str">
        <x:f>IF(AG1007="yes","yes","candidate_only")</x:f>
        <x:v>candidate_only</x:v>
      </x:c>
      <x:c r="AM1007" s="12" t="str">
        <x:f>IF(OR(AC1007="canonical",AG1007="yes"),"yes","recommended")</x:f>
        <x:v>recommended</x:v>
      </x:c>
      <x:c r="AN1007" s="12" t="str">
        <x:f>IF(AC1007="deprecated","exclude",IF(AND(AG1007="yes",AJ1007="high"),"import_but_human_review_required",IF(AG1007="yes","import_as_active","import_as_backlog")))</x:f>
        <x:v>import_as_backlog</x:v>
      </x:c>
      <x:c r="AO1007" s="12" t="str">
        <x:f>IF(AND(AG1007="yes",OR(P1007="",Q1007="",R1007="",S1007="")),"missing_required_mvp_fields",IF(AND(AC1007="canonical",Y1007=""),"missing_source_ref","ok"))</x:f>
        <x:v>ok</x:v>
      </x:c>
      <x:c r="AP1007" s="12" t="str">
        <x:f>IF(AO1007="ok","ready_for_codex_import","needs_review")</x:f>
        <x:v>ready_for_codex_import</x:v>
      </x:c>
      <x:c r="AQ1007" s="12"/>
      <x:c r="AR1007" s="12" t="str">
        <x:v>Added v2 operational fields. Review before classification activation.</x:v>
      </x:c>
    </x:row>
    <x:row r="1008">
      <x:c r="A1008" s="13" t="str">
        <x:v>source_triangulation_canonical</x:v>
      </x:c>
      <x:c r="B1008" s="13" t="str">
        <x:v>source_triangulation</x:v>
      </x:c>
      <x:c r="C1008" s="13" t="str">
        <x:v>Source triangulation</x:v>
      </x:c>
      <x:c r="D1008" s="13" t="str">
        <x:v>مثلث‌سازی منابع</x:v>
      </x:c>
      <x:c r="E1008" s="13" t="str">
        <x:v>Canonical form</x:v>
      </x:c>
      <x:c r="F1008" s="13" t="str">
        <x:v>healthy_reasoning_patterns</x:v>
      </x:c>
      <x:c r="G1008" s="13" t="str">
        <x:v>canonical</x:v>
      </x:c>
      <x:c r="H1008" s="13" t="str">
        <x:v>contextual</x:v>
      </x:c>
      <x:c r="I1008" s="13" t="str">
        <x:v>claim+context</x:v>
      </x:c>
      <x:c r="J1008" s="13" t="str">
        <x:v>protective_pattern</x:v>
      </x:c>
      <x:c r="K1008" s="13" t="str">
        <x:v>operational_pattern_needs_review</x:v>
      </x:c>
      <x:c r="L1008" s="13" t="str">
        <x:v>P1</x:v>
      </x:c>
      <x:c r="M1008" s="13" t="str">
        <x:v>review</x:v>
      </x:c>
      <x:c r="N1008" s="13" t="str">
        <x:v>Protective reasoning pattern under Source triangulation: a protective reasoning pattern is explicitly present. It should reduce risk scores when supported by evidence.</x:v>
      </x:c>
      <x:c r="O1008" s="13" t="str">
        <x:v>Look for: explicit claim-level evidence; parent-family cues for Source triangulation; variant cue: a protective reasoning pattern is explicitly present; avoid author-level inference.</x:v>
      </x:c>
      <x:c r="P1008" s="13" t="str">
        <x:v>Exact evidence span in text plus claim-level reasoning link; for contextual/discourse entries, require surrounding context.</x:v>
      </x:c>
      <x:c r="Q1008" s="13" t="str">
        <x:v>Do not label merely because topic is controversial, emotional, or wrong. Do not judge intent or personality. Require textual evidence and consider healthy-reasoning cues.</x:v>
      </x:c>
      <x:c r="R1008" s="13" t="str">
        <x:v>Stub: A claim relies on a protective reasoning pattern is explicitly present to support a conclusion without adequate qualification.</x:v>
      </x:c>
      <x:c r="S1008" s="13" t="str">
        <x:v>Stub: A claim discusses source triangulation with caveats, balanced evidence, or no argumentative use of the pattern.</x:v>
      </x:c>
      <x:c r="T1008" s="13" t="str">
        <x:v>Weak protective cue; keep normal review.</x:v>
      </x:c>
      <x:c r="U1008" s="13" t="str">
        <x:v>Clear protective cue; reduce false-positive risk.</x:v>
      </x:c>
      <x:c r="V1008" s="13" t="str">
        <x:v>Strong protective cue; require stronger evidence before assigning risk labels.</x:v>
      </x:c>
      <x:c r="W1008" s="13" t="str"/>
      <x:c r="X1008" s="13" t="str">
        <x:v>sep_informal_logic</x:v>
      </x:c>
      <x:c r="Y1008" s="13" t="str">
        <x:v>https://plato.stanford.edu/entries/logic-informal/</x:v>
      </x:c>
      <x:c r="Z1008" s="13" t="str">
        <x:v>Review before enabling. This workbook is a living taxonomy scaffold, not a validated scientific benchmark.</x:v>
      </x:c>
      <x:c r="AA1008" s="13" t="str">
        <x:v>0.1.0-draft</x:v>
      </x:c>
      <x:c r="AB1008" s="12" t="str">
        <x:f>IF(ISNUMBER(SEARCH("healthy",F1008)),"healthy_reasoning_patterns",IF(ISNUMBER(SEARCH("statistical",F1008)),"statistical_reasoning",IF(ISNUMBER(SEARCH("causal",F1008)),"causal_reasoning",IF(ISNUMBER(SEARCH("social",F1008)),"social_influence",IF(ISNUMBER(SEARCH("rhetoric",F1008)),"rhetoric_discourse",IF(ISNUMBER(SEARCH("behavior",F1008)),"behavioural_economics",IF(ISNUMBER(SEARCH("cognitive",F1008)),"cognitive_biases",IF(J1008="protective_pattern","healthy_reasoning_patterns",IF(L1008="P0","core_mvp","extended_fallacies")))))))))</x:f>
        <x:v>healthy_reasoning_patterns</x:v>
      </x:c>
      <x:c r="AC1008" s="12" t="str">
        <x:f>IF(ISNUMBER(SEARCH("operational",J1008)),"operational",IF(ISNUMBER(SEARCH("deprecated",J1008)),"deprecated",IF(L1008="P0","canonical","recognized_subtype")))</x:f>
        <x:v>recognized_subtype</x:v>
      </x:c>
      <x:c r="AD1008" s="12" t="str">
        <x:f>IF(AC1008="canonical","high",IF(AC1008="recognized_subtype","medium",IF(AC1008="operational","operational_only","debated")))</x:f>
        <x:v>medium</x:v>
      </x:c>
      <x:c r="AE1008" s="12" t="str">
        <x:f>IF(AC1008="deprecated","deprecated",IF(M1008="yes","active",IF(M1008="review","review_required","backlog")))</x:f>
        <x:v>review_required</x:v>
      </x:c>
      <x:c r="AF1008" s="12" t="str">
        <x:f>IF(OR(AE1008="active",AE1008="review_required"),"yes","no")</x:f>
        <x:v>yes</x:v>
      </x:c>
      <x:c r="AG1008" s="12" t="str">
        <x:f>IF(AND(AE1008="active",M1008="yes",NOT(ISNUMBER(SEARCH("healthy",AB1008)))),"yes","no")</x:f>
        <x:v>no</x:v>
      </x:c>
      <x:c r="AH1008" s="12" t="str">
        <x:f>IF(OR(H1008="contextual",H1008="dialogue",H1008="discourse",I1008="claim+context",I1008="discourse_segment"),"yes","no")</x:f>
        <x:v>yes</x:v>
      </x:c>
      <x:c r="AI1008" s="12" t="str">
        <x:f>IF(OR(AH1008="yes",AD1008="debated",AC1008="operational"),"yes","no")</x:f>
        <x:v>yes</x:v>
      </x:c>
      <x:c r="AJ1008" s="12" t="str">
        <x:f>IF(OR(AH1008="yes",AC1008="operational",AD1008="debated"),"high",IF(AND(AG1008="yes",L1008="P0"),"medium","low"))</x:f>
        <x:v>high</x:v>
      </x:c>
      <x:c r="AK1008" s="12" t="str">
        <x:f>IF(ISNUMBER(SEARCH("healthy",AB1008)),"yes","no")</x:f>
        <x:v>yes</x:v>
      </x:c>
      <x:c r="AL1008" s="12" t="str">
        <x:f>IF(AG1008="yes","yes","candidate_only")</x:f>
        <x:v>candidate_only</x:v>
      </x:c>
      <x:c r="AM1008" s="12" t="str">
        <x:f>IF(OR(AC1008="canonical",AG1008="yes"),"yes","recommended")</x:f>
        <x:v>recommended</x:v>
      </x:c>
      <x:c r="AN1008" s="12" t="str">
        <x:f>IF(AC1008="deprecated","exclude",IF(AND(AG1008="yes",AJ1008="high"),"import_but_human_review_required",IF(AG1008="yes","import_as_active","import_as_backlog")))</x:f>
        <x:v>import_as_backlog</x:v>
      </x:c>
      <x:c r="AO1008" s="12" t="str">
        <x:f>IF(AND(AG1008="yes",OR(P1008="",Q1008="",R1008="",S1008="")),"missing_required_mvp_fields",IF(AND(AC1008="canonical",Y1008=""),"missing_source_ref","ok"))</x:f>
        <x:v>ok</x:v>
      </x:c>
      <x:c r="AP1008" s="12" t="str">
        <x:f>IF(AO1008="ok","ready_for_codex_import","needs_review")</x:f>
        <x:v>ready_for_codex_import</x:v>
      </x:c>
      <x:c r="AQ1008" s="12"/>
      <x:c r="AR1008" s="12" t="str">
        <x:v>Added v2 operational fields. Review before classification activation.</x:v>
      </x:c>
    </x:row>
    <x:row r="1009">
      <x:c r="A1009" s="13" t="str">
        <x:v>probabilistic_language_canonical</x:v>
      </x:c>
      <x:c r="B1009" s="13" t="str">
        <x:v>probabilistic_language</x:v>
      </x:c>
      <x:c r="C1009" s="13" t="str">
        <x:v>Probabilistic language</x:v>
      </x:c>
      <x:c r="D1009" s="13" t="str">
        <x:v>زبان احتمالاتی</x:v>
      </x:c>
      <x:c r="E1009" s="13" t="str">
        <x:v>Canonical form</x:v>
      </x:c>
      <x:c r="F1009" s="13" t="str">
        <x:v>healthy_reasoning_patterns</x:v>
      </x:c>
      <x:c r="G1009" s="13" t="str">
        <x:v>canonical</x:v>
      </x:c>
      <x:c r="H1009" s="13" t="str">
        <x:v>lexical</x:v>
      </x:c>
      <x:c r="I1009" s="13" t="str">
        <x:v>claim</x:v>
      </x:c>
      <x:c r="J1009" s="13" t="str">
        <x:v>protective_pattern</x:v>
      </x:c>
      <x:c r="K1009" s="13" t="str">
        <x:v>operational_pattern_needs_review</x:v>
      </x:c>
      <x:c r="L1009" s="13" t="str">
        <x:v>P1</x:v>
      </x:c>
      <x:c r="M1009" s="13" t="str">
        <x:v>review</x:v>
      </x:c>
      <x:c r="N1009" s="13" t="str">
        <x:v>Protective reasoning pattern under Probabilistic language: a protective reasoning pattern is explicitly present. It should reduce risk scores when supported by evidence.</x:v>
      </x:c>
      <x:c r="O1009" s="13" t="str">
        <x:v>Look for: explicit claim-level evidence; parent-family cues for Probabilistic language; variant cue: a protective reasoning pattern is explicitly present; avoid author-level inference.</x:v>
      </x:c>
      <x:c r="P1009" s="13" t="str">
        <x:v>Exact evidence span in text plus claim-level reasoning link; for contextual/discourse entries, require surrounding context.</x:v>
      </x:c>
      <x:c r="Q1009" s="13" t="str">
        <x:v>Do not label merely because topic is controversial, emotional, or wrong. Do not judge intent or personality. Require textual evidence and consider healthy-reasoning cues.</x:v>
      </x:c>
      <x:c r="R1009" s="13" t="str">
        <x:v>Stub: A claim relies on a protective reasoning pattern is explicitly present to support a conclusion without adequate qualification.</x:v>
      </x:c>
      <x:c r="S1009" s="13" t="str">
        <x:v>Stub: A claim discusses probabilistic language with caveats, balanced evidence, or no argumentative use of the pattern.</x:v>
      </x:c>
      <x:c r="T1009" s="13" t="str">
        <x:v>Weak protective cue; keep normal review.</x:v>
      </x:c>
      <x:c r="U1009" s="13" t="str">
        <x:v>Clear protective cue; reduce false-positive risk.</x:v>
      </x:c>
      <x:c r="V1009" s="13" t="str">
        <x:v>Strong protective cue; require stronger evidence before assigning risk labels.</x:v>
      </x:c>
      <x:c r="W1009" s="13" t="str"/>
      <x:c r="X1009" s="13" t="str">
        <x:v>stanovich_dual_process</x:v>
      </x:c>
      <x:c r="Y1009" s="13" t="str">
        <x:v>https://global.oup.com/academic/product/rationality-and-the-reflective-mind-9780195341140</x:v>
      </x:c>
      <x:c r="Z1009" s="13" t="str">
        <x:v>Review before enabling. This workbook is a living taxonomy scaffold, not a validated scientific benchmark.</x:v>
      </x:c>
      <x:c r="AA1009" s="13" t="str">
        <x:v>0.1.0-draft</x:v>
      </x:c>
      <x:c r="AB1009" s="12" t="str">
        <x:f>IF(ISNUMBER(SEARCH("healthy",F1009)),"healthy_reasoning_patterns",IF(ISNUMBER(SEARCH("statistical",F1009)),"statistical_reasoning",IF(ISNUMBER(SEARCH("causal",F1009)),"causal_reasoning",IF(ISNUMBER(SEARCH("social",F1009)),"social_influence",IF(ISNUMBER(SEARCH("rhetoric",F1009)),"rhetoric_discourse",IF(ISNUMBER(SEARCH("behavior",F1009)),"behavioural_economics",IF(ISNUMBER(SEARCH("cognitive",F1009)),"cognitive_biases",IF(J1009="protective_pattern","healthy_reasoning_patterns",IF(L1009="P0","core_mvp","extended_fallacies")))))))))</x:f>
        <x:v>healthy_reasoning_patterns</x:v>
      </x:c>
      <x:c r="AC1009" s="12" t="str">
        <x:f>IF(ISNUMBER(SEARCH("operational",J1009)),"operational",IF(ISNUMBER(SEARCH("deprecated",J1009)),"deprecated",IF(L1009="P0","canonical","recognized_subtype")))</x:f>
        <x:v>recognized_subtype</x:v>
      </x:c>
      <x:c r="AD1009" s="12" t="str">
        <x:f>IF(AC1009="canonical","high",IF(AC1009="recognized_subtype","medium",IF(AC1009="operational","operational_only","debated")))</x:f>
        <x:v>medium</x:v>
      </x:c>
      <x:c r="AE1009" s="12" t="str">
        <x:f>IF(AC1009="deprecated","deprecated",IF(M1009="yes","active",IF(M1009="review","review_required","backlog")))</x:f>
        <x:v>review_required</x:v>
      </x:c>
      <x:c r="AF1009" s="12" t="str">
        <x:f>IF(OR(AE1009="active",AE1009="review_required"),"yes","no")</x:f>
        <x:v>yes</x:v>
      </x:c>
      <x:c r="AG1009" s="12" t="str">
        <x:f>IF(AND(AE1009="active",M1009="yes",NOT(ISNUMBER(SEARCH("healthy",AB1009)))),"yes","no")</x:f>
        <x:v>no</x:v>
      </x:c>
      <x:c r="AH1009" s="12" t="str">
        <x:f>IF(OR(H1009="contextual",H1009="dialogue",H1009="discourse",I1009="claim+context",I1009="discourse_segment"),"yes","no")</x:f>
        <x:v>no</x:v>
      </x:c>
      <x:c r="AI1009" s="12" t="str">
        <x:f>IF(OR(AH1009="yes",AD1009="debated",AC1009="operational"),"yes","no")</x:f>
        <x:v>no</x:v>
      </x:c>
      <x:c r="AJ1009" s="12" t="str">
        <x:f>IF(OR(AH1009="yes",AC1009="operational",AD1009="debated"),"high",IF(AND(AG1009="yes",L1009="P0"),"medium","low"))</x:f>
        <x:v>low</x:v>
      </x:c>
      <x:c r="AK1009" s="12" t="str">
        <x:f>IF(ISNUMBER(SEARCH("healthy",AB1009)),"yes","no")</x:f>
        <x:v>yes</x:v>
      </x:c>
      <x:c r="AL1009" s="12" t="str">
        <x:f>IF(AG1009="yes","yes","candidate_only")</x:f>
        <x:v>candidate_only</x:v>
      </x:c>
      <x:c r="AM1009" s="12" t="str">
        <x:f>IF(OR(AC1009="canonical",AG1009="yes"),"yes","recommended")</x:f>
        <x:v>recommended</x:v>
      </x:c>
      <x:c r="AN1009" s="12" t="str">
        <x:f>IF(AC1009="deprecated","exclude",IF(AND(AG1009="yes",AJ1009="high"),"import_but_human_review_required",IF(AG1009="yes","import_as_active","import_as_backlog")))</x:f>
        <x:v>import_as_backlog</x:v>
      </x:c>
      <x:c r="AO1009" s="12" t="str">
        <x:f>IF(AND(AG1009="yes",OR(P1009="",Q1009="",R1009="",S1009="")),"missing_required_mvp_fields",IF(AND(AC1009="canonical",Y1009=""),"missing_source_ref","ok"))</x:f>
        <x:v>ok</x:v>
      </x:c>
      <x:c r="AP1009" s="12" t="str">
        <x:f>IF(AO1009="ok","ready_for_codex_import","needs_review")</x:f>
        <x:v>ready_for_codex_import</x:v>
      </x:c>
      <x:c r="AQ1009" s="12"/>
      <x:c r="AR1009" s="12" t="str">
        <x:v>Added v2 operational fields. Review before classification activation.</x:v>
      </x:c>
    </x:row>
    <x:row r="1010">
      <x:c r="A1010" s="13" t="str">
        <x:v>confidence_calibration_canonical</x:v>
      </x:c>
      <x:c r="B1010" s="13" t="str">
        <x:v>confidence_calibration</x:v>
      </x:c>
      <x:c r="C1010" s="13" t="str">
        <x:v>Confidence calibration</x:v>
      </x:c>
      <x:c r="D1010" s="13" t="str">
        <x:v>کالیبراسیون اطمینان</x:v>
      </x:c>
      <x:c r="E1010" s="13" t="str">
        <x:v>Canonical form</x:v>
      </x:c>
      <x:c r="F1010" s="13" t="str">
        <x:v>healthy_reasoning_patterns</x:v>
      </x:c>
      <x:c r="G1010" s="13" t="str">
        <x:v>canonical</x:v>
      </x:c>
      <x:c r="H1010" s="13" t="str">
        <x:v>contextual</x:v>
      </x:c>
      <x:c r="I1010" s="13" t="str">
        <x:v>claim+context</x:v>
      </x:c>
      <x:c r="J1010" s="13" t="str">
        <x:v>protective_pattern</x:v>
      </x:c>
      <x:c r="K1010" s="13" t="str">
        <x:v>operational_pattern_needs_review</x:v>
      </x:c>
      <x:c r="L1010" s="13" t="str">
        <x:v>P1</x:v>
      </x:c>
      <x:c r="M1010" s="13" t="str">
        <x:v>review</x:v>
      </x:c>
      <x:c r="N1010" s="13" t="str">
        <x:v>Protective reasoning pattern under Confidence calibration: a protective reasoning pattern is explicitly present. It should reduce risk scores when supported by evidence.</x:v>
      </x:c>
      <x:c r="O1010" s="13" t="str">
        <x:v>Look for: explicit claim-level evidence; parent-family cues for Confidence calibration; variant cue: a protective reasoning pattern is explicitly present; avoid author-level inference.</x:v>
      </x:c>
      <x:c r="P1010" s="13" t="str">
        <x:v>Exact evidence span in text plus claim-level reasoning link; for contextual/discourse entries, require surrounding context.</x:v>
      </x:c>
      <x:c r="Q1010" s="13" t="str">
        <x:v>Do not label merely because topic is controversial, emotional, or wrong. Do not judge intent or personality. Require textual evidence and consider healthy-reasoning cues.</x:v>
      </x:c>
      <x:c r="R1010" s="13" t="str">
        <x:v>Stub: A claim relies on a protective reasoning pattern is explicitly present to support a conclusion without adequate qualification.</x:v>
      </x:c>
      <x:c r="S1010" s="13" t="str">
        <x:v>Stub: A claim discusses confidence calibration with caveats, balanced evidence, or no argumentative use of the pattern.</x:v>
      </x:c>
      <x:c r="T1010" s="13" t="str">
        <x:v>Weak protective cue; keep normal review.</x:v>
      </x:c>
      <x:c r="U1010" s="13" t="str">
        <x:v>Clear protective cue; reduce false-positive risk.</x:v>
      </x:c>
      <x:c r="V1010" s="13" t="str">
        <x:v>Strong protective cue; require stronger evidence before assigning risk labels.</x:v>
      </x:c>
      <x:c r="W1010" s="13" t="str">
        <x:v>cherry_picking; missing_counterevidence; evidence_grading</x:v>
      </x:c>
      <x:c r="X1010" s="13" t="str">
        <x:v>stanovich_dual_process</x:v>
      </x:c>
      <x:c r="Y1010" s="13" t="str">
        <x:v>https://global.oup.com/academic/product/rationality-and-the-reflective-mind-9780195341140</x:v>
      </x:c>
      <x:c r="Z1010" s="13" t="str">
        <x:v>Review before enabling. This workbook is a living taxonomy scaffold, not a validated scientific benchmark.</x:v>
      </x:c>
      <x:c r="AA1010" s="13" t="str">
        <x:v>0.1.0-draft</x:v>
      </x:c>
      <x:c r="AB1010" s="12" t="str">
        <x:f>IF(ISNUMBER(SEARCH("healthy",F1010)),"healthy_reasoning_patterns",IF(ISNUMBER(SEARCH("statistical",F1010)),"statistical_reasoning",IF(ISNUMBER(SEARCH("causal",F1010)),"causal_reasoning",IF(ISNUMBER(SEARCH("social",F1010)),"social_influence",IF(ISNUMBER(SEARCH("rhetoric",F1010)),"rhetoric_discourse",IF(ISNUMBER(SEARCH("behavior",F1010)),"behavioural_economics",IF(ISNUMBER(SEARCH("cognitive",F1010)),"cognitive_biases",IF(J1010="protective_pattern","healthy_reasoning_patterns",IF(L1010="P0","core_mvp","extended_fallacies")))))))))</x:f>
        <x:v>healthy_reasoning_patterns</x:v>
      </x:c>
      <x:c r="AC1010" s="12" t="str">
        <x:f>IF(ISNUMBER(SEARCH("operational",J1010)),"operational",IF(ISNUMBER(SEARCH("deprecated",J1010)),"deprecated",IF(L1010="P0","canonical","recognized_subtype")))</x:f>
        <x:v>recognized_subtype</x:v>
      </x:c>
      <x:c r="AD1010" s="12" t="str">
        <x:f>IF(AC1010="canonical","high",IF(AC1010="recognized_subtype","medium",IF(AC1010="operational","operational_only","debated")))</x:f>
        <x:v>medium</x:v>
      </x:c>
      <x:c r="AE1010" s="12" t="str">
        <x:f>IF(AC1010="deprecated","deprecated",IF(M1010="yes","active",IF(M1010="review","review_required","backlog")))</x:f>
        <x:v>review_required</x:v>
      </x:c>
      <x:c r="AF1010" s="12" t="str">
        <x:f>IF(OR(AE1010="active",AE1010="review_required"),"yes","no")</x:f>
        <x:v>yes</x:v>
      </x:c>
      <x:c r="AG1010" s="12" t="str">
        <x:f>IF(AND(AE1010="active",M1010="yes",NOT(ISNUMBER(SEARCH("healthy",AB1010)))),"yes","no")</x:f>
        <x:v>no</x:v>
      </x:c>
      <x:c r="AH1010" s="12" t="str">
        <x:f>IF(OR(H1010="contextual",H1010="dialogue",H1010="discourse",I1010="claim+context",I1010="discourse_segment"),"yes","no")</x:f>
        <x:v>yes</x:v>
      </x:c>
      <x:c r="AI1010" s="12" t="str">
        <x:f>IF(OR(AH1010="yes",AD1010="debated",AC1010="operational"),"yes","no")</x:f>
        <x:v>yes</x:v>
      </x:c>
      <x:c r="AJ1010" s="12" t="str">
        <x:f>IF(OR(AH1010="yes",AC1010="operational",AD1010="debated"),"high",IF(AND(AG1010="yes",L1010="P0"),"medium","low"))</x:f>
        <x:v>high</x:v>
      </x:c>
      <x:c r="AK1010" s="12" t="str">
        <x:f>IF(ISNUMBER(SEARCH("healthy",AB1010)),"yes","no")</x:f>
        <x:v>yes</x:v>
      </x:c>
      <x:c r="AL1010" s="12" t="str">
        <x:f>IF(AG1010="yes","yes","candidate_only")</x:f>
        <x:v>candidate_only</x:v>
      </x:c>
      <x:c r="AM1010" s="12" t="str">
        <x:f>IF(OR(AC1010="canonical",AG1010="yes"),"yes","recommended")</x:f>
        <x:v>recommended</x:v>
      </x:c>
      <x:c r="AN1010" s="12" t="str">
        <x:f>IF(AC1010="deprecated","exclude",IF(AND(AG1010="yes",AJ1010="high"),"import_but_human_review_required",IF(AG1010="yes","import_as_active","import_as_backlog")))</x:f>
        <x:v>import_as_backlog</x:v>
      </x:c>
      <x:c r="AO1010" s="12" t="str">
        <x:f>IF(AND(AG1010="yes",OR(P1010="",Q1010="",R1010="",S1010="")),"missing_required_mvp_fields",IF(AND(AC1010="canonical",Y1010=""),"missing_source_ref","ok"))</x:f>
        <x:v>ok</x:v>
      </x:c>
      <x:c r="AP1010" s="12" t="str">
        <x:f>IF(AO1010="ok","ready_for_codex_import","needs_review")</x:f>
        <x:v>ready_for_codex_import</x:v>
      </x:c>
      <x:c r="AQ1010" s="12"/>
      <x:c r="AR1010" s="12" t="str">
        <x:v>Added v2 operational fields. Review before classification activation.</x:v>
      </x:c>
    </x:row>
    <x:row r="1011">
      <x:c r="A1011" s="13" t="str">
        <x:v>causal_caveat_canonical</x:v>
      </x:c>
      <x:c r="B1011" s="13" t="str">
        <x:v>causal_caveat</x:v>
      </x:c>
      <x:c r="C1011" s="13" t="str">
        <x:v>Causal caveat</x:v>
      </x:c>
      <x:c r="D1011" s="13" t="str">
        <x:v>احتیاط در علیت</x:v>
      </x:c>
      <x:c r="E1011" s="13" t="str">
        <x:v>Canonical form</x:v>
      </x:c>
      <x:c r="F1011" s="13" t="str">
        <x:v>healthy_reasoning_patterns</x:v>
      </x:c>
      <x:c r="G1011" s="13" t="str">
        <x:v>canonical</x:v>
      </x:c>
      <x:c r="H1011" s="13" t="str">
        <x:v>lexical</x:v>
      </x:c>
      <x:c r="I1011" s="13" t="str">
        <x:v>claim</x:v>
      </x:c>
      <x:c r="J1011" s="13" t="str">
        <x:v>protective_pattern</x:v>
      </x:c>
      <x:c r="K1011" s="13" t="str">
        <x:v>operational_pattern_needs_review</x:v>
      </x:c>
      <x:c r="L1011" s="13" t="str">
        <x:v>P1</x:v>
      </x:c>
      <x:c r="M1011" s="13" t="str">
        <x:v>review</x:v>
      </x:c>
      <x:c r="N1011" s="13" t="str">
        <x:v>Protective reasoning pattern under Causal caveat: a protective reasoning pattern is explicitly present. It should reduce risk scores when supported by evidence.</x:v>
      </x:c>
      <x:c r="O1011" s="13" t="str">
        <x:v>Look for: explicit claim-level evidence; parent-family cues for Causal caveat; variant cue: a protective reasoning pattern is explicitly present; avoid author-level inference.</x:v>
      </x:c>
      <x:c r="P1011" s="13" t="str">
        <x:v>Exact evidence span in text plus claim-level reasoning link; for contextual/discourse entries, require surrounding context.</x:v>
      </x:c>
      <x:c r="Q1011" s="13" t="str">
        <x:v>Do not label merely because topic is controversial, emotional, or wrong. Do not judge intent or personality. Require textual evidence and consider healthy-reasoning cues.</x:v>
      </x:c>
      <x:c r="R1011" s="13" t="str">
        <x:v>Stub: A claim relies on a protective reasoning pattern is explicitly present to support a conclusion without adequate qualification.</x:v>
      </x:c>
      <x:c r="S1011" s="13" t="str">
        <x:v>Stub: A claim discusses causal caveat with caveats, balanced evidence, or no argumentative use of the pattern.</x:v>
      </x:c>
      <x:c r="T1011" s="13" t="str">
        <x:v>Weak protective cue; keep normal review.</x:v>
      </x:c>
      <x:c r="U1011" s="13" t="str">
        <x:v>Clear protective cue; reduce false-positive risk.</x:v>
      </x:c>
      <x:c r="V1011" s="13" t="str">
        <x:v>Strong protective cue; require stronger evidence before assigning risk labels.</x:v>
      </x:c>
      <x:c r="W1011" s="13" t="str">
        <x:v>post_hoc; cum_hoc; alternative_explanation_neglect</x:v>
      </x:c>
      <x:c r="X1011" s="13" t="str">
        <x:v>toulmin_uses_argument</x:v>
      </x:c>
      <x:c r="Y1011" s="13" t="str">
        <x:v>https://doi.org/10.1017/CBO9780511840005</x:v>
      </x:c>
      <x:c r="Z1011" s="13" t="str">
        <x:v>Review before enabling. This workbook is a living taxonomy scaffold, not a validated scientific benchmark.</x:v>
      </x:c>
      <x:c r="AA1011" s="13" t="str">
        <x:v>0.1.0-draft</x:v>
      </x:c>
      <x:c r="AB1011" s="12" t="str">
        <x:f>IF(ISNUMBER(SEARCH("healthy",F1011)),"healthy_reasoning_patterns",IF(ISNUMBER(SEARCH("statistical",F1011)),"statistical_reasoning",IF(ISNUMBER(SEARCH("causal",F1011)),"causal_reasoning",IF(ISNUMBER(SEARCH("social",F1011)),"social_influence",IF(ISNUMBER(SEARCH("rhetoric",F1011)),"rhetoric_discourse",IF(ISNUMBER(SEARCH("behavior",F1011)),"behavioural_economics",IF(ISNUMBER(SEARCH("cognitive",F1011)),"cognitive_biases",IF(J1011="protective_pattern","healthy_reasoning_patterns",IF(L1011="P0","core_mvp","extended_fallacies")))))))))</x:f>
        <x:v>healthy_reasoning_patterns</x:v>
      </x:c>
      <x:c r="AC1011" s="12" t="str">
        <x:f>IF(ISNUMBER(SEARCH("operational",J1011)),"operational",IF(ISNUMBER(SEARCH("deprecated",J1011)),"deprecated",IF(L1011="P0","canonical","recognized_subtype")))</x:f>
        <x:v>recognized_subtype</x:v>
      </x:c>
      <x:c r="AD1011" s="12" t="str">
        <x:f>IF(AC1011="canonical","high",IF(AC1011="recognized_subtype","medium",IF(AC1011="operational","operational_only","debated")))</x:f>
        <x:v>medium</x:v>
      </x:c>
      <x:c r="AE1011" s="12" t="str">
        <x:f>IF(AC1011="deprecated","deprecated",IF(M1011="yes","active",IF(M1011="review","review_required","backlog")))</x:f>
        <x:v>review_required</x:v>
      </x:c>
      <x:c r="AF1011" s="12" t="str">
        <x:f>IF(OR(AE1011="active",AE1011="review_required"),"yes","no")</x:f>
        <x:v>yes</x:v>
      </x:c>
      <x:c r="AG1011" s="12" t="str">
        <x:f>IF(AND(AE1011="active",M1011="yes",NOT(ISNUMBER(SEARCH("healthy",AB1011)))),"yes","no")</x:f>
        <x:v>no</x:v>
      </x:c>
      <x:c r="AH1011" s="12" t="str">
        <x:f>IF(OR(H1011="contextual",H1011="dialogue",H1011="discourse",I1011="claim+context",I1011="discourse_segment"),"yes","no")</x:f>
        <x:v>no</x:v>
      </x:c>
      <x:c r="AI1011" s="12" t="str">
        <x:f>IF(OR(AH1011="yes",AD1011="debated",AC1011="operational"),"yes","no")</x:f>
        <x:v>no</x:v>
      </x:c>
      <x:c r="AJ1011" s="12" t="str">
        <x:f>IF(OR(AH1011="yes",AC1011="operational",AD1011="debated"),"high",IF(AND(AG1011="yes",L1011="P0"),"medium","low"))</x:f>
        <x:v>low</x:v>
      </x:c>
      <x:c r="AK1011" s="12" t="str">
        <x:f>IF(ISNUMBER(SEARCH("healthy",AB1011)),"yes","no")</x:f>
        <x:v>yes</x:v>
      </x:c>
      <x:c r="AL1011" s="12" t="str">
        <x:f>IF(AG1011="yes","yes","candidate_only")</x:f>
        <x:v>candidate_only</x:v>
      </x:c>
      <x:c r="AM1011" s="12" t="str">
        <x:f>IF(OR(AC1011="canonical",AG1011="yes"),"yes","recommended")</x:f>
        <x:v>recommended</x:v>
      </x:c>
      <x:c r="AN1011" s="12" t="str">
        <x:f>IF(AC1011="deprecated","exclude",IF(AND(AG1011="yes",AJ1011="high"),"import_but_human_review_required",IF(AG1011="yes","import_as_active","import_as_backlog")))</x:f>
        <x:v>import_as_backlog</x:v>
      </x:c>
      <x:c r="AO1011" s="12" t="str">
        <x:f>IF(AND(AG1011="yes",OR(P1011="",Q1011="",R1011="",S1011="")),"missing_required_mvp_fields",IF(AND(AC1011="canonical",Y1011=""),"missing_source_ref","ok"))</x:f>
        <x:v>ok</x:v>
      </x:c>
      <x:c r="AP1011" s="12" t="str">
        <x:f>IF(AO1011="ok","ready_for_codex_import","needs_review")</x:f>
        <x:v>ready_for_codex_import</x:v>
      </x:c>
      <x:c r="AQ1011" s="12"/>
      <x:c r="AR1011" s="12" t="str">
        <x:v>Added v2 operational fields. Review before classification activation.</x:v>
      </x:c>
    </x:row>
    <x:row r="1012">
      <x:c r="A1012" s="13" t="str">
        <x:v>sample_limitation_statement_canonical</x:v>
      </x:c>
      <x:c r="B1012" s="13" t="str">
        <x:v>sample_limitation_statement</x:v>
      </x:c>
      <x:c r="C1012" s="13" t="str">
        <x:v>Sample limitation statement</x:v>
      </x:c>
      <x:c r="D1012" s="13" t="str">
        <x:v>بیان محدودیت نمونه</x:v>
      </x:c>
      <x:c r="E1012" s="13" t="str">
        <x:v>Canonical form</x:v>
      </x:c>
      <x:c r="F1012" s="13" t="str">
        <x:v>healthy_reasoning_patterns</x:v>
      </x:c>
      <x:c r="G1012" s="13" t="str">
        <x:v>canonical</x:v>
      </x:c>
      <x:c r="H1012" s="13" t="str">
        <x:v>contextual</x:v>
      </x:c>
      <x:c r="I1012" s="13" t="str">
        <x:v>claim+context</x:v>
      </x:c>
      <x:c r="J1012" s="13" t="str">
        <x:v>protective_pattern</x:v>
      </x:c>
      <x:c r="K1012" s="13" t="str">
        <x:v>operational_pattern_needs_review</x:v>
      </x:c>
      <x:c r="L1012" s="13" t="str">
        <x:v>P1</x:v>
      </x:c>
      <x:c r="M1012" s="13" t="str">
        <x:v>review</x:v>
      </x:c>
      <x:c r="N1012" s="13" t="str">
        <x:v>Protective reasoning pattern under Sample limitation statement: a protective reasoning pattern is explicitly present. It should reduce risk scores when supported by evidence.</x:v>
      </x:c>
      <x:c r="O1012" s="13" t="str">
        <x:v>Look for: explicit claim-level evidence; parent-family cues for Sample limitation statement; variant cue: a protective reasoning pattern is explicitly present; avoid author-level inference.</x:v>
      </x:c>
      <x:c r="P1012" s="13" t="str">
        <x:v>Exact evidence span in text plus claim-level reasoning link; for contextual/discourse entries, require surrounding context.</x:v>
      </x:c>
      <x:c r="Q1012" s="13" t="str">
        <x:v>Do not label merely because topic is controversial, emotional, or wrong. Do not judge intent or personality. Require textual evidence and consider healthy-reasoning cues.</x:v>
      </x:c>
      <x:c r="R1012" s="13" t="str">
        <x:v>Stub: A claim relies on a protective reasoning pattern is explicitly present to support a conclusion without adequate qualification.</x:v>
      </x:c>
      <x:c r="S1012" s="13" t="str">
        <x:v>Stub: A claim discusses sample limitation statement with caveats, balanced evidence, or no argumentative use of the pattern.</x:v>
      </x:c>
      <x:c r="T1012" s="13" t="str">
        <x:v>Weak protective cue; keep normal review.</x:v>
      </x:c>
      <x:c r="U1012" s="13" t="str">
        <x:v>Clear protective cue; reduce false-positive risk.</x:v>
      </x:c>
      <x:c r="V1012" s="13" t="str">
        <x:v>Strong protective cue; require stronger evidence before assigning risk labels.</x:v>
      </x:c>
      <x:c r="W1012" s="13" t="str"/>
      <x:c r="X1012" s="13" t="str">
        <x:v>toulmin_uses_argument</x:v>
      </x:c>
      <x:c r="Y1012" s="13" t="str">
        <x:v>https://doi.org/10.1017/CBO9780511840005</x:v>
      </x:c>
      <x:c r="Z1012" s="13" t="str">
        <x:v>Review before enabling. This workbook is a living taxonomy scaffold, not a validated scientific benchmark.</x:v>
      </x:c>
      <x:c r="AA1012" s="13" t="str">
        <x:v>0.1.0-draft</x:v>
      </x:c>
      <x:c r="AB1012" s="12" t="str">
        <x:f>IF(ISNUMBER(SEARCH("healthy",F1012)),"healthy_reasoning_patterns",IF(ISNUMBER(SEARCH("statistical",F1012)),"statistical_reasoning",IF(ISNUMBER(SEARCH("causal",F1012)),"causal_reasoning",IF(ISNUMBER(SEARCH("social",F1012)),"social_influence",IF(ISNUMBER(SEARCH("rhetoric",F1012)),"rhetoric_discourse",IF(ISNUMBER(SEARCH("behavior",F1012)),"behavioural_economics",IF(ISNUMBER(SEARCH("cognitive",F1012)),"cognitive_biases",IF(J1012="protective_pattern","healthy_reasoning_patterns",IF(L1012="P0","core_mvp","extended_fallacies")))))))))</x:f>
        <x:v>healthy_reasoning_patterns</x:v>
      </x:c>
      <x:c r="AC1012" s="12" t="str">
        <x:f>IF(ISNUMBER(SEARCH("operational",J1012)),"operational",IF(ISNUMBER(SEARCH("deprecated",J1012)),"deprecated",IF(L1012="P0","canonical","recognized_subtype")))</x:f>
        <x:v>recognized_subtype</x:v>
      </x:c>
      <x:c r="AD1012" s="12" t="str">
        <x:f>IF(AC1012="canonical","high",IF(AC1012="recognized_subtype","medium",IF(AC1012="operational","operational_only","debated")))</x:f>
        <x:v>medium</x:v>
      </x:c>
      <x:c r="AE1012" s="12" t="str">
        <x:f>IF(AC1012="deprecated","deprecated",IF(M1012="yes","active",IF(M1012="review","review_required","backlog")))</x:f>
        <x:v>review_required</x:v>
      </x:c>
      <x:c r="AF1012" s="12" t="str">
        <x:f>IF(OR(AE1012="active",AE1012="review_required"),"yes","no")</x:f>
        <x:v>yes</x:v>
      </x:c>
      <x:c r="AG1012" s="12" t="str">
        <x:f>IF(AND(AE1012="active",M1012="yes",NOT(ISNUMBER(SEARCH("healthy",AB1012)))),"yes","no")</x:f>
        <x:v>no</x:v>
      </x:c>
      <x:c r="AH1012" s="12" t="str">
        <x:f>IF(OR(H1012="contextual",H1012="dialogue",H1012="discourse",I1012="claim+context",I1012="discourse_segment"),"yes","no")</x:f>
        <x:v>yes</x:v>
      </x:c>
      <x:c r="AI1012" s="12" t="str">
        <x:f>IF(OR(AH1012="yes",AD1012="debated",AC1012="operational"),"yes","no")</x:f>
        <x:v>yes</x:v>
      </x:c>
      <x:c r="AJ1012" s="12" t="str">
        <x:f>IF(OR(AH1012="yes",AC1012="operational",AD1012="debated"),"high",IF(AND(AG1012="yes",L1012="P0"),"medium","low"))</x:f>
        <x:v>high</x:v>
      </x:c>
      <x:c r="AK1012" s="12" t="str">
        <x:f>IF(ISNUMBER(SEARCH("healthy",AB1012)),"yes","no")</x:f>
        <x:v>yes</x:v>
      </x:c>
      <x:c r="AL1012" s="12" t="str">
        <x:f>IF(AG1012="yes","yes","candidate_only")</x:f>
        <x:v>candidate_only</x:v>
      </x:c>
      <x:c r="AM1012" s="12" t="str">
        <x:f>IF(OR(AC1012="canonical",AG1012="yes"),"yes","recommended")</x:f>
        <x:v>recommended</x:v>
      </x:c>
      <x:c r="AN1012" s="12" t="str">
        <x:f>IF(AC1012="deprecated","exclude",IF(AND(AG1012="yes",AJ1012="high"),"import_but_human_review_required",IF(AG1012="yes","import_as_active","import_as_backlog")))</x:f>
        <x:v>import_as_backlog</x:v>
      </x:c>
      <x:c r="AO1012" s="12" t="str">
        <x:f>IF(AND(AG1012="yes",OR(P1012="",Q1012="",R1012="",S1012="")),"missing_required_mvp_fields",IF(AND(AC1012="canonical",Y1012=""),"missing_source_ref","ok"))</x:f>
        <x:v>ok</x:v>
      </x:c>
      <x:c r="AP1012" s="12" t="str">
        <x:f>IF(AO1012="ok","ready_for_codex_import","needs_review")</x:f>
        <x:v>ready_for_codex_import</x:v>
      </x:c>
      <x:c r="AQ1012" s="12"/>
      <x:c r="AR1012" s="12" t="str">
        <x:v>Added v2 operational fields. Review before classification activation.</x:v>
      </x:c>
    </x:row>
    <x:row r="1013">
      <x:c r="A1013" s="13" t="str">
        <x:v>method_limitation_statement_canonical</x:v>
      </x:c>
      <x:c r="B1013" s="13" t="str">
        <x:v>method_limitation_statement</x:v>
      </x:c>
      <x:c r="C1013" s="13" t="str">
        <x:v>Method limitation statement</x:v>
      </x:c>
      <x:c r="D1013" s="13" t="str">
        <x:v>بیان محدودیت روش</x:v>
      </x:c>
      <x:c r="E1013" s="13" t="str">
        <x:v>Canonical form</x:v>
      </x:c>
      <x:c r="F1013" s="13" t="str">
        <x:v>healthy_reasoning_patterns</x:v>
      </x:c>
      <x:c r="G1013" s="13" t="str">
        <x:v>canonical</x:v>
      </x:c>
      <x:c r="H1013" s="13" t="str">
        <x:v>contextual</x:v>
      </x:c>
      <x:c r="I1013" s="13" t="str">
        <x:v>claim+context</x:v>
      </x:c>
      <x:c r="J1013" s="13" t="str">
        <x:v>protective_pattern</x:v>
      </x:c>
      <x:c r="K1013" s="13" t="str">
        <x:v>operational_pattern_needs_review</x:v>
      </x:c>
      <x:c r="L1013" s="13" t="str">
        <x:v>P1</x:v>
      </x:c>
      <x:c r="M1013" s="13" t="str">
        <x:v>review</x:v>
      </x:c>
      <x:c r="N1013" s="13" t="str">
        <x:v>Protective reasoning pattern under Method limitation statement: a protective reasoning pattern is explicitly present. It should reduce risk scores when supported by evidence.</x:v>
      </x:c>
      <x:c r="O1013" s="13" t="str">
        <x:v>Look for: explicit claim-level evidence; parent-family cues for Method limitation statement; variant cue: a protective reasoning pattern is explicitly present; avoid author-level inference.</x:v>
      </x:c>
      <x:c r="P1013" s="13" t="str">
        <x:v>Exact evidence span in text plus claim-level reasoning link; for contextual/discourse entries, require surrounding context.</x:v>
      </x:c>
      <x:c r="Q1013" s="13" t="str">
        <x:v>Do not label merely because topic is controversial, emotional, or wrong. Do not judge intent or personality. Require textual evidence and consider healthy-reasoning cues.</x:v>
      </x:c>
      <x:c r="R1013" s="13" t="str">
        <x:v>Stub: A claim relies on a protective reasoning pattern is explicitly present to support a conclusion without adequate qualification.</x:v>
      </x:c>
      <x:c r="S1013" s="13" t="str">
        <x:v>Stub: A claim discusses method limitation statement with caveats, balanced evidence, or no argumentative use of the pattern.</x:v>
      </x:c>
      <x:c r="T1013" s="13" t="str">
        <x:v>Weak protective cue; keep normal review.</x:v>
      </x:c>
      <x:c r="U1013" s="13" t="str">
        <x:v>Clear protective cue; reduce false-positive risk.</x:v>
      </x:c>
      <x:c r="V1013" s="13" t="str">
        <x:v>Strong protective cue; require stronger evidence before assigning risk labels.</x:v>
      </x:c>
      <x:c r="W1013" s="13" t="str"/>
      <x:c r="X1013" s="13" t="str">
        <x:v>toulmin_uses_argument</x:v>
      </x:c>
      <x:c r="Y1013" s="13" t="str">
        <x:v>https://doi.org/10.1017/CBO9780511840005</x:v>
      </x:c>
      <x:c r="Z1013" s="13" t="str">
        <x:v>Review before enabling. This workbook is a living taxonomy scaffold, not a validated scientific benchmark.</x:v>
      </x:c>
      <x:c r="AA1013" s="13" t="str">
        <x:v>0.1.0-draft</x:v>
      </x:c>
      <x:c r="AB1013" s="12" t="str">
        <x:f>IF(ISNUMBER(SEARCH("healthy",F1013)),"healthy_reasoning_patterns",IF(ISNUMBER(SEARCH("statistical",F1013)),"statistical_reasoning",IF(ISNUMBER(SEARCH("causal",F1013)),"causal_reasoning",IF(ISNUMBER(SEARCH("social",F1013)),"social_influence",IF(ISNUMBER(SEARCH("rhetoric",F1013)),"rhetoric_discourse",IF(ISNUMBER(SEARCH("behavior",F1013)),"behavioural_economics",IF(ISNUMBER(SEARCH("cognitive",F1013)),"cognitive_biases",IF(J1013="protective_pattern","healthy_reasoning_patterns",IF(L1013="P0","core_mvp","extended_fallacies")))))))))</x:f>
        <x:v>healthy_reasoning_patterns</x:v>
      </x:c>
      <x:c r="AC1013" s="12" t="str">
        <x:f>IF(ISNUMBER(SEARCH("operational",J1013)),"operational",IF(ISNUMBER(SEARCH("deprecated",J1013)),"deprecated",IF(L1013="P0","canonical","recognized_subtype")))</x:f>
        <x:v>recognized_subtype</x:v>
      </x:c>
      <x:c r="AD1013" s="12" t="str">
        <x:f>IF(AC1013="canonical","high",IF(AC1013="recognized_subtype","medium",IF(AC1013="operational","operational_only","debated")))</x:f>
        <x:v>medium</x:v>
      </x:c>
      <x:c r="AE1013" s="12" t="str">
        <x:f>IF(AC1013="deprecated","deprecated",IF(M1013="yes","active",IF(M1013="review","review_required","backlog")))</x:f>
        <x:v>review_required</x:v>
      </x:c>
      <x:c r="AF1013" s="12" t="str">
        <x:f>IF(OR(AE1013="active",AE1013="review_required"),"yes","no")</x:f>
        <x:v>yes</x:v>
      </x:c>
      <x:c r="AG1013" s="12" t="str">
        <x:f>IF(AND(AE1013="active",M1013="yes",NOT(ISNUMBER(SEARCH("healthy",AB1013)))),"yes","no")</x:f>
        <x:v>no</x:v>
      </x:c>
      <x:c r="AH1013" s="12" t="str">
        <x:f>IF(OR(H1013="contextual",H1013="dialogue",H1013="discourse",I1013="claim+context",I1013="discourse_segment"),"yes","no")</x:f>
        <x:v>yes</x:v>
      </x:c>
      <x:c r="AI1013" s="12" t="str">
        <x:f>IF(OR(AH1013="yes",AD1013="debated",AC1013="operational"),"yes","no")</x:f>
        <x:v>yes</x:v>
      </x:c>
      <x:c r="AJ1013" s="12" t="str">
        <x:f>IF(OR(AH1013="yes",AC1013="operational",AD1013="debated"),"high",IF(AND(AG1013="yes",L1013="P0"),"medium","low"))</x:f>
        <x:v>high</x:v>
      </x:c>
      <x:c r="AK1013" s="12" t="str">
        <x:f>IF(ISNUMBER(SEARCH("healthy",AB1013)),"yes","no")</x:f>
        <x:v>yes</x:v>
      </x:c>
      <x:c r="AL1013" s="12" t="str">
        <x:f>IF(AG1013="yes","yes","candidate_only")</x:f>
        <x:v>candidate_only</x:v>
      </x:c>
      <x:c r="AM1013" s="12" t="str">
        <x:f>IF(OR(AC1013="canonical",AG1013="yes"),"yes","recommended")</x:f>
        <x:v>recommended</x:v>
      </x:c>
      <x:c r="AN1013" s="12" t="str">
        <x:f>IF(AC1013="deprecated","exclude",IF(AND(AG1013="yes",AJ1013="high"),"import_but_human_review_required",IF(AG1013="yes","import_as_active","import_as_backlog")))</x:f>
        <x:v>import_as_backlog</x:v>
      </x:c>
      <x:c r="AO1013" s="12" t="str">
        <x:f>IF(AND(AG1013="yes",OR(P1013="",Q1013="",R1013="",S1013="")),"missing_required_mvp_fields",IF(AND(AC1013="canonical",Y1013=""),"missing_source_ref","ok"))</x:f>
        <x:v>ok</x:v>
      </x:c>
      <x:c r="AP1013" s="12" t="str">
        <x:f>IF(AO1013="ok","ready_for_codex_import","needs_review")</x:f>
        <x:v>ready_for_codex_import</x:v>
      </x:c>
      <x:c r="AQ1013" s="12"/>
      <x:c r="AR1013" s="12" t="str">
        <x:v>Added v2 operational fields. Review before classification activation.</x:v>
      </x:c>
    </x:row>
    <x:row r="1014">
      <x:c r="A1014" s="13" t="str">
        <x:v>rebuttal_inclusion_canonical</x:v>
      </x:c>
      <x:c r="B1014" s="13" t="str">
        <x:v>rebuttal_inclusion</x:v>
      </x:c>
      <x:c r="C1014" s="13" t="str">
        <x:v>Rebuttal inclusion</x:v>
      </x:c>
      <x:c r="D1014" s="13" t="str">
        <x:v>درج ردیه یا استثنا</x:v>
      </x:c>
      <x:c r="E1014" s="13" t="str">
        <x:v>Canonical form</x:v>
      </x:c>
      <x:c r="F1014" s="13" t="str">
        <x:v>healthy_reasoning_patterns</x:v>
      </x:c>
      <x:c r="G1014" s="13" t="str">
        <x:v>canonical</x:v>
      </x:c>
      <x:c r="H1014" s="13" t="str">
        <x:v>structural</x:v>
      </x:c>
      <x:c r="I1014" s="13" t="str">
        <x:v>claim</x:v>
      </x:c>
      <x:c r="J1014" s="13" t="str">
        <x:v>protective_pattern</x:v>
      </x:c>
      <x:c r="K1014" s="13" t="str">
        <x:v>operational_pattern_needs_review</x:v>
      </x:c>
      <x:c r="L1014" s="13" t="str">
        <x:v>P1</x:v>
      </x:c>
      <x:c r="M1014" s="13" t="str">
        <x:v>review</x:v>
      </x:c>
      <x:c r="N1014" s="13" t="str">
        <x:v>Protective reasoning pattern under Rebuttal inclusion: a protective reasoning pattern is explicitly present. It should reduce risk scores when supported by evidence.</x:v>
      </x:c>
      <x:c r="O1014" s="13" t="str">
        <x:v>Look for: explicit claim-level evidence; parent-family cues for Rebuttal inclusion; variant cue: a protective reasoning pattern is explicitly present; avoid author-level inference.</x:v>
      </x:c>
      <x:c r="P1014" s="13" t="str">
        <x:v>Exact evidence span in text plus claim-level reasoning link; for contextual/discourse entries, require surrounding context.</x:v>
      </x:c>
      <x:c r="Q1014" s="13" t="str">
        <x:v>Do not label merely because topic is controversial, emotional, or wrong. Do not judge intent or personality. Require textual evidence and consider healthy-reasoning cues.</x:v>
      </x:c>
      <x:c r="R1014" s="13" t="str">
        <x:v>Stub: A claim relies on a protective reasoning pattern is explicitly present to support a conclusion without adequate qualification.</x:v>
      </x:c>
      <x:c r="S1014" s="13" t="str">
        <x:v>Stub: A claim discusses rebuttal inclusion with caveats, balanced evidence, or no argumentative use of the pattern.</x:v>
      </x:c>
      <x:c r="T1014" s="13" t="str">
        <x:v>Weak protective cue; keep normal review.</x:v>
      </x:c>
      <x:c r="U1014" s="13" t="str">
        <x:v>Clear protective cue; reduce false-positive risk.</x:v>
      </x:c>
      <x:c r="V1014" s="13" t="str">
        <x:v>Strong protective cue; require stronger evidence before assigning risk labels.</x:v>
      </x:c>
      <x:c r="W1014" s="13" t="str"/>
      <x:c r="X1014" s="13" t="str">
        <x:v>toulmin_uses_argument</x:v>
      </x:c>
      <x:c r="Y1014" s="13" t="str">
        <x:v>https://doi.org/10.1017/CBO9780511840005</x:v>
      </x:c>
      <x:c r="Z1014" s="13" t="str">
        <x:v>Review before enabling. This workbook is a living taxonomy scaffold, not a validated scientific benchmark.</x:v>
      </x:c>
      <x:c r="AA1014" s="13" t="str">
        <x:v>0.1.0-draft</x:v>
      </x:c>
      <x:c r="AB1014" s="12" t="str">
        <x:f>IF(ISNUMBER(SEARCH("healthy",F1014)),"healthy_reasoning_patterns",IF(ISNUMBER(SEARCH("statistical",F1014)),"statistical_reasoning",IF(ISNUMBER(SEARCH("causal",F1014)),"causal_reasoning",IF(ISNUMBER(SEARCH("social",F1014)),"social_influence",IF(ISNUMBER(SEARCH("rhetoric",F1014)),"rhetoric_discourse",IF(ISNUMBER(SEARCH("behavior",F1014)),"behavioural_economics",IF(ISNUMBER(SEARCH("cognitive",F1014)),"cognitive_biases",IF(J1014="protective_pattern","healthy_reasoning_patterns",IF(L1014="P0","core_mvp","extended_fallacies")))))))))</x:f>
        <x:v>healthy_reasoning_patterns</x:v>
      </x:c>
      <x:c r="AC1014" s="12" t="str">
        <x:f>IF(ISNUMBER(SEARCH("operational",J1014)),"operational",IF(ISNUMBER(SEARCH("deprecated",J1014)),"deprecated",IF(L1014="P0","canonical","recognized_subtype")))</x:f>
        <x:v>recognized_subtype</x:v>
      </x:c>
      <x:c r="AD1014" s="12" t="str">
        <x:f>IF(AC1014="canonical","high",IF(AC1014="recognized_subtype","medium",IF(AC1014="operational","operational_only","debated")))</x:f>
        <x:v>medium</x:v>
      </x:c>
      <x:c r="AE1014" s="12" t="str">
        <x:f>IF(AC1014="deprecated","deprecated",IF(M1014="yes","active",IF(M1014="review","review_required","backlog")))</x:f>
        <x:v>review_required</x:v>
      </x:c>
      <x:c r="AF1014" s="12" t="str">
        <x:f>IF(OR(AE1014="active",AE1014="review_required"),"yes","no")</x:f>
        <x:v>yes</x:v>
      </x:c>
      <x:c r="AG1014" s="12" t="str">
        <x:f>IF(AND(AE1014="active",M1014="yes",NOT(ISNUMBER(SEARCH("healthy",AB1014)))),"yes","no")</x:f>
        <x:v>no</x:v>
      </x:c>
      <x:c r="AH1014" s="12" t="str">
        <x:f>IF(OR(H1014="contextual",H1014="dialogue",H1014="discourse",I1014="claim+context",I1014="discourse_segment"),"yes","no")</x:f>
        <x:v>no</x:v>
      </x:c>
      <x:c r="AI1014" s="12" t="str">
        <x:f>IF(OR(AH1014="yes",AD1014="debated",AC1014="operational"),"yes","no")</x:f>
        <x:v>no</x:v>
      </x:c>
      <x:c r="AJ1014" s="12" t="str">
        <x:f>IF(OR(AH1014="yes",AC1014="operational",AD1014="debated"),"high",IF(AND(AG1014="yes",L1014="P0"),"medium","low"))</x:f>
        <x:v>low</x:v>
      </x:c>
      <x:c r="AK1014" s="12" t="str">
        <x:f>IF(ISNUMBER(SEARCH("healthy",AB1014)),"yes","no")</x:f>
        <x:v>yes</x:v>
      </x:c>
      <x:c r="AL1014" s="12" t="str">
        <x:f>IF(AG1014="yes","yes","candidate_only")</x:f>
        <x:v>candidate_only</x:v>
      </x:c>
      <x:c r="AM1014" s="12" t="str">
        <x:f>IF(OR(AC1014="canonical",AG1014="yes"),"yes","recommended")</x:f>
        <x:v>recommended</x:v>
      </x:c>
      <x:c r="AN1014" s="12" t="str">
        <x:f>IF(AC1014="deprecated","exclude",IF(AND(AG1014="yes",AJ1014="high"),"import_but_human_review_required",IF(AG1014="yes","import_as_active","import_as_backlog")))</x:f>
        <x:v>import_as_backlog</x:v>
      </x:c>
      <x:c r="AO1014" s="12" t="str">
        <x:f>IF(AND(AG1014="yes",OR(P1014="",Q1014="",R1014="",S1014="")),"missing_required_mvp_fields",IF(AND(AC1014="canonical",Y1014=""),"missing_source_ref","ok"))</x:f>
        <x:v>ok</x:v>
      </x:c>
      <x:c r="AP1014" s="12" t="str">
        <x:f>IF(AO1014="ok","ready_for_codex_import","needs_review")</x:f>
        <x:v>ready_for_codex_import</x:v>
      </x:c>
      <x:c r="AQ1014" s="12"/>
      <x:c r="AR1014" s="12" t="str">
        <x:v>Added v2 operational fields. Review before classification activation.</x:v>
      </x:c>
    </x:row>
    <x:row r="1015">
      <x:c r="A1015" s="13" t="str">
        <x:v>warrant_explication_canonical</x:v>
      </x:c>
      <x:c r="B1015" s="13" t="str">
        <x:v>warrant_explication</x:v>
      </x:c>
      <x:c r="C1015" s="13" t="str">
        <x:v>Warrant explication</x:v>
      </x:c>
      <x:c r="D1015" s="13" t="str">
        <x:v>تصریح پیوند استدلالی</x:v>
      </x:c>
      <x:c r="E1015" s="13" t="str">
        <x:v>Canonical form</x:v>
      </x:c>
      <x:c r="F1015" s="13" t="str">
        <x:v>healthy_reasoning_patterns</x:v>
      </x:c>
      <x:c r="G1015" s="13" t="str">
        <x:v>canonical</x:v>
      </x:c>
      <x:c r="H1015" s="13" t="str">
        <x:v>structural</x:v>
      </x:c>
      <x:c r="I1015" s="13" t="str">
        <x:v>claim</x:v>
      </x:c>
      <x:c r="J1015" s="13" t="str">
        <x:v>protective_pattern</x:v>
      </x:c>
      <x:c r="K1015" s="13" t="str">
        <x:v>operational_pattern_needs_review</x:v>
      </x:c>
      <x:c r="L1015" s="13" t="str">
        <x:v>P1</x:v>
      </x:c>
      <x:c r="M1015" s="13" t="str">
        <x:v>review</x:v>
      </x:c>
      <x:c r="N1015" s="13" t="str">
        <x:v>Protective reasoning pattern under Warrant explication: a protective reasoning pattern is explicitly present. It should reduce risk scores when supported by evidence.</x:v>
      </x:c>
      <x:c r="O1015" s="13" t="str">
        <x:v>Look for: explicit claim-level evidence; parent-family cues for Warrant explication; variant cue: a protective reasoning pattern is explicitly present; avoid author-level inference.</x:v>
      </x:c>
      <x:c r="P1015" s="13" t="str">
        <x:v>Exact evidence span in text plus claim-level reasoning link; for contextual/discourse entries, require surrounding context.</x:v>
      </x:c>
      <x:c r="Q1015" s="13" t="str">
        <x:v>Do not label merely because topic is controversial, emotional, or wrong. Do not judge intent or personality. Require textual evidence and consider healthy-reasoning cues.</x:v>
      </x:c>
      <x:c r="R1015" s="13" t="str">
        <x:v>Stub: A claim relies on a protective reasoning pattern is explicitly present to support a conclusion without adequate qualification.</x:v>
      </x:c>
      <x:c r="S1015" s="13" t="str">
        <x:v>Stub: A claim discusses warrant explication with caveats, balanced evidence, or no argumentative use of the pattern.</x:v>
      </x:c>
      <x:c r="T1015" s="13" t="str">
        <x:v>Weak protective cue; keep normal review.</x:v>
      </x:c>
      <x:c r="U1015" s="13" t="str">
        <x:v>Clear protective cue; reduce false-positive risk.</x:v>
      </x:c>
      <x:c r="V1015" s="13" t="str">
        <x:v>Strong protective cue; require stronger evidence before assigning risk labels.</x:v>
      </x:c>
      <x:c r="W1015" s="13" t="str">
        <x:v>cherry_picking; missing_counterevidence; evidence_grading</x:v>
      </x:c>
      <x:c r="X1015" s="13" t="str">
        <x:v>toulmin_uses_argument</x:v>
      </x:c>
      <x:c r="Y1015" s="13" t="str">
        <x:v>https://doi.org/10.1017/CBO9780511840005</x:v>
      </x:c>
      <x:c r="Z1015" s="13" t="str">
        <x:v>Review before enabling. This workbook is a living taxonomy scaffold, not a validated scientific benchmark.</x:v>
      </x:c>
      <x:c r="AA1015" s="13" t="str">
        <x:v>0.1.0-draft</x:v>
      </x:c>
      <x:c r="AB1015" s="12" t="str">
        <x:f>IF(ISNUMBER(SEARCH("healthy",F1015)),"healthy_reasoning_patterns",IF(ISNUMBER(SEARCH("statistical",F1015)),"statistical_reasoning",IF(ISNUMBER(SEARCH("causal",F1015)),"causal_reasoning",IF(ISNUMBER(SEARCH("social",F1015)),"social_influence",IF(ISNUMBER(SEARCH("rhetoric",F1015)),"rhetoric_discourse",IF(ISNUMBER(SEARCH("behavior",F1015)),"behavioural_economics",IF(ISNUMBER(SEARCH("cognitive",F1015)),"cognitive_biases",IF(J1015="protective_pattern","healthy_reasoning_patterns",IF(L1015="P0","core_mvp","extended_fallacies")))))))))</x:f>
        <x:v>healthy_reasoning_patterns</x:v>
      </x:c>
      <x:c r="AC1015" s="12" t="str">
        <x:f>IF(ISNUMBER(SEARCH("operational",J1015)),"operational",IF(ISNUMBER(SEARCH("deprecated",J1015)),"deprecated",IF(L1015="P0","canonical","recognized_subtype")))</x:f>
        <x:v>recognized_subtype</x:v>
      </x:c>
      <x:c r="AD1015" s="12" t="str">
        <x:f>IF(AC1015="canonical","high",IF(AC1015="recognized_subtype","medium",IF(AC1015="operational","operational_only","debated")))</x:f>
        <x:v>medium</x:v>
      </x:c>
      <x:c r="AE1015" s="12" t="str">
        <x:f>IF(AC1015="deprecated","deprecated",IF(M1015="yes","active",IF(M1015="review","review_required","backlog")))</x:f>
        <x:v>review_required</x:v>
      </x:c>
      <x:c r="AF1015" s="12" t="str">
        <x:f>IF(OR(AE1015="active",AE1015="review_required"),"yes","no")</x:f>
        <x:v>yes</x:v>
      </x:c>
      <x:c r="AG1015" s="12" t="str">
        <x:f>IF(AND(AE1015="active",M1015="yes",NOT(ISNUMBER(SEARCH("healthy",AB1015)))),"yes","no")</x:f>
        <x:v>no</x:v>
      </x:c>
      <x:c r="AH1015" s="12" t="str">
        <x:f>IF(OR(H1015="contextual",H1015="dialogue",H1015="discourse",I1015="claim+context",I1015="discourse_segment"),"yes","no")</x:f>
        <x:v>no</x:v>
      </x:c>
      <x:c r="AI1015" s="12" t="str">
        <x:f>IF(OR(AH1015="yes",AD1015="debated",AC1015="operational"),"yes","no")</x:f>
        <x:v>no</x:v>
      </x:c>
      <x:c r="AJ1015" s="12" t="str">
        <x:f>IF(OR(AH1015="yes",AC1015="operational",AD1015="debated"),"high",IF(AND(AG1015="yes",L1015="P0"),"medium","low"))</x:f>
        <x:v>low</x:v>
      </x:c>
      <x:c r="AK1015" s="12" t="str">
        <x:f>IF(ISNUMBER(SEARCH("healthy",AB1015)),"yes","no")</x:f>
        <x:v>yes</x:v>
      </x:c>
      <x:c r="AL1015" s="12" t="str">
        <x:f>IF(AG1015="yes","yes","candidate_only")</x:f>
        <x:v>candidate_only</x:v>
      </x:c>
      <x:c r="AM1015" s="12" t="str">
        <x:f>IF(OR(AC1015="canonical",AG1015="yes"),"yes","recommended")</x:f>
        <x:v>recommended</x:v>
      </x:c>
      <x:c r="AN1015" s="12" t="str">
        <x:f>IF(AC1015="deprecated","exclude",IF(AND(AG1015="yes",AJ1015="high"),"import_but_human_review_required",IF(AG1015="yes","import_as_active","import_as_backlog")))</x:f>
        <x:v>import_as_backlog</x:v>
      </x:c>
      <x:c r="AO1015" s="12" t="str">
        <x:f>IF(AND(AG1015="yes",OR(P1015="",Q1015="",R1015="",S1015="")),"missing_required_mvp_fields",IF(AND(AC1015="canonical",Y1015=""),"missing_source_ref","ok"))</x:f>
        <x:v>ok</x:v>
      </x:c>
      <x:c r="AP1015" s="12" t="str">
        <x:f>IF(AO1015="ok","ready_for_codex_import","needs_review")</x:f>
        <x:v>ready_for_codex_import</x:v>
      </x:c>
      <x:c r="AQ1015" s="12"/>
      <x:c r="AR1015" s="12" t="str">
        <x:v>Added v2 operational fields. Review before classification activation.</x:v>
      </x:c>
    </x:row>
    <x:row r="1016">
      <x:c r="A1016" s="13" t="str">
        <x:v>steelman_interpretation_canonical</x:v>
      </x:c>
      <x:c r="B1016" s="13" t="str">
        <x:v>steelman_interpretation</x:v>
      </x:c>
      <x:c r="C1016" s="13" t="str">
        <x:v>Steelman interpretation</x:v>
      </x:c>
      <x:c r="D1016" s="13" t="str">
        <x:v>تقویت منصفانه موضع مقابل</x:v>
      </x:c>
      <x:c r="E1016" s="13" t="str">
        <x:v>Canonical form</x:v>
      </x:c>
      <x:c r="F1016" s="13" t="str">
        <x:v>healthy_reasoning_patterns</x:v>
      </x:c>
      <x:c r="G1016" s="13" t="str">
        <x:v>canonical</x:v>
      </x:c>
      <x:c r="H1016" s="13" t="str">
        <x:v>dialogue</x:v>
      </x:c>
      <x:c r="I1016" s="13" t="str">
        <x:v>discourse_segment</x:v>
      </x:c>
      <x:c r="J1016" s="13" t="str">
        <x:v>protective_pattern</x:v>
      </x:c>
      <x:c r="K1016" s="13" t="str">
        <x:v>operational_pattern_needs_review</x:v>
      </x:c>
      <x:c r="L1016" s="13" t="str">
        <x:v>P1</x:v>
      </x:c>
      <x:c r="M1016" s="13" t="str">
        <x:v>review</x:v>
      </x:c>
      <x:c r="N1016" s="13" t="str">
        <x:v>Protective reasoning pattern under Steelman interpretation: a protective reasoning pattern is explicitly present. It should reduce risk scores when supported by evidence.</x:v>
      </x:c>
      <x:c r="O1016" s="13" t="str">
        <x:v>Look for: explicit claim-level evidence; parent-family cues for Steelman interpretation; variant cue: a protective reasoning pattern is explicitly present; avoid author-level inference.</x:v>
      </x:c>
      <x:c r="P1016" s="13" t="str">
        <x:v>Exact evidence span in text plus claim-level reasoning link; for contextual/discourse entries, require surrounding context.</x:v>
      </x:c>
      <x:c r="Q1016" s="13" t="str">
        <x:v>Do not label merely because topic is controversial, emotional, or wrong. Do not judge intent or personality. Require textual evidence and consider healthy-reasoning cues.</x:v>
      </x:c>
      <x:c r="R1016" s="13" t="str">
        <x:v>Stub: A claim relies on a protective reasoning pattern is explicitly present to support a conclusion without adequate qualification.</x:v>
      </x:c>
      <x:c r="S1016" s="13" t="str">
        <x:v>Stub: A claim discusses steelman interpretation with caveats, balanced evidence, or no argumentative use of the pattern.</x:v>
      </x:c>
      <x:c r="T1016" s="13" t="str">
        <x:v>Weak protective cue; keep normal review.</x:v>
      </x:c>
      <x:c r="U1016" s="13" t="str">
        <x:v>Clear protective cue; reduce false-positive risk.</x:v>
      </x:c>
      <x:c r="V1016" s="13" t="str">
        <x:v>Strong protective cue; require stronger evidence before assigning risk labels.</x:v>
      </x:c>
      <x:c r="W1016" s="13" t="str"/>
      <x:c r="X1016" s="13" t="str">
        <x:v>toulmin_uses_argument</x:v>
      </x:c>
      <x:c r="Y1016" s="13" t="str">
        <x:v>https://doi.org/10.1017/CBO9780511840005</x:v>
      </x:c>
      <x:c r="Z1016" s="13" t="str">
        <x:v>Review before enabling. This workbook is a living taxonomy scaffold, not a validated scientific benchmark.</x:v>
      </x:c>
      <x:c r="AA1016" s="13" t="str">
        <x:v>0.1.0-draft</x:v>
      </x:c>
      <x:c r="AB1016" s="12" t="str">
        <x:f>IF(ISNUMBER(SEARCH("healthy",F1016)),"healthy_reasoning_patterns",IF(ISNUMBER(SEARCH("statistical",F1016)),"statistical_reasoning",IF(ISNUMBER(SEARCH("causal",F1016)),"causal_reasoning",IF(ISNUMBER(SEARCH("social",F1016)),"social_influence",IF(ISNUMBER(SEARCH("rhetoric",F1016)),"rhetoric_discourse",IF(ISNUMBER(SEARCH("behavior",F1016)),"behavioural_economics",IF(ISNUMBER(SEARCH("cognitive",F1016)),"cognitive_biases",IF(J1016="protective_pattern","healthy_reasoning_patterns",IF(L1016="P0","core_mvp","extended_fallacies")))))))))</x:f>
        <x:v>healthy_reasoning_patterns</x:v>
      </x:c>
      <x:c r="AC1016" s="12" t="str">
        <x:f>IF(ISNUMBER(SEARCH("operational",J1016)),"operational",IF(ISNUMBER(SEARCH("deprecated",J1016)),"deprecated",IF(L1016="P0","canonical","recognized_subtype")))</x:f>
        <x:v>recognized_subtype</x:v>
      </x:c>
      <x:c r="AD1016" s="12" t="str">
        <x:f>IF(AC1016="canonical","high",IF(AC1016="recognized_subtype","medium",IF(AC1016="operational","operational_only","debated")))</x:f>
        <x:v>medium</x:v>
      </x:c>
      <x:c r="AE1016" s="12" t="str">
        <x:f>IF(AC1016="deprecated","deprecated",IF(M1016="yes","active",IF(M1016="review","review_required","backlog")))</x:f>
        <x:v>review_required</x:v>
      </x:c>
      <x:c r="AF1016" s="12" t="str">
        <x:f>IF(OR(AE1016="active",AE1016="review_required"),"yes","no")</x:f>
        <x:v>yes</x:v>
      </x:c>
      <x:c r="AG1016" s="12" t="str">
        <x:f>IF(AND(AE1016="active",M1016="yes",NOT(ISNUMBER(SEARCH("healthy",AB1016)))),"yes","no")</x:f>
        <x:v>no</x:v>
      </x:c>
      <x:c r="AH1016" s="12" t="str">
        <x:f>IF(OR(H1016="contextual",H1016="dialogue",H1016="discourse",I1016="claim+context",I1016="discourse_segment"),"yes","no")</x:f>
        <x:v>yes</x:v>
      </x:c>
      <x:c r="AI1016" s="12" t="str">
        <x:f>IF(OR(AH1016="yes",AD1016="debated",AC1016="operational"),"yes","no")</x:f>
        <x:v>yes</x:v>
      </x:c>
      <x:c r="AJ1016" s="12" t="str">
        <x:f>IF(OR(AH1016="yes",AC1016="operational",AD1016="debated"),"high",IF(AND(AG1016="yes",L1016="P0"),"medium","low"))</x:f>
        <x:v>high</x:v>
      </x:c>
      <x:c r="AK1016" s="12" t="str">
        <x:f>IF(ISNUMBER(SEARCH("healthy",AB1016)),"yes","no")</x:f>
        <x:v>yes</x:v>
      </x:c>
      <x:c r="AL1016" s="12" t="str">
        <x:f>IF(AG1016="yes","yes","candidate_only")</x:f>
        <x:v>candidate_only</x:v>
      </x:c>
      <x:c r="AM1016" s="12" t="str">
        <x:f>IF(OR(AC1016="canonical",AG1016="yes"),"yes","recommended")</x:f>
        <x:v>recommended</x:v>
      </x:c>
      <x:c r="AN1016" s="12" t="str">
        <x:f>IF(AC1016="deprecated","exclude",IF(AND(AG1016="yes",AJ1016="high"),"import_but_human_review_required",IF(AG1016="yes","import_as_active","import_as_backlog")))</x:f>
        <x:v>import_as_backlog</x:v>
      </x:c>
      <x:c r="AO1016" s="12" t="str">
        <x:f>IF(AND(AG1016="yes",OR(P1016="",Q1016="",R1016="",S1016="")),"missing_required_mvp_fields",IF(AND(AC1016="canonical",Y1016=""),"missing_source_ref","ok"))</x:f>
        <x:v>ok</x:v>
      </x:c>
      <x:c r="AP1016" s="12" t="str">
        <x:f>IF(AO1016="ok","ready_for_codex_import","needs_review")</x:f>
        <x:v>ready_for_codex_import</x:v>
      </x:c>
      <x:c r="AQ1016" s="12"/>
      <x:c r="AR1016" s="12" t="str">
        <x:v>Added v2 operational fields. Review before classification activation.</x:v>
      </x:c>
    </x:row>
    <x:row r="1017">
      <x:c r="A1017" s="13" t="str">
        <x:v>decision_threshold_statement_canonical</x:v>
      </x:c>
      <x:c r="B1017" s="13" t="str">
        <x:v>decision_threshold_statement</x:v>
      </x:c>
      <x:c r="C1017" s="13" t="str">
        <x:v>Decision threshold statement</x:v>
      </x:c>
      <x:c r="D1017" s="13" t="str">
        <x:v>بیان آستانه تصمیم</x:v>
      </x:c>
      <x:c r="E1017" s="13" t="str">
        <x:v>Canonical form</x:v>
      </x:c>
      <x:c r="F1017" s="13" t="str">
        <x:v>healthy_reasoning_patterns</x:v>
      </x:c>
      <x:c r="G1017" s="13" t="str">
        <x:v>canonical</x:v>
      </x:c>
      <x:c r="H1017" s="13" t="str">
        <x:v>contextual</x:v>
      </x:c>
      <x:c r="I1017" s="13" t="str">
        <x:v>claim+context</x:v>
      </x:c>
      <x:c r="J1017" s="13" t="str">
        <x:v>protective_pattern</x:v>
      </x:c>
      <x:c r="K1017" s="13" t="str">
        <x:v>operational_pattern_needs_review</x:v>
      </x:c>
      <x:c r="L1017" s="13" t="str">
        <x:v>P1</x:v>
      </x:c>
      <x:c r="M1017" s="13" t="str">
        <x:v>review</x:v>
      </x:c>
      <x:c r="N1017" s="13" t="str">
        <x:v>Protective reasoning pattern under Decision threshold statement: a protective reasoning pattern is explicitly present. It should reduce risk scores when supported by evidence.</x:v>
      </x:c>
      <x:c r="O1017" s="13" t="str">
        <x:v>Look for: explicit claim-level evidence; parent-family cues for Decision threshold statement; variant cue: a protective reasoning pattern is explicitly present; avoid author-level inference.</x:v>
      </x:c>
      <x:c r="P1017" s="13" t="str">
        <x:v>Exact evidence span in text plus claim-level reasoning link; for contextual/discourse entries, require surrounding context.</x:v>
      </x:c>
      <x:c r="Q1017" s="13" t="str">
        <x:v>Do not label merely because topic is controversial, emotional, or wrong. Do not judge intent or personality. Require textual evidence and consider healthy-reasoning cues.</x:v>
      </x:c>
      <x:c r="R1017" s="13" t="str">
        <x:v>Stub: A claim relies on a protective reasoning pattern is explicitly present to support a conclusion without adequate qualification.</x:v>
      </x:c>
      <x:c r="S1017" s="13" t="str">
        <x:v>Stub: A claim discusses decision threshold statement with caveats, balanced evidence, or no argumentative use of the pattern.</x:v>
      </x:c>
      <x:c r="T1017" s="13" t="str">
        <x:v>Weak protective cue; keep normal review.</x:v>
      </x:c>
      <x:c r="U1017" s="13" t="str">
        <x:v>Clear protective cue; reduce false-positive risk.</x:v>
      </x:c>
      <x:c r="V1017" s="13" t="str">
        <x:v>Strong protective cue; require stronger evidence before assigning risk labels.</x:v>
      </x:c>
      <x:c r="W1017" s="13" t="str">
        <x:v>cherry_picking; missing_counterevidence; evidence_grading</x:v>
      </x:c>
      <x:c r="X1017" s="13" t="str">
        <x:v>stanovich_dual_process</x:v>
      </x:c>
      <x:c r="Y1017" s="13" t="str">
        <x:v>https://global.oup.com/academic/product/rationality-and-the-reflective-mind-9780195341140</x:v>
      </x:c>
      <x:c r="Z1017" s="13" t="str">
        <x:v>Review before enabling. This workbook is a living taxonomy scaffold, not a validated scientific benchmark.</x:v>
      </x:c>
      <x:c r="AA1017" s="13" t="str">
        <x:v>0.1.0-draft</x:v>
      </x:c>
      <x:c r="AB1017" s="12" t="str">
        <x:f>IF(ISNUMBER(SEARCH("healthy",F1017)),"healthy_reasoning_patterns",IF(ISNUMBER(SEARCH("statistical",F1017)),"statistical_reasoning",IF(ISNUMBER(SEARCH("causal",F1017)),"causal_reasoning",IF(ISNUMBER(SEARCH("social",F1017)),"social_influence",IF(ISNUMBER(SEARCH("rhetoric",F1017)),"rhetoric_discourse",IF(ISNUMBER(SEARCH("behavior",F1017)),"behavioural_economics",IF(ISNUMBER(SEARCH("cognitive",F1017)),"cognitive_biases",IF(J1017="protective_pattern","healthy_reasoning_patterns",IF(L1017="P0","core_mvp","extended_fallacies")))))))))</x:f>
        <x:v>healthy_reasoning_patterns</x:v>
      </x:c>
      <x:c r="AC1017" s="12" t="str">
        <x:f>IF(ISNUMBER(SEARCH("operational",J1017)),"operational",IF(ISNUMBER(SEARCH("deprecated",J1017)),"deprecated",IF(L1017="P0","canonical","recognized_subtype")))</x:f>
        <x:v>recognized_subtype</x:v>
      </x:c>
      <x:c r="AD1017" s="12" t="str">
        <x:f>IF(AC1017="canonical","high",IF(AC1017="recognized_subtype","medium",IF(AC1017="operational","operational_only","debated")))</x:f>
        <x:v>medium</x:v>
      </x:c>
      <x:c r="AE1017" s="12" t="str">
        <x:f>IF(AC1017="deprecated","deprecated",IF(M1017="yes","active",IF(M1017="review","review_required","backlog")))</x:f>
        <x:v>review_required</x:v>
      </x:c>
      <x:c r="AF1017" s="12" t="str">
        <x:f>IF(OR(AE1017="active",AE1017="review_required"),"yes","no")</x:f>
        <x:v>yes</x:v>
      </x:c>
      <x:c r="AG1017" s="12" t="str">
        <x:f>IF(AND(AE1017="active",M1017="yes",NOT(ISNUMBER(SEARCH("healthy",AB1017)))),"yes","no")</x:f>
        <x:v>no</x:v>
      </x:c>
      <x:c r="AH1017" s="12" t="str">
        <x:f>IF(OR(H1017="contextual",H1017="dialogue",H1017="discourse",I1017="claim+context",I1017="discourse_segment"),"yes","no")</x:f>
        <x:v>yes</x:v>
      </x:c>
      <x:c r="AI1017" s="12" t="str">
        <x:f>IF(OR(AH1017="yes",AD1017="debated",AC1017="operational"),"yes","no")</x:f>
        <x:v>yes</x:v>
      </x:c>
      <x:c r="AJ1017" s="12" t="str">
        <x:f>IF(OR(AH1017="yes",AC1017="operational",AD1017="debated"),"high",IF(AND(AG1017="yes",L1017="P0"),"medium","low"))</x:f>
        <x:v>high</x:v>
      </x:c>
      <x:c r="AK1017" s="12" t="str">
        <x:f>IF(ISNUMBER(SEARCH("healthy",AB1017)),"yes","no")</x:f>
        <x:v>yes</x:v>
      </x:c>
      <x:c r="AL1017" s="12" t="str">
        <x:f>IF(AG1017="yes","yes","candidate_only")</x:f>
        <x:v>candidate_only</x:v>
      </x:c>
      <x:c r="AM1017" s="12" t="str">
        <x:f>IF(OR(AC1017="canonical",AG1017="yes"),"yes","recommended")</x:f>
        <x:v>recommended</x:v>
      </x:c>
      <x:c r="AN1017" s="12" t="str">
        <x:f>IF(AC1017="deprecated","exclude",IF(AND(AG1017="yes",AJ1017="high"),"import_but_human_review_required",IF(AG1017="yes","import_as_active","import_as_backlog")))</x:f>
        <x:v>import_as_backlog</x:v>
      </x:c>
      <x:c r="AO1017" s="12" t="str">
        <x:f>IF(AND(AG1017="yes",OR(P1017="",Q1017="",R1017="",S1017="")),"missing_required_mvp_fields",IF(AND(AC1017="canonical",Y1017=""),"missing_source_ref","ok"))</x:f>
        <x:v>ok</x:v>
      </x:c>
      <x:c r="AP1017" s="12" t="str">
        <x:f>IF(AO1017="ok","ready_for_codex_import","needs_review")</x:f>
        <x:v>ready_for_codex_import</x:v>
      </x:c>
      <x:c r="AQ1017" s="12"/>
      <x:c r="AR1017" s="12" t="str">
        <x:v>Added v2 operational fields. Review before classification activation.</x:v>
      </x:c>
    </x:row>
    <x:row r="1018">
      <x:c r="A1018" s="13" t="str">
        <x:v>pre_registered_criterion_canonical</x:v>
      </x:c>
      <x:c r="B1018" s="13" t="str">
        <x:v>pre_registered_criterion</x:v>
      </x:c>
      <x:c r="C1018" s="13" t="str">
        <x:v>Pre-specified criterion</x:v>
      </x:c>
      <x:c r="D1018" s="13" t="str">
        <x:v>معیار از پیش تعیین‌شده</x:v>
      </x:c>
      <x:c r="E1018" s="13" t="str">
        <x:v>Canonical form</x:v>
      </x:c>
      <x:c r="F1018" s="13" t="str">
        <x:v>healthy_reasoning_patterns</x:v>
      </x:c>
      <x:c r="G1018" s="13" t="str">
        <x:v>canonical</x:v>
      </x:c>
      <x:c r="H1018" s="13" t="str">
        <x:v>contextual</x:v>
      </x:c>
      <x:c r="I1018" s="13" t="str">
        <x:v>claim+context</x:v>
      </x:c>
      <x:c r="J1018" s="13" t="str">
        <x:v>protective_pattern</x:v>
      </x:c>
      <x:c r="K1018" s="13" t="str">
        <x:v>operational_pattern_needs_review</x:v>
      </x:c>
      <x:c r="L1018" s="13" t="str">
        <x:v>P1</x:v>
      </x:c>
      <x:c r="M1018" s="13" t="str">
        <x:v>review</x:v>
      </x:c>
      <x:c r="N1018" s="13" t="str">
        <x:v>Protective reasoning pattern under Pre-specified criterion: a protective reasoning pattern is explicitly present. It should reduce risk scores when supported by evidence.</x:v>
      </x:c>
      <x:c r="O1018" s="13" t="str">
        <x:v>Look for: explicit claim-level evidence; parent-family cues for Pre-specified criterion; variant cue: a protective reasoning pattern is explicitly present; avoid author-level inference.</x:v>
      </x:c>
      <x:c r="P1018" s="13" t="str">
        <x:v>Exact evidence span in text plus claim-level reasoning link; for contextual/discourse entries, require surrounding context.</x:v>
      </x:c>
      <x:c r="Q1018" s="13" t="str">
        <x:v>Do not label merely because topic is controversial, emotional, or wrong. Do not judge intent or personality. Require textual evidence and consider healthy-reasoning cues.</x:v>
      </x:c>
      <x:c r="R1018" s="13" t="str">
        <x:v>Stub: A claim relies on a protective reasoning pattern is explicitly present to support a conclusion without adequate qualification.</x:v>
      </x:c>
      <x:c r="S1018" s="13" t="str">
        <x:v>Stub: A claim discusses pre-specified criterion with caveats, balanced evidence, or no argumentative use of the pattern.</x:v>
      </x:c>
      <x:c r="T1018" s="13" t="str">
        <x:v>Weak protective cue; keep normal review.</x:v>
      </x:c>
      <x:c r="U1018" s="13" t="str">
        <x:v>Clear protective cue; reduce false-positive risk.</x:v>
      </x:c>
      <x:c r="V1018" s="13" t="str">
        <x:v>Strong protective cue; require stronger evidence before assigning risk labels.</x:v>
      </x:c>
      <x:c r="W1018" s="13" t="str"/>
      <x:c r="X1018" s="13" t="str">
        <x:v>stanovich_dual_process</x:v>
      </x:c>
      <x:c r="Y1018" s="13" t="str">
        <x:v>https://global.oup.com/academic/product/rationality-and-the-reflective-mind-9780195341140</x:v>
      </x:c>
      <x:c r="Z1018" s="13" t="str">
        <x:v>Review before enabling. This workbook is a living taxonomy scaffold, not a validated scientific benchmark.</x:v>
      </x:c>
      <x:c r="AA1018" s="13" t="str">
        <x:v>0.1.0-draft</x:v>
      </x:c>
      <x:c r="AB1018" s="12" t="str">
        <x:f>IF(ISNUMBER(SEARCH("healthy",F1018)),"healthy_reasoning_patterns",IF(ISNUMBER(SEARCH("statistical",F1018)),"statistical_reasoning",IF(ISNUMBER(SEARCH("causal",F1018)),"causal_reasoning",IF(ISNUMBER(SEARCH("social",F1018)),"social_influence",IF(ISNUMBER(SEARCH("rhetoric",F1018)),"rhetoric_discourse",IF(ISNUMBER(SEARCH("behavior",F1018)),"behavioural_economics",IF(ISNUMBER(SEARCH("cognitive",F1018)),"cognitive_biases",IF(J1018="protective_pattern","healthy_reasoning_patterns",IF(L1018="P0","core_mvp","extended_fallacies")))))))))</x:f>
        <x:v>healthy_reasoning_patterns</x:v>
      </x:c>
      <x:c r="AC1018" s="12" t="str">
        <x:f>IF(ISNUMBER(SEARCH("operational",J1018)),"operational",IF(ISNUMBER(SEARCH("deprecated",J1018)),"deprecated",IF(L1018="P0","canonical","recognized_subtype")))</x:f>
        <x:v>recognized_subtype</x:v>
      </x:c>
      <x:c r="AD1018" s="12" t="str">
        <x:f>IF(AC1018="canonical","high",IF(AC1018="recognized_subtype","medium",IF(AC1018="operational","operational_only","debated")))</x:f>
        <x:v>medium</x:v>
      </x:c>
      <x:c r="AE1018" s="12" t="str">
        <x:f>IF(AC1018="deprecated","deprecated",IF(M1018="yes","active",IF(M1018="review","review_required","backlog")))</x:f>
        <x:v>review_required</x:v>
      </x:c>
      <x:c r="AF1018" s="12" t="str">
        <x:f>IF(OR(AE1018="active",AE1018="review_required"),"yes","no")</x:f>
        <x:v>yes</x:v>
      </x:c>
      <x:c r="AG1018" s="12" t="str">
        <x:f>IF(AND(AE1018="active",M1018="yes",NOT(ISNUMBER(SEARCH("healthy",AB1018)))),"yes","no")</x:f>
        <x:v>no</x:v>
      </x:c>
      <x:c r="AH1018" s="12" t="str">
        <x:f>IF(OR(H1018="contextual",H1018="dialogue",H1018="discourse",I1018="claim+context",I1018="discourse_segment"),"yes","no")</x:f>
        <x:v>yes</x:v>
      </x:c>
      <x:c r="AI1018" s="12" t="str">
        <x:f>IF(OR(AH1018="yes",AD1018="debated",AC1018="operational"),"yes","no")</x:f>
        <x:v>yes</x:v>
      </x:c>
      <x:c r="AJ1018" s="12" t="str">
        <x:f>IF(OR(AH1018="yes",AC1018="operational",AD1018="debated"),"high",IF(AND(AG1018="yes",L1018="P0"),"medium","low"))</x:f>
        <x:v>high</x:v>
      </x:c>
      <x:c r="AK1018" s="12" t="str">
        <x:f>IF(ISNUMBER(SEARCH("healthy",AB1018)),"yes","no")</x:f>
        <x:v>yes</x:v>
      </x:c>
      <x:c r="AL1018" s="12" t="str">
        <x:f>IF(AG1018="yes","yes","candidate_only")</x:f>
        <x:v>candidate_only</x:v>
      </x:c>
      <x:c r="AM1018" s="12" t="str">
        <x:f>IF(OR(AC1018="canonical",AG1018="yes"),"yes","recommended")</x:f>
        <x:v>recommended</x:v>
      </x:c>
      <x:c r="AN1018" s="12" t="str">
        <x:f>IF(AC1018="deprecated","exclude",IF(AND(AG1018="yes",AJ1018="high"),"import_but_human_review_required",IF(AG1018="yes","import_as_active","import_as_backlog")))</x:f>
        <x:v>import_as_backlog</x:v>
      </x:c>
      <x:c r="AO1018" s="12" t="str">
        <x:f>IF(AND(AG1018="yes",OR(P1018="",Q1018="",R1018="",S1018="")),"missing_required_mvp_fields",IF(AND(AC1018="canonical",Y1018=""),"missing_source_ref","ok"))</x:f>
        <x:v>ok</x:v>
      </x:c>
      <x:c r="AP1018" s="12" t="str">
        <x:f>IF(AO1018="ok","ready_for_codex_import","needs_review")</x:f>
        <x:v>ready_for_codex_import</x:v>
      </x:c>
      <x:c r="AQ1018" s="12"/>
      <x:c r="AR1018" s="12" t="str">
        <x:v>Added v2 operational fields. Review before classification activation.</x:v>
      </x:c>
    </x:row>
    <x:row r="1019">
      <x:c r="A1019" s="13" t="str">
        <x:v>uncertainty_interval_reported_canonical</x:v>
      </x:c>
      <x:c r="B1019" s="13" t="str">
        <x:v>uncertainty_interval_reported</x:v>
      </x:c>
      <x:c r="C1019" s="13" t="str">
        <x:v>Uncertainty interval reported</x:v>
      </x:c>
      <x:c r="D1019" s="13" t="str">
        <x:v>گزارش بازه عدم قطعیت</x:v>
      </x:c>
      <x:c r="E1019" s="13" t="str">
        <x:v>Canonical form</x:v>
      </x:c>
      <x:c r="F1019" s="13" t="str">
        <x:v>healthy_reasoning_patterns</x:v>
      </x:c>
      <x:c r="G1019" s="13" t="str">
        <x:v>canonical</x:v>
      </x:c>
      <x:c r="H1019" s="13" t="str">
        <x:v>lexical</x:v>
      </x:c>
      <x:c r="I1019" s="13" t="str">
        <x:v>claim</x:v>
      </x:c>
      <x:c r="J1019" s="13" t="str">
        <x:v>protective_pattern</x:v>
      </x:c>
      <x:c r="K1019" s="13" t="str">
        <x:v>operational_pattern_needs_review</x:v>
      </x:c>
      <x:c r="L1019" s="13" t="str">
        <x:v>P1</x:v>
      </x:c>
      <x:c r="M1019" s="13" t="str">
        <x:v>review</x:v>
      </x:c>
      <x:c r="N1019" s="13" t="str">
        <x:v>Protective reasoning pattern under Uncertainty interval reported: a protective reasoning pattern is explicitly present. It should reduce risk scores when supported by evidence.</x:v>
      </x:c>
      <x:c r="O1019" s="13" t="str">
        <x:v>Look for: explicit claim-level evidence; parent-family cues for Uncertainty interval reported; variant cue: a protective reasoning pattern is explicitly present; avoid author-level inference.</x:v>
      </x:c>
      <x:c r="P1019" s="13" t="str">
        <x:v>Exact evidence span in text plus claim-level reasoning link; for contextual/discourse entries, require surrounding context.</x:v>
      </x:c>
      <x:c r="Q1019" s="13" t="str">
        <x:v>Do not label merely because topic is controversial, emotional, or wrong. Do not judge intent or personality. Require textual evidence and consider healthy-reasoning cues.</x:v>
      </x:c>
      <x:c r="R1019" s="13" t="str">
        <x:v>Stub: A claim relies on a protective reasoning pattern is explicitly present to support a conclusion without adequate qualification.</x:v>
      </x:c>
      <x:c r="S1019" s="13" t="str">
        <x:v>Stub: A claim discusses uncertainty interval reported with caveats, balanced evidence, or no argumentative use of the pattern.</x:v>
      </x:c>
      <x:c r="T1019" s="13" t="str">
        <x:v>Weak protective cue; keep normal review.</x:v>
      </x:c>
      <x:c r="U1019" s="13" t="str">
        <x:v>Clear protective cue; reduce false-positive risk.</x:v>
      </x:c>
      <x:c r="V1019" s="13" t="str">
        <x:v>Strong protective cue; require stronger evidence before assigning risk labels.</x:v>
      </x:c>
      <x:c r="W1019" s="13" t="str"/>
      <x:c r="X1019" s="13" t="str">
        <x:v>stanovich_dual_process</x:v>
      </x:c>
      <x:c r="Y1019" s="13" t="str">
        <x:v>https://global.oup.com/academic/product/rationality-and-the-reflective-mind-9780195341140</x:v>
      </x:c>
      <x:c r="Z1019" s="13" t="str">
        <x:v>Review before enabling. This workbook is a living taxonomy scaffold, not a validated scientific benchmark.</x:v>
      </x:c>
      <x:c r="AA1019" s="13" t="str">
        <x:v>0.1.0-draft</x:v>
      </x:c>
      <x:c r="AB1019" s="12" t="str">
        <x:f>IF(ISNUMBER(SEARCH("healthy",F1019)),"healthy_reasoning_patterns",IF(ISNUMBER(SEARCH("statistical",F1019)),"statistical_reasoning",IF(ISNUMBER(SEARCH("causal",F1019)),"causal_reasoning",IF(ISNUMBER(SEARCH("social",F1019)),"social_influence",IF(ISNUMBER(SEARCH("rhetoric",F1019)),"rhetoric_discourse",IF(ISNUMBER(SEARCH("behavior",F1019)),"behavioural_economics",IF(ISNUMBER(SEARCH("cognitive",F1019)),"cognitive_biases",IF(J1019="protective_pattern","healthy_reasoning_patterns",IF(L1019="P0","core_mvp","extended_fallacies")))))))))</x:f>
        <x:v>healthy_reasoning_patterns</x:v>
      </x:c>
      <x:c r="AC1019" s="12" t="str">
        <x:f>IF(ISNUMBER(SEARCH("operational",J1019)),"operational",IF(ISNUMBER(SEARCH("deprecated",J1019)),"deprecated",IF(L1019="P0","canonical","recognized_subtype")))</x:f>
        <x:v>recognized_subtype</x:v>
      </x:c>
      <x:c r="AD1019" s="12" t="str">
        <x:f>IF(AC1019="canonical","high",IF(AC1019="recognized_subtype","medium",IF(AC1019="operational","operational_only","debated")))</x:f>
        <x:v>medium</x:v>
      </x:c>
      <x:c r="AE1019" s="12" t="str">
        <x:f>IF(AC1019="deprecated","deprecated",IF(M1019="yes","active",IF(M1019="review","review_required","backlog")))</x:f>
        <x:v>review_required</x:v>
      </x:c>
      <x:c r="AF1019" s="12" t="str">
        <x:f>IF(OR(AE1019="active",AE1019="review_required"),"yes","no")</x:f>
        <x:v>yes</x:v>
      </x:c>
      <x:c r="AG1019" s="12" t="str">
        <x:f>IF(AND(AE1019="active",M1019="yes",NOT(ISNUMBER(SEARCH("healthy",AB1019)))),"yes","no")</x:f>
        <x:v>no</x:v>
      </x:c>
      <x:c r="AH1019" s="12" t="str">
        <x:f>IF(OR(H1019="contextual",H1019="dialogue",H1019="discourse",I1019="claim+context",I1019="discourse_segment"),"yes","no")</x:f>
        <x:v>no</x:v>
      </x:c>
      <x:c r="AI1019" s="12" t="str">
        <x:f>IF(OR(AH1019="yes",AD1019="debated",AC1019="operational"),"yes","no")</x:f>
        <x:v>no</x:v>
      </x:c>
      <x:c r="AJ1019" s="12" t="str">
        <x:f>IF(OR(AH1019="yes",AC1019="operational",AD1019="debated"),"high",IF(AND(AG1019="yes",L1019="P0"),"medium","low"))</x:f>
        <x:v>low</x:v>
      </x:c>
      <x:c r="AK1019" s="12" t="str">
        <x:f>IF(ISNUMBER(SEARCH("healthy",AB1019)),"yes","no")</x:f>
        <x:v>yes</x:v>
      </x:c>
      <x:c r="AL1019" s="12" t="str">
        <x:f>IF(AG1019="yes","yes","candidate_only")</x:f>
        <x:v>candidate_only</x:v>
      </x:c>
      <x:c r="AM1019" s="12" t="str">
        <x:f>IF(OR(AC1019="canonical",AG1019="yes"),"yes","recommended")</x:f>
        <x:v>recommended</x:v>
      </x:c>
      <x:c r="AN1019" s="12" t="str">
        <x:f>IF(AC1019="deprecated","exclude",IF(AND(AG1019="yes",AJ1019="high"),"import_but_human_review_required",IF(AG1019="yes","import_as_active","import_as_backlog")))</x:f>
        <x:v>import_as_backlog</x:v>
      </x:c>
      <x:c r="AO1019" s="12" t="str">
        <x:f>IF(AND(AG1019="yes",OR(P1019="",Q1019="",R1019="",S1019="")),"missing_required_mvp_fields",IF(AND(AC1019="canonical",Y1019=""),"missing_source_ref","ok"))</x:f>
        <x:v>ok</x:v>
      </x:c>
      <x:c r="AP1019" s="12" t="str">
        <x:f>IF(AO1019="ok","ready_for_codex_import","needs_review")</x:f>
        <x:v>ready_for_codex_import</x:v>
      </x:c>
      <x:c r="AQ1019" s="12"/>
      <x:c r="AR1019" s="12" t="str">
        <x:v>Added v2 operational fields. Review before classification activation.</x:v>
      </x:c>
    </x:row>
    <x:row r="1020">
      <x:c r="A1020" s="13" t="str">
        <x:v>balanced_evidence_summary_canonical</x:v>
      </x:c>
      <x:c r="B1020" s="13" t="str">
        <x:v>balanced_evidence_summary</x:v>
      </x:c>
      <x:c r="C1020" s="13" t="str">
        <x:v>Balanced evidence summary</x:v>
      </x:c>
      <x:c r="D1020" s="13" t="str">
        <x:v>خلاصه متوازن شواهد</x:v>
      </x:c>
      <x:c r="E1020" s="13" t="str">
        <x:v>Canonical form</x:v>
      </x:c>
      <x:c r="F1020" s="13" t="str">
        <x:v>healthy_reasoning_patterns</x:v>
      </x:c>
      <x:c r="G1020" s="13" t="str">
        <x:v>canonical</x:v>
      </x:c>
      <x:c r="H1020" s="13" t="str">
        <x:v>contextual</x:v>
      </x:c>
      <x:c r="I1020" s="13" t="str">
        <x:v>claim+context</x:v>
      </x:c>
      <x:c r="J1020" s="13" t="str">
        <x:v>protective_pattern</x:v>
      </x:c>
      <x:c r="K1020" s="13" t="str">
        <x:v>operational_pattern_needs_review</x:v>
      </x:c>
      <x:c r="L1020" s="13" t="str">
        <x:v>P1</x:v>
      </x:c>
      <x:c r="M1020" s="13" t="str">
        <x:v>review</x:v>
      </x:c>
      <x:c r="N1020" s="13" t="str">
        <x:v>Protective reasoning pattern under Balanced evidence summary: a protective reasoning pattern is explicitly present. It should reduce risk scores when supported by evidence.</x:v>
      </x:c>
      <x:c r="O1020" s="13" t="str">
        <x:v>Look for: explicit claim-level evidence; parent-family cues for Balanced evidence summary; variant cue: a protective reasoning pattern is explicitly present; avoid author-level inference.</x:v>
      </x:c>
      <x:c r="P1020" s="13" t="str">
        <x:v>Exact evidence span in text plus claim-level reasoning link; for contextual/discourse entries, require surrounding context.</x:v>
      </x:c>
      <x:c r="Q1020" s="13" t="str">
        <x:v>Do not label merely because topic is controversial, emotional, or wrong. Do not judge intent or personality. Require textual evidence and consider healthy-reasoning cues.</x:v>
      </x:c>
      <x:c r="R1020" s="13" t="str">
        <x:v>Stub: A claim relies on a protective reasoning pattern is explicitly present to support a conclusion without adequate qualification.</x:v>
      </x:c>
      <x:c r="S1020" s="13" t="str">
        <x:v>Stub: A claim discusses balanced evidence summary with caveats, balanced evidence, or no argumentative use of the pattern.</x:v>
      </x:c>
      <x:c r="T1020" s="13" t="str">
        <x:v>Weak protective cue; keep normal review.</x:v>
      </x:c>
      <x:c r="U1020" s="13" t="str">
        <x:v>Clear protective cue; reduce false-positive risk.</x:v>
      </x:c>
      <x:c r="V1020" s="13" t="str">
        <x:v>Strong protective cue; require stronger evidence before assigning risk labels.</x:v>
      </x:c>
      <x:c r="W1020" s="13" t="str">
        <x:v>cherry_picking; missing_counterevidence; evidence_grading</x:v>
      </x:c>
      <x:c r="X1020" s="13" t="str">
        <x:v>sep_informal_logic</x:v>
      </x:c>
      <x:c r="Y1020" s="13" t="str">
        <x:v>https://plato.stanford.edu/entries/logic-informal/</x:v>
      </x:c>
      <x:c r="Z1020" s="13" t="str">
        <x:v>Review before enabling. This workbook is a living taxonomy scaffold, not a validated scientific benchmark.</x:v>
      </x:c>
      <x:c r="AA1020" s="13" t="str">
        <x:v>0.1.0-draft</x:v>
      </x:c>
      <x:c r="AB1020" s="12" t="str">
        <x:f>IF(ISNUMBER(SEARCH("healthy",F1020)),"healthy_reasoning_patterns",IF(ISNUMBER(SEARCH("statistical",F1020)),"statistical_reasoning",IF(ISNUMBER(SEARCH("causal",F1020)),"causal_reasoning",IF(ISNUMBER(SEARCH("social",F1020)),"social_influence",IF(ISNUMBER(SEARCH("rhetoric",F1020)),"rhetoric_discourse",IF(ISNUMBER(SEARCH("behavior",F1020)),"behavioural_economics",IF(ISNUMBER(SEARCH("cognitive",F1020)),"cognitive_biases",IF(J1020="protective_pattern","healthy_reasoning_patterns",IF(L1020="P0","core_mvp","extended_fallacies")))))))))</x:f>
        <x:v>healthy_reasoning_patterns</x:v>
      </x:c>
      <x:c r="AC1020" s="12" t="str">
        <x:f>IF(ISNUMBER(SEARCH("operational",J1020)),"operational",IF(ISNUMBER(SEARCH("deprecated",J1020)),"deprecated",IF(L1020="P0","canonical","recognized_subtype")))</x:f>
        <x:v>recognized_subtype</x:v>
      </x:c>
      <x:c r="AD1020" s="12" t="str">
        <x:f>IF(AC1020="canonical","high",IF(AC1020="recognized_subtype","medium",IF(AC1020="operational","operational_only","debated")))</x:f>
        <x:v>medium</x:v>
      </x:c>
      <x:c r="AE1020" s="12" t="str">
        <x:f>IF(AC1020="deprecated","deprecated",IF(M1020="yes","active",IF(M1020="review","review_required","backlog")))</x:f>
        <x:v>review_required</x:v>
      </x:c>
      <x:c r="AF1020" s="12" t="str">
        <x:f>IF(OR(AE1020="active",AE1020="review_required"),"yes","no")</x:f>
        <x:v>yes</x:v>
      </x:c>
      <x:c r="AG1020" s="12" t="str">
        <x:f>IF(AND(AE1020="active",M1020="yes",NOT(ISNUMBER(SEARCH("healthy",AB1020)))),"yes","no")</x:f>
        <x:v>no</x:v>
      </x:c>
      <x:c r="AH1020" s="12" t="str">
        <x:f>IF(OR(H1020="contextual",H1020="dialogue",H1020="discourse",I1020="claim+context",I1020="discourse_segment"),"yes","no")</x:f>
        <x:v>yes</x:v>
      </x:c>
      <x:c r="AI1020" s="12" t="str">
        <x:f>IF(OR(AH1020="yes",AD1020="debated",AC1020="operational"),"yes","no")</x:f>
        <x:v>yes</x:v>
      </x:c>
      <x:c r="AJ1020" s="12" t="str">
        <x:f>IF(OR(AH1020="yes",AC1020="operational",AD1020="debated"),"high",IF(AND(AG1020="yes",L1020="P0"),"medium","low"))</x:f>
        <x:v>high</x:v>
      </x:c>
      <x:c r="AK1020" s="12" t="str">
        <x:f>IF(ISNUMBER(SEARCH("healthy",AB1020)),"yes","no")</x:f>
        <x:v>yes</x:v>
      </x:c>
      <x:c r="AL1020" s="12" t="str">
        <x:f>IF(AG1020="yes","yes","candidate_only")</x:f>
        <x:v>candidate_only</x:v>
      </x:c>
      <x:c r="AM1020" s="12" t="str">
        <x:f>IF(OR(AC1020="canonical",AG1020="yes"),"yes","recommended")</x:f>
        <x:v>recommended</x:v>
      </x:c>
      <x:c r="AN1020" s="12" t="str">
        <x:f>IF(AC1020="deprecated","exclude",IF(AND(AG1020="yes",AJ1020="high"),"import_but_human_review_required",IF(AG1020="yes","import_as_active","import_as_backlog")))</x:f>
        <x:v>import_as_backlog</x:v>
      </x:c>
      <x:c r="AO1020" s="12" t="str">
        <x:f>IF(AND(AG1020="yes",OR(P1020="",Q1020="",R1020="",S1020="")),"missing_required_mvp_fields",IF(AND(AC1020="canonical",Y1020=""),"missing_source_ref","ok"))</x:f>
        <x:v>ok</x:v>
      </x:c>
      <x:c r="AP1020" s="12" t="str">
        <x:f>IF(AO1020="ok","ready_for_codex_import","needs_review")</x:f>
        <x:v>ready_for_codex_import</x:v>
      </x:c>
      <x:c r="AQ1020" s="12"/>
      <x:c r="AR1020" s="12" t="str">
        <x:v>Added v2 operational fields. Review before classification activation.</x:v>
      </x:c>
    </x:row>
    <x:row r="1021">
      <x:c r="A1021" s="13" t="str">
        <x:v>human_review_trigger_canonical</x:v>
      </x:c>
      <x:c r="B1021" s="13" t="str">
        <x:v>human_review_trigger</x:v>
      </x:c>
      <x:c r="C1021" s="13" t="str">
        <x:v>Human-review trigger</x:v>
      </x:c>
      <x:c r="D1021" s="13" t="str">
        <x:v>ارجاع به بازبینی انسانی</x:v>
      </x:c>
      <x:c r="E1021" s="13" t="str">
        <x:v>Canonical form</x:v>
      </x:c>
      <x:c r="F1021" s="13" t="str">
        <x:v>healthy_reasoning_patterns</x:v>
      </x:c>
      <x:c r="G1021" s="13" t="str">
        <x:v>canonical</x:v>
      </x:c>
      <x:c r="H1021" s="13" t="str">
        <x:v>dialogue</x:v>
      </x:c>
      <x:c r="I1021" s="13" t="str">
        <x:v>discourse_segment</x:v>
      </x:c>
      <x:c r="J1021" s="13" t="str">
        <x:v>protective_pattern</x:v>
      </x:c>
      <x:c r="K1021" s="13" t="str">
        <x:v>operational_pattern_needs_review</x:v>
      </x:c>
      <x:c r="L1021" s="13" t="str">
        <x:v>P1</x:v>
      </x:c>
      <x:c r="M1021" s="13" t="str">
        <x:v>review</x:v>
      </x:c>
      <x:c r="N1021" s="13" t="str">
        <x:v>Protective reasoning pattern under Human-review trigger: a protective reasoning pattern is explicitly present. It should reduce risk scores when supported by evidence.</x:v>
      </x:c>
      <x:c r="O1021" s="13" t="str">
        <x:v>Look for: explicit claim-level evidence; parent-family cues for Human-review trigger; variant cue: a protective reasoning pattern is explicitly present; avoid author-level inference.</x:v>
      </x:c>
      <x:c r="P1021" s="13" t="str">
        <x:v>Exact evidence span in text plus claim-level reasoning link; for contextual/discourse entries, require surrounding context.</x:v>
      </x:c>
      <x:c r="Q1021" s="13" t="str">
        <x:v>Do not label merely because topic is controversial, emotional, or wrong. Do not judge intent or personality. Require textual evidence and consider healthy-reasoning cues.</x:v>
      </x:c>
      <x:c r="R1021" s="13" t="str">
        <x:v>Stub: A claim relies on a protective reasoning pattern is explicitly present to support a conclusion without adequate qualification.</x:v>
      </x:c>
      <x:c r="S1021" s="13" t="str">
        <x:v>Stub: A claim discusses human-review trigger with caveats, balanced evidence, or no argumentative use of the pattern.</x:v>
      </x:c>
      <x:c r="T1021" s="13" t="str">
        <x:v>Weak protective cue; keep normal review.</x:v>
      </x:c>
      <x:c r="U1021" s="13" t="str">
        <x:v>Clear protective cue; reduce false-positive risk.</x:v>
      </x:c>
      <x:c r="V1021" s="13" t="str">
        <x:v>Strong protective cue; require stronger evidence before assigning risk labels.</x:v>
      </x:c>
      <x:c r="W1021" s="13" t="str"/>
      <x:c r="X1021" s="13" t="str">
        <x:v>pragmadialectics</x:v>
      </x:c>
      <x:c r="Y1021" s="13" t="str">
        <x:v>https://doi.org/10.1017/CBO9780511616389</x:v>
      </x:c>
      <x:c r="Z1021" s="13" t="str">
        <x:v>Review before enabling. This workbook is a living taxonomy scaffold, not a validated scientific benchmark.</x:v>
      </x:c>
      <x:c r="AA1021" s="13" t="str">
        <x:v>0.1.0-draft</x:v>
      </x:c>
      <x:c r="AB1021" s="12" t="str">
        <x:f>IF(ISNUMBER(SEARCH("healthy",F1021)),"healthy_reasoning_patterns",IF(ISNUMBER(SEARCH("statistical",F1021)),"statistical_reasoning",IF(ISNUMBER(SEARCH("causal",F1021)),"causal_reasoning",IF(ISNUMBER(SEARCH("social",F1021)),"social_influence",IF(ISNUMBER(SEARCH("rhetoric",F1021)),"rhetoric_discourse",IF(ISNUMBER(SEARCH("behavior",F1021)),"behavioural_economics",IF(ISNUMBER(SEARCH("cognitive",F1021)),"cognitive_biases",IF(J1021="protective_pattern","healthy_reasoning_patterns",IF(L1021="P0","core_mvp","extended_fallacies")))))))))</x:f>
        <x:v>healthy_reasoning_patterns</x:v>
      </x:c>
      <x:c r="AC1021" s="12" t="str">
        <x:f>IF(ISNUMBER(SEARCH("operational",J1021)),"operational",IF(ISNUMBER(SEARCH("deprecated",J1021)),"deprecated",IF(L1021="P0","canonical","recognized_subtype")))</x:f>
        <x:v>recognized_subtype</x:v>
      </x:c>
      <x:c r="AD1021" s="12" t="str">
        <x:f>IF(AC1021="canonical","high",IF(AC1021="recognized_subtype","medium",IF(AC1021="operational","operational_only","debated")))</x:f>
        <x:v>medium</x:v>
      </x:c>
      <x:c r="AE1021" s="12" t="str">
        <x:f>IF(AC1021="deprecated","deprecated",IF(M1021="yes","active",IF(M1021="review","review_required","backlog")))</x:f>
        <x:v>review_required</x:v>
      </x:c>
      <x:c r="AF1021" s="12" t="str">
        <x:f>IF(OR(AE1021="active",AE1021="review_required"),"yes","no")</x:f>
        <x:v>yes</x:v>
      </x:c>
      <x:c r="AG1021" s="12" t="str">
        <x:f>IF(AND(AE1021="active",M1021="yes",NOT(ISNUMBER(SEARCH("healthy",AB1021)))),"yes","no")</x:f>
        <x:v>no</x:v>
      </x:c>
      <x:c r="AH1021" s="12" t="str">
        <x:f>IF(OR(H1021="contextual",H1021="dialogue",H1021="discourse",I1021="claim+context",I1021="discourse_segment"),"yes","no")</x:f>
        <x:v>yes</x:v>
      </x:c>
      <x:c r="AI1021" s="12" t="str">
        <x:f>IF(OR(AH1021="yes",AD1021="debated",AC1021="operational"),"yes","no")</x:f>
        <x:v>yes</x:v>
      </x:c>
      <x:c r="AJ1021" s="12" t="str">
        <x:f>IF(OR(AH1021="yes",AC1021="operational",AD1021="debated"),"high",IF(AND(AG1021="yes",L1021="P0"),"medium","low"))</x:f>
        <x:v>high</x:v>
      </x:c>
      <x:c r="AK1021" s="12" t="str">
        <x:f>IF(ISNUMBER(SEARCH("healthy",AB1021)),"yes","no")</x:f>
        <x:v>yes</x:v>
      </x:c>
      <x:c r="AL1021" s="12" t="str">
        <x:f>IF(AG1021="yes","yes","candidate_only")</x:f>
        <x:v>candidate_only</x:v>
      </x:c>
      <x:c r="AM1021" s="12" t="str">
        <x:f>IF(OR(AC1021="canonical",AG1021="yes"),"yes","recommended")</x:f>
        <x:v>recommended</x:v>
      </x:c>
      <x:c r="AN1021" s="12" t="str">
        <x:f>IF(AC1021="deprecated","exclude",IF(AND(AG1021="yes",AJ1021="high"),"import_but_human_review_required",IF(AG1021="yes","import_as_active","import_as_backlog")))</x:f>
        <x:v>import_as_backlog</x:v>
      </x:c>
      <x:c r="AO1021" s="12" t="str">
        <x:f>IF(AND(AG1021="yes",OR(P1021="",Q1021="",R1021="",S1021="")),"missing_required_mvp_fields",IF(AND(AC1021="canonical",Y1021=""),"missing_source_ref","ok"))</x:f>
        <x:v>ok</x:v>
      </x:c>
      <x:c r="AP1021" s="12" t="str">
        <x:f>IF(AO1021="ok","ready_for_codex_import","needs_review")</x:f>
        <x:v>ready_for_codex_import</x:v>
      </x:c>
      <x:c r="AQ1021" s="12"/>
      <x:c r="AR1021" s="12" t="str">
        <x:v>Added v2 operational fields. Review before classification activation.</x:v>
      </x:c>
    </x:row>
    <x:row r="1022">
      <x:c r="A1022" s="13" t="str">
        <x:v>uncertainty_acknowledgement_evidence_quality_variant</x:v>
      </x:c>
      <x:c r="B1022" s="13" t="str">
        <x:v>uncertainty_acknowledgement</x:v>
      </x:c>
      <x:c r="C1022" s="13" t="str">
        <x:v>Uncertainty acknowledgement</x:v>
      </x:c>
      <x:c r="D1022" s="13" t="str">
        <x:v>اذعان به عدم قطعیت</x:v>
      </x:c>
      <x:c r="E1022" s="13" t="str">
        <x:v>Evidence-quality variant</x:v>
      </x:c>
      <x:c r="F1022" s="13" t="str">
        <x:v>healthy_reasoning_patterns</x:v>
      </x:c>
      <x:c r="G1022" s="13" t="str">
        <x:v>operational_variant</x:v>
      </x:c>
      <x:c r="H1022" s="13" t="str">
        <x:v>lexical</x:v>
      </x:c>
      <x:c r="I1022" s="13" t="str">
        <x:v>claim</x:v>
      </x:c>
      <x:c r="J1022" s="13" t="str">
        <x:v>protective_pattern</x:v>
      </x:c>
      <x:c r="K1022" s="13" t="str">
        <x:v>operational_pattern_needs_review</x:v>
      </x:c>
      <x:c r="L1022" s="13" t="str">
        <x:v>P1</x:v>
      </x:c>
      <x:c r="M1022" s="13" t="str">
        <x:v>review</x:v>
      </x:c>
      <x:c r="N1022" s="13" t="str">
        <x:v>Protective reasoning pattern under Uncertainty acknowledgement: the text grades or qualifies evidence quality. It should reduce risk scores when supported by evidence.</x:v>
      </x:c>
      <x:c r="O1022" s="13" t="str">
        <x:v>Look for: explicit claim-level evidence; parent-family cues for Uncertainty acknowledgement; variant cue: the text grades or qualifies evidence quality; avoid author-level inference.</x:v>
      </x:c>
      <x:c r="P1022" s="13" t="str">
        <x:v>Exact evidence span in text plus claim-level reasoning link; for contextual/discourse entries, require surrounding context.</x:v>
      </x:c>
      <x:c r="Q1022" s="13" t="str">
        <x:v>Do not label merely because topic is controversial, emotional, or wrong. Do not judge intent or personality. Require textual evidence and consider healthy-reasoning cues.</x:v>
      </x:c>
      <x:c r="R1022" s="13" t="str">
        <x:v>Stub: A claim relies on the text grades or qualifies evidence quality to support a conclusion without adequate qualification.</x:v>
      </x:c>
      <x:c r="S1022" s="13" t="str">
        <x:v>Stub: A claim discusses uncertainty acknowledgement with caveats, balanced evidence, or no argumentative use of the pattern.</x:v>
      </x:c>
      <x:c r="T1022" s="13" t="str">
        <x:v>Weak protective cue; keep normal review.</x:v>
      </x:c>
      <x:c r="U1022" s="13" t="str">
        <x:v>Clear protective cue; reduce false-positive risk.</x:v>
      </x:c>
      <x:c r="V1022" s="13" t="str">
        <x:v>Strong protective cue; require stronger evidence before assigning risk labels.</x:v>
      </x:c>
      <x:c r="W1022" s="13" t="str"/>
      <x:c r="X1022" s="13" t="str">
        <x:v>stanovich_dual_process</x:v>
      </x:c>
      <x:c r="Y1022" s="13" t="str">
        <x:v>https://global.oup.com/academic/product/rationality-and-the-reflective-mind-9780195341140</x:v>
      </x:c>
      <x:c r="Z1022" s="13" t="str">
        <x:v>Review before enabling. This workbook is a living taxonomy scaffold, not a validated scientific benchmark.</x:v>
      </x:c>
      <x:c r="AA1022" s="13" t="str">
        <x:v>0.1.0-draft</x:v>
      </x:c>
      <x:c r="AB1022" s="12" t="str">
        <x:f>IF(ISNUMBER(SEARCH("healthy",F1022)),"healthy_reasoning_patterns",IF(ISNUMBER(SEARCH("statistical",F1022)),"statistical_reasoning",IF(ISNUMBER(SEARCH("causal",F1022)),"causal_reasoning",IF(ISNUMBER(SEARCH("social",F1022)),"social_influence",IF(ISNUMBER(SEARCH("rhetoric",F1022)),"rhetoric_discourse",IF(ISNUMBER(SEARCH("behavior",F1022)),"behavioural_economics",IF(ISNUMBER(SEARCH("cognitive",F1022)),"cognitive_biases",IF(J1022="protective_pattern","healthy_reasoning_patterns",IF(L1022="P0","core_mvp","extended_fallacies")))))))))</x:f>
        <x:v>healthy_reasoning_patterns</x:v>
      </x:c>
      <x:c r="AC1022" s="12" t="str">
        <x:f>IF(ISNUMBER(SEARCH("operational",J1022)),"operational",IF(ISNUMBER(SEARCH("deprecated",J1022)),"deprecated",IF(L1022="P0","canonical","recognized_subtype")))</x:f>
        <x:v>recognized_subtype</x:v>
      </x:c>
      <x:c r="AD1022" s="12" t="str">
        <x:f>IF(AC1022="canonical","high",IF(AC1022="recognized_subtype","medium",IF(AC1022="operational","operational_only","debated")))</x:f>
        <x:v>medium</x:v>
      </x:c>
      <x:c r="AE1022" s="12" t="str">
        <x:f>IF(AC1022="deprecated","deprecated",IF(M1022="yes","active",IF(M1022="review","review_required","backlog")))</x:f>
        <x:v>review_required</x:v>
      </x:c>
      <x:c r="AF1022" s="12" t="str">
        <x:f>IF(OR(AE1022="active",AE1022="review_required"),"yes","no")</x:f>
        <x:v>yes</x:v>
      </x:c>
      <x:c r="AG1022" s="12" t="str">
        <x:f>IF(AND(AE1022="active",M1022="yes",NOT(ISNUMBER(SEARCH("healthy",AB1022)))),"yes","no")</x:f>
        <x:v>no</x:v>
      </x:c>
      <x:c r="AH1022" s="12" t="str">
        <x:f>IF(OR(H1022="contextual",H1022="dialogue",H1022="discourse",I1022="claim+context",I1022="discourse_segment"),"yes","no")</x:f>
        <x:v>no</x:v>
      </x:c>
      <x:c r="AI1022" s="12" t="str">
        <x:f>IF(OR(AH1022="yes",AD1022="debated",AC1022="operational"),"yes","no")</x:f>
        <x:v>no</x:v>
      </x:c>
      <x:c r="AJ1022" s="12" t="str">
        <x:f>IF(OR(AH1022="yes",AC1022="operational",AD1022="debated"),"high",IF(AND(AG1022="yes",L1022="P0"),"medium","low"))</x:f>
        <x:v>low</x:v>
      </x:c>
      <x:c r="AK1022" s="12" t="str">
        <x:f>IF(ISNUMBER(SEARCH("healthy",AB1022)),"yes","no")</x:f>
        <x:v>yes</x:v>
      </x:c>
      <x:c r="AL1022" s="12" t="str">
        <x:f>IF(AG1022="yes","yes","candidate_only")</x:f>
        <x:v>candidate_only</x:v>
      </x:c>
      <x:c r="AM1022" s="12" t="str">
        <x:f>IF(OR(AC1022="canonical",AG1022="yes"),"yes","recommended")</x:f>
        <x:v>recommended</x:v>
      </x:c>
      <x:c r="AN1022" s="12" t="str">
        <x:f>IF(AC1022="deprecated","exclude",IF(AND(AG1022="yes",AJ1022="high"),"import_but_human_review_required",IF(AG1022="yes","import_as_active","import_as_backlog")))</x:f>
        <x:v>import_as_backlog</x:v>
      </x:c>
      <x:c r="AO1022" s="12" t="str">
        <x:f>IF(AND(AG1022="yes",OR(P1022="",Q1022="",R1022="",S1022="")),"missing_required_mvp_fields",IF(AND(AC1022="canonical",Y1022=""),"missing_source_ref","ok"))</x:f>
        <x:v>ok</x:v>
      </x:c>
      <x:c r="AP1022" s="12" t="str">
        <x:f>IF(AO1022="ok","ready_for_codex_import","needs_review")</x:f>
        <x:v>ready_for_codex_import</x:v>
      </x:c>
      <x:c r="AQ1022" s="12"/>
      <x:c r="AR1022" s="12" t="str">
        <x:v>Added v2 operational fields. Review before classification activation.</x:v>
      </x:c>
    </x:row>
    <x:row r="1023">
      <x:c r="A1023" s="13" t="str">
        <x:v>scope_limitation_evidence_quality_variant</x:v>
      </x:c>
      <x:c r="B1023" s="13" t="str">
        <x:v>scope_limitation</x:v>
      </x:c>
      <x:c r="C1023" s="13" t="str">
        <x:v>Scope limitation</x:v>
      </x:c>
      <x:c r="D1023" s="13" t="str">
        <x:v>محدودسازی دامنه ادعا</x:v>
      </x:c>
      <x:c r="E1023" s="13" t="str">
        <x:v>Evidence-quality variant</x:v>
      </x:c>
      <x:c r="F1023" s="13" t="str">
        <x:v>healthy_reasoning_patterns</x:v>
      </x:c>
      <x:c r="G1023" s="13" t="str">
        <x:v>operational_variant</x:v>
      </x:c>
      <x:c r="H1023" s="13" t="str">
        <x:v>lexical</x:v>
      </x:c>
      <x:c r="I1023" s="13" t="str">
        <x:v>claim</x:v>
      </x:c>
      <x:c r="J1023" s="13" t="str">
        <x:v>protective_pattern</x:v>
      </x:c>
      <x:c r="K1023" s="13" t="str">
        <x:v>operational_pattern_needs_review</x:v>
      </x:c>
      <x:c r="L1023" s="13" t="str">
        <x:v>P1</x:v>
      </x:c>
      <x:c r="M1023" s="13" t="str">
        <x:v>review</x:v>
      </x:c>
      <x:c r="N1023" s="13" t="str">
        <x:v>Protective reasoning pattern under Scope limitation: the text grades or qualifies evidence quality. It should reduce risk scores when supported by evidence.</x:v>
      </x:c>
      <x:c r="O1023" s="13" t="str">
        <x:v>Look for: explicit claim-level evidence; parent-family cues for Scope limitation; variant cue: the text grades or qualifies evidence quality; avoid author-level inference.</x:v>
      </x:c>
      <x:c r="P1023" s="13" t="str">
        <x:v>Exact evidence span in text plus claim-level reasoning link; for contextual/discourse entries, require surrounding context.</x:v>
      </x:c>
      <x:c r="Q1023" s="13" t="str">
        <x:v>Do not label merely because topic is controversial, emotional, or wrong. Do not judge intent or personality. Require textual evidence and consider healthy-reasoning cues.</x:v>
      </x:c>
      <x:c r="R1023" s="13" t="str">
        <x:v>Stub: A claim relies on the text grades or qualifies evidence quality to support a conclusion without adequate qualification.</x:v>
      </x:c>
      <x:c r="S1023" s="13" t="str">
        <x:v>Stub: A claim discusses scope limitation with caveats, balanced evidence, or no argumentative use of the pattern.</x:v>
      </x:c>
      <x:c r="T1023" s="13" t="str">
        <x:v>Weak protective cue; keep normal review.</x:v>
      </x:c>
      <x:c r="U1023" s="13" t="str">
        <x:v>Clear protective cue; reduce false-positive risk.</x:v>
      </x:c>
      <x:c r="V1023" s="13" t="str">
        <x:v>Strong protective cue; require stronger evidence before assigning risk labels.</x:v>
      </x:c>
      <x:c r="W1023" s="13" t="str"/>
      <x:c r="X1023" s="13" t="str">
        <x:v>toulmin_uses_argument</x:v>
      </x:c>
      <x:c r="Y1023" s="13" t="str">
        <x:v>https://doi.org/10.1017/CBO9780511840005</x:v>
      </x:c>
      <x:c r="Z1023" s="13" t="str">
        <x:v>Review before enabling. This workbook is a living taxonomy scaffold, not a validated scientific benchmark.</x:v>
      </x:c>
      <x:c r="AA1023" s="13" t="str">
        <x:v>0.1.0-draft</x:v>
      </x:c>
      <x:c r="AB1023" s="12" t="str">
        <x:f>IF(ISNUMBER(SEARCH("healthy",F1023)),"healthy_reasoning_patterns",IF(ISNUMBER(SEARCH("statistical",F1023)),"statistical_reasoning",IF(ISNUMBER(SEARCH("causal",F1023)),"causal_reasoning",IF(ISNUMBER(SEARCH("social",F1023)),"social_influence",IF(ISNUMBER(SEARCH("rhetoric",F1023)),"rhetoric_discourse",IF(ISNUMBER(SEARCH("behavior",F1023)),"behavioural_economics",IF(ISNUMBER(SEARCH("cognitive",F1023)),"cognitive_biases",IF(J1023="protective_pattern","healthy_reasoning_patterns",IF(L1023="P0","core_mvp","extended_fallacies")))))))))</x:f>
        <x:v>healthy_reasoning_patterns</x:v>
      </x:c>
      <x:c r="AC1023" s="12" t="str">
        <x:f>IF(ISNUMBER(SEARCH("operational",J1023)),"operational",IF(ISNUMBER(SEARCH("deprecated",J1023)),"deprecated",IF(L1023="P0","canonical","recognized_subtype")))</x:f>
        <x:v>recognized_subtype</x:v>
      </x:c>
      <x:c r="AD1023" s="12" t="str">
        <x:f>IF(AC1023="canonical","high",IF(AC1023="recognized_subtype","medium",IF(AC1023="operational","operational_only","debated")))</x:f>
        <x:v>medium</x:v>
      </x:c>
      <x:c r="AE1023" s="12" t="str">
        <x:f>IF(AC1023="deprecated","deprecated",IF(M1023="yes","active",IF(M1023="review","review_required","backlog")))</x:f>
        <x:v>review_required</x:v>
      </x:c>
      <x:c r="AF1023" s="12" t="str">
        <x:f>IF(OR(AE1023="active",AE1023="review_required"),"yes","no")</x:f>
        <x:v>yes</x:v>
      </x:c>
      <x:c r="AG1023" s="12" t="str">
        <x:f>IF(AND(AE1023="active",M1023="yes",NOT(ISNUMBER(SEARCH("healthy",AB1023)))),"yes","no")</x:f>
        <x:v>no</x:v>
      </x:c>
      <x:c r="AH1023" s="12" t="str">
        <x:f>IF(OR(H1023="contextual",H1023="dialogue",H1023="discourse",I1023="claim+context",I1023="discourse_segment"),"yes","no")</x:f>
        <x:v>no</x:v>
      </x:c>
      <x:c r="AI1023" s="12" t="str">
        <x:f>IF(OR(AH1023="yes",AD1023="debated",AC1023="operational"),"yes","no")</x:f>
        <x:v>no</x:v>
      </x:c>
      <x:c r="AJ1023" s="12" t="str">
        <x:f>IF(OR(AH1023="yes",AC1023="operational",AD1023="debated"),"high",IF(AND(AG1023="yes",L1023="P0"),"medium","low"))</x:f>
        <x:v>low</x:v>
      </x:c>
      <x:c r="AK1023" s="12" t="str">
        <x:f>IF(ISNUMBER(SEARCH("healthy",AB1023)),"yes","no")</x:f>
        <x:v>yes</x:v>
      </x:c>
      <x:c r="AL1023" s="12" t="str">
        <x:f>IF(AG1023="yes","yes","candidate_only")</x:f>
        <x:v>candidate_only</x:v>
      </x:c>
      <x:c r="AM1023" s="12" t="str">
        <x:f>IF(OR(AC1023="canonical",AG1023="yes"),"yes","recommended")</x:f>
        <x:v>recommended</x:v>
      </x:c>
      <x:c r="AN1023" s="12" t="str">
        <x:f>IF(AC1023="deprecated","exclude",IF(AND(AG1023="yes",AJ1023="high"),"import_but_human_review_required",IF(AG1023="yes","import_as_active","import_as_backlog")))</x:f>
        <x:v>import_as_backlog</x:v>
      </x:c>
      <x:c r="AO1023" s="12" t="str">
        <x:f>IF(AND(AG1023="yes",OR(P1023="",Q1023="",R1023="",S1023="")),"missing_required_mvp_fields",IF(AND(AC1023="canonical",Y1023=""),"missing_source_ref","ok"))</x:f>
        <x:v>ok</x:v>
      </x:c>
      <x:c r="AP1023" s="12" t="str">
        <x:f>IF(AO1023="ok","ready_for_codex_import","needs_review")</x:f>
        <x:v>ready_for_codex_import</x:v>
      </x:c>
      <x:c r="AQ1023" s="12"/>
      <x:c r="AR1023" s="12" t="str">
        <x:v>Added v2 operational fields. Review before classification activation.</x:v>
      </x:c>
    </x:row>
    <x:row r="1024">
      <x:c r="A1024" s="13" t="str">
        <x:v>base_rate_use_evidence_quality_variant</x:v>
      </x:c>
      <x:c r="B1024" s="13" t="str">
        <x:v>base_rate_use</x:v>
      </x:c>
      <x:c r="C1024" s="13" t="str">
        <x:v>Base-rate use</x:v>
      </x:c>
      <x:c r="D1024" s="13" t="str">
        <x:v>استفاده از نرخ پایه</x:v>
      </x:c>
      <x:c r="E1024" s="13" t="str">
        <x:v>Evidence-quality variant</x:v>
      </x:c>
      <x:c r="F1024" s="13" t="str">
        <x:v>healthy_reasoning_patterns</x:v>
      </x:c>
      <x:c r="G1024" s="13" t="str">
        <x:v>operational_variant</x:v>
      </x:c>
      <x:c r="H1024" s="13" t="str">
        <x:v>contextual</x:v>
      </x:c>
      <x:c r="I1024" s="13" t="str">
        <x:v>claim+context</x:v>
      </x:c>
      <x:c r="J1024" s="13" t="str">
        <x:v>protective_pattern</x:v>
      </x:c>
      <x:c r="K1024" s="13" t="str">
        <x:v>operational_pattern_needs_review</x:v>
      </x:c>
      <x:c r="L1024" s="13" t="str">
        <x:v>P1</x:v>
      </x:c>
      <x:c r="M1024" s="13" t="str">
        <x:v>review</x:v>
      </x:c>
      <x:c r="N1024" s="13" t="str">
        <x:v>Protective reasoning pattern under Base-rate use: the text grades or qualifies evidence quality. It should reduce risk scores when supported by evidence.</x:v>
      </x:c>
      <x:c r="O1024" s="13" t="str">
        <x:v>Look for: explicit claim-level evidence; parent-family cues for Base-rate use; variant cue: the text grades or qualifies evidence quality; avoid author-level inference.</x:v>
      </x:c>
      <x:c r="P1024" s="13" t="str">
        <x:v>Exact evidence span in text plus claim-level reasoning link; for contextual/discourse entries, require surrounding context.</x:v>
      </x:c>
      <x:c r="Q1024" s="13" t="str">
        <x:v>Do not label merely because topic is controversial, emotional, or wrong. Do not judge intent or personality. Require textual evidence and consider healthy-reasoning cues.</x:v>
      </x:c>
      <x:c r="R1024" s="13" t="str">
        <x:v>Stub: A claim relies on the text grades or qualifies evidence quality to support a conclusion without adequate qualification.</x:v>
      </x:c>
      <x:c r="S1024" s="13" t="str">
        <x:v>Stub: A claim discusses base-rate use with caveats, balanced evidence, or no argumentative use of the pattern.</x:v>
      </x:c>
      <x:c r="T1024" s="13" t="str">
        <x:v>Weak protective cue; keep normal review.</x:v>
      </x:c>
      <x:c r="U1024" s="13" t="str">
        <x:v>Clear protective cue; reduce false-positive risk.</x:v>
      </x:c>
      <x:c r="V1024" s="13" t="str">
        <x:v>Strong protective cue; require stronger evidence before assigning risk labels.</x:v>
      </x:c>
      <x:c r="W1024" s="13" t="str"/>
      <x:c r="X1024" s="13" t="str">
        <x:v>kahneman_tversky_heuristics_1974</x:v>
      </x:c>
      <x:c r="Y1024" s="13" t="str">
        <x:v>https://doi.org/10.1126/science.185.4157.1124</x:v>
      </x:c>
      <x:c r="Z1024" s="13" t="str">
        <x:v>Review before enabling. This workbook is a living taxonomy scaffold, not a validated scientific benchmark.</x:v>
      </x:c>
      <x:c r="AA1024" s="13" t="str">
        <x:v>0.1.0-draft</x:v>
      </x:c>
      <x:c r="AB1024" s="12" t="str">
        <x:f>IF(ISNUMBER(SEARCH("healthy",F1024)),"healthy_reasoning_patterns",IF(ISNUMBER(SEARCH("statistical",F1024)),"statistical_reasoning",IF(ISNUMBER(SEARCH("causal",F1024)),"causal_reasoning",IF(ISNUMBER(SEARCH("social",F1024)),"social_influence",IF(ISNUMBER(SEARCH("rhetoric",F1024)),"rhetoric_discourse",IF(ISNUMBER(SEARCH("behavior",F1024)),"behavioural_economics",IF(ISNUMBER(SEARCH("cognitive",F1024)),"cognitive_biases",IF(J1024="protective_pattern","healthy_reasoning_patterns",IF(L1024="P0","core_mvp","extended_fallacies")))))))))</x:f>
        <x:v>healthy_reasoning_patterns</x:v>
      </x:c>
      <x:c r="AC1024" s="12" t="str">
        <x:f>IF(ISNUMBER(SEARCH("operational",J1024)),"operational",IF(ISNUMBER(SEARCH("deprecated",J1024)),"deprecated",IF(L1024="P0","canonical","recognized_subtype")))</x:f>
        <x:v>recognized_subtype</x:v>
      </x:c>
      <x:c r="AD1024" s="12" t="str">
        <x:f>IF(AC1024="canonical","high",IF(AC1024="recognized_subtype","medium",IF(AC1024="operational","operational_only","debated")))</x:f>
        <x:v>medium</x:v>
      </x:c>
      <x:c r="AE1024" s="12" t="str">
        <x:f>IF(AC1024="deprecated","deprecated",IF(M1024="yes","active",IF(M1024="review","review_required","backlog")))</x:f>
        <x:v>review_required</x:v>
      </x:c>
      <x:c r="AF1024" s="12" t="str">
        <x:f>IF(OR(AE1024="active",AE1024="review_required"),"yes","no")</x:f>
        <x:v>yes</x:v>
      </x:c>
      <x:c r="AG1024" s="12" t="str">
        <x:f>IF(AND(AE1024="active",M1024="yes",NOT(ISNUMBER(SEARCH("healthy",AB1024)))),"yes","no")</x:f>
        <x:v>no</x:v>
      </x:c>
      <x:c r="AH1024" s="12" t="str">
        <x:f>IF(OR(H1024="contextual",H1024="dialogue",H1024="discourse",I1024="claim+context",I1024="discourse_segment"),"yes","no")</x:f>
        <x:v>yes</x:v>
      </x:c>
      <x:c r="AI1024" s="12" t="str">
        <x:f>IF(OR(AH1024="yes",AD1024="debated",AC1024="operational"),"yes","no")</x:f>
        <x:v>yes</x:v>
      </x:c>
      <x:c r="AJ1024" s="12" t="str">
        <x:f>IF(OR(AH1024="yes",AC1024="operational",AD1024="debated"),"high",IF(AND(AG1024="yes",L1024="P0"),"medium","low"))</x:f>
        <x:v>high</x:v>
      </x:c>
      <x:c r="AK1024" s="12" t="str">
        <x:f>IF(ISNUMBER(SEARCH("healthy",AB1024)),"yes","no")</x:f>
        <x:v>yes</x:v>
      </x:c>
      <x:c r="AL1024" s="12" t="str">
        <x:f>IF(AG1024="yes","yes","candidate_only")</x:f>
        <x:v>candidate_only</x:v>
      </x:c>
      <x:c r="AM1024" s="12" t="str">
        <x:f>IF(OR(AC1024="canonical",AG1024="yes"),"yes","recommended")</x:f>
        <x:v>recommended</x:v>
      </x:c>
      <x:c r="AN1024" s="12" t="str">
        <x:f>IF(AC1024="deprecated","exclude",IF(AND(AG1024="yes",AJ1024="high"),"import_but_human_review_required",IF(AG1024="yes","import_as_active","import_as_backlog")))</x:f>
        <x:v>import_as_backlog</x:v>
      </x:c>
      <x:c r="AO1024" s="12" t="str">
        <x:f>IF(AND(AG1024="yes",OR(P1024="",Q1024="",R1024="",S1024="")),"missing_required_mvp_fields",IF(AND(AC1024="canonical",Y1024=""),"missing_source_ref","ok"))</x:f>
        <x:v>ok</x:v>
      </x:c>
      <x:c r="AP1024" s="12" t="str">
        <x:f>IF(AO1024="ok","ready_for_codex_import","needs_review")</x:f>
        <x:v>ready_for_codex_import</x:v>
      </x:c>
      <x:c r="AQ1024" s="12"/>
      <x:c r="AR1024" s="12" t="str">
        <x:v>Added v2 operational fields. Review before classification activation.</x:v>
      </x:c>
    </x:row>
    <x:row r="1025">
      <x:c r="A1025" s="13" t="str">
        <x:v>counterexample_consideration_evidence_quality_variant</x:v>
      </x:c>
      <x:c r="B1025" s="13" t="str">
        <x:v>counterexample_consideration</x:v>
      </x:c>
      <x:c r="C1025" s="13" t="str">
        <x:v>Counterexample consideration</x:v>
      </x:c>
      <x:c r="D1025" s="13" t="str">
        <x:v>توجه به نمونه نقض</x:v>
      </x:c>
      <x:c r="E1025" s="13" t="str">
        <x:v>Evidence-quality variant</x:v>
      </x:c>
      <x:c r="F1025" s="13" t="str">
        <x:v>healthy_reasoning_patterns</x:v>
      </x:c>
      <x:c r="G1025" s="13" t="str">
        <x:v>operational_variant</x:v>
      </x:c>
      <x:c r="H1025" s="13" t="str">
        <x:v>contextual</x:v>
      </x:c>
      <x:c r="I1025" s="13" t="str">
        <x:v>claim+context</x:v>
      </x:c>
      <x:c r="J1025" s="13" t="str">
        <x:v>protective_pattern</x:v>
      </x:c>
      <x:c r="K1025" s="13" t="str">
        <x:v>operational_pattern_needs_review</x:v>
      </x:c>
      <x:c r="L1025" s="13" t="str">
        <x:v>P1</x:v>
      </x:c>
      <x:c r="M1025" s="13" t="str">
        <x:v>review</x:v>
      </x:c>
      <x:c r="N1025" s="13" t="str">
        <x:v>Protective reasoning pattern under Counterexample consideration: the text grades or qualifies evidence quality. It should reduce risk scores when supported by evidence.</x:v>
      </x:c>
      <x:c r="O1025" s="13" t="str">
        <x:v>Look for: explicit claim-level evidence; parent-family cues for Counterexample consideration; variant cue: the text grades or qualifies evidence quality; avoid author-level inference.</x:v>
      </x:c>
      <x:c r="P1025" s="13" t="str">
        <x:v>Exact evidence span in text plus claim-level reasoning link; for contextual/discourse entries, require surrounding context.</x:v>
      </x:c>
      <x:c r="Q1025" s="13" t="str">
        <x:v>Do not label merely because topic is controversial, emotional, or wrong. Do not judge intent or personality. Require textual evidence and consider healthy-reasoning cues.</x:v>
      </x:c>
      <x:c r="R1025" s="13" t="str">
        <x:v>Stub: A claim relies on the text grades or qualifies evidence quality to support a conclusion without adequate qualification.</x:v>
      </x:c>
      <x:c r="S1025" s="13" t="str">
        <x:v>Stub: A claim discusses counterexample consideration with caveats, balanced evidence, or no argumentative use of the pattern.</x:v>
      </x:c>
      <x:c r="T1025" s="13" t="str">
        <x:v>Weak protective cue; keep normal review.</x:v>
      </x:c>
      <x:c r="U1025" s="13" t="str">
        <x:v>Clear protective cue; reduce false-positive risk.</x:v>
      </x:c>
      <x:c r="V1025" s="13" t="str">
        <x:v>Strong protective cue; require stronger evidence before assigning risk labels.</x:v>
      </x:c>
      <x:c r="W1025" s="13" t="str">
        <x:v>cherry_picking; missing_counterevidence; evidence_grading</x:v>
      </x:c>
      <x:c r="X1025" s="13" t="str">
        <x:v>toulmin_uses_argument</x:v>
      </x:c>
      <x:c r="Y1025" s="13" t="str">
        <x:v>https://doi.org/10.1017/CBO9780511840005</x:v>
      </x:c>
      <x:c r="Z1025" s="13" t="str">
        <x:v>Review before enabling. This workbook is a living taxonomy scaffold, not a validated scientific benchmark.</x:v>
      </x:c>
      <x:c r="AA1025" s="13" t="str">
        <x:v>0.1.0-draft</x:v>
      </x:c>
      <x:c r="AB1025" s="12" t="str">
        <x:f>IF(ISNUMBER(SEARCH("healthy",F1025)),"healthy_reasoning_patterns",IF(ISNUMBER(SEARCH("statistical",F1025)),"statistical_reasoning",IF(ISNUMBER(SEARCH("causal",F1025)),"causal_reasoning",IF(ISNUMBER(SEARCH("social",F1025)),"social_influence",IF(ISNUMBER(SEARCH("rhetoric",F1025)),"rhetoric_discourse",IF(ISNUMBER(SEARCH("behavior",F1025)),"behavioural_economics",IF(ISNUMBER(SEARCH("cognitive",F1025)),"cognitive_biases",IF(J1025="protective_pattern","healthy_reasoning_patterns",IF(L1025="P0","core_mvp","extended_fallacies")))))))))</x:f>
        <x:v>healthy_reasoning_patterns</x:v>
      </x:c>
      <x:c r="AC1025" s="12" t="str">
        <x:f>IF(ISNUMBER(SEARCH("operational",J1025)),"operational",IF(ISNUMBER(SEARCH("deprecated",J1025)),"deprecated",IF(L1025="P0","canonical","recognized_subtype")))</x:f>
        <x:v>recognized_subtype</x:v>
      </x:c>
      <x:c r="AD1025" s="12" t="str">
        <x:f>IF(AC1025="canonical","high",IF(AC1025="recognized_subtype","medium",IF(AC1025="operational","operational_only","debated")))</x:f>
        <x:v>medium</x:v>
      </x:c>
      <x:c r="AE1025" s="12" t="str">
        <x:f>IF(AC1025="deprecated","deprecated",IF(M1025="yes","active",IF(M1025="review","review_required","backlog")))</x:f>
        <x:v>review_required</x:v>
      </x:c>
      <x:c r="AF1025" s="12" t="str">
        <x:f>IF(OR(AE1025="active",AE1025="review_required"),"yes","no")</x:f>
        <x:v>yes</x:v>
      </x:c>
      <x:c r="AG1025" s="12" t="str">
        <x:f>IF(AND(AE1025="active",M1025="yes",NOT(ISNUMBER(SEARCH("healthy",AB1025)))),"yes","no")</x:f>
        <x:v>no</x:v>
      </x:c>
      <x:c r="AH1025" s="12" t="str">
        <x:f>IF(OR(H1025="contextual",H1025="dialogue",H1025="discourse",I1025="claim+context",I1025="discourse_segment"),"yes","no")</x:f>
        <x:v>yes</x:v>
      </x:c>
      <x:c r="AI1025" s="12" t="str">
        <x:f>IF(OR(AH1025="yes",AD1025="debated",AC1025="operational"),"yes","no")</x:f>
        <x:v>yes</x:v>
      </x:c>
      <x:c r="AJ1025" s="12" t="str">
        <x:f>IF(OR(AH1025="yes",AC1025="operational",AD1025="debated"),"high",IF(AND(AG1025="yes",L1025="P0"),"medium","low"))</x:f>
        <x:v>high</x:v>
      </x:c>
      <x:c r="AK1025" s="12" t="str">
        <x:f>IF(ISNUMBER(SEARCH("healthy",AB1025)),"yes","no")</x:f>
        <x:v>yes</x:v>
      </x:c>
      <x:c r="AL1025" s="12" t="str">
        <x:f>IF(AG1025="yes","yes","candidate_only")</x:f>
        <x:v>candidate_only</x:v>
      </x:c>
      <x:c r="AM1025" s="12" t="str">
        <x:f>IF(OR(AC1025="canonical",AG1025="yes"),"yes","recommended")</x:f>
        <x:v>recommended</x:v>
      </x:c>
      <x:c r="AN1025" s="12" t="str">
        <x:f>IF(AC1025="deprecated","exclude",IF(AND(AG1025="yes",AJ1025="high"),"import_but_human_review_required",IF(AG1025="yes","import_as_active","import_as_backlog")))</x:f>
        <x:v>import_as_backlog</x:v>
      </x:c>
      <x:c r="AO1025" s="12" t="str">
        <x:f>IF(AND(AG1025="yes",OR(P1025="",Q1025="",R1025="",S1025="")),"missing_required_mvp_fields",IF(AND(AC1025="canonical",Y1025=""),"missing_source_ref","ok"))</x:f>
        <x:v>ok</x:v>
      </x:c>
      <x:c r="AP1025" s="12" t="str">
        <x:f>IF(AO1025="ok","ready_for_codex_import","needs_review")</x:f>
        <x:v>ready_for_codex_import</x:v>
      </x:c>
      <x:c r="AQ1025" s="12"/>
      <x:c r="AR1025" s="12" t="str">
        <x:v>Added v2 operational fields. Review before classification activation.</x:v>
      </x:c>
    </x:row>
    <x:row r="1026">
      <x:c r="A1026" s="13" t="str">
        <x:v>alternative_explanation_consideration_evidence_quality_variant</x:v>
      </x:c>
      <x:c r="B1026" s="13" t="str">
        <x:v>alternative_explanation_consideration</x:v>
      </x:c>
      <x:c r="C1026" s="13" t="str">
        <x:v>Alternative explanations considered</x:v>
      </x:c>
      <x:c r="D1026" s="13" t="str">
        <x:v>توجه به توضیح‌های بدیل</x:v>
      </x:c>
      <x:c r="E1026" s="13" t="str">
        <x:v>Evidence-quality variant</x:v>
      </x:c>
      <x:c r="F1026" s="13" t="str">
        <x:v>healthy_reasoning_patterns</x:v>
      </x:c>
      <x:c r="G1026" s="13" t="str">
        <x:v>operational_variant</x:v>
      </x:c>
      <x:c r="H1026" s="13" t="str">
        <x:v>contextual</x:v>
      </x:c>
      <x:c r="I1026" s="13" t="str">
        <x:v>claim+context</x:v>
      </x:c>
      <x:c r="J1026" s="13" t="str">
        <x:v>protective_pattern</x:v>
      </x:c>
      <x:c r="K1026" s="13" t="str">
        <x:v>operational_pattern_needs_review</x:v>
      </x:c>
      <x:c r="L1026" s="13" t="str">
        <x:v>P1</x:v>
      </x:c>
      <x:c r="M1026" s="13" t="str">
        <x:v>review</x:v>
      </x:c>
      <x:c r="N1026" s="13" t="str">
        <x:v>Protective reasoning pattern under Alternative explanations considered: the text grades or qualifies evidence quality. It should reduce risk scores when supported by evidence.</x:v>
      </x:c>
      <x:c r="O1026" s="13" t="str">
        <x:v>Look for: explicit claim-level evidence; parent-family cues for Alternative explanations considered; variant cue: the text grades or qualifies evidence quality; avoid author-level inference.</x:v>
      </x:c>
      <x:c r="P1026" s="13" t="str">
        <x:v>Exact evidence span in text plus claim-level reasoning link; for contextual/discourse entries, require surrounding context.</x:v>
      </x:c>
      <x:c r="Q1026" s="13" t="str">
        <x:v>Do not label merely because topic is controversial, emotional, or wrong. Do not judge intent or personality. Require textual evidence and consider healthy-reasoning cues.</x:v>
      </x:c>
      <x:c r="R1026" s="13" t="str">
        <x:v>Stub: A claim relies on the text grades or qualifies evidence quality to support a conclusion without adequate qualification.</x:v>
      </x:c>
      <x:c r="S1026" s="13" t="str">
        <x:v>Stub: A claim discusses alternative explanations considered with caveats, balanced evidence, or no argumentative use of the pattern.</x:v>
      </x:c>
      <x:c r="T1026" s="13" t="str">
        <x:v>Weak protective cue; keep normal review.</x:v>
      </x:c>
      <x:c r="U1026" s="13" t="str">
        <x:v>Clear protective cue; reduce false-positive risk.</x:v>
      </x:c>
      <x:c r="V1026" s="13" t="str">
        <x:v>Strong protective cue; require stronger evidence before assigning risk labels.</x:v>
      </x:c>
      <x:c r="W1026" s="13" t="str"/>
      <x:c r="X1026" s="13" t="str">
        <x:v>toulmin_uses_argument</x:v>
      </x:c>
      <x:c r="Y1026" s="13" t="str">
        <x:v>https://doi.org/10.1017/CBO9780511840005</x:v>
      </x:c>
      <x:c r="Z1026" s="13" t="str">
        <x:v>Review before enabling. This workbook is a living taxonomy scaffold, not a validated scientific benchmark.</x:v>
      </x:c>
      <x:c r="AA1026" s="13" t="str">
        <x:v>0.1.0-draft</x:v>
      </x:c>
      <x:c r="AB1026" s="12" t="str">
        <x:f>IF(ISNUMBER(SEARCH("healthy",F1026)),"healthy_reasoning_patterns",IF(ISNUMBER(SEARCH("statistical",F1026)),"statistical_reasoning",IF(ISNUMBER(SEARCH("causal",F1026)),"causal_reasoning",IF(ISNUMBER(SEARCH("social",F1026)),"social_influence",IF(ISNUMBER(SEARCH("rhetoric",F1026)),"rhetoric_discourse",IF(ISNUMBER(SEARCH("behavior",F1026)),"behavioural_economics",IF(ISNUMBER(SEARCH("cognitive",F1026)),"cognitive_biases",IF(J1026="protective_pattern","healthy_reasoning_patterns",IF(L1026="P0","core_mvp","extended_fallacies")))))))))</x:f>
        <x:v>healthy_reasoning_patterns</x:v>
      </x:c>
      <x:c r="AC1026" s="12" t="str">
        <x:f>IF(ISNUMBER(SEARCH("operational",J1026)),"operational",IF(ISNUMBER(SEARCH("deprecated",J1026)),"deprecated",IF(L1026="P0","canonical","recognized_subtype")))</x:f>
        <x:v>recognized_subtype</x:v>
      </x:c>
      <x:c r="AD1026" s="12" t="str">
        <x:f>IF(AC1026="canonical","high",IF(AC1026="recognized_subtype","medium",IF(AC1026="operational","operational_only","debated")))</x:f>
        <x:v>medium</x:v>
      </x:c>
      <x:c r="AE1026" s="12" t="str">
        <x:f>IF(AC1026="deprecated","deprecated",IF(M1026="yes","active",IF(M1026="review","review_required","backlog")))</x:f>
        <x:v>review_required</x:v>
      </x:c>
      <x:c r="AF1026" s="12" t="str">
        <x:f>IF(OR(AE1026="active",AE1026="review_required"),"yes","no")</x:f>
        <x:v>yes</x:v>
      </x:c>
      <x:c r="AG1026" s="12" t="str">
        <x:f>IF(AND(AE1026="active",M1026="yes",NOT(ISNUMBER(SEARCH("healthy",AB1026)))),"yes","no")</x:f>
        <x:v>no</x:v>
      </x:c>
      <x:c r="AH1026" s="12" t="str">
        <x:f>IF(OR(H1026="contextual",H1026="dialogue",H1026="discourse",I1026="claim+context",I1026="discourse_segment"),"yes","no")</x:f>
        <x:v>yes</x:v>
      </x:c>
      <x:c r="AI1026" s="12" t="str">
        <x:f>IF(OR(AH1026="yes",AD1026="debated",AC1026="operational"),"yes","no")</x:f>
        <x:v>yes</x:v>
      </x:c>
      <x:c r="AJ1026" s="12" t="str">
        <x:f>IF(OR(AH1026="yes",AC1026="operational",AD1026="debated"),"high",IF(AND(AG1026="yes",L1026="P0"),"medium","low"))</x:f>
        <x:v>high</x:v>
      </x:c>
      <x:c r="AK1026" s="12" t="str">
        <x:f>IF(ISNUMBER(SEARCH("healthy",AB1026)),"yes","no")</x:f>
        <x:v>yes</x:v>
      </x:c>
      <x:c r="AL1026" s="12" t="str">
        <x:f>IF(AG1026="yes","yes","candidate_only")</x:f>
        <x:v>candidate_only</x:v>
      </x:c>
      <x:c r="AM1026" s="12" t="str">
        <x:f>IF(OR(AC1026="canonical",AG1026="yes"),"yes","recommended")</x:f>
        <x:v>recommended</x:v>
      </x:c>
      <x:c r="AN1026" s="12" t="str">
        <x:f>IF(AC1026="deprecated","exclude",IF(AND(AG1026="yes",AJ1026="high"),"import_but_human_review_required",IF(AG1026="yes","import_as_active","import_as_backlog")))</x:f>
        <x:v>import_as_backlog</x:v>
      </x:c>
      <x:c r="AO1026" s="12" t="str">
        <x:f>IF(AND(AG1026="yes",OR(P1026="",Q1026="",R1026="",S1026="")),"missing_required_mvp_fields",IF(AND(AC1026="canonical",Y1026=""),"missing_source_ref","ok"))</x:f>
        <x:v>ok</x:v>
      </x:c>
      <x:c r="AP1026" s="12" t="str">
        <x:f>IF(AO1026="ok","ready_for_codex_import","needs_review")</x:f>
        <x:v>ready_for_codex_import</x:v>
      </x:c>
      <x:c r="AQ1026" s="12"/>
      <x:c r="AR1026" s="12" t="str">
        <x:v>Added v2 operational fields. Review before classification activation.</x:v>
      </x:c>
    </x:row>
    <x:row r="1027">
      <x:c r="A1027" s="13" t="str">
        <x:v>evidence_grading_evidence_quality_variant</x:v>
      </x:c>
      <x:c r="B1027" s="13" t="str">
        <x:v>evidence_grading</x:v>
      </x:c>
      <x:c r="C1027" s="13" t="str">
        <x:v>Evidence grading</x:v>
      </x:c>
      <x:c r="D1027" s="13" t="str">
        <x:v>درجه‌بندی کیفیت شواهد</x:v>
      </x:c>
      <x:c r="E1027" s="13" t="str">
        <x:v>Evidence-quality variant</x:v>
      </x:c>
      <x:c r="F1027" s="13" t="str">
        <x:v>healthy_reasoning_patterns</x:v>
      </x:c>
      <x:c r="G1027" s="13" t="str">
        <x:v>operational_variant</x:v>
      </x:c>
      <x:c r="H1027" s="13" t="str">
        <x:v>contextual</x:v>
      </x:c>
      <x:c r="I1027" s="13" t="str">
        <x:v>claim+context</x:v>
      </x:c>
      <x:c r="J1027" s="13" t="str">
        <x:v>protective_pattern</x:v>
      </x:c>
      <x:c r="K1027" s="13" t="str">
        <x:v>operational_pattern_needs_review</x:v>
      </x:c>
      <x:c r="L1027" s="13" t="str">
        <x:v>P1</x:v>
      </x:c>
      <x:c r="M1027" s="13" t="str">
        <x:v>review</x:v>
      </x:c>
      <x:c r="N1027" s="13" t="str">
        <x:v>Protective reasoning pattern under Evidence grading: the text grades or qualifies evidence quality. It should reduce risk scores when supported by evidence.</x:v>
      </x:c>
      <x:c r="O1027" s="13" t="str">
        <x:v>Look for: explicit claim-level evidence; parent-family cues for Evidence grading; variant cue: the text grades or qualifies evidence quality; avoid author-level inference.</x:v>
      </x:c>
      <x:c r="P1027" s="13" t="str">
        <x:v>Exact evidence span in text plus claim-level reasoning link; for contextual/discourse entries, require surrounding context.</x:v>
      </x:c>
      <x:c r="Q1027" s="13" t="str">
        <x:v>Do not label merely because topic is controversial, emotional, or wrong. Do not judge intent or personality. Require textual evidence and consider healthy-reasoning cues.</x:v>
      </x:c>
      <x:c r="R1027" s="13" t="str">
        <x:v>Stub: A claim relies on the text grades or qualifies evidence quality to support a conclusion without adequate qualification.</x:v>
      </x:c>
      <x:c r="S1027" s="13" t="str">
        <x:v>Stub: A claim discusses evidence grading with caveats, balanced evidence, or no argumentative use of the pattern.</x:v>
      </x:c>
      <x:c r="T1027" s="13" t="str">
        <x:v>Weak protective cue; keep normal review.</x:v>
      </x:c>
      <x:c r="U1027" s="13" t="str">
        <x:v>Clear protective cue; reduce false-positive risk.</x:v>
      </x:c>
      <x:c r="V1027" s="13" t="str">
        <x:v>Strong protective cue; require stronger evidence before assigning risk labels.</x:v>
      </x:c>
      <x:c r="W1027" s="13" t="str">
        <x:v>cherry_picking; missing_counterevidence; evidence_grading</x:v>
      </x:c>
      <x:c r="X1027" s="13" t="str">
        <x:v>toulmin_uses_argument</x:v>
      </x:c>
      <x:c r="Y1027" s="13" t="str">
        <x:v>https://doi.org/10.1017/CBO9780511840005</x:v>
      </x:c>
      <x:c r="Z1027" s="13" t="str">
        <x:v>Review before enabling. This workbook is a living taxonomy scaffold, not a validated scientific benchmark.</x:v>
      </x:c>
      <x:c r="AA1027" s="13" t="str">
        <x:v>0.1.0-draft</x:v>
      </x:c>
      <x:c r="AB1027" s="12" t="str">
        <x:f>IF(ISNUMBER(SEARCH("healthy",F1027)),"healthy_reasoning_patterns",IF(ISNUMBER(SEARCH("statistical",F1027)),"statistical_reasoning",IF(ISNUMBER(SEARCH("causal",F1027)),"causal_reasoning",IF(ISNUMBER(SEARCH("social",F1027)),"social_influence",IF(ISNUMBER(SEARCH("rhetoric",F1027)),"rhetoric_discourse",IF(ISNUMBER(SEARCH("behavior",F1027)),"behavioural_economics",IF(ISNUMBER(SEARCH("cognitive",F1027)),"cognitive_biases",IF(J1027="protective_pattern","healthy_reasoning_patterns",IF(L1027="P0","core_mvp","extended_fallacies")))))))))</x:f>
        <x:v>healthy_reasoning_patterns</x:v>
      </x:c>
      <x:c r="AC1027" s="12" t="str">
        <x:f>IF(ISNUMBER(SEARCH("operational",J1027)),"operational",IF(ISNUMBER(SEARCH("deprecated",J1027)),"deprecated",IF(L1027="P0","canonical","recognized_subtype")))</x:f>
        <x:v>recognized_subtype</x:v>
      </x:c>
      <x:c r="AD1027" s="12" t="str">
        <x:f>IF(AC1027="canonical","high",IF(AC1027="recognized_subtype","medium",IF(AC1027="operational","operational_only","debated")))</x:f>
        <x:v>medium</x:v>
      </x:c>
      <x:c r="AE1027" s="12" t="str">
        <x:f>IF(AC1027="deprecated","deprecated",IF(M1027="yes","active",IF(M1027="review","review_required","backlog")))</x:f>
        <x:v>review_required</x:v>
      </x:c>
      <x:c r="AF1027" s="12" t="str">
        <x:f>IF(OR(AE1027="active",AE1027="review_required"),"yes","no")</x:f>
        <x:v>yes</x:v>
      </x:c>
      <x:c r="AG1027" s="12" t="str">
        <x:f>IF(AND(AE1027="active",M1027="yes",NOT(ISNUMBER(SEARCH("healthy",AB1027)))),"yes","no")</x:f>
        <x:v>no</x:v>
      </x:c>
      <x:c r="AH1027" s="12" t="str">
        <x:f>IF(OR(H1027="contextual",H1027="dialogue",H1027="discourse",I1027="claim+context",I1027="discourse_segment"),"yes","no")</x:f>
        <x:v>yes</x:v>
      </x:c>
      <x:c r="AI1027" s="12" t="str">
        <x:f>IF(OR(AH1027="yes",AD1027="debated",AC1027="operational"),"yes","no")</x:f>
        <x:v>yes</x:v>
      </x:c>
      <x:c r="AJ1027" s="12" t="str">
        <x:f>IF(OR(AH1027="yes",AC1027="operational",AD1027="debated"),"high",IF(AND(AG1027="yes",L1027="P0"),"medium","low"))</x:f>
        <x:v>high</x:v>
      </x:c>
      <x:c r="AK1027" s="12" t="str">
        <x:f>IF(ISNUMBER(SEARCH("healthy",AB1027)),"yes","no")</x:f>
        <x:v>yes</x:v>
      </x:c>
      <x:c r="AL1027" s="12" t="str">
        <x:f>IF(AG1027="yes","yes","candidate_only")</x:f>
        <x:v>candidate_only</x:v>
      </x:c>
      <x:c r="AM1027" s="12" t="str">
        <x:f>IF(OR(AC1027="canonical",AG1027="yes"),"yes","recommended")</x:f>
        <x:v>recommended</x:v>
      </x:c>
      <x:c r="AN1027" s="12" t="str">
        <x:f>IF(AC1027="deprecated","exclude",IF(AND(AG1027="yes",AJ1027="high"),"import_but_human_review_required",IF(AG1027="yes","import_as_active","import_as_backlog")))</x:f>
        <x:v>import_as_backlog</x:v>
      </x:c>
      <x:c r="AO1027" s="12" t="str">
        <x:f>IF(AND(AG1027="yes",OR(P1027="",Q1027="",R1027="",S1027="")),"missing_required_mvp_fields",IF(AND(AC1027="canonical",Y1027=""),"missing_source_ref","ok"))</x:f>
        <x:v>ok</x:v>
      </x:c>
      <x:c r="AP1027" s="12" t="str">
        <x:f>IF(AO1027="ok","ready_for_codex_import","needs_review")</x:f>
        <x:v>ready_for_codex_import</x:v>
      </x:c>
      <x:c r="AQ1027" s="12"/>
      <x:c r="AR1027" s="12" t="str">
        <x:v>Added v2 operational fields. Review before classification activation.</x:v>
      </x:c>
    </x:row>
    <x:row r="1028">
      <x:c r="A1028" s="13" t="str">
        <x:v>source_triangulation_evidence_quality_variant</x:v>
      </x:c>
      <x:c r="B1028" s="13" t="str">
        <x:v>source_triangulation</x:v>
      </x:c>
      <x:c r="C1028" s="13" t="str">
        <x:v>Source triangulation</x:v>
      </x:c>
      <x:c r="D1028" s="13" t="str">
        <x:v>مثلث‌سازی منابع</x:v>
      </x:c>
      <x:c r="E1028" s="13" t="str">
        <x:v>Evidence-quality variant</x:v>
      </x:c>
      <x:c r="F1028" s="13" t="str">
        <x:v>healthy_reasoning_patterns</x:v>
      </x:c>
      <x:c r="G1028" s="13" t="str">
        <x:v>operational_variant</x:v>
      </x:c>
      <x:c r="H1028" s="13" t="str">
        <x:v>contextual</x:v>
      </x:c>
      <x:c r="I1028" s="13" t="str">
        <x:v>claim+context</x:v>
      </x:c>
      <x:c r="J1028" s="13" t="str">
        <x:v>protective_pattern</x:v>
      </x:c>
      <x:c r="K1028" s="13" t="str">
        <x:v>operational_pattern_needs_review</x:v>
      </x:c>
      <x:c r="L1028" s="13" t="str">
        <x:v>P1</x:v>
      </x:c>
      <x:c r="M1028" s="13" t="str">
        <x:v>review</x:v>
      </x:c>
      <x:c r="N1028" s="13" t="str">
        <x:v>Protective reasoning pattern under Source triangulation: the text grades or qualifies evidence quality. It should reduce risk scores when supported by evidence.</x:v>
      </x:c>
      <x:c r="O1028" s="13" t="str">
        <x:v>Look for: explicit claim-level evidence; parent-family cues for Source triangulation; variant cue: the text grades or qualifies evidence quality; avoid author-level inference.</x:v>
      </x:c>
      <x:c r="P1028" s="13" t="str">
        <x:v>Exact evidence span in text plus claim-level reasoning link; for contextual/discourse entries, require surrounding context.</x:v>
      </x:c>
      <x:c r="Q1028" s="13" t="str">
        <x:v>Do not label merely because topic is controversial, emotional, or wrong. Do not judge intent or personality. Require textual evidence and consider healthy-reasoning cues.</x:v>
      </x:c>
      <x:c r="R1028" s="13" t="str">
        <x:v>Stub: A claim relies on the text grades or qualifies evidence quality to support a conclusion without adequate qualification.</x:v>
      </x:c>
      <x:c r="S1028" s="13" t="str">
        <x:v>Stub: A claim discusses source triangulation with caveats, balanced evidence, or no argumentative use of the pattern.</x:v>
      </x:c>
      <x:c r="T1028" s="13" t="str">
        <x:v>Weak protective cue; keep normal review.</x:v>
      </x:c>
      <x:c r="U1028" s="13" t="str">
        <x:v>Clear protective cue; reduce false-positive risk.</x:v>
      </x:c>
      <x:c r="V1028" s="13" t="str">
        <x:v>Strong protective cue; require stronger evidence before assigning risk labels.</x:v>
      </x:c>
      <x:c r="W1028" s="13" t="str"/>
      <x:c r="X1028" s="13" t="str">
        <x:v>sep_informal_logic</x:v>
      </x:c>
      <x:c r="Y1028" s="13" t="str">
        <x:v>https://plato.stanford.edu/entries/logic-informal/</x:v>
      </x:c>
      <x:c r="Z1028" s="13" t="str">
        <x:v>Review before enabling. This workbook is a living taxonomy scaffold, not a validated scientific benchmark.</x:v>
      </x:c>
      <x:c r="AA1028" s="13" t="str">
        <x:v>0.1.0-draft</x:v>
      </x:c>
      <x:c r="AB1028" s="12" t="str">
        <x:f>IF(ISNUMBER(SEARCH("healthy",F1028)),"healthy_reasoning_patterns",IF(ISNUMBER(SEARCH("statistical",F1028)),"statistical_reasoning",IF(ISNUMBER(SEARCH("causal",F1028)),"causal_reasoning",IF(ISNUMBER(SEARCH("social",F1028)),"social_influence",IF(ISNUMBER(SEARCH("rhetoric",F1028)),"rhetoric_discourse",IF(ISNUMBER(SEARCH("behavior",F1028)),"behavioural_economics",IF(ISNUMBER(SEARCH("cognitive",F1028)),"cognitive_biases",IF(J1028="protective_pattern","healthy_reasoning_patterns",IF(L1028="P0","core_mvp","extended_fallacies")))))))))</x:f>
        <x:v>healthy_reasoning_patterns</x:v>
      </x:c>
      <x:c r="AC1028" s="12" t="str">
        <x:f>IF(ISNUMBER(SEARCH("operational",J1028)),"operational",IF(ISNUMBER(SEARCH("deprecated",J1028)),"deprecated",IF(L1028="P0","canonical","recognized_subtype")))</x:f>
        <x:v>recognized_subtype</x:v>
      </x:c>
      <x:c r="AD1028" s="12" t="str">
        <x:f>IF(AC1028="canonical","high",IF(AC1028="recognized_subtype","medium",IF(AC1028="operational","operational_only","debated")))</x:f>
        <x:v>medium</x:v>
      </x:c>
      <x:c r="AE1028" s="12" t="str">
        <x:f>IF(AC1028="deprecated","deprecated",IF(M1028="yes","active",IF(M1028="review","review_required","backlog")))</x:f>
        <x:v>review_required</x:v>
      </x:c>
      <x:c r="AF1028" s="12" t="str">
        <x:f>IF(OR(AE1028="active",AE1028="review_required"),"yes","no")</x:f>
        <x:v>yes</x:v>
      </x:c>
      <x:c r="AG1028" s="12" t="str">
        <x:f>IF(AND(AE1028="active",M1028="yes",NOT(ISNUMBER(SEARCH("healthy",AB1028)))),"yes","no")</x:f>
        <x:v>no</x:v>
      </x:c>
      <x:c r="AH1028" s="12" t="str">
        <x:f>IF(OR(H1028="contextual",H1028="dialogue",H1028="discourse",I1028="claim+context",I1028="discourse_segment"),"yes","no")</x:f>
        <x:v>yes</x:v>
      </x:c>
      <x:c r="AI1028" s="12" t="str">
        <x:f>IF(OR(AH1028="yes",AD1028="debated",AC1028="operational"),"yes","no")</x:f>
        <x:v>yes</x:v>
      </x:c>
      <x:c r="AJ1028" s="12" t="str">
        <x:f>IF(OR(AH1028="yes",AC1028="operational",AD1028="debated"),"high",IF(AND(AG1028="yes",L1028="P0"),"medium","low"))</x:f>
        <x:v>high</x:v>
      </x:c>
      <x:c r="AK1028" s="12" t="str">
        <x:f>IF(ISNUMBER(SEARCH("healthy",AB1028)),"yes","no")</x:f>
        <x:v>yes</x:v>
      </x:c>
      <x:c r="AL1028" s="12" t="str">
        <x:f>IF(AG1028="yes","yes","candidate_only")</x:f>
        <x:v>candidate_only</x:v>
      </x:c>
      <x:c r="AM1028" s="12" t="str">
        <x:f>IF(OR(AC1028="canonical",AG1028="yes"),"yes","recommended")</x:f>
        <x:v>recommended</x:v>
      </x:c>
      <x:c r="AN1028" s="12" t="str">
        <x:f>IF(AC1028="deprecated","exclude",IF(AND(AG1028="yes",AJ1028="high"),"import_but_human_review_required",IF(AG1028="yes","import_as_active","import_as_backlog")))</x:f>
        <x:v>import_as_backlog</x:v>
      </x:c>
      <x:c r="AO1028" s="12" t="str">
        <x:f>IF(AND(AG1028="yes",OR(P1028="",Q1028="",R1028="",S1028="")),"missing_required_mvp_fields",IF(AND(AC1028="canonical",Y1028=""),"missing_source_ref","ok"))</x:f>
        <x:v>ok</x:v>
      </x:c>
      <x:c r="AP1028" s="12" t="str">
        <x:f>IF(AO1028="ok","ready_for_codex_import","needs_review")</x:f>
        <x:v>ready_for_codex_import</x:v>
      </x:c>
      <x:c r="AQ1028" s="12"/>
      <x:c r="AR1028" s="12" t="str">
        <x:v>Added v2 operational fields. Review before classification activation.</x:v>
      </x:c>
    </x:row>
    <x:row r="1029">
      <x:c r="A1029" s="13" t="str">
        <x:v>probabilistic_language_evidence_quality_variant</x:v>
      </x:c>
      <x:c r="B1029" s="13" t="str">
        <x:v>probabilistic_language</x:v>
      </x:c>
      <x:c r="C1029" s="13" t="str">
        <x:v>Probabilistic language</x:v>
      </x:c>
      <x:c r="D1029" s="13" t="str">
        <x:v>زبان احتمالاتی</x:v>
      </x:c>
      <x:c r="E1029" s="13" t="str">
        <x:v>Evidence-quality variant</x:v>
      </x:c>
      <x:c r="F1029" s="13" t="str">
        <x:v>healthy_reasoning_patterns</x:v>
      </x:c>
      <x:c r="G1029" s="13" t="str">
        <x:v>operational_variant</x:v>
      </x:c>
      <x:c r="H1029" s="13" t="str">
        <x:v>lexical</x:v>
      </x:c>
      <x:c r="I1029" s="13" t="str">
        <x:v>claim</x:v>
      </x:c>
      <x:c r="J1029" s="13" t="str">
        <x:v>protective_pattern</x:v>
      </x:c>
      <x:c r="K1029" s="13" t="str">
        <x:v>operational_pattern_needs_review</x:v>
      </x:c>
      <x:c r="L1029" s="13" t="str">
        <x:v>P1</x:v>
      </x:c>
      <x:c r="M1029" s="13" t="str">
        <x:v>review</x:v>
      </x:c>
      <x:c r="N1029" s="13" t="str">
        <x:v>Protective reasoning pattern under Probabilistic language: the text grades or qualifies evidence quality. It should reduce risk scores when supported by evidence.</x:v>
      </x:c>
      <x:c r="O1029" s="13" t="str">
        <x:v>Look for: explicit claim-level evidence; parent-family cues for Probabilistic language; variant cue: the text grades or qualifies evidence quality; avoid author-level inference.</x:v>
      </x:c>
      <x:c r="P1029" s="13" t="str">
        <x:v>Exact evidence span in text plus claim-level reasoning link; for contextual/discourse entries, require surrounding context.</x:v>
      </x:c>
      <x:c r="Q1029" s="13" t="str">
        <x:v>Do not label merely because topic is controversial, emotional, or wrong. Do not judge intent or personality. Require textual evidence and consider healthy-reasoning cues.</x:v>
      </x:c>
      <x:c r="R1029" s="13" t="str">
        <x:v>Stub: A claim relies on the text grades or qualifies evidence quality to support a conclusion without adequate qualification.</x:v>
      </x:c>
      <x:c r="S1029" s="13" t="str">
        <x:v>Stub: A claim discusses probabilistic language with caveats, balanced evidence, or no argumentative use of the pattern.</x:v>
      </x:c>
      <x:c r="T1029" s="13" t="str">
        <x:v>Weak protective cue; keep normal review.</x:v>
      </x:c>
      <x:c r="U1029" s="13" t="str">
        <x:v>Clear protective cue; reduce false-positive risk.</x:v>
      </x:c>
      <x:c r="V1029" s="13" t="str">
        <x:v>Strong protective cue; require stronger evidence before assigning risk labels.</x:v>
      </x:c>
      <x:c r="W1029" s="13" t="str"/>
      <x:c r="X1029" s="13" t="str">
        <x:v>stanovich_dual_process</x:v>
      </x:c>
      <x:c r="Y1029" s="13" t="str">
        <x:v>https://global.oup.com/academic/product/rationality-and-the-reflective-mind-9780195341140</x:v>
      </x:c>
      <x:c r="Z1029" s="13" t="str">
        <x:v>Review before enabling. This workbook is a living taxonomy scaffold, not a validated scientific benchmark.</x:v>
      </x:c>
      <x:c r="AA1029" s="13" t="str">
        <x:v>0.1.0-draft</x:v>
      </x:c>
      <x:c r="AB1029" s="12" t="str">
        <x:f>IF(ISNUMBER(SEARCH("healthy",F1029)),"healthy_reasoning_patterns",IF(ISNUMBER(SEARCH("statistical",F1029)),"statistical_reasoning",IF(ISNUMBER(SEARCH("causal",F1029)),"causal_reasoning",IF(ISNUMBER(SEARCH("social",F1029)),"social_influence",IF(ISNUMBER(SEARCH("rhetoric",F1029)),"rhetoric_discourse",IF(ISNUMBER(SEARCH("behavior",F1029)),"behavioural_economics",IF(ISNUMBER(SEARCH("cognitive",F1029)),"cognitive_biases",IF(J1029="protective_pattern","healthy_reasoning_patterns",IF(L1029="P0","core_mvp","extended_fallacies")))))))))</x:f>
        <x:v>healthy_reasoning_patterns</x:v>
      </x:c>
      <x:c r="AC1029" s="12" t="str">
        <x:f>IF(ISNUMBER(SEARCH("operational",J1029)),"operational",IF(ISNUMBER(SEARCH("deprecated",J1029)),"deprecated",IF(L1029="P0","canonical","recognized_subtype")))</x:f>
        <x:v>recognized_subtype</x:v>
      </x:c>
      <x:c r="AD1029" s="12" t="str">
        <x:f>IF(AC1029="canonical","high",IF(AC1029="recognized_subtype","medium",IF(AC1029="operational","operational_only","debated")))</x:f>
        <x:v>medium</x:v>
      </x:c>
      <x:c r="AE1029" s="12" t="str">
        <x:f>IF(AC1029="deprecated","deprecated",IF(M1029="yes","active",IF(M1029="review","review_required","backlog")))</x:f>
        <x:v>review_required</x:v>
      </x:c>
      <x:c r="AF1029" s="12" t="str">
        <x:f>IF(OR(AE1029="active",AE1029="review_required"),"yes","no")</x:f>
        <x:v>yes</x:v>
      </x:c>
      <x:c r="AG1029" s="12" t="str">
        <x:f>IF(AND(AE1029="active",M1029="yes",NOT(ISNUMBER(SEARCH("healthy",AB1029)))),"yes","no")</x:f>
        <x:v>no</x:v>
      </x:c>
      <x:c r="AH1029" s="12" t="str">
        <x:f>IF(OR(H1029="contextual",H1029="dialogue",H1029="discourse",I1029="claim+context",I1029="discourse_segment"),"yes","no")</x:f>
        <x:v>no</x:v>
      </x:c>
      <x:c r="AI1029" s="12" t="str">
        <x:f>IF(OR(AH1029="yes",AD1029="debated",AC1029="operational"),"yes","no")</x:f>
        <x:v>no</x:v>
      </x:c>
      <x:c r="AJ1029" s="12" t="str">
        <x:f>IF(OR(AH1029="yes",AC1029="operational",AD1029="debated"),"high",IF(AND(AG1029="yes",L1029="P0"),"medium","low"))</x:f>
        <x:v>low</x:v>
      </x:c>
      <x:c r="AK1029" s="12" t="str">
        <x:f>IF(ISNUMBER(SEARCH("healthy",AB1029)),"yes","no")</x:f>
        <x:v>yes</x:v>
      </x:c>
      <x:c r="AL1029" s="12" t="str">
        <x:f>IF(AG1029="yes","yes","candidate_only")</x:f>
        <x:v>candidate_only</x:v>
      </x:c>
      <x:c r="AM1029" s="12" t="str">
        <x:f>IF(OR(AC1029="canonical",AG1029="yes"),"yes","recommended")</x:f>
        <x:v>recommended</x:v>
      </x:c>
      <x:c r="AN1029" s="12" t="str">
        <x:f>IF(AC1029="deprecated","exclude",IF(AND(AG1029="yes",AJ1029="high"),"import_but_human_review_required",IF(AG1029="yes","import_as_active","import_as_backlog")))</x:f>
        <x:v>import_as_backlog</x:v>
      </x:c>
      <x:c r="AO1029" s="12" t="str">
        <x:f>IF(AND(AG1029="yes",OR(P1029="",Q1029="",R1029="",S1029="")),"missing_required_mvp_fields",IF(AND(AC1029="canonical",Y1029=""),"missing_source_ref","ok"))</x:f>
        <x:v>ok</x:v>
      </x:c>
      <x:c r="AP1029" s="12" t="str">
        <x:f>IF(AO1029="ok","ready_for_codex_import","needs_review")</x:f>
        <x:v>ready_for_codex_import</x:v>
      </x:c>
      <x:c r="AQ1029" s="12"/>
      <x:c r="AR1029" s="12" t="str">
        <x:v>Added v2 operational fields. Review before classification activation.</x:v>
      </x:c>
    </x:row>
    <x:row r="1030">
      <x:c r="A1030" s="13" t="str">
        <x:v>confidence_calibration_evidence_quality_variant</x:v>
      </x:c>
      <x:c r="B1030" s="13" t="str">
        <x:v>confidence_calibration</x:v>
      </x:c>
      <x:c r="C1030" s="13" t="str">
        <x:v>Confidence calibration</x:v>
      </x:c>
      <x:c r="D1030" s="13" t="str">
        <x:v>کالیبراسیون اطمینان</x:v>
      </x:c>
      <x:c r="E1030" s="13" t="str">
        <x:v>Evidence-quality variant</x:v>
      </x:c>
      <x:c r="F1030" s="13" t="str">
        <x:v>healthy_reasoning_patterns</x:v>
      </x:c>
      <x:c r="G1030" s="13" t="str">
        <x:v>operational_variant</x:v>
      </x:c>
      <x:c r="H1030" s="13" t="str">
        <x:v>contextual</x:v>
      </x:c>
      <x:c r="I1030" s="13" t="str">
        <x:v>claim+context</x:v>
      </x:c>
      <x:c r="J1030" s="13" t="str">
        <x:v>protective_pattern</x:v>
      </x:c>
      <x:c r="K1030" s="13" t="str">
        <x:v>operational_pattern_needs_review</x:v>
      </x:c>
      <x:c r="L1030" s="13" t="str">
        <x:v>P1</x:v>
      </x:c>
      <x:c r="M1030" s="13" t="str">
        <x:v>review</x:v>
      </x:c>
      <x:c r="N1030" s="13" t="str">
        <x:v>Protective reasoning pattern under Confidence calibration: the text grades or qualifies evidence quality. It should reduce risk scores when supported by evidence.</x:v>
      </x:c>
      <x:c r="O1030" s="13" t="str">
        <x:v>Look for: explicit claim-level evidence; parent-family cues for Confidence calibration; variant cue: the text grades or qualifies evidence quality; avoid author-level inference.</x:v>
      </x:c>
      <x:c r="P1030" s="13" t="str">
        <x:v>Exact evidence span in text plus claim-level reasoning link; for contextual/discourse entries, require surrounding context.</x:v>
      </x:c>
      <x:c r="Q1030" s="13" t="str">
        <x:v>Do not label merely because topic is controversial, emotional, or wrong. Do not judge intent or personality. Require textual evidence and consider healthy-reasoning cues.</x:v>
      </x:c>
      <x:c r="R1030" s="13" t="str">
        <x:v>Stub: A claim relies on the text grades or qualifies evidence quality to support a conclusion without adequate qualification.</x:v>
      </x:c>
      <x:c r="S1030" s="13" t="str">
        <x:v>Stub: A claim discusses confidence calibration with caveats, balanced evidence, or no argumentative use of the pattern.</x:v>
      </x:c>
      <x:c r="T1030" s="13" t="str">
        <x:v>Weak protective cue; keep normal review.</x:v>
      </x:c>
      <x:c r="U1030" s="13" t="str">
        <x:v>Clear protective cue; reduce false-positive risk.</x:v>
      </x:c>
      <x:c r="V1030" s="13" t="str">
        <x:v>Strong protective cue; require stronger evidence before assigning risk labels.</x:v>
      </x:c>
      <x:c r="W1030" s="13" t="str">
        <x:v>cherry_picking; missing_counterevidence; evidence_grading</x:v>
      </x:c>
      <x:c r="X1030" s="13" t="str">
        <x:v>stanovich_dual_process</x:v>
      </x:c>
      <x:c r="Y1030" s="13" t="str">
        <x:v>https://global.oup.com/academic/product/rationality-and-the-reflective-mind-9780195341140</x:v>
      </x:c>
      <x:c r="Z1030" s="13" t="str">
        <x:v>Review before enabling. This workbook is a living taxonomy scaffold, not a validated scientific benchmark.</x:v>
      </x:c>
      <x:c r="AA1030" s="13" t="str">
        <x:v>0.1.0-draft</x:v>
      </x:c>
      <x:c r="AB1030" s="12" t="str">
        <x:f>IF(ISNUMBER(SEARCH("healthy",F1030)),"healthy_reasoning_patterns",IF(ISNUMBER(SEARCH("statistical",F1030)),"statistical_reasoning",IF(ISNUMBER(SEARCH("causal",F1030)),"causal_reasoning",IF(ISNUMBER(SEARCH("social",F1030)),"social_influence",IF(ISNUMBER(SEARCH("rhetoric",F1030)),"rhetoric_discourse",IF(ISNUMBER(SEARCH("behavior",F1030)),"behavioural_economics",IF(ISNUMBER(SEARCH("cognitive",F1030)),"cognitive_biases",IF(J1030="protective_pattern","healthy_reasoning_patterns",IF(L1030="P0","core_mvp","extended_fallacies")))))))))</x:f>
        <x:v>healthy_reasoning_patterns</x:v>
      </x:c>
      <x:c r="AC1030" s="12" t="str">
        <x:f>IF(ISNUMBER(SEARCH("operational",J1030)),"operational",IF(ISNUMBER(SEARCH("deprecated",J1030)),"deprecated",IF(L1030="P0","canonical","recognized_subtype")))</x:f>
        <x:v>recognized_subtype</x:v>
      </x:c>
      <x:c r="AD1030" s="12" t="str">
        <x:f>IF(AC1030="canonical","high",IF(AC1030="recognized_subtype","medium",IF(AC1030="operational","operational_only","debated")))</x:f>
        <x:v>medium</x:v>
      </x:c>
      <x:c r="AE1030" s="12" t="str">
        <x:f>IF(AC1030="deprecated","deprecated",IF(M1030="yes","active",IF(M1030="review","review_required","backlog")))</x:f>
        <x:v>review_required</x:v>
      </x:c>
      <x:c r="AF1030" s="12" t="str">
        <x:f>IF(OR(AE1030="active",AE1030="review_required"),"yes","no")</x:f>
        <x:v>yes</x:v>
      </x:c>
      <x:c r="AG1030" s="12" t="str">
        <x:f>IF(AND(AE1030="active",M1030="yes",NOT(ISNUMBER(SEARCH("healthy",AB1030)))),"yes","no")</x:f>
        <x:v>no</x:v>
      </x:c>
      <x:c r="AH1030" s="12" t="str">
        <x:f>IF(OR(H1030="contextual",H1030="dialogue",H1030="discourse",I1030="claim+context",I1030="discourse_segment"),"yes","no")</x:f>
        <x:v>yes</x:v>
      </x:c>
      <x:c r="AI1030" s="12" t="str">
        <x:f>IF(OR(AH1030="yes",AD1030="debated",AC1030="operational"),"yes","no")</x:f>
        <x:v>yes</x:v>
      </x:c>
      <x:c r="AJ1030" s="12" t="str">
        <x:f>IF(OR(AH1030="yes",AC1030="operational",AD1030="debated"),"high",IF(AND(AG1030="yes",L1030="P0"),"medium","low"))</x:f>
        <x:v>high</x:v>
      </x:c>
      <x:c r="AK1030" s="12" t="str">
        <x:f>IF(ISNUMBER(SEARCH("healthy",AB1030)),"yes","no")</x:f>
        <x:v>yes</x:v>
      </x:c>
      <x:c r="AL1030" s="12" t="str">
        <x:f>IF(AG1030="yes","yes","candidate_only")</x:f>
        <x:v>candidate_only</x:v>
      </x:c>
      <x:c r="AM1030" s="12" t="str">
        <x:f>IF(OR(AC1030="canonical",AG1030="yes"),"yes","recommended")</x:f>
        <x:v>recommended</x:v>
      </x:c>
      <x:c r="AN1030" s="12" t="str">
        <x:f>IF(AC1030="deprecated","exclude",IF(AND(AG1030="yes",AJ1030="high"),"import_but_human_review_required",IF(AG1030="yes","import_as_active","import_as_backlog")))</x:f>
        <x:v>import_as_backlog</x:v>
      </x:c>
      <x:c r="AO1030" s="12" t="str">
        <x:f>IF(AND(AG1030="yes",OR(P1030="",Q1030="",R1030="",S1030="")),"missing_required_mvp_fields",IF(AND(AC1030="canonical",Y1030=""),"missing_source_ref","ok"))</x:f>
        <x:v>ok</x:v>
      </x:c>
      <x:c r="AP1030" s="12" t="str">
        <x:f>IF(AO1030="ok","ready_for_codex_import","needs_review")</x:f>
        <x:v>ready_for_codex_import</x:v>
      </x:c>
      <x:c r="AQ1030" s="12"/>
      <x:c r="AR1030" s="12" t="str">
        <x:v>Added v2 operational fields. Review before classification activation.</x:v>
      </x:c>
    </x:row>
    <x:row r="1031">
      <x:c r="A1031" s="13" t="str">
        <x:v>causal_caveat_evidence_quality_variant</x:v>
      </x:c>
      <x:c r="B1031" s="13" t="str">
        <x:v>causal_caveat</x:v>
      </x:c>
      <x:c r="C1031" s="13" t="str">
        <x:v>Causal caveat</x:v>
      </x:c>
      <x:c r="D1031" s="13" t="str">
        <x:v>احتیاط در علیت</x:v>
      </x:c>
      <x:c r="E1031" s="13" t="str">
        <x:v>Evidence-quality variant</x:v>
      </x:c>
      <x:c r="F1031" s="13" t="str">
        <x:v>healthy_reasoning_patterns</x:v>
      </x:c>
      <x:c r="G1031" s="13" t="str">
        <x:v>operational_variant</x:v>
      </x:c>
      <x:c r="H1031" s="13" t="str">
        <x:v>lexical</x:v>
      </x:c>
      <x:c r="I1031" s="13" t="str">
        <x:v>claim</x:v>
      </x:c>
      <x:c r="J1031" s="13" t="str">
        <x:v>protective_pattern</x:v>
      </x:c>
      <x:c r="K1031" s="13" t="str">
        <x:v>operational_pattern_needs_review</x:v>
      </x:c>
      <x:c r="L1031" s="13" t="str">
        <x:v>P1</x:v>
      </x:c>
      <x:c r="M1031" s="13" t="str">
        <x:v>review</x:v>
      </x:c>
      <x:c r="N1031" s="13" t="str">
        <x:v>Protective reasoning pattern under Causal caveat: the text grades or qualifies evidence quality. It should reduce risk scores when supported by evidence.</x:v>
      </x:c>
      <x:c r="O1031" s="13" t="str">
        <x:v>Look for: explicit claim-level evidence; parent-family cues for Causal caveat; variant cue: the text grades or qualifies evidence quality; avoid author-level inference.</x:v>
      </x:c>
      <x:c r="P1031" s="13" t="str">
        <x:v>Exact evidence span in text plus claim-level reasoning link; for contextual/discourse entries, require surrounding context.</x:v>
      </x:c>
      <x:c r="Q1031" s="13" t="str">
        <x:v>Do not label merely because topic is controversial, emotional, or wrong. Do not judge intent or personality. Require textual evidence and consider healthy-reasoning cues.</x:v>
      </x:c>
      <x:c r="R1031" s="13" t="str">
        <x:v>Stub: A claim relies on the text grades or qualifies evidence quality to support a conclusion without adequate qualification.</x:v>
      </x:c>
      <x:c r="S1031" s="13" t="str">
        <x:v>Stub: A claim discusses causal caveat with caveats, balanced evidence, or no argumentative use of the pattern.</x:v>
      </x:c>
      <x:c r="T1031" s="13" t="str">
        <x:v>Weak protective cue; keep normal review.</x:v>
      </x:c>
      <x:c r="U1031" s="13" t="str">
        <x:v>Clear protective cue; reduce false-positive risk.</x:v>
      </x:c>
      <x:c r="V1031" s="13" t="str">
        <x:v>Strong protective cue; require stronger evidence before assigning risk labels.</x:v>
      </x:c>
      <x:c r="W1031" s="13" t="str">
        <x:v>post_hoc; cum_hoc; alternative_explanation_neglect</x:v>
      </x:c>
      <x:c r="X1031" s="13" t="str">
        <x:v>toulmin_uses_argument</x:v>
      </x:c>
      <x:c r="Y1031" s="13" t="str">
        <x:v>https://doi.org/10.1017/CBO9780511840005</x:v>
      </x:c>
      <x:c r="Z1031" s="13" t="str">
        <x:v>Review before enabling. This workbook is a living taxonomy scaffold, not a validated scientific benchmark.</x:v>
      </x:c>
      <x:c r="AA1031" s="13" t="str">
        <x:v>0.1.0-draft</x:v>
      </x:c>
      <x:c r="AB1031" s="12" t="str">
        <x:f>IF(ISNUMBER(SEARCH("healthy",F1031)),"healthy_reasoning_patterns",IF(ISNUMBER(SEARCH("statistical",F1031)),"statistical_reasoning",IF(ISNUMBER(SEARCH("causal",F1031)),"causal_reasoning",IF(ISNUMBER(SEARCH("social",F1031)),"social_influence",IF(ISNUMBER(SEARCH("rhetoric",F1031)),"rhetoric_discourse",IF(ISNUMBER(SEARCH("behavior",F1031)),"behavioural_economics",IF(ISNUMBER(SEARCH("cognitive",F1031)),"cognitive_biases",IF(J1031="protective_pattern","healthy_reasoning_patterns",IF(L1031="P0","core_mvp","extended_fallacies")))))))))</x:f>
        <x:v>healthy_reasoning_patterns</x:v>
      </x:c>
      <x:c r="AC1031" s="12" t="str">
        <x:f>IF(ISNUMBER(SEARCH("operational",J1031)),"operational",IF(ISNUMBER(SEARCH("deprecated",J1031)),"deprecated",IF(L1031="P0","canonical","recognized_subtype")))</x:f>
        <x:v>recognized_subtype</x:v>
      </x:c>
      <x:c r="AD1031" s="12" t="str">
        <x:f>IF(AC1031="canonical","high",IF(AC1031="recognized_subtype","medium",IF(AC1031="operational","operational_only","debated")))</x:f>
        <x:v>medium</x:v>
      </x:c>
      <x:c r="AE1031" s="12" t="str">
        <x:f>IF(AC1031="deprecated","deprecated",IF(M1031="yes","active",IF(M1031="review","review_required","backlog")))</x:f>
        <x:v>review_required</x:v>
      </x:c>
      <x:c r="AF1031" s="12" t="str">
        <x:f>IF(OR(AE1031="active",AE1031="review_required"),"yes","no")</x:f>
        <x:v>yes</x:v>
      </x:c>
      <x:c r="AG1031" s="12" t="str">
        <x:f>IF(AND(AE1031="active",M1031="yes",NOT(ISNUMBER(SEARCH("healthy",AB1031)))),"yes","no")</x:f>
        <x:v>no</x:v>
      </x:c>
      <x:c r="AH1031" s="12" t="str">
        <x:f>IF(OR(H1031="contextual",H1031="dialogue",H1031="discourse",I1031="claim+context",I1031="discourse_segment"),"yes","no")</x:f>
        <x:v>no</x:v>
      </x:c>
      <x:c r="AI1031" s="12" t="str">
        <x:f>IF(OR(AH1031="yes",AD1031="debated",AC1031="operational"),"yes","no")</x:f>
        <x:v>no</x:v>
      </x:c>
      <x:c r="AJ1031" s="12" t="str">
        <x:f>IF(OR(AH1031="yes",AC1031="operational",AD1031="debated"),"high",IF(AND(AG1031="yes",L1031="P0"),"medium","low"))</x:f>
        <x:v>low</x:v>
      </x:c>
      <x:c r="AK1031" s="12" t="str">
        <x:f>IF(ISNUMBER(SEARCH("healthy",AB1031)),"yes","no")</x:f>
        <x:v>yes</x:v>
      </x:c>
      <x:c r="AL1031" s="12" t="str">
        <x:f>IF(AG1031="yes","yes","candidate_only")</x:f>
        <x:v>candidate_only</x:v>
      </x:c>
      <x:c r="AM1031" s="12" t="str">
        <x:f>IF(OR(AC1031="canonical",AG1031="yes"),"yes","recommended")</x:f>
        <x:v>recommended</x:v>
      </x:c>
      <x:c r="AN1031" s="12" t="str">
        <x:f>IF(AC1031="deprecated","exclude",IF(AND(AG1031="yes",AJ1031="high"),"import_but_human_review_required",IF(AG1031="yes","import_as_active","import_as_backlog")))</x:f>
        <x:v>import_as_backlog</x:v>
      </x:c>
      <x:c r="AO1031" s="12" t="str">
        <x:f>IF(AND(AG1031="yes",OR(P1031="",Q1031="",R1031="",S1031="")),"missing_required_mvp_fields",IF(AND(AC1031="canonical",Y1031=""),"missing_source_ref","ok"))</x:f>
        <x:v>ok</x:v>
      </x:c>
      <x:c r="AP1031" s="12" t="str">
        <x:f>IF(AO1031="ok","ready_for_codex_import","needs_review")</x:f>
        <x:v>ready_for_codex_import</x:v>
      </x:c>
      <x:c r="AQ1031" s="12"/>
      <x:c r="AR1031" s="12" t="str">
        <x:v>Added v2 operational fields. Review before classification activation.</x:v>
      </x:c>
    </x:row>
    <x:row r="1032">
      <x:c r="A1032" s="13" t="str">
        <x:v>sample_limitation_statement_evidence_quality_variant</x:v>
      </x:c>
      <x:c r="B1032" s="13" t="str">
        <x:v>sample_limitation_statement</x:v>
      </x:c>
      <x:c r="C1032" s="13" t="str">
        <x:v>Sample limitation statement</x:v>
      </x:c>
      <x:c r="D1032" s="13" t="str">
        <x:v>بیان محدودیت نمونه</x:v>
      </x:c>
      <x:c r="E1032" s="13" t="str">
        <x:v>Evidence-quality variant</x:v>
      </x:c>
      <x:c r="F1032" s="13" t="str">
        <x:v>healthy_reasoning_patterns</x:v>
      </x:c>
      <x:c r="G1032" s="13" t="str">
        <x:v>operational_variant</x:v>
      </x:c>
      <x:c r="H1032" s="13" t="str">
        <x:v>contextual</x:v>
      </x:c>
      <x:c r="I1032" s="13" t="str">
        <x:v>claim+context</x:v>
      </x:c>
      <x:c r="J1032" s="13" t="str">
        <x:v>protective_pattern</x:v>
      </x:c>
      <x:c r="K1032" s="13" t="str">
        <x:v>operational_pattern_needs_review</x:v>
      </x:c>
      <x:c r="L1032" s="13" t="str">
        <x:v>P1</x:v>
      </x:c>
      <x:c r="M1032" s="13" t="str">
        <x:v>review</x:v>
      </x:c>
      <x:c r="N1032" s="13" t="str">
        <x:v>Protective reasoning pattern under Sample limitation statement: the text grades or qualifies evidence quality. It should reduce risk scores when supported by evidence.</x:v>
      </x:c>
      <x:c r="O1032" s="13" t="str">
        <x:v>Look for: explicit claim-level evidence; parent-family cues for Sample limitation statement; variant cue: the text grades or qualifies evidence quality; avoid author-level inference.</x:v>
      </x:c>
      <x:c r="P1032" s="13" t="str">
        <x:v>Exact evidence span in text plus claim-level reasoning link; for contextual/discourse entries, require surrounding context.</x:v>
      </x:c>
      <x:c r="Q1032" s="13" t="str">
        <x:v>Do not label merely because topic is controversial, emotional, or wrong. Do not judge intent or personality. Require textual evidence and consider healthy-reasoning cues.</x:v>
      </x:c>
      <x:c r="R1032" s="13" t="str">
        <x:v>Stub: A claim relies on the text grades or qualifies evidence quality to support a conclusion without adequate qualification.</x:v>
      </x:c>
      <x:c r="S1032" s="13" t="str">
        <x:v>Stub: A claim discusses sample limitation statement with caveats, balanced evidence, or no argumentative use of the pattern.</x:v>
      </x:c>
      <x:c r="T1032" s="13" t="str">
        <x:v>Weak protective cue; keep normal review.</x:v>
      </x:c>
      <x:c r="U1032" s="13" t="str">
        <x:v>Clear protective cue; reduce false-positive risk.</x:v>
      </x:c>
      <x:c r="V1032" s="13" t="str">
        <x:v>Strong protective cue; require stronger evidence before assigning risk labels.</x:v>
      </x:c>
      <x:c r="W1032" s="13" t="str"/>
      <x:c r="X1032" s="13" t="str">
        <x:v>toulmin_uses_argument</x:v>
      </x:c>
      <x:c r="Y1032" s="13" t="str">
        <x:v>https://doi.org/10.1017/CBO9780511840005</x:v>
      </x:c>
      <x:c r="Z1032" s="13" t="str">
        <x:v>Review before enabling. This workbook is a living taxonomy scaffold, not a validated scientific benchmark.</x:v>
      </x:c>
      <x:c r="AA1032" s="13" t="str">
        <x:v>0.1.0-draft</x:v>
      </x:c>
      <x:c r="AB1032" s="12" t="str">
        <x:f>IF(ISNUMBER(SEARCH("healthy",F1032)),"healthy_reasoning_patterns",IF(ISNUMBER(SEARCH("statistical",F1032)),"statistical_reasoning",IF(ISNUMBER(SEARCH("causal",F1032)),"causal_reasoning",IF(ISNUMBER(SEARCH("social",F1032)),"social_influence",IF(ISNUMBER(SEARCH("rhetoric",F1032)),"rhetoric_discourse",IF(ISNUMBER(SEARCH("behavior",F1032)),"behavioural_economics",IF(ISNUMBER(SEARCH("cognitive",F1032)),"cognitive_biases",IF(J1032="protective_pattern","healthy_reasoning_patterns",IF(L1032="P0","core_mvp","extended_fallacies")))))))))</x:f>
        <x:v>healthy_reasoning_patterns</x:v>
      </x:c>
      <x:c r="AC1032" s="12" t="str">
        <x:f>IF(ISNUMBER(SEARCH("operational",J1032)),"operational",IF(ISNUMBER(SEARCH("deprecated",J1032)),"deprecated",IF(L1032="P0","canonical","recognized_subtype")))</x:f>
        <x:v>recognized_subtype</x:v>
      </x:c>
      <x:c r="AD1032" s="12" t="str">
        <x:f>IF(AC1032="canonical","high",IF(AC1032="recognized_subtype","medium",IF(AC1032="operational","operational_only","debated")))</x:f>
        <x:v>medium</x:v>
      </x:c>
      <x:c r="AE1032" s="12" t="str">
        <x:f>IF(AC1032="deprecated","deprecated",IF(M1032="yes","active",IF(M1032="review","review_required","backlog")))</x:f>
        <x:v>review_required</x:v>
      </x:c>
      <x:c r="AF1032" s="12" t="str">
        <x:f>IF(OR(AE1032="active",AE1032="review_required"),"yes","no")</x:f>
        <x:v>yes</x:v>
      </x:c>
      <x:c r="AG1032" s="12" t="str">
        <x:f>IF(AND(AE1032="active",M1032="yes",NOT(ISNUMBER(SEARCH("healthy",AB1032)))),"yes","no")</x:f>
        <x:v>no</x:v>
      </x:c>
      <x:c r="AH1032" s="12" t="str">
        <x:f>IF(OR(H1032="contextual",H1032="dialogue",H1032="discourse",I1032="claim+context",I1032="discourse_segment"),"yes","no")</x:f>
        <x:v>yes</x:v>
      </x:c>
      <x:c r="AI1032" s="12" t="str">
        <x:f>IF(OR(AH1032="yes",AD1032="debated",AC1032="operational"),"yes","no")</x:f>
        <x:v>yes</x:v>
      </x:c>
      <x:c r="AJ1032" s="12" t="str">
        <x:f>IF(OR(AH1032="yes",AC1032="operational",AD1032="debated"),"high",IF(AND(AG1032="yes",L1032="P0"),"medium","low"))</x:f>
        <x:v>high</x:v>
      </x:c>
      <x:c r="AK1032" s="12" t="str">
        <x:f>IF(ISNUMBER(SEARCH("healthy",AB1032)),"yes","no")</x:f>
        <x:v>yes</x:v>
      </x:c>
      <x:c r="AL1032" s="12" t="str">
        <x:f>IF(AG1032="yes","yes","candidate_only")</x:f>
        <x:v>candidate_only</x:v>
      </x:c>
      <x:c r="AM1032" s="12" t="str">
        <x:f>IF(OR(AC1032="canonical",AG1032="yes"),"yes","recommended")</x:f>
        <x:v>recommended</x:v>
      </x:c>
      <x:c r="AN1032" s="12" t="str">
        <x:f>IF(AC1032="deprecated","exclude",IF(AND(AG1032="yes",AJ1032="high"),"import_but_human_review_required",IF(AG1032="yes","import_as_active","import_as_backlog")))</x:f>
        <x:v>import_as_backlog</x:v>
      </x:c>
      <x:c r="AO1032" s="12" t="str">
        <x:f>IF(AND(AG1032="yes",OR(P1032="",Q1032="",R1032="",S1032="")),"missing_required_mvp_fields",IF(AND(AC1032="canonical",Y1032=""),"missing_source_ref","ok"))</x:f>
        <x:v>ok</x:v>
      </x:c>
      <x:c r="AP1032" s="12" t="str">
        <x:f>IF(AO1032="ok","ready_for_codex_import","needs_review")</x:f>
        <x:v>ready_for_codex_import</x:v>
      </x:c>
      <x:c r="AQ1032" s="12"/>
      <x:c r="AR1032" s="12" t="str">
        <x:v>Added v2 operational fields. Review before classification activation.</x:v>
      </x:c>
    </x:row>
    <x:row r="1033">
      <x:c r="A1033" s="13" t="str">
        <x:v>method_limitation_statement_evidence_quality_variant</x:v>
      </x:c>
      <x:c r="B1033" s="13" t="str">
        <x:v>method_limitation_statement</x:v>
      </x:c>
      <x:c r="C1033" s="13" t="str">
        <x:v>Method limitation statement</x:v>
      </x:c>
      <x:c r="D1033" s="13" t="str">
        <x:v>بیان محدودیت روش</x:v>
      </x:c>
      <x:c r="E1033" s="13" t="str">
        <x:v>Evidence-quality variant</x:v>
      </x:c>
      <x:c r="F1033" s="13" t="str">
        <x:v>healthy_reasoning_patterns</x:v>
      </x:c>
      <x:c r="G1033" s="13" t="str">
        <x:v>operational_variant</x:v>
      </x:c>
      <x:c r="H1033" s="13" t="str">
        <x:v>contextual</x:v>
      </x:c>
      <x:c r="I1033" s="13" t="str">
        <x:v>claim+context</x:v>
      </x:c>
      <x:c r="J1033" s="13" t="str">
        <x:v>protective_pattern</x:v>
      </x:c>
      <x:c r="K1033" s="13" t="str">
        <x:v>operational_pattern_needs_review</x:v>
      </x:c>
      <x:c r="L1033" s="13" t="str">
        <x:v>P1</x:v>
      </x:c>
      <x:c r="M1033" s="13" t="str">
        <x:v>review</x:v>
      </x:c>
      <x:c r="N1033" s="13" t="str">
        <x:v>Protective reasoning pattern under Method limitation statement: the text grades or qualifies evidence quality. It should reduce risk scores when supported by evidence.</x:v>
      </x:c>
      <x:c r="O1033" s="13" t="str">
        <x:v>Look for: explicit claim-level evidence; parent-family cues for Method limitation statement; variant cue: the text grades or qualifies evidence quality; avoid author-level inference.</x:v>
      </x:c>
      <x:c r="P1033" s="13" t="str">
        <x:v>Exact evidence span in text plus claim-level reasoning link; for contextual/discourse entries, require surrounding context.</x:v>
      </x:c>
      <x:c r="Q1033" s="13" t="str">
        <x:v>Do not label merely because topic is controversial, emotional, or wrong. Do not judge intent or personality. Require textual evidence and consider healthy-reasoning cues.</x:v>
      </x:c>
      <x:c r="R1033" s="13" t="str">
        <x:v>Stub: A claim relies on the text grades or qualifies evidence quality to support a conclusion without adequate qualification.</x:v>
      </x:c>
      <x:c r="S1033" s="13" t="str">
        <x:v>Stub: A claim discusses method limitation statement with caveats, balanced evidence, or no argumentative use of the pattern.</x:v>
      </x:c>
      <x:c r="T1033" s="13" t="str">
        <x:v>Weak protective cue; keep normal review.</x:v>
      </x:c>
      <x:c r="U1033" s="13" t="str">
        <x:v>Clear protective cue; reduce false-positive risk.</x:v>
      </x:c>
      <x:c r="V1033" s="13" t="str">
        <x:v>Strong protective cue; require stronger evidence before assigning risk labels.</x:v>
      </x:c>
      <x:c r="W1033" s="13" t="str"/>
      <x:c r="X1033" s="13" t="str">
        <x:v>toulmin_uses_argument</x:v>
      </x:c>
      <x:c r="Y1033" s="13" t="str">
        <x:v>https://doi.org/10.1017/CBO9780511840005</x:v>
      </x:c>
      <x:c r="Z1033" s="13" t="str">
        <x:v>Review before enabling. This workbook is a living taxonomy scaffold, not a validated scientific benchmark.</x:v>
      </x:c>
      <x:c r="AA1033" s="13" t="str">
        <x:v>0.1.0-draft</x:v>
      </x:c>
      <x:c r="AB1033" s="12" t="str">
        <x:f>IF(ISNUMBER(SEARCH("healthy",F1033)),"healthy_reasoning_patterns",IF(ISNUMBER(SEARCH("statistical",F1033)),"statistical_reasoning",IF(ISNUMBER(SEARCH("causal",F1033)),"causal_reasoning",IF(ISNUMBER(SEARCH("social",F1033)),"social_influence",IF(ISNUMBER(SEARCH("rhetoric",F1033)),"rhetoric_discourse",IF(ISNUMBER(SEARCH("behavior",F1033)),"behavioural_economics",IF(ISNUMBER(SEARCH("cognitive",F1033)),"cognitive_biases",IF(J1033="protective_pattern","healthy_reasoning_patterns",IF(L1033="P0","core_mvp","extended_fallacies")))))))))</x:f>
        <x:v>healthy_reasoning_patterns</x:v>
      </x:c>
      <x:c r="AC1033" s="12" t="str">
        <x:f>IF(ISNUMBER(SEARCH("operational",J1033)),"operational",IF(ISNUMBER(SEARCH("deprecated",J1033)),"deprecated",IF(L1033="P0","canonical","recognized_subtype")))</x:f>
        <x:v>recognized_subtype</x:v>
      </x:c>
      <x:c r="AD1033" s="12" t="str">
        <x:f>IF(AC1033="canonical","high",IF(AC1033="recognized_subtype","medium",IF(AC1033="operational","operational_only","debated")))</x:f>
        <x:v>medium</x:v>
      </x:c>
      <x:c r="AE1033" s="12" t="str">
        <x:f>IF(AC1033="deprecated","deprecated",IF(M1033="yes","active",IF(M1033="review","review_required","backlog")))</x:f>
        <x:v>review_required</x:v>
      </x:c>
      <x:c r="AF1033" s="12" t="str">
        <x:f>IF(OR(AE1033="active",AE1033="review_required"),"yes","no")</x:f>
        <x:v>yes</x:v>
      </x:c>
      <x:c r="AG1033" s="12" t="str">
        <x:f>IF(AND(AE1033="active",M1033="yes",NOT(ISNUMBER(SEARCH("healthy",AB1033)))),"yes","no")</x:f>
        <x:v>no</x:v>
      </x:c>
      <x:c r="AH1033" s="12" t="str">
        <x:f>IF(OR(H1033="contextual",H1033="dialogue",H1033="discourse",I1033="claim+context",I1033="discourse_segment"),"yes","no")</x:f>
        <x:v>yes</x:v>
      </x:c>
      <x:c r="AI1033" s="12" t="str">
        <x:f>IF(OR(AH1033="yes",AD1033="debated",AC1033="operational"),"yes","no")</x:f>
        <x:v>yes</x:v>
      </x:c>
      <x:c r="AJ1033" s="12" t="str">
        <x:f>IF(OR(AH1033="yes",AC1033="operational",AD1033="debated"),"high",IF(AND(AG1033="yes",L1033="P0"),"medium","low"))</x:f>
        <x:v>high</x:v>
      </x:c>
      <x:c r="AK1033" s="12" t="str">
        <x:f>IF(ISNUMBER(SEARCH("healthy",AB1033)),"yes","no")</x:f>
        <x:v>yes</x:v>
      </x:c>
      <x:c r="AL1033" s="12" t="str">
        <x:f>IF(AG1033="yes","yes","candidate_only")</x:f>
        <x:v>candidate_only</x:v>
      </x:c>
      <x:c r="AM1033" s="12" t="str">
        <x:f>IF(OR(AC1033="canonical",AG1033="yes"),"yes","recommended")</x:f>
        <x:v>recommended</x:v>
      </x:c>
      <x:c r="AN1033" s="12" t="str">
        <x:f>IF(AC1033="deprecated","exclude",IF(AND(AG1033="yes",AJ1033="high"),"import_but_human_review_required",IF(AG1033="yes","import_as_active","import_as_backlog")))</x:f>
        <x:v>import_as_backlog</x:v>
      </x:c>
      <x:c r="AO1033" s="12" t="str">
        <x:f>IF(AND(AG1033="yes",OR(P1033="",Q1033="",R1033="",S1033="")),"missing_required_mvp_fields",IF(AND(AC1033="canonical",Y1033=""),"missing_source_ref","ok"))</x:f>
        <x:v>ok</x:v>
      </x:c>
      <x:c r="AP1033" s="12" t="str">
        <x:f>IF(AO1033="ok","ready_for_codex_import","needs_review")</x:f>
        <x:v>ready_for_codex_import</x:v>
      </x:c>
      <x:c r="AQ1033" s="12"/>
      <x:c r="AR1033" s="12" t="str">
        <x:v>Added v2 operational fields. Review before classification activation.</x:v>
      </x:c>
    </x:row>
    <x:row r="1034">
      <x:c r="A1034" s="13" t="str">
        <x:v>rebuttal_inclusion_evidence_quality_variant</x:v>
      </x:c>
      <x:c r="B1034" s="13" t="str">
        <x:v>rebuttal_inclusion</x:v>
      </x:c>
      <x:c r="C1034" s="13" t="str">
        <x:v>Rebuttal inclusion</x:v>
      </x:c>
      <x:c r="D1034" s="13" t="str">
        <x:v>درج ردیه یا استثنا</x:v>
      </x:c>
      <x:c r="E1034" s="13" t="str">
        <x:v>Evidence-quality variant</x:v>
      </x:c>
      <x:c r="F1034" s="13" t="str">
        <x:v>healthy_reasoning_patterns</x:v>
      </x:c>
      <x:c r="G1034" s="13" t="str">
        <x:v>operational_variant</x:v>
      </x:c>
      <x:c r="H1034" s="13" t="str">
        <x:v>structural</x:v>
      </x:c>
      <x:c r="I1034" s="13" t="str">
        <x:v>claim</x:v>
      </x:c>
      <x:c r="J1034" s="13" t="str">
        <x:v>protective_pattern</x:v>
      </x:c>
      <x:c r="K1034" s="13" t="str">
        <x:v>operational_pattern_needs_review</x:v>
      </x:c>
      <x:c r="L1034" s="13" t="str">
        <x:v>P1</x:v>
      </x:c>
      <x:c r="M1034" s="13" t="str">
        <x:v>review</x:v>
      </x:c>
      <x:c r="N1034" s="13" t="str">
        <x:v>Protective reasoning pattern under Rebuttal inclusion: the text grades or qualifies evidence quality. It should reduce risk scores when supported by evidence.</x:v>
      </x:c>
      <x:c r="O1034" s="13" t="str">
        <x:v>Look for: explicit claim-level evidence; parent-family cues for Rebuttal inclusion; variant cue: the text grades or qualifies evidence quality; avoid author-level inference.</x:v>
      </x:c>
      <x:c r="P1034" s="13" t="str">
        <x:v>Exact evidence span in text plus claim-level reasoning link; for contextual/discourse entries, require surrounding context.</x:v>
      </x:c>
      <x:c r="Q1034" s="13" t="str">
        <x:v>Do not label merely because topic is controversial, emotional, or wrong. Do not judge intent or personality. Require textual evidence and consider healthy-reasoning cues.</x:v>
      </x:c>
      <x:c r="R1034" s="13" t="str">
        <x:v>Stub: A claim relies on the text grades or qualifies evidence quality to support a conclusion without adequate qualification.</x:v>
      </x:c>
      <x:c r="S1034" s="13" t="str">
        <x:v>Stub: A claim discusses rebuttal inclusion with caveats, balanced evidence, or no argumentative use of the pattern.</x:v>
      </x:c>
      <x:c r="T1034" s="13" t="str">
        <x:v>Weak protective cue; keep normal review.</x:v>
      </x:c>
      <x:c r="U1034" s="13" t="str">
        <x:v>Clear protective cue; reduce false-positive risk.</x:v>
      </x:c>
      <x:c r="V1034" s="13" t="str">
        <x:v>Strong protective cue; require stronger evidence before assigning risk labels.</x:v>
      </x:c>
      <x:c r="W1034" s="13" t="str"/>
      <x:c r="X1034" s="13" t="str">
        <x:v>toulmin_uses_argument</x:v>
      </x:c>
      <x:c r="Y1034" s="13" t="str">
        <x:v>https://doi.org/10.1017/CBO9780511840005</x:v>
      </x:c>
      <x:c r="Z1034" s="13" t="str">
        <x:v>Review before enabling. This workbook is a living taxonomy scaffold, not a validated scientific benchmark.</x:v>
      </x:c>
      <x:c r="AA1034" s="13" t="str">
        <x:v>0.1.0-draft</x:v>
      </x:c>
      <x:c r="AB1034" s="12" t="str">
        <x:f>IF(ISNUMBER(SEARCH("healthy",F1034)),"healthy_reasoning_patterns",IF(ISNUMBER(SEARCH("statistical",F1034)),"statistical_reasoning",IF(ISNUMBER(SEARCH("causal",F1034)),"causal_reasoning",IF(ISNUMBER(SEARCH("social",F1034)),"social_influence",IF(ISNUMBER(SEARCH("rhetoric",F1034)),"rhetoric_discourse",IF(ISNUMBER(SEARCH("behavior",F1034)),"behavioural_economics",IF(ISNUMBER(SEARCH("cognitive",F1034)),"cognitive_biases",IF(J1034="protective_pattern","healthy_reasoning_patterns",IF(L1034="P0","core_mvp","extended_fallacies")))))))))</x:f>
        <x:v>healthy_reasoning_patterns</x:v>
      </x:c>
      <x:c r="AC1034" s="12" t="str">
        <x:f>IF(ISNUMBER(SEARCH("operational",J1034)),"operational",IF(ISNUMBER(SEARCH("deprecated",J1034)),"deprecated",IF(L1034="P0","canonical","recognized_subtype")))</x:f>
        <x:v>recognized_subtype</x:v>
      </x:c>
      <x:c r="AD1034" s="12" t="str">
        <x:f>IF(AC1034="canonical","high",IF(AC1034="recognized_subtype","medium",IF(AC1034="operational","operational_only","debated")))</x:f>
        <x:v>medium</x:v>
      </x:c>
      <x:c r="AE1034" s="12" t="str">
        <x:f>IF(AC1034="deprecated","deprecated",IF(M1034="yes","active",IF(M1034="review","review_required","backlog")))</x:f>
        <x:v>review_required</x:v>
      </x:c>
      <x:c r="AF1034" s="12" t="str">
        <x:f>IF(OR(AE1034="active",AE1034="review_required"),"yes","no")</x:f>
        <x:v>yes</x:v>
      </x:c>
      <x:c r="AG1034" s="12" t="str">
        <x:f>IF(AND(AE1034="active",M1034="yes",NOT(ISNUMBER(SEARCH("healthy",AB1034)))),"yes","no")</x:f>
        <x:v>no</x:v>
      </x:c>
      <x:c r="AH1034" s="12" t="str">
        <x:f>IF(OR(H1034="contextual",H1034="dialogue",H1034="discourse",I1034="claim+context",I1034="discourse_segment"),"yes","no")</x:f>
        <x:v>no</x:v>
      </x:c>
      <x:c r="AI1034" s="12" t="str">
        <x:f>IF(OR(AH1034="yes",AD1034="debated",AC1034="operational"),"yes","no")</x:f>
        <x:v>no</x:v>
      </x:c>
      <x:c r="AJ1034" s="12" t="str">
        <x:f>IF(OR(AH1034="yes",AC1034="operational",AD1034="debated"),"high",IF(AND(AG1034="yes",L1034="P0"),"medium","low"))</x:f>
        <x:v>low</x:v>
      </x:c>
      <x:c r="AK1034" s="12" t="str">
        <x:f>IF(ISNUMBER(SEARCH("healthy",AB1034)),"yes","no")</x:f>
        <x:v>yes</x:v>
      </x:c>
      <x:c r="AL1034" s="12" t="str">
        <x:f>IF(AG1034="yes","yes","candidate_only")</x:f>
        <x:v>candidate_only</x:v>
      </x:c>
      <x:c r="AM1034" s="12" t="str">
        <x:f>IF(OR(AC1034="canonical",AG1034="yes"),"yes","recommended")</x:f>
        <x:v>recommended</x:v>
      </x:c>
      <x:c r="AN1034" s="12" t="str">
        <x:f>IF(AC1034="deprecated","exclude",IF(AND(AG1034="yes",AJ1034="high"),"import_but_human_review_required",IF(AG1034="yes","import_as_active","import_as_backlog")))</x:f>
        <x:v>import_as_backlog</x:v>
      </x:c>
      <x:c r="AO1034" s="12" t="str">
        <x:f>IF(AND(AG1034="yes",OR(P1034="",Q1034="",R1034="",S1034="")),"missing_required_mvp_fields",IF(AND(AC1034="canonical",Y1034=""),"missing_source_ref","ok"))</x:f>
        <x:v>ok</x:v>
      </x:c>
      <x:c r="AP1034" s="12" t="str">
        <x:f>IF(AO1034="ok","ready_for_codex_import","needs_review")</x:f>
        <x:v>ready_for_codex_import</x:v>
      </x:c>
      <x:c r="AQ1034" s="12"/>
      <x:c r="AR1034" s="12" t="str">
        <x:v>Added v2 operational fields. Review before classification activation.</x:v>
      </x:c>
    </x:row>
    <x:row r="1035">
      <x:c r="A1035" s="13" t="str">
        <x:v>warrant_explication_evidence_quality_variant</x:v>
      </x:c>
      <x:c r="B1035" s="13" t="str">
        <x:v>warrant_explication</x:v>
      </x:c>
      <x:c r="C1035" s="13" t="str">
        <x:v>Warrant explication</x:v>
      </x:c>
      <x:c r="D1035" s="13" t="str">
        <x:v>تصریح پیوند استدلالی</x:v>
      </x:c>
      <x:c r="E1035" s="13" t="str">
        <x:v>Evidence-quality variant</x:v>
      </x:c>
      <x:c r="F1035" s="13" t="str">
        <x:v>healthy_reasoning_patterns</x:v>
      </x:c>
      <x:c r="G1035" s="13" t="str">
        <x:v>operational_variant</x:v>
      </x:c>
      <x:c r="H1035" s="13" t="str">
        <x:v>structural</x:v>
      </x:c>
      <x:c r="I1035" s="13" t="str">
        <x:v>claim</x:v>
      </x:c>
      <x:c r="J1035" s="13" t="str">
        <x:v>protective_pattern</x:v>
      </x:c>
      <x:c r="K1035" s="13" t="str">
        <x:v>operational_pattern_needs_review</x:v>
      </x:c>
      <x:c r="L1035" s="13" t="str">
        <x:v>P1</x:v>
      </x:c>
      <x:c r="M1035" s="13" t="str">
        <x:v>review</x:v>
      </x:c>
      <x:c r="N1035" s="13" t="str">
        <x:v>Protective reasoning pattern under Warrant explication: the text grades or qualifies evidence quality. It should reduce risk scores when supported by evidence.</x:v>
      </x:c>
      <x:c r="O1035" s="13" t="str">
        <x:v>Look for: explicit claim-level evidence; parent-family cues for Warrant explication; variant cue: the text grades or qualifies evidence quality; avoid author-level inference.</x:v>
      </x:c>
      <x:c r="P1035" s="13" t="str">
        <x:v>Exact evidence span in text plus claim-level reasoning link; for contextual/discourse entries, require surrounding context.</x:v>
      </x:c>
      <x:c r="Q1035" s="13" t="str">
        <x:v>Do not label merely because topic is controversial, emotional, or wrong. Do not judge intent or personality. Require textual evidence and consider healthy-reasoning cues.</x:v>
      </x:c>
      <x:c r="R1035" s="13" t="str">
        <x:v>Stub: A claim relies on the text grades or qualifies evidence quality to support a conclusion without adequate qualification.</x:v>
      </x:c>
      <x:c r="S1035" s="13" t="str">
        <x:v>Stub: A claim discusses warrant explication with caveats, balanced evidence, or no argumentative use of the pattern.</x:v>
      </x:c>
      <x:c r="T1035" s="13" t="str">
        <x:v>Weak protective cue; keep normal review.</x:v>
      </x:c>
      <x:c r="U1035" s="13" t="str">
        <x:v>Clear protective cue; reduce false-positive risk.</x:v>
      </x:c>
      <x:c r="V1035" s="13" t="str">
        <x:v>Strong protective cue; require stronger evidence before assigning risk labels.</x:v>
      </x:c>
      <x:c r="W1035" s="13" t="str">
        <x:v>cherry_picking; missing_counterevidence; evidence_grading</x:v>
      </x:c>
      <x:c r="X1035" s="13" t="str">
        <x:v>toulmin_uses_argument</x:v>
      </x:c>
      <x:c r="Y1035" s="13" t="str">
        <x:v>https://doi.org/10.1017/CBO9780511840005</x:v>
      </x:c>
      <x:c r="Z1035" s="13" t="str">
        <x:v>Review before enabling. This workbook is a living taxonomy scaffold, not a validated scientific benchmark.</x:v>
      </x:c>
      <x:c r="AA1035" s="13" t="str">
        <x:v>0.1.0-draft</x:v>
      </x:c>
      <x:c r="AB1035" s="12" t="str">
        <x:f>IF(ISNUMBER(SEARCH("healthy",F1035)),"healthy_reasoning_patterns",IF(ISNUMBER(SEARCH("statistical",F1035)),"statistical_reasoning",IF(ISNUMBER(SEARCH("causal",F1035)),"causal_reasoning",IF(ISNUMBER(SEARCH("social",F1035)),"social_influence",IF(ISNUMBER(SEARCH("rhetoric",F1035)),"rhetoric_discourse",IF(ISNUMBER(SEARCH("behavior",F1035)),"behavioural_economics",IF(ISNUMBER(SEARCH("cognitive",F1035)),"cognitive_biases",IF(J1035="protective_pattern","healthy_reasoning_patterns",IF(L1035="P0","core_mvp","extended_fallacies")))))))))</x:f>
        <x:v>healthy_reasoning_patterns</x:v>
      </x:c>
      <x:c r="AC1035" s="12" t="str">
        <x:f>IF(ISNUMBER(SEARCH("operational",J1035)),"operational",IF(ISNUMBER(SEARCH("deprecated",J1035)),"deprecated",IF(L1035="P0","canonical","recognized_subtype")))</x:f>
        <x:v>recognized_subtype</x:v>
      </x:c>
      <x:c r="AD1035" s="12" t="str">
        <x:f>IF(AC1035="canonical","high",IF(AC1035="recognized_subtype","medium",IF(AC1035="operational","operational_only","debated")))</x:f>
        <x:v>medium</x:v>
      </x:c>
      <x:c r="AE1035" s="12" t="str">
        <x:f>IF(AC1035="deprecated","deprecated",IF(M1035="yes","active",IF(M1035="review","review_required","backlog")))</x:f>
        <x:v>review_required</x:v>
      </x:c>
      <x:c r="AF1035" s="12" t="str">
        <x:f>IF(OR(AE1035="active",AE1035="review_required"),"yes","no")</x:f>
        <x:v>yes</x:v>
      </x:c>
      <x:c r="AG1035" s="12" t="str">
        <x:f>IF(AND(AE1035="active",M1035="yes",NOT(ISNUMBER(SEARCH("healthy",AB1035)))),"yes","no")</x:f>
        <x:v>no</x:v>
      </x:c>
      <x:c r="AH1035" s="12" t="str">
        <x:f>IF(OR(H1035="contextual",H1035="dialogue",H1035="discourse",I1035="claim+context",I1035="discourse_segment"),"yes","no")</x:f>
        <x:v>no</x:v>
      </x:c>
      <x:c r="AI1035" s="12" t="str">
        <x:f>IF(OR(AH1035="yes",AD1035="debated",AC1035="operational"),"yes","no")</x:f>
        <x:v>no</x:v>
      </x:c>
      <x:c r="AJ1035" s="12" t="str">
        <x:f>IF(OR(AH1035="yes",AC1035="operational",AD1035="debated"),"high",IF(AND(AG1035="yes",L1035="P0"),"medium","low"))</x:f>
        <x:v>low</x:v>
      </x:c>
      <x:c r="AK1035" s="12" t="str">
        <x:f>IF(ISNUMBER(SEARCH("healthy",AB1035)),"yes","no")</x:f>
        <x:v>yes</x:v>
      </x:c>
      <x:c r="AL1035" s="12" t="str">
        <x:f>IF(AG1035="yes","yes","candidate_only")</x:f>
        <x:v>candidate_only</x:v>
      </x:c>
      <x:c r="AM1035" s="12" t="str">
        <x:f>IF(OR(AC1035="canonical",AG1035="yes"),"yes","recommended")</x:f>
        <x:v>recommended</x:v>
      </x:c>
      <x:c r="AN1035" s="12" t="str">
        <x:f>IF(AC1035="deprecated","exclude",IF(AND(AG1035="yes",AJ1035="high"),"import_but_human_review_required",IF(AG1035="yes","import_as_active","import_as_backlog")))</x:f>
        <x:v>import_as_backlog</x:v>
      </x:c>
      <x:c r="AO1035" s="12" t="str">
        <x:f>IF(AND(AG1035="yes",OR(P1035="",Q1035="",R1035="",S1035="")),"missing_required_mvp_fields",IF(AND(AC1035="canonical",Y1035=""),"missing_source_ref","ok"))</x:f>
        <x:v>ok</x:v>
      </x:c>
      <x:c r="AP1035" s="12" t="str">
        <x:f>IF(AO1035="ok","ready_for_codex_import","needs_review")</x:f>
        <x:v>ready_for_codex_import</x:v>
      </x:c>
      <x:c r="AQ1035" s="12"/>
      <x:c r="AR1035" s="12" t="str">
        <x:v>Added v2 operational fields. Review before classification activation.</x:v>
      </x:c>
    </x:row>
    <x:row r="1036">
      <x:c r="A1036" s="13" t="str">
        <x:v>steelman_interpretation_evidence_quality_variant</x:v>
      </x:c>
      <x:c r="B1036" s="13" t="str">
        <x:v>steelman_interpretation</x:v>
      </x:c>
      <x:c r="C1036" s="13" t="str">
        <x:v>Steelman interpretation</x:v>
      </x:c>
      <x:c r="D1036" s="13" t="str">
        <x:v>تقویت منصفانه موضع مقابل</x:v>
      </x:c>
      <x:c r="E1036" s="13" t="str">
        <x:v>Evidence-quality variant</x:v>
      </x:c>
      <x:c r="F1036" s="13" t="str">
        <x:v>healthy_reasoning_patterns</x:v>
      </x:c>
      <x:c r="G1036" s="13" t="str">
        <x:v>operational_variant</x:v>
      </x:c>
      <x:c r="H1036" s="13" t="str">
        <x:v>dialogue</x:v>
      </x:c>
      <x:c r="I1036" s="13" t="str">
        <x:v>discourse_segment</x:v>
      </x:c>
      <x:c r="J1036" s="13" t="str">
        <x:v>protective_pattern</x:v>
      </x:c>
      <x:c r="K1036" s="13" t="str">
        <x:v>operational_pattern_needs_review</x:v>
      </x:c>
      <x:c r="L1036" s="13" t="str">
        <x:v>P1</x:v>
      </x:c>
      <x:c r="M1036" s="13" t="str">
        <x:v>review</x:v>
      </x:c>
      <x:c r="N1036" s="13" t="str">
        <x:v>Protective reasoning pattern under Steelman interpretation: the text grades or qualifies evidence quality. It should reduce risk scores when supported by evidence.</x:v>
      </x:c>
      <x:c r="O1036" s="13" t="str">
        <x:v>Look for: explicit claim-level evidence; parent-family cues for Steelman interpretation; variant cue: the text grades or qualifies evidence quality; avoid author-level inference.</x:v>
      </x:c>
      <x:c r="P1036" s="13" t="str">
        <x:v>Exact evidence span in text plus claim-level reasoning link; for contextual/discourse entries, require surrounding context.</x:v>
      </x:c>
      <x:c r="Q1036" s="13" t="str">
        <x:v>Do not label merely because topic is controversial, emotional, or wrong. Do not judge intent or personality. Require textual evidence and consider healthy-reasoning cues.</x:v>
      </x:c>
      <x:c r="R1036" s="13" t="str">
        <x:v>Stub: A claim relies on the text grades or qualifies evidence quality to support a conclusion without adequate qualification.</x:v>
      </x:c>
      <x:c r="S1036" s="13" t="str">
        <x:v>Stub: A claim discusses steelman interpretation with caveats, balanced evidence, or no argumentative use of the pattern.</x:v>
      </x:c>
      <x:c r="T1036" s="13" t="str">
        <x:v>Weak protective cue; keep normal review.</x:v>
      </x:c>
      <x:c r="U1036" s="13" t="str">
        <x:v>Clear protective cue; reduce false-positive risk.</x:v>
      </x:c>
      <x:c r="V1036" s="13" t="str">
        <x:v>Strong protective cue; require stronger evidence before assigning risk labels.</x:v>
      </x:c>
      <x:c r="W1036" s="13" t="str"/>
      <x:c r="X1036" s="13" t="str">
        <x:v>toulmin_uses_argument</x:v>
      </x:c>
      <x:c r="Y1036" s="13" t="str">
        <x:v>https://doi.org/10.1017/CBO9780511840005</x:v>
      </x:c>
      <x:c r="Z1036" s="13" t="str">
        <x:v>Review before enabling. This workbook is a living taxonomy scaffold, not a validated scientific benchmark.</x:v>
      </x:c>
      <x:c r="AA1036" s="13" t="str">
        <x:v>0.1.0-draft</x:v>
      </x:c>
      <x:c r="AB1036" s="12" t="str">
        <x:f>IF(ISNUMBER(SEARCH("healthy",F1036)),"healthy_reasoning_patterns",IF(ISNUMBER(SEARCH("statistical",F1036)),"statistical_reasoning",IF(ISNUMBER(SEARCH("causal",F1036)),"causal_reasoning",IF(ISNUMBER(SEARCH("social",F1036)),"social_influence",IF(ISNUMBER(SEARCH("rhetoric",F1036)),"rhetoric_discourse",IF(ISNUMBER(SEARCH("behavior",F1036)),"behavioural_economics",IF(ISNUMBER(SEARCH("cognitive",F1036)),"cognitive_biases",IF(J1036="protective_pattern","healthy_reasoning_patterns",IF(L1036="P0","core_mvp","extended_fallacies")))))))))</x:f>
        <x:v>healthy_reasoning_patterns</x:v>
      </x:c>
      <x:c r="AC1036" s="12" t="str">
        <x:f>IF(ISNUMBER(SEARCH("operational",J1036)),"operational",IF(ISNUMBER(SEARCH("deprecated",J1036)),"deprecated",IF(L1036="P0","canonical","recognized_subtype")))</x:f>
        <x:v>recognized_subtype</x:v>
      </x:c>
      <x:c r="AD1036" s="12" t="str">
        <x:f>IF(AC1036="canonical","high",IF(AC1036="recognized_subtype","medium",IF(AC1036="operational","operational_only","debated")))</x:f>
        <x:v>medium</x:v>
      </x:c>
      <x:c r="AE1036" s="12" t="str">
        <x:f>IF(AC1036="deprecated","deprecated",IF(M1036="yes","active",IF(M1036="review","review_required","backlog")))</x:f>
        <x:v>review_required</x:v>
      </x:c>
      <x:c r="AF1036" s="12" t="str">
        <x:f>IF(OR(AE1036="active",AE1036="review_required"),"yes","no")</x:f>
        <x:v>yes</x:v>
      </x:c>
      <x:c r="AG1036" s="12" t="str">
        <x:f>IF(AND(AE1036="active",M1036="yes",NOT(ISNUMBER(SEARCH("healthy",AB1036)))),"yes","no")</x:f>
        <x:v>no</x:v>
      </x:c>
      <x:c r="AH1036" s="12" t="str">
        <x:f>IF(OR(H1036="contextual",H1036="dialogue",H1036="discourse",I1036="claim+context",I1036="discourse_segment"),"yes","no")</x:f>
        <x:v>yes</x:v>
      </x:c>
      <x:c r="AI1036" s="12" t="str">
        <x:f>IF(OR(AH1036="yes",AD1036="debated",AC1036="operational"),"yes","no")</x:f>
        <x:v>yes</x:v>
      </x:c>
      <x:c r="AJ1036" s="12" t="str">
        <x:f>IF(OR(AH1036="yes",AC1036="operational",AD1036="debated"),"high",IF(AND(AG1036="yes",L1036="P0"),"medium","low"))</x:f>
        <x:v>high</x:v>
      </x:c>
      <x:c r="AK1036" s="12" t="str">
        <x:f>IF(ISNUMBER(SEARCH("healthy",AB1036)),"yes","no")</x:f>
        <x:v>yes</x:v>
      </x:c>
      <x:c r="AL1036" s="12" t="str">
        <x:f>IF(AG1036="yes","yes","candidate_only")</x:f>
        <x:v>candidate_only</x:v>
      </x:c>
      <x:c r="AM1036" s="12" t="str">
        <x:f>IF(OR(AC1036="canonical",AG1036="yes"),"yes","recommended")</x:f>
        <x:v>recommended</x:v>
      </x:c>
      <x:c r="AN1036" s="12" t="str">
        <x:f>IF(AC1036="deprecated","exclude",IF(AND(AG1036="yes",AJ1036="high"),"import_but_human_review_required",IF(AG1036="yes","import_as_active","import_as_backlog")))</x:f>
        <x:v>import_as_backlog</x:v>
      </x:c>
      <x:c r="AO1036" s="12" t="str">
        <x:f>IF(AND(AG1036="yes",OR(P1036="",Q1036="",R1036="",S1036="")),"missing_required_mvp_fields",IF(AND(AC1036="canonical",Y1036=""),"missing_source_ref","ok"))</x:f>
        <x:v>ok</x:v>
      </x:c>
      <x:c r="AP1036" s="12" t="str">
        <x:f>IF(AO1036="ok","ready_for_codex_import","needs_review")</x:f>
        <x:v>ready_for_codex_import</x:v>
      </x:c>
      <x:c r="AQ1036" s="12"/>
      <x:c r="AR1036" s="12" t="str">
        <x:v>Added v2 operational fields. Review before classification activation.</x:v>
      </x:c>
    </x:row>
    <x:row r="1037">
      <x:c r="A1037" s="13" t="str">
        <x:v>decision_threshold_statement_evidence_quality_variant</x:v>
      </x:c>
      <x:c r="B1037" s="13" t="str">
        <x:v>decision_threshold_statement</x:v>
      </x:c>
      <x:c r="C1037" s="13" t="str">
        <x:v>Decision threshold statement</x:v>
      </x:c>
      <x:c r="D1037" s="13" t="str">
        <x:v>بیان آستانه تصمیم</x:v>
      </x:c>
      <x:c r="E1037" s="13" t="str">
        <x:v>Evidence-quality variant</x:v>
      </x:c>
      <x:c r="F1037" s="13" t="str">
        <x:v>healthy_reasoning_patterns</x:v>
      </x:c>
      <x:c r="G1037" s="13" t="str">
        <x:v>operational_variant</x:v>
      </x:c>
      <x:c r="H1037" s="13" t="str">
        <x:v>contextual</x:v>
      </x:c>
      <x:c r="I1037" s="13" t="str">
        <x:v>claim+context</x:v>
      </x:c>
      <x:c r="J1037" s="13" t="str">
        <x:v>protective_pattern</x:v>
      </x:c>
      <x:c r="K1037" s="13" t="str">
        <x:v>operational_pattern_needs_review</x:v>
      </x:c>
      <x:c r="L1037" s="13" t="str">
        <x:v>P1</x:v>
      </x:c>
      <x:c r="M1037" s="13" t="str">
        <x:v>review</x:v>
      </x:c>
      <x:c r="N1037" s="13" t="str">
        <x:v>Protective reasoning pattern under Decision threshold statement: the text grades or qualifies evidence quality. It should reduce risk scores when supported by evidence.</x:v>
      </x:c>
      <x:c r="O1037" s="13" t="str">
        <x:v>Look for: explicit claim-level evidence; parent-family cues for Decision threshold statement; variant cue: the text grades or qualifies evidence quality; avoid author-level inference.</x:v>
      </x:c>
      <x:c r="P1037" s="13" t="str">
        <x:v>Exact evidence span in text plus claim-level reasoning link; for contextual/discourse entries, require surrounding context.</x:v>
      </x:c>
      <x:c r="Q1037" s="13" t="str">
        <x:v>Do not label merely because topic is controversial, emotional, or wrong. Do not judge intent or personality. Require textual evidence and consider healthy-reasoning cues.</x:v>
      </x:c>
      <x:c r="R1037" s="13" t="str">
        <x:v>Stub: A claim relies on the text grades or qualifies evidence quality to support a conclusion without adequate qualification.</x:v>
      </x:c>
      <x:c r="S1037" s="13" t="str">
        <x:v>Stub: A claim discusses decision threshold statement with caveats, balanced evidence, or no argumentative use of the pattern.</x:v>
      </x:c>
      <x:c r="T1037" s="13" t="str">
        <x:v>Weak protective cue; keep normal review.</x:v>
      </x:c>
      <x:c r="U1037" s="13" t="str">
        <x:v>Clear protective cue; reduce false-positive risk.</x:v>
      </x:c>
      <x:c r="V1037" s="13" t="str">
        <x:v>Strong protective cue; require stronger evidence before assigning risk labels.</x:v>
      </x:c>
      <x:c r="W1037" s="13" t="str">
        <x:v>cherry_picking; missing_counterevidence; evidence_grading</x:v>
      </x:c>
      <x:c r="X1037" s="13" t="str">
        <x:v>stanovich_dual_process</x:v>
      </x:c>
      <x:c r="Y1037" s="13" t="str">
        <x:v>https://global.oup.com/academic/product/rationality-and-the-reflective-mind-9780195341140</x:v>
      </x:c>
      <x:c r="Z1037" s="13" t="str">
        <x:v>Review before enabling. This workbook is a living taxonomy scaffold, not a validated scientific benchmark.</x:v>
      </x:c>
      <x:c r="AA1037" s="13" t="str">
        <x:v>0.1.0-draft</x:v>
      </x:c>
      <x:c r="AB1037" s="12" t="str">
        <x:f>IF(ISNUMBER(SEARCH("healthy",F1037)),"healthy_reasoning_patterns",IF(ISNUMBER(SEARCH("statistical",F1037)),"statistical_reasoning",IF(ISNUMBER(SEARCH("causal",F1037)),"causal_reasoning",IF(ISNUMBER(SEARCH("social",F1037)),"social_influence",IF(ISNUMBER(SEARCH("rhetoric",F1037)),"rhetoric_discourse",IF(ISNUMBER(SEARCH("behavior",F1037)),"behavioural_economics",IF(ISNUMBER(SEARCH("cognitive",F1037)),"cognitive_biases",IF(J1037="protective_pattern","healthy_reasoning_patterns",IF(L1037="P0","core_mvp","extended_fallacies")))))))))</x:f>
        <x:v>healthy_reasoning_patterns</x:v>
      </x:c>
      <x:c r="AC1037" s="12" t="str">
        <x:f>IF(ISNUMBER(SEARCH("operational",J1037)),"operational",IF(ISNUMBER(SEARCH("deprecated",J1037)),"deprecated",IF(L1037="P0","canonical","recognized_subtype")))</x:f>
        <x:v>recognized_subtype</x:v>
      </x:c>
      <x:c r="AD1037" s="12" t="str">
        <x:f>IF(AC1037="canonical","high",IF(AC1037="recognized_subtype","medium",IF(AC1037="operational","operational_only","debated")))</x:f>
        <x:v>medium</x:v>
      </x:c>
      <x:c r="AE1037" s="12" t="str">
        <x:f>IF(AC1037="deprecated","deprecated",IF(M1037="yes","active",IF(M1037="review","review_required","backlog")))</x:f>
        <x:v>review_required</x:v>
      </x:c>
      <x:c r="AF1037" s="12" t="str">
        <x:f>IF(OR(AE1037="active",AE1037="review_required"),"yes","no")</x:f>
        <x:v>yes</x:v>
      </x:c>
      <x:c r="AG1037" s="12" t="str">
        <x:f>IF(AND(AE1037="active",M1037="yes",NOT(ISNUMBER(SEARCH("healthy",AB1037)))),"yes","no")</x:f>
        <x:v>no</x:v>
      </x:c>
      <x:c r="AH1037" s="12" t="str">
        <x:f>IF(OR(H1037="contextual",H1037="dialogue",H1037="discourse",I1037="claim+context",I1037="discourse_segment"),"yes","no")</x:f>
        <x:v>yes</x:v>
      </x:c>
      <x:c r="AI1037" s="12" t="str">
        <x:f>IF(OR(AH1037="yes",AD1037="debated",AC1037="operational"),"yes","no")</x:f>
        <x:v>yes</x:v>
      </x:c>
      <x:c r="AJ1037" s="12" t="str">
        <x:f>IF(OR(AH1037="yes",AC1037="operational",AD1037="debated"),"high",IF(AND(AG1037="yes",L1037="P0"),"medium","low"))</x:f>
        <x:v>high</x:v>
      </x:c>
      <x:c r="AK1037" s="12" t="str">
        <x:f>IF(ISNUMBER(SEARCH("healthy",AB1037)),"yes","no")</x:f>
        <x:v>yes</x:v>
      </x:c>
      <x:c r="AL1037" s="12" t="str">
        <x:f>IF(AG1037="yes","yes","candidate_only")</x:f>
        <x:v>candidate_only</x:v>
      </x:c>
      <x:c r="AM1037" s="12" t="str">
        <x:f>IF(OR(AC1037="canonical",AG1037="yes"),"yes","recommended")</x:f>
        <x:v>recommended</x:v>
      </x:c>
      <x:c r="AN1037" s="12" t="str">
        <x:f>IF(AC1037="deprecated","exclude",IF(AND(AG1037="yes",AJ1037="high"),"import_but_human_review_required",IF(AG1037="yes","import_as_active","import_as_backlog")))</x:f>
        <x:v>import_as_backlog</x:v>
      </x:c>
      <x:c r="AO1037" s="12" t="str">
        <x:f>IF(AND(AG1037="yes",OR(P1037="",Q1037="",R1037="",S1037="")),"missing_required_mvp_fields",IF(AND(AC1037="canonical",Y1037=""),"missing_source_ref","ok"))</x:f>
        <x:v>ok</x:v>
      </x:c>
      <x:c r="AP1037" s="12" t="str">
        <x:f>IF(AO1037="ok","ready_for_codex_import","needs_review")</x:f>
        <x:v>ready_for_codex_import</x:v>
      </x:c>
      <x:c r="AQ1037" s="12"/>
      <x:c r="AR1037" s="12" t="str">
        <x:v>Added v2 operational fields. Review before classification activation.</x:v>
      </x:c>
    </x:row>
    <x:row r="1038">
      <x:c r="A1038" s="13" t="str">
        <x:v>pre_registered_criterion_evidence_quality_variant</x:v>
      </x:c>
      <x:c r="B1038" s="13" t="str">
        <x:v>pre_registered_criterion</x:v>
      </x:c>
      <x:c r="C1038" s="13" t="str">
        <x:v>Pre-specified criterion</x:v>
      </x:c>
      <x:c r="D1038" s="13" t="str">
        <x:v>معیار از پیش تعیین‌شده</x:v>
      </x:c>
      <x:c r="E1038" s="13" t="str">
        <x:v>Evidence-quality variant</x:v>
      </x:c>
      <x:c r="F1038" s="13" t="str">
        <x:v>healthy_reasoning_patterns</x:v>
      </x:c>
      <x:c r="G1038" s="13" t="str">
        <x:v>operational_variant</x:v>
      </x:c>
      <x:c r="H1038" s="13" t="str">
        <x:v>contextual</x:v>
      </x:c>
      <x:c r="I1038" s="13" t="str">
        <x:v>claim+context</x:v>
      </x:c>
      <x:c r="J1038" s="13" t="str">
        <x:v>protective_pattern</x:v>
      </x:c>
      <x:c r="K1038" s="13" t="str">
        <x:v>operational_pattern_needs_review</x:v>
      </x:c>
      <x:c r="L1038" s="13" t="str">
        <x:v>P1</x:v>
      </x:c>
      <x:c r="M1038" s="13" t="str">
        <x:v>review</x:v>
      </x:c>
      <x:c r="N1038" s="13" t="str">
        <x:v>Protective reasoning pattern under Pre-specified criterion: the text grades or qualifies evidence quality. It should reduce risk scores when supported by evidence.</x:v>
      </x:c>
      <x:c r="O1038" s="13" t="str">
        <x:v>Look for: explicit claim-level evidence; parent-family cues for Pre-specified criterion; variant cue: the text grades or qualifies evidence quality; avoid author-level inference.</x:v>
      </x:c>
      <x:c r="P1038" s="13" t="str">
        <x:v>Exact evidence span in text plus claim-level reasoning link; for contextual/discourse entries, require surrounding context.</x:v>
      </x:c>
      <x:c r="Q1038" s="13" t="str">
        <x:v>Do not label merely because topic is controversial, emotional, or wrong. Do not judge intent or personality. Require textual evidence and consider healthy-reasoning cues.</x:v>
      </x:c>
      <x:c r="R1038" s="13" t="str">
        <x:v>Stub: A claim relies on the text grades or qualifies evidence quality to support a conclusion without adequate qualification.</x:v>
      </x:c>
      <x:c r="S1038" s="13" t="str">
        <x:v>Stub: A claim discusses pre-specified criterion with caveats, balanced evidence, or no argumentative use of the pattern.</x:v>
      </x:c>
      <x:c r="T1038" s="13" t="str">
        <x:v>Weak protective cue; keep normal review.</x:v>
      </x:c>
      <x:c r="U1038" s="13" t="str">
        <x:v>Clear protective cue; reduce false-positive risk.</x:v>
      </x:c>
      <x:c r="V1038" s="13" t="str">
        <x:v>Strong protective cue; require stronger evidence before assigning risk labels.</x:v>
      </x:c>
      <x:c r="W1038" s="13" t="str"/>
      <x:c r="X1038" s="13" t="str">
        <x:v>stanovich_dual_process</x:v>
      </x:c>
      <x:c r="Y1038" s="13" t="str">
        <x:v>https://global.oup.com/academic/product/rationality-and-the-reflective-mind-9780195341140</x:v>
      </x:c>
      <x:c r="Z1038" s="13" t="str">
        <x:v>Review before enabling. This workbook is a living taxonomy scaffold, not a validated scientific benchmark.</x:v>
      </x:c>
      <x:c r="AA1038" s="13" t="str">
        <x:v>0.1.0-draft</x:v>
      </x:c>
      <x:c r="AB1038" s="12" t="str">
        <x:f>IF(ISNUMBER(SEARCH("healthy",F1038)),"healthy_reasoning_patterns",IF(ISNUMBER(SEARCH("statistical",F1038)),"statistical_reasoning",IF(ISNUMBER(SEARCH("causal",F1038)),"causal_reasoning",IF(ISNUMBER(SEARCH("social",F1038)),"social_influence",IF(ISNUMBER(SEARCH("rhetoric",F1038)),"rhetoric_discourse",IF(ISNUMBER(SEARCH("behavior",F1038)),"behavioural_economics",IF(ISNUMBER(SEARCH("cognitive",F1038)),"cognitive_biases",IF(J1038="protective_pattern","healthy_reasoning_patterns",IF(L1038="P0","core_mvp","extended_fallacies")))))))))</x:f>
        <x:v>healthy_reasoning_patterns</x:v>
      </x:c>
      <x:c r="AC1038" s="12" t="str">
        <x:f>IF(ISNUMBER(SEARCH("operational",J1038)),"operational",IF(ISNUMBER(SEARCH("deprecated",J1038)),"deprecated",IF(L1038="P0","canonical","recognized_subtype")))</x:f>
        <x:v>recognized_subtype</x:v>
      </x:c>
      <x:c r="AD1038" s="12" t="str">
        <x:f>IF(AC1038="canonical","high",IF(AC1038="recognized_subtype","medium",IF(AC1038="operational","operational_only","debated")))</x:f>
        <x:v>medium</x:v>
      </x:c>
      <x:c r="AE1038" s="12" t="str">
        <x:f>IF(AC1038="deprecated","deprecated",IF(M1038="yes","active",IF(M1038="review","review_required","backlog")))</x:f>
        <x:v>review_required</x:v>
      </x:c>
      <x:c r="AF1038" s="12" t="str">
        <x:f>IF(OR(AE1038="active",AE1038="review_required"),"yes","no")</x:f>
        <x:v>yes</x:v>
      </x:c>
      <x:c r="AG1038" s="12" t="str">
        <x:f>IF(AND(AE1038="active",M1038="yes",NOT(ISNUMBER(SEARCH("healthy",AB1038)))),"yes","no")</x:f>
        <x:v>no</x:v>
      </x:c>
      <x:c r="AH1038" s="12" t="str">
        <x:f>IF(OR(H1038="contextual",H1038="dialogue",H1038="discourse",I1038="claim+context",I1038="discourse_segment"),"yes","no")</x:f>
        <x:v>yes</x:v>
      </x:c>
      <x:c r="AI1038" s="12" t="str">
        <x:f>IF(OR(AH1038="yes",AD1038="debated",AC1038="operational"),"yes","no")</x:f>
        <x:v>yes</x:v>
      </x:c>
      <x:c r="AJ1038" s="12" t="str">
        <x:f>IF(OR(AH1038="yes",AC1038="operational",AD1038="debated"),"high",IF(AND(AG1038="yes",L1038="P0"),"medium","low"))</x:f>
        <x:v>high</x:v>
      </x:c>
      <x:c r="AK1038" s="12" t="str">
        <x:f>IF(ISNUMBER(SEARCH("healthy",AB1038)),"yes","no")</x:f>
        <x:v>yes</x:v>
      </x:c>
      <x:c r="AL1038" s="12" t="str">
        <x:f>IF(AG1038="yes","yes","candidate_only")</x:f>
        <x:v>candidate_only</x:v>
      </x:c>
      <x:c r="AM1038" s="12" t="str">
        <x:f>IF(OR(AC1038="canonical",AG1038="yes"),"yes","recommended")</x:f>
        <x:v>recommended</x:v>
      </x:c>
      <x:c r="AN1038" s="12" t="str">
        <x:f>IF(AC1038="deprecated","exclude",IF(AND(AG1038="yes",AJ1038="high"),"import_but_human_review_required",IF(AG1038="yes","import_as_active","import_as_backlog")))</x:f>
        <x:v>import_as_backlog</x:v>
      </x:c>
      <x:c r="AO1038" s="12" t="str">
        <x:f>IF(AND(AG1038="yes",OR(P1038="",Q1038="",R1038="",S1038="")),"missing_required_mvp_fields",IF(AND(AC1038="canonical",Y1038=""),"missing_source_ref","ok"))</x:f>
        <x:v>ok</x:v>
      </x:c>
      <x:c r="AP1038" s="12" t="str">
        <x:f>IF(AO1038="ok","ready_for_codex_import","needs_review")</x:f>
        <x:v>ready_for_codex_import</x:v>
      </x:c>
      <x:c r="AQ1038" s="12"/>
      <x:c r="AR1038" s="12" t="str">
        <x:v>Added v2 operational fields. Review before classification activation.</x:v>
      </x:c>
    </x:row>
    <x:row r="1039">
      <x:c r="A1039" s="13" t="str">
        <x:v>uncertainty_interval_reported_evidence_quality_variant</x:v>
      </x:c>
      <x:c r="B1039" s="13" t="str">
        <x:v>uncertainty_interval_reported</x:v>
      </x:c>
      <x:c r="C1039" s="13" t="str">
        <x:v>Uncertainty interval reported</x:v>
      </x:c>
      <x:c r="D1039" s="13" t="str">
        <x:v>گزارش بازه عدم قطعیت</x:v>
      </x:c>
      <x:c r="E1039" s="13" t="str">
        <x:v>Evidence-quality variant</x:v>
      </x:c>
      <x:c r="F1039" s="13" t="str">
        <x:v>healthy_reasoning_patterns</x:v>
      </x:c>
      <x:c r="G1039" s="13" t="str">
        <x:v>operational_variant</x:v>
      </x:c>
      <x:c r="H1039" s="13" t="str">
        <x:v>lexical</x:v>
      </x:c>
      <x:c r="I1039" s="13" t="str">
        <x:v>claim</x:v>
      </x:c>
      <x:c r="J1039" s="13" t="str">
        <x:v>protective_pattern</x:v>
      </x:c>
      <x:c r="K1039" s="13" t="str">
        <x:v>operational_pattern_needs_review</x:v>
      </x:c>
      <x:c r="L1039" s="13" t="str">
        <x:v>P1</x:v>
      </x:c>
      <x:c r="M1039" s="13" t="str">
        <x:v>review</x:v>
      </x:c>
      <x:c r="N1039" s="13" t="str">
        <x:v>Protective reasoning pattern under Uncertainty interval reported: the text grades or qualifies evidence quality. It should reduce risk scores when supported by evidence.</x:v>
      </x:c>
      <x:c r="O1039" s="13" t="str">
        <x:v>Look for: explicit claim-level evidence; parent-family cues for Uncertainty interval reported; variant cue: the text grades or qualifies evidence quality; avoid author-level inference.</x:v>
      </x:c>
      <x:c r="P1039" s="13" t="str">
        <x:v>Exact evidence span in text plus claim-level reasoning link; for contextual/discourse entries, require surrounding context.</x:v>
      </x:c>
      <x:c r="Q1039" s="13" t="str">
        <x:v>Do not label merely because topic is controversial, emotional, or wrong. Do not judge intent or personality. Require textual evidence and consider healthy-reasoning cues.</x:v>
      </x:c>
      <x:c r="R1039" s="13" t="str">
        <x:v>Stub: A claim relies on the text grades or qualifies evidence quality to support a conclusion without adequate qualification.</x:v>
      </x:c>
      <x:c r="S1039" s="13" t="str">
        <x:v>Stub: A claim discusses uncertainty interval reported with caveats, balanced evidence, or no argumentative use of the pattern.</x:v>
      </x:c>
      <x:c r="T1039" s="13" t="str">
        <x:v>Weak protective cue; keep normal review.</x:v>
      </x:c>
      <x:c r="U1039" s="13" t="str">
        <x:v>Clear protective cue; reduce false-positive risk.</x:v>
      </x:c>
      <x:c r="V1039" s="13" t="str">
        <x:v>Strong protective cue; require stronger evidence before assigning risk labels.</x:v>
      </x:c>
      <x:c r="W1039" s="13" t="str"/>
      <x:c r="X1039" s="13" t="str">
        <x:v>stanovich_dual_process</x:v>
      </x:c>
      <x:c r="Y1039" s="13" t="str">
        <x:v>https://global.oup.com/academic/product/rationality-and-the-reflective-mind-9780195341140</x:v>
      </x:c>
      <x:c r="Z1039" s="13" t="str">
        <x:v>Review before enabling. This workbook is a living taxonomy scaffold, not a validated scientific benchmark.</x:v>
      </x:c>
      <x:c r="AA1039" s="13" t="str">
        <x:v>0.1.0-draft</x:v>
      </x:c>
      <x:c r="AB1039" s="12" t="str">
        <x:f>IF(ISNUMBER(SEARCH("healthy",F1039)),"healthy_reasoning_patterns",IF(ISNUMBER(SEARCH("statistical",F1039)),"statistical_reasoning",IF(ISNUMBER(SEARCH("causal",F1039)),"causal_reasoning",IF(ISNUMBER(SEARCH("social",F1039)),"social_influence",IF(ISNUMBER(SEARCH("rhetoric",F1039)),"rhetoric_discourse",IF(ISNUMBER(SEARCH("behavior",F1039)),"behavioural_economics",IF(ISNUMBER(SEARCH("cognitive",F1039)),"cognitive_biases",IF(J1039="protective_pattern","healthy_reasoning_patterns",IF(L1039="P0","core_mvp","extended_fallacies")))))))))</x:f>
        <x:v>healthy_reasoning_patterns</x:v>
      </x:c>
      <x:c r="AC1039" s="12" t="str">
        <x:f>IF(ISNUMBER(SEARCH("operational",J1039)),"operational",IF(ISNUMBER(SEARCH("deprecated",J1039)),"deprecated",IF(L1039="P0","canonical","recognized_subtype")))</x:f>
        <x:v>recognized_subtype</x:v>
      </x:c>
      <x:c r="AD1039" s="12" t="str">
        <x:f>IF(AC1039="canonical","high",IF(AC1039="recognized_subtype","medium",IF(AC1039="operational","operational_only","debated")))</x:f>
        <x:v>medium</x:v>
      </x:c>
      <x:c r="AE1039" s="12" t="str">
        <x:f>IF(AC1039="deprecated","deprecated",IF(M1039="yes","active",IF(M1039="review","review_required","backlog")))</x:f>
        <x:v>review_required</x:v>
      </x:c>
      <x:c r="AF1039" s="12" t="str">
        <x:f>IF(OR(AE1039="active",AE1039="review_required"),"yes","no")</x:f>
        <x:v>yes</x:v>
      </x:c>
      <x:c r="AG1039" s="12" t="str">
        <x:f>IF(AND(AE1039="active",M1039="yes",NOT(ISNUMBER(SEARCH("healthy",AB1039)))),"yes","no")</x:f>
        <x:v>no</x:v>
      </x:c>
      <x:c r="AH1039" s="12" t="str">
        <x:f>IF(OR(H1039="contextual",H1039="dialogue",H1039="discourse",I1039="claim+context",I1039="discourse_segment"),"yes","no")</x:f>
        <x:v>no</x:v>
      </x:c>
      <x:c r="AI1039" s="12" t="str">
        <x:f>IF(OR(AH1039="yes",AD1039="debated",AC1039="operational"),"yes","no")</x:f>
        <x:v>no</x:v>
      </x:c>
      <x:c r="AJ1039" s="12" t="str">
        <x:f>IF(OR(AH1039="yes",AC1039="operational",AD1039="debated"),"high",IF(AND(AG1039="yes",L1039="P0"),"medium","low"))</x:f>
        <x:v>low</x:v>
      </x:c>
      <x:c r="AK1039" s="12" t="str">
        <x:f>IF(ISNUMBER(SEARCH("healthy",AB1039)),"yes","no")</x:f>
        <x:v>yes</x:v>
      </x:c>
      <x:c r="AL1039" s="12" t="str">
        <x:f>IF(AG1039="yes","yes","candidate_only")</x:f>
        <x:v>candidate_only</x:v>
      </x:c>
      <x:c r="AM1039" s="12" t="str">
        <x:f>IF(OR(AC1039="canonical",AG1039="yes"),"yes","recommended")</x:f>
        <x:v>recommended</x:v>
      </x:c>
      <x:c r="AN1039" s="12" t="str">
        <x:f>IF(AC1039="deprecated","exclude",IF(AND(AG1039="yes",AJ1039="high"),"import_but_human_review_required",IF(AG1039="yes","import_as_active","import_as_backlog")))</x:f>
        <x:v>import_as_backlog</x:v>
      </x:c>
      <x:c r="AO1039" s="12" t="str">
        <x:f>IF(AND(AG1039="yes",OR(P1039="",Q1039="",R1039="",S1039="")),"missing_required_mvp_fields",IF(AND(AC1039="canonical",Y1039=""),"missing_source_ref","ok"))</x:f>
        <x:v>ok</x:v>
      </x:c>
      <x:c r="AP1039" s="12" t="str">
        <x:f>IF(AO1039="ok","ready_for_codex_import","needs_review")</x:f>
        <x:v>ready_for_codex_import</x:v>
      </x:c>
      <x:c r="AQ1039" s="12"/>
      <x:c r="AR1039" s="12" t="str">
        <x:v>Added v2 operational fields. Review before classification activation.</x:v>
      </x:c>
    </x:row>
    <x:row r="1040">
      <x:c r="A1040" s="13" t="str">
        <x:v>balanced_evidence_summary_evidence_quality_variant</x:v>
      </x:c>
      <x:c r="B1040" s="13" t="str">
        <x:v>balanced_evidence_summary</x:v>
      </x:c>
      <x:c r="C1040" s="13" t="str">
        <x:v>Balanced evidence summary</x:v>
      </x:c>
      <x:c r="D1040" s="13" t="str">
        <x:v>خلاصه متوازن شواهد</x:v>
      </x:c>
      <x:c r="E1040" s="13" t="str">
        <x:v>Evidence-quality variant</x:v>
      </x:c>
      <x:c r="F1040" s="13" t="str">
        <x:v>healthy_reasoning_patterns</x:v>
      </x:c>
      <x:c r="G1040" s="13" t="str">
        <x:v>operational_variant</x:v>
      </x:c>
      <x:c r="H1040" s="13" t="str">
        <x:v>contextual</x:v>
      </x:c>
      <x:c r="I1040" s="13" t="str">
        <x:v>claim+context</x:v>
      </x:c>
      <x:c r="J1040" s="13" t="str">
        <x:v>protective_pattern</x:v>
      </x:c>
      <x:c r="K1040" s="13" t="str">
        <x:v>operational_pattern_needs_review</x:v>
      </x:c>
      <x:c r="L1040" s="13" t="str">
        <x:v>P1</x:v>
      </x:c>
      <x:c r="M1040" s="13" t="str">
        <x:v>review</x:v>
      </x:c>
      <x:c r="N1040" s="13" t="str">
        <x:v>Protective reasoning pattern under Balanced evidence summary: the text grades or qualifies evidence quality. It should reduce risk scores when supported by evidence.</x:v>
      </x:c>
      <x:c r="O1040" s="13" t="str">
        <x:v>Look for: explicit claim-level evidence; parent-family cues for Balanced evidence summary; variant cue: the text grades or qualifies evidence quality; avoid author-level inference.</x:v>
      </x:c>
      <x:c r="P1040" s="13" t="str">
        <x:v>Exact evidence span in text plus claim-level reasoning link; for contextual/discourse entries, require surrounding context.</x:v>
      </x:c>
      <x:c r="Q1040" s="13" t="str">
        <x:v>Do not label merely because topic is controversial, emotional, or wrong. Do not judge intent or personality. Require textual evidence and consider healthy-reasoning cues.</x:v>
      </x:c>
      <x:c r="R1040" s="13" t="str">
        <x:v>Stub: A claim relies on the text grades or qualifies evidence quality to support a conclusion without adequate qualification.</x:v>
      </x:c>
      <x:c r="S1040" s="13" t="str">
        <x:v>Stub: A claim discusses balanced evidence summary with caveats, balanced evidence, or no argumentative use of the pattern.</x:v>
      </x:c>
      <x:c r="T1040" s="13" t="str">
        <x:v>Weak protective cue; keep normal review.</x:v>
      </x:c>
      <x:c r="U1040" s="13" t="str">
        <x:v>Clear protective cue; reduce false-positive risk.</x:v>
      </x:c>
      <x:c r="V1040" s="13" t="str">
        <x:v>Strong protective cue; require stronger evidence before assigning risk labels.</x:v>
      </x:c>
      <x:c r="W1040" s="13" t="str">
        <x:v>cherry_picking; missing_counterevidence; evidence_grading</x:v>
      </x:c>
      <x:c r="X1040" s="13" t="str">
        <x:v>sep_informal_logic</x:v>
      </x:c>
      <x:c r="Y1040" s="13" t="str">
        <x:v>https://plato.stanford.edu/entries/logic-informal/</x:v>
      </x:c>
      <x:c r="Z1040" s="13" t="str">
        <x:v>Review before enabling. This workbook is a living taxonomy scaffold, not a validated scientific benchmark.</x:v>
      </x:c>
      <x:c r="AA1040" s="13" t="str">
        <x:v>0.1.0-draft</x:v>
      </x:c>
      <x:c r="AB1040" s="12" t="str">
        <x:f>IF(ISNUMBER(SEARCH("healthy",F1040)),"healthy_reasoning_patterns",IF(ISNUMBER(SEARCH("statistical",F1040)),"statistical_reasoning",IF(ISNUMBER(SEARCH("causal",F1040)),"causal_reasoning",IF(ISNUMBER(SEARCH("social",F1040)),"social_influence",IF(ISNUMBER(SEARCH("rhetoric",F1040)),"rhetoric_discourse",IF(ISNUMBER(SEARCH("behavior",F1040)),"behavioural_economics",IF(ISNUMBER(SEARCH("cognitive",F1040)),"cognitive_biases",IF(J1040="protective_pattern","healthy_reasoning_patterns",IF(L1040="P0","core_mvp","extended_fallacies")))))))))</x:f>
        <x:v>healthy_reasoning_patterns</x:v>
      </x:c>
      <x:c r="AC1040" s="12" t="str">
        <x:f>IF(ISNUMBER(SEARCH("operational",J1040)),"operational",IF(ISNUMBER(SEARCH("deprecated",J1040)),"deprecated",IF(L1040="P0","canonical","recognized_subtype")))</x:f>
        <x:v>recognized_subtype</x:v>
      </x:c>
      <x:c r="AD1040" s="12" t="str">
        <x:f>IF(AC1040="canonical","high",IF(AC1040="recognized_subtype","medium",IF(AC1040="operational","operational_only","debated")))</x:f>
        <x:v>medium</x:v>
      </x:c>
      <x:c r="AE1040" s="12" t="str">
        <x:f>IF(AC1040="deprecated","deprecated",IF(M1040="yes","active",IF(M1040="review","review_required","backlog")))</x:f>
        <x:v>review_required</x:v>
      </x:c>
      <x:c r="AF1040" s="12" t="str">
        <x:f>IF(OR(AE1040="active",AE1040="review_required"),"yes","no")</x:f>
        <x:v>yes</x:v>
      </x:c>
      <x:c r="AG1040" s="12" t="str">
        <x:f>IF(AND(AE1040="active",M1040="yes",NOT(ISNUMBER(SEARCH("healthy",AB1040)))),"yes","no")</x:f>
        <x:v>no</x:v>
      </x:c>
      <x:c r="AH1040" s="12" t="str">
        <x:f>IF(OR(H1040="contextual",H1040="dialogue",H1040="discourse",I1040="claim+context",I1040="discourse_segment"),"yes","no")</x:f>
        <x:v>yes</x:v>
      </x:c>
      <x:c r="AI1040" s="12" t="str">
        <x:f>IF(OR(AH1040="yes",AD1040="debated",AC1040="operational"),"yes","no")</x:f>
        <x:v>yes</x:v>
      </x:c>
      <x:c r="AJ1040" s="12" t="str">
        <x:f>IF(OR(AH1040="yes",AC1040="operational",AD1040="debated"),"high",IF(AND(AG1040="yes",L1040="P0"),"medium","low"))</x:f>
        <x:v>high</x:v>
      </x:c>
      <x:c r="AK1040" s="12" t="str">
        <x:f>IF(ISNUMBER(SEARCH("healthy",AB1040)),"yes","no")</x:f>
        <x:v>yes</x:v>
      </x:c>
      <x:c r="AL1040" s="12" t="str">
        <x:f>IF(AG1040="yes","yes","candidate_only")</x:f>
        <x:v>candidate_only</x:v>
      </x:c>
      <x:c r="AM1040" s="12" t="str">
        <x:f>IF(OR(AC1040="canonical",AG1040="yes"),"yes","recommended")</x:f>
        <x:v>recommended</x:v>
      </x:c>
      <x:c r="AN1040" s="12" t="str">
        <x:f>IF(AC1040="deprecated","exclude",IF(AND(AG1040="yes",AJ1040="high"),"import_but_human_review_required",IF(AG1040="yes","import_as_active","import_as_backlog")))</x:f>
        <x:v>import_as_backlog</x:v>
      </x:c>
      <x:c r="AO1040" s="12" t="str">
        <x:f>IF(AND(AG1040="yes",OR(P1040="",Q1040="",R1040="",S1040="")),"missing_required_mvp_fields",IF(AND(AC1040="canonical",Y1040=""),"missing_source_ref","ok"))</x:f>
        <x:v>ok</x:v>
      </x:c>
      <x:c r="AP1040" s="12" t="str">
        <x:f>IF(AO1040="ok","ready_for_codex_import","needs_review")</x:f>
        <x:v>ready_for_codex_import</x:v>
      </x:c>
      <x:c r="AQ1040" s="12"/>
      <x:c r="AR1040" s="12" t="str">
        <x:v>Added v2 operational fields. Review before classification activation.</x:v>
      </x:c>
    </x:row>
    <x:row r="1041">
      <x:c r="A1041" s="13" t="str">
        <x:v>human_review_trigger_evidence_quality_variant</x:v>
      </x:c>
      <x:c r="B1041" s="13" t="str">
        <x:v>human_review_trigger</x:v>
      </x:c>
      <x:c r="C1041" s="13" t="str">
        <x:v>Human-review trigger</x:v>
      </x:c>
      <x:c r="D1041" s="13" t="str">
        <x:v>ارجاع به بازبینی انسانی</x:v>
      </x:c>
      <x:c r="E1041" s="13" t="str">
        <x:v>Evidence-quality variant</x:v>
      </x:c>
      <x:c r="F1041" s="13" t="str">
        <x:v>healthy_reasoning_patterns</x:v>
      </x:c>
      <x:c r="G1041" s="13" t="str">
        <x:v>operational_variant</x:v>
      </x:c>
      <x:c r="H1041" s="13" t="str">
        <x:v>dialogue</x:v>
      </x:c>
      <x:c r="I1041" s="13" t="str">
        <x:v>discourse_segment</x:v>
      </x:c>
      <x:c r="J1041" s="13" t="str">
        <x:v>protective_pattern</x:v>
      </x:c>
      <x:c r="K1041" s="13" t="str">
        <x:v>operational_pattern_needs_review</x:v>
      </x:c>
      <x:c r="L1041" s="13" t="str">
        <x:v>P1</x:v>
      </x:c>
      <x:c r="M1041" s="13" t="str">
        <x:v>review</x:v>
      </x:c>
      <x:c r="N1041" s="13" t="str">
        <x:v>Protective reasoning pattern under Human-review trigger: the text grades or qualifies evidence quality. It should reduce risk scores when supported by evidence.</x:v>
      </x:c>
      <x:c r="O1041" s="13" t="str">
        <x:v>Look for: explicit claim-level evidence; parent-family cues for Human-review trigger; variant cue: the text grades or qualifies evidence quality; avoid author-level inference.</x:v>
      </x:c>
      <x:c r="P1041" s="13" t="str">
        <x:v>Exact evidence span in text plus claim-level reasoning link; for contextual/discourse entries, require surrounding context.</x:v>
      </x:c>
      <x:c r="Q1041" s="13" t="str">
        <x:v>Do not label merely because topic is controversial, emotional, or wrong. Do not judge intent or personality. Require textual evidence and consider healthy-reasoning cues.</x:v>
      </x:c>
      <x:c r="R1041" s="13" t="str">
        <x:v>Stub: A claim relies on the text grades or qualifies evidence quality to support a conclusion without adequate qualification.</x:v>
      </x:c>
      <x:c r="S1041" s="13" t="str">
        <x:v>Stub: A claim discusses human-review trigger with caveats, balanced evidence, or no argumentative use of the pattern.</x:v>
      </x:c>
      <x:c r="T1041" s="13" t="str">
        <x:v>Weak protective cue; keep normal review.</x:v>
      </x:c>
      <x:c r="U1041" s="13" t="str">
        <x:v>Clear protective cue; reduce false-positive risk.</x:v>
      </x:c>
      <x:c r="V1041" s="13" t="str">
        <x:v>Strong protective cue; require stronger evidence before assigning risk labels.</x:v>
      </x:c>
      <x:c r="W1041" s="13" t="str"/>
      <x:c r="X1041" s="13" t="str">
        <x:v>pragmadialectics</x:v>
      </x:c>
      <x:c r="Y1041" s="13" t="str">
        <x:v>https://doi.org/10.1017/CBO9780511616389</x:v>
      </x:c>
      <x:c r="Z1041" s="13" t="str">
        <x:v>Review before enabling. This workbook is a living taxonomy scaffold, not a validated scientific benchmark.</x:v>
      </x:c>
      <x:c r="AA1041" s="13" t="str">
        <x:v>0.1.0-draft</x:v>
      </x:c>
      <x:c r="AB1041" s="12" t="str">
        <x:f>IF(ISNUMBER(SEARCH("healthy",F1041)),"healthy_reasoning_patterns",IF(ISNUMBER(SEARCH("statistical",F1041)),"statistical_reasoning",IF(ISNUMBER(SEARCH("causal",F1041)),"causal_reasoning",IF(ISNUMBER(SEARCH("social",F1041)),"social_influence",IF(ISNUMBER(SEARCH("rhetoric",F1041)),"rhetoric_discourse",IF(ISNUMBER(SEARCH("behavior",F1041)),"behavioural_economics",IF(ISNUMBER(SEARCH("cognitive",F1041)),"cognitive_biases",IF(J1041="protective_pattern","healthy_reasoning_patterns",IF(L1041="P0","core_mvp","extended_fallacies")))))))))</x:f>
        <x:v>healthy_reasoning_patterns</x:v>
      </x:c>
      <x:c r="AC1041" s="12" t="str">
        <x:f>IF(ISNUMBER(SEARCH("operational",J1041)),"operational",IF(ISNUMBER(SEARCH("deprecated",J1041)),"deprecated",IF(L1041="P0","canonical","recognized_subtype")))</x:f>
        <x:v>recognized_subtype</x:v>
      </x:c>
      <x:c r="AD1041" s="12" t="str">
        <x:f>IF(AC1041="canonical","high",IF(AC1041="recognized_subtype","medium",IF(AC1041="operational","operational_only","debated")))</x:f>
        <x:v>medium</x:v>
      </x:c>
      <x:c r="AE1041" s="12" t="str">
        <x:f>IF(AC1041="deprecated","deprecated",IF(M1041="yes","active",IF(M1041="review","review_required","backlog")))</x:f>
        <x:v>review_required</x:v>
      </x:c>
      <x:c r="AF1041" s="12" t="str">
        <x:f>IF(OR(AE1041="active",AE1041="review_required"),"yes","no")</x:f>
        <x:v>yes</x:v>
      </x:c>
      <x:c r="AG1041" s="12" t="str">
        <x:f>IF(AND(AE1041="active",M1041="yes",NOT(ISNUMBER(SEARCH("healthy",AB1041)))),"yes","no")</x:f>
        <x:v>no</x:v>
      </x:c>
      <x:c r="AH1041" s="12" t="str">
        <x:f>IF(OR(H1041="contextual",H1041="dialogue",H1041="discourse",I1041="claim+context",I1041="discourse_segment"),"yes","no")</x:f>
        <x:v>yes</x:v>
      </x:c>
      <x:c r="AI1041" s="12" t="str">
        <x:f>IF(OR(AH1041="yes",AD1041="debated",AC1041="operational"),"yes","no")</x:f>
        <x:v>yes</x:v>
      </x:c>
      <x:c r="AJ1041" s="12" t="str">
        <x:f>IF(OR(AH1041="yes",AC1041="operational",AD1041="debated"),"high",IF(AND(AG1041="yes",L1041="P0"),"medium","low"))</x:f>
        <x:v>high</x:v>
      </x:c>
      <x:c r="AK1041" s="12" t="str">
        <x:f>IF(ISNUMBER(SEARCH("healthy",AB1041)),"yes","no")</x:f>
        <x:v>yes</x:v>
      </x:c>
      <x:c r="AL1041" s="12" t="str">
        <x:f>IF(AG1041="yes","yes","candidate_only")</x:f>
        <x:v>candidate_only</x:v>
      </x:c>
      <x:c r="AM1041" s="12" t="str">
        <x:f>IF(OR(AC1041="canonical",AG1041="yes"),"yes","recommended")</x:f>
        <x:v>recommended</x:v>
      </x:c>
      <x:c r="AN1041" s="12" t="str">
        <x:f>IF(AC1041="deprecated","exclude",IF(AND(AG1041="yes",AJ1041="high"),"import_but_human_review_required",IF(AG1041="yes","import_as_active","import_as_backlog")))</x:f>
        <x:v>import_as_backlog</x:v>
      </x:c>
      <x:c r="AO1041" s="12" t="str">
        <x:f>IF(AND(AG1041="yes",OR(P1041="",Q1041="",R1041="",S1041="")),"missing_required_mvp_fields",IF(AND(AC1041="canonical",Y1041=""),"missing_source_ref","ok"))</x:f>
        <x:v>ok</x:v>
      </x:c>
      <x:c r="AP1041" s="12" t="str">
        <x:f>IF(AO1041="ok","ready_for_codex_import","needs_review")</x:f>
        <x:v>ready_for_codex_import</x:v>
      </x:c>
      <x:c r="AQ1041" s="12"/>
      <x:c r="AR1041" s="12" t="str">
        <x:v>Added v2 operational fields. Review before classification activation.</x:v>
      </x:c>
    </x:row>
    <x:row r="1042">
      <x:c r="A1042" s="13" t="str">
        <x:v>uncertainty_acknowledgement_uncertainty_variant</x:v>
      </x:c>
      <x:c r="B1042" s="13" t="str">
        <x:v>uncertainty_acknowledgement</x:v>
      </x:c>
      <x:c r="C1042" s="13" t="str">
        <x:v>Uncertainty acknowledgement</x:v>
      </x:c>
      <x:c r="D1042" s="13" t="str">
        <x:v>اذعان به عدم قطعیت</x:v>
      </x:c>
      <x:c r="E1042" s="13" t="str">
        <x:v>Uncertainty variant</x:v>
      </x:c>
      <x:c r="F1042" s="13" t="str">
        <x:v>healthy_reasoning_patterns</x:v>
      </x:c>
      <x:c r="G1042" s="13" t="str">
        <x:v>operational_variant</x:v>
      </x:c>
      <x:c r="H1042" s="13" t="str">
        <x:v>lexical</x:v>
      </x:c>
      <x:c r="I1042" s="13" t="str">
        <x:v>claim</x:v>
      </x:c>
      <x:c r="J1042" s="13" t="str">
        <x:v>protective_pattern</x:v>
      </x:c>
      <x:c r="K1042" s="13" t="str">
        <x:v>operational_pattern_needs_review</x:v>
      </x:c>
      <x:c r="L1042" s="13" t="str">
        <x:v>P2</x:v>
      </x:c>
      <x:c r="M1042" s="13" t="str">
        <x:v>review</x:v>
      </x:c>
      <x:c r="N1042" s="13" t="str">
        <x:v>Protective reasoning pattern under Uncertainty acknowledgement: the text explicitly calibrates uncertainty. It should reduce risk scores when supported by evidence.</x:v>
      </x:c>
      <x:c r="O1042" s="13" t="str">
        <x:v>Look for: explicit claim-level evidence; parent-family cues for Uncertainty acknowledgement; variant cue: the text explicitly calibrates uncertainty; avoid author-level inference.</x:v>
      </x:c>
      <x:c r="P1042" s="13" t="str">
        <x:v>Exact evidence span in text plus claim-level reasoning link; for contextual/discourse entries, require surrounding context.</x:v>
      </x:c>
      <x:c r="Q1042" s="13" t="str">
        <x:v>Do not label merely because topic is controversial, emotional, or wrong. Do not judge intent or personality. Require textual evidence and consider healthy-reasoning cues.</x:v>
      </x:c>
      <x:c r="R1042" s="13" t="str">
        <x:v>Stub: A claim relies on the text explicitly calibrates uncertainty to support a conclusion without adequate qualification.</x:v>
      </x:c>
      <x:c r="S1042" s="13" t="str">
        <x:v>Stub: A claim discusses uncertainty acknowledgement with caveats, balanced evidence, or no argumentative use of the pattern.</x:v>
      </x:c>
      <x:c r="T1042" s="13" t="str">
        <x:v>Weak protective cue; keep normal review.</x:v>
      </x:c>
      <x:c r="U1042" s="13" t="str">
        <x:v>Clear protective cue; reduce false-positive risk.</x:v>
      </x:c>
      <x:c r="V1042" s="13" t="str">
        <x:v>Strong protective cue; require stronger evidence before assigning risk labels.</x:v>
      </x:c>
      <x:c r="W1042" s="13" t="str"/>
      <x:c r="X1042" s="13" t="str">
        <x:v>stanovich_dual_process</x:v>
      </x:c>
      <x:c r="Y1042" s="13" t="str">
        <x:v>https://global.oup.com/academic/product/rationality-and-the-reflective-mind-9780195341140</x:v>
      </x:c>
      <x:c r="Z1042" s="13" t="str">
        <x:v>Review before enabling. This workbook is a living taxonomy scaffold, not a validated scientific benchmark.</x:v>
      </x:c>
      <x:c r="AA1042" s="13" t="str">
        <x:v>0.1.0-draft</x:v>
      </x:c>
      <x:c r="AB1042" s="12" t="str">
        <x:f>IF(ISNUMBER(SEARCH("healthy",F1042)),"healthy_reasoning_patterns",IF(ISNUMBER(SEARCH("statistical",F1042)),"statistical_reasoning",IF(ISNUMBER(SEARCH("causal",F1042)),"causal_reasoning",IF(ISNUMBER(SEARCH("social",F1042)),"social_influence",IF(ISNUMBER(SEARCH("rhetoric",F1042)),"rhetoric_discourse",IF(ISNUMBER(SEARCH("behavior",F1042)),"behavioural_economics",IF(ISNUMBER(SEARCH("cognitive",F1042)),"cognitive_biases",IF(J1042="protective_pattern","healthy_reasoning_patterns",IF(L1042="P0","core_mvp","extended_fallacies")))))))))</x:f>
        <x:v>healthy_reasoning_patterns</x:v>
      </x:c>
      <x:c r="AC1042" s="12" t="str">
        <x:f>IF(ISNUMBER(SEARCH("operational",J1042)),"operational",IF(ISNUMBER(SEARCH("deprecated",J1042)),"deprecated",IF(L1042="P0","canonical","recognized_subtype")))</x:f>
        <x:v>recognized_subtype</x:v>
      </x:c>
      <x:c r="AD1042" s="12" t="str">
        <x:f>IF(AC1042="canonical","high",IF(AC1042="recognized_subtype","medium",IF(AC1042="operational","operational_only","debated")))</x:f>
        <x:v>medium</x:v>
      </x:c>
      <x:c r="AE1042" s="12" t="str">
        <x:f>IF(AC1042="deprecated","deprecated",IF(M1042="yes","active",IF(M1042="review","review_required","backlog")))</x:f>
        <x:v>review_required</x:v>
      </x:c>
      <x:c r="AF1042" s="12" t="str">
        <x:f>IF(OR(AE1042="active",AE1042="review_required"),"yes","no")</x:f>
        <x:v>yes</x:v>
      </x:c>
      <x:c r="AG1042" s="12" t="str">
        <x:f>IF(AND(AE1042="active",M1042="yes",NOT(ISNUMBER(SEARCH("healthy",AB1042)))),"yes","no")</x:f>
        <x:v>no</x:v>
      </x:c>
      <x:c r="AH1042" s="12" t="str">
        <x:f>IF(OR(H1042="contextual",H1042="dialogue",H1042="discourse",I1042="claim+context",I1042="discourse_segment"),"yes","no")</x:f>
        <x:v>no</x:v>
      </x:c>
      <x:c r="AI1042" s="12" t="str">
        <x:f>IF(OR(AH1042="yes",AD1042="debated",AC1042="operational"),"yes","no")</x:f>
        <x:v>no</x:v>
      </x:c>
      <x:c r="AJ1042" s="12" t="str">
        <x:f>IF(OR(AH1042="yes",AC1042="operational",AD1042="debated"),"high",IF(AND(AG1042="yes",L1042="P0"),"medium","low"))</x:f>
        <x:v>low</x:v>
      </x:c>
      <x:c r="AK1042" s="12" t="str">
        <x:f>IF(ISNUMBER(SEARCH("healthy",AB1042)),"yes","no")</x:f>
        <x:v>yes</x:v>
      </x:c>
      <x:c r="AL1042" s="12" t="str">
        <x:f>IF(AG1042="yes","yes","candidate_only")</x:f>
        <x:v>candidate_only</x:v>
      </x:c>
      <x:c r="AM1042" s="12" t="str">
        <x:f>IF(OR(AC1042="canonical",AG1042="yes"),"yes","recommended")</x:f>
        <x:v>recommended</x:v>
      </x:c>
      <x:c r="AN1042" s="12" t="str">
        <x:f>IF(AC1042="deprecated","exclude",IF(AND(AG1042="yes",AJ1042="high"),"import_but_human_review_required",IF(AG1042="yes","import_as_active","import_as_backlog")))</x:f>
        <x:v>import_as_backlog</x:v>
      </x:c>
      <x:c r="AO1042" s="12" t="str">
        <x:f>IF(AND(AG1042="yes",OR(P1042="",Q1042="",R1042="",S1042="")),"missing_required_mvp_fields",IF(AND(AC1042="canonical",Y1042=""),"missing_source_ref","ok"))</x:f>
        <x:v>ok</x:v>
      </x:c>
      <x:c r="AP1042" s="12" t="str">
        <x:f>IF(AO1042="ok","ready_for_codex_import","needs_review")</x:f>
        <x:v>ready_for_codex_import</x:v>
      </x:c>
      <x:c r="AQ1042" s="12"/>
      <x:c r="AR1042" s="12" t="str">
        <x:v>Added v2 operational fields. Review before classification activation.</x:v>
      </x:c>
    </x:row>
    <x:row r="1043">
      <x:c r="A1043" s="13" t="str">
        <x:v>scope_limitation_uncertainty_variant</x:v>
      </x:c>
      <x:c r="B1043" s="13" t="str">
        <x:v>scope_limitation</x:v>
      </x:c>
      <x:c r="C1043" s="13" t="str">
        <x:v>Scope limitation</x:v>
      </x:c>
      <x:c r="D1043" s="13" t="str">
        <x:v>محدودسازی دامنه ادعا</x:v>
      </x:c>
      <x:c r="E1043" s="13" t="str">
        <x:v>Uncertainty variant</x:v>
      </x:c>
      <x:c r="F1043" s="13" t="str">
        <x:v>healthy_reasoning_patterns</x:v>
      </x:c>
      <x:c r="G1043" s="13" t="str">
        <x:v>operational_variant</x:v>
      </x:c>
      <x:c r="H1043" s="13" t="str">
        <x:v>lexical</x:v>
      </x:c>
      <x:c r="I1043" s="13" t="str">
        <x:v>claim</x:v>
      </x:c>
      <x:c r="J1043" s="13" t="str">
        <x:v>protective_pattern</x:v>
      </x:c>
      <x:c r="K1043" s="13" t="str">
        <x:v>operational_pattern_needs_review</x:v>
      </x:c>
      <x:c r="L1043" s="13" t="str">
        <x:v>P2</x:v>
      </x:c>
      <x:c r="M1043" s="13" t="str">
        <x:v>review</x:v>
      </x:c>
      <x:c r="N1043" s="13" t="str">
        <x:v>Protective reasoning pattern under Scope limitation: the text explicitly calibrates uncertainty. It should reduce risk scores when supported by evidence.</x:v>
      </x:c>
      <x:c r="O1043" s="13" t="str">
        <x:v>Look for: explicit claim-level evidence; parent-family cues for Scope limitation; variant cue: the text explicitly calibrates uncertainty; avoid author-level inference.</x:v>
      </x:c>
      <x:c r="P1043" s="13" t="str">
        <x:v>Exact evidence span in text plus claim-level reasoning link; for contextual/discourse entries, require surrounding context.</x:v>
      </x:c>
      <x:c r="Q1043" s="13" t="str">
        <x:v>Do not label merely because topic is controversial, emotional, or wrong. Do not judge intent or personality. Require textual evidence and consider healthy-reasoning cues.</x:v>
      </x:c>
      <x:c r="R1043" s="13" t="str">
        <x:v>Stub: A claim relies on the text explicitly calibrates uncertainty to support a conclusion without adequate qualification.</x:v>
      </x:c>
      <x:c r="S1043" s="13" t="str">
        <x:v>Stub: A claim discusses scope limitation with caveats, balanced evidence, or no argumentative use of the pattern.</x:v>
      </x:c>
      <x:c r="T1043" s="13" t="str">
        <x:v>Weak protective cue; keep normal review.</x:v>
      </x:c>
      <x:c r="U1043" s="13" t="str">
        <x:v>Clear protective cue; reduce false-positive risk.</x:v>
      </x:c>
      <x:c r="V1043" s="13" t="str">
        <x:v>Strong protective cue; require stronger evidence before assigning risk labels.</x:v>
      </x:c>
      <x:c r="W1043" s="13" t="str"/>
      <x:c r="X1043" s="13" t="str">
        <x:v>toulmin_uses_argument</x:v>
      </x:c>
      <x:c r="Y1043" s="13" t="str">
        <x:v>https://doi.org/10.1017/CBO9780511840005</x:v>
      </x:c>
      <x:c r="Z1043" s="13" t="str">
        <x:v>Review before enabling. This workbook is a living taxonomy scaffold, not a validated scientific benchmark.</x:v>
      </x:c>
      <x:c r="AA1043" s="13" t="str">
        <x:v>0.1.0-draft</x:v>
      </x:c>
      <x:c r="AB1043" s="12" t="str">
        <x:f>IF(ISNUMBER(SEARCH("healthy",F1043)),"healthy_reasoning_patterns",IF(ISNUMBER(SEARCH("statistical",F1043)),"statistical_reasoning",IF(ISNUMBER(SEARCH("causal",F1043)),"causal_reasoning",IF(ISNUMBER(SEARCH("social",F1043)),"social_influence",IF(ISNUMBER(SEARCH("rhetoric",F1043)),"rhetoric_discourse",IF(ISNUMBER(SEARCH("behavior",F1043)),"behavioural_economics",IF(ISNUMBER(SEARCH("cognitive",F1043)),"cognitive_biases",IF(J1043="protective_pattern","healthy_reasoning_patterns",IF(L1043="P0","core_mvp","extended_fallacies")))))))))</x:f>
        <x:v>healthy_reasoning_patterns</x:v>
      </x:c>
      <x:c r="AC1043" s="12" t="str">
        <x:f>IF(ISNUMBER(SEARCH("operational",J1043)),"operational",IF(ISNUMBER(SEARCH("deprecated",J1043)),"deprecated",IF(L1043="P0","canonical","recognized_subtype")))</x:f>
        <x:v>recognized_subtype</x:v>
      </x:c>
      <x:c r="AD1043" s="12" t="str">
        <x:f>IF(AC1043="canonical","high",IF(AC1043="recognized_subtype","medium",IF(AC1043="operational","operational_only","debated")))</x:f>
        <x:v>medium</x:v>
      </x:c>
      <x:c r="AE1043" s="12" t="str">
        <x:f>IF(AC1043="deprecated","deprecated",IF(M1043="yes","active",IF(M1043="review","review_required","backlog")))</x:f>
        <x:v>review_required</x:v>
      </x:c>
      <x:c r="AF1043" s="12" t="str">
        <x:f>IF(OR(AE1043="active",AE1043="review_required"),"yes","no")</x:f>
        <x:v>yes</x:v>
      </x:c>
      <x:c r="AG1043" s="12" t="str">
        <x:f>IF(AND(AE1043="active",M1043="yes",NOT(ISNUMBER(SEARCH("healthy",AB1043)))),"yes","no")</x:f>
        <x:v>no</x:v>
      </x:c>
      <x:c r="AH1043" s="12" t="str">
        <x:f>IF(OR(H1043="contextual",H1043="dialogue",H1043="discourse",I1043="claim+context",I1043="discourse_segment"),"yes","no")</x:f>
        <x:v>no</x:v>
      </x:c>
      <x:c r="AI1043" s="12" t="str">
        <x:f>IF(OR(AH1043="yes",AD1043="debated",AC1043="operational"),"yes","no")</x:f>
        <x:v>no</x:v>
      </x:c>
      <x:c r="AJ1043" s="12" t="str">
        <x:f>IF(OR(AH1043="yes",AC1043="operational",AD1043="debated"),"high",IF(AND(AG1043="yes",L1043="P0"),"medium","low"))</x:f>
        <x:v>low</x:v>
      </x:c>
      <x:c r="AK1043" s="12" t="str">
        <x:f>IF(ISNUMBER(SEARCH("healthy",AB1043)),"yes","no")</x:f>
        <x:v>yes</x:v>
      </x:c>
      <x:c r="AL1043" s="12" t="str">
        <x:f>IF(AG1043="yes","yes","candidate_only")</x:f>
        <x:v>candidate_only</x:v>
      </x:c>
      <x:c r="AM1043" s="12" t="str">
        <x:f>IF(OR(AC1043="canonical",AG1043="yes"),"yes","recommended")</x:f>
        <x:v>recommended</x:v>
      </x:c>
      <x:c r="AN1043" s="12" t="str">
        <x:f>IF(AC1043="deprecated","exclude",IF(AND(AG1043="yes",AJ1043="high"),"import_but_human_review_required",IF(AG1043="yes","import_as_active","import_as_backlog")))</x:f>
        <x:v>import_as_backlog</x:v>
      </x:c>
      <x:c r="AO1043" s="12" t="str">
        <x:f>IF(AND(AG1043="yes",OR(P1043="",Q1043="",R1043="",S1043="")),"missing_required_mvp_fields",IF(AND(AC1043="canonical",Y1043=""),"missing_source_ref","ok"))</x:f>
        <x:v>ok</x:v>
      </x:c>
      <x:c r="AP1043" s="12" t="str">
        <x:f>IF(AO1043="ok","ready_for_codex_import","needs_review")</x:f>
        <x:v>ready_for_codex_import</x:v>
      </x:c>
      <x:c r="AQ1043" s="12"/>
      <x:c r="AR1043" s="12" t="str">
        <x:v>Added v2 operational fields. Review before classification activation.</x:v>
      </x:c>
    </x:row>
    <x:row r="1044">
      <x:c r="A1044" s="13" t="str">
        <x:v>base_rate_use_uncertainty_variant</x:v>
      </x:c>
      <x:c r="B1044" s="13" t="str">
        <x:v>base_rate_use</x:v>
      </x:c>
      <x:c r="C1044" s="13" t="str">
        <x:v>Base-rate use</x:v>
      </x:c>
      <x:c r="D1044" s="13" t="str">
        <x:v>استفاده از نرخ پایه</x:v>
      </x:c>
      <x:c r="E1044" s="13" t="str">
        <x:v>Uncertainty variant</x:v>
      </x:c>
      <x:c r="F1044" s="13" t="str">
        <x:v>healthy_reasoning_patterns</x:v>
      </x:c>
      <x:c r="G1044" s="13" t="str">
        <x:v>operational_variant</x:v>
      </x:c>
      <x:c r="H1044" s="13" t="str">
        <x:v>contextual</x:v>
      </x:c>
      <x:c r="I1044" s="13" t="str">
        <x:v>claim+context</x:v>
      </x:c>
      <x:c r="J1044" s="13" t="str">
        <x:v>protective_pattern</x:v>
      </x:c>
      <x:c r="K1044" s="13" t="str">
        <x:v>operational_pattern_needs_review</x:v>
      </x:c>
      <x:c r="L1044" s="13" t="str">
        <x:v>P2</x:v>
      </x:c>
      <x:c r="M1044" s="13" t="str">
        <x:v>review</x:v>
      </x:c>
      <x:c r="N1044" s="13" t="str">
        <x:v>Protective reasoning pattern under Base-rate use: the text explicitly calibrates uncertainty. It should reduce risk scores when supported by evidence.</x:v>
      </x:c>
      <x:c r="O1044" s="13" t="str">
        <x:v>Look for: explicit claim-level evidence; parent-family cues for Base-rate use; variant cue: the text explicitly calibrates uncertainty; avoid author-level inference.</x:v>
      </x:c>
      <x:c r="P1044" s="13" t="str">
        <x:v>Exact evidence span in text plus claim-level reasoning link; for contextual/discourse entries, require surrounding context.</x:v>
      </x:c>
      <x:c r="Q1044" s="13" t="str">
        <x:v>Do not label merely because topic is controversial, emotional, or wrong. Do not judge intent or personality. Require textual evidence and consider healthy-reasoning cues.</x:v>
      </x:c>
      <x:c r="R1044" s="13" t="str">
        <x:v>Stub: A claim relies on the text explicitly calibrates uncertainty to support a conclusion without adequate qualification.</x:v>
      </x:c>
      <x:c r="S1044" s="13" t="str">
        <x:v>Stub: A claim discusses base-rate use with caveats, balanced evidence, or no argumentative use of the pattern.</x:v>
      </x:c>
      <x:c r="T1044" s="13" t="str">
        <x:v>Weak protective cue; keep normal review.</x:v>
      </x:c>
      <x:c r="U1044" s="13" t="str">
        <x:v>Clear protective cue; reduce false-positive risk.</x:v>
      </x:c>
      <x:c r="V1044" s="13" t="str">
        <x:v>Strong protective cue; require stronger evidence before assigning risk labels.</x:v>
      </x:c>
      <x:c r="W1044" s="13" t="str"/>
      <x:c r="X1044" s="13" t="str">
        <x:v>kahneman_tversky_heuristics_1974</x:v>
      </x:c>
      <x:c r="Y1044" s="13" t="str">
        <x:v>https://doi.org/10.1126/science.185.4157.1124</x:v>
      </x:c>
      <x:c r="Z1044" s="13" t="str">
        <x:v>Review before enabling. This workbook is a living taxonomy scaffold, not a validated scientific benchmark.</x:v>
      </x:c>
      <x:c r="AA1044" s="13" t="str">
        <x:v>0.1.0-draft</x:v>
      </x:c>
      <x:c r="AB1044" s="12" t="str">
        <x:f>IF(ISNUMBER(SEARCH("healthy",F1044)),"healthy_reasoning_patterns",IF(ISNUMBER(SEARCH("statistical",F1044)),"statistical_reasoning",IF(ISNUMBER(SEARCH("causal",F1044)),"causal_reasoning",IF(ISNUMBER(SEARCH("social",F1044)),"social_influence",IF(ISNUMBER(SEARCH("rhetoric",F1044)),"rhetoric_discourse",IF(ISNUMBER(SEARCH("behavior",F1044)),"behavioural_economics",IF(ISNUMBER(SEARCH("cognitive",F1044)),"cognitive_biases",IF(J1044="protective_pattern","healthy_reasoning_patterns",IF(L1044="P0","core_mvp","extended_fallacies")))))))))</x:f>
        <x:v>healthy_reasoning_patterns</x:v>
      </x:c>
      <x:c r="AC1044" s="12" t="str">
        <x:f>IF(ISNUMBER(SEARCH("operational",J1044)),"operational",IF(ISNUMBER(SEARCH("deprecated",J1044)),"deprecated",IF(L1044="P0","canonical","recognized_subtype")))</x:f>
        <x:v>recognized_subtype</x:v>
      </x:c>
      <x:c r="AD1044" s="12" t="str">
        <x:f>IF(AC1044="canonical","high",IF(AC1044="recognized_subtype","medium",IF(AC1044="operational","operational_only","debated")))</x:f>
        <x:v>medium</x:v>
      </x:c>
      <x:c r="AE1044" s="12" t="str">
        <x:f>IF(AC1044="deprecated","deprecated",IF(M1044="yes","active",IF(M1044="review","review_required","backlog")))</x:f>
        <x:v>review_required</x:v>
      </x:c>
      <x:c r="AF1044" s="12" t="str">
        <x:f>IF(OR(AE1044="active",AE1044="review_required"),"yes","no")</x:f>
        <x:v>yes</x:v>
      </x:c>
      <x:c r="AG1044" s="12" t="str">
        <x:f>IF(AND(AE1044="active",M1044="yes",NOT(ISNUMBER(SEARCH("healthy",AB1044)))),"yes","no")</x:f>
        <x:v>no</x:v>
      </x:c>
      <x:c r="AH1044" s="12" t="str">
        <x:f>IF(OR(H1044="contextual",H1044="dialogue",H1044="discourse",I1044="claim+context",I1044="discourse_segment"),"yes","no")</x:f>
        <x:v>yes</x:v>
      </x:c>
      <x:c r="AI1044" s="12" t="str">
        <x:f>IF(OR(AH1044="yes",AD1044="debated",AC1044="operational"),"yes","no")</x:f>
        <x:v>yes</x:v>
      </x:c>
      <x:c r="AJ1044" s="12" t="str">
        <x:f>IF(OR(AH1044="yes",AC1044="operational",AD1044="debated"),"high",IF(AND(AG1044="yes",L1044="P0"),"medium","low"))</x:f>
        <x:v>high</x:v>
      </x:c>
      <x:c r="AK1044" s="12" t="str">
        <x:f>IF(ISNUMBER(SEARCH("healthy",AB1044)),"yes","no")</x:f>
        <x:v>yes</x:v>
      </x:c>
      <x:c r="AL1044" s="12" t="str">
        <x:f>IF(AG1044="yes","yes","candidate_only")</x:f>
        <x:v>candidate_only</x:v>
      </x:c>
      <x:c r="AM1044" s="12" t="str">
        <x:f>IF(OR(AC1044="canonical",AG1044="yes"),"yes","recommended")</x:f>
        <x:v>recommended</x:v>
      </x:c>
      <x:c r="AN1044" s="12" t="str">
        <x:f>IF(AC1044="deprecated","exclude",IF(AND(AG1044="yes",AJ1044="high"),"import_but_human_review_required",IF(AG1044="yes","import_as_active","import_as_backlog")))</x:f>
        <x:v>import_as_backlog</x:v>
      </x:c>
      <x:c r="AO1044" s="12" t="str">
        <x:f>IF(AND(AG1044="yes",OR(P1044="",Q1044="",R1044="",S1044="")),"missing_required_mvp_fields",IF(AND(AC1044="canonical",Y1044=""),"missing_source_ref","ok"))</x:f>
        <x:v>ok</x:v>
      </x:c>
      <x:c r="AP1044" s="12" t="str">
        <x:f>IF(AO1044="ok","ready_for_codex_import","needs_review")</x:f>
        <x:v>ready_for_codex_import</x:v>
      </x:c>
      <x:c r="AQ1044" s="12"/>
      <x:c r="AR1044" s="12" t="str">
        <x:v>Added v2 operational fields. Review before classification activation.</x:v>
      </x:c>
    </x:row>
    <x:row r="1045">
      <x:c r="A1045" s="13" t="str">
        <x:v>counterexample_consideration_uncertainty_variant</x:v>
      </x:c>
      <x:c r="B1045" s="13" t="str">
        <x:v>counterexample_consideration</x:v>
      </x:c>
      <x:c r="C1045" s="13" t="str">
        <x:v>Counterexample consideration</x:v>
      </x:c>
      <x:c r="D1045" s="13" t="str">
        <x:v>توجه به نمونه نقض</x:v>
      </x:c>
      <x:c r="E1045" s="13" t="str">
        <x:v>Uncertainty variant</x:v>
      </x:c>
      <x:c r="F1045" s="13" t="str">
        <x:v>healthy_reasoning_patterns</x:v>
      </x:c>
      <x:c r="G1045" s="13" t="str">
        <x:v>operational_variant</x:v>
      </x:c>
      <x:c r="H1045" s="13" t="str">
        <x:v>contextual</x:v>
      </x:c>
      <x:c r="I1045" s="13" t="str">
        <x:v>claim+context</x:v>
      </x:c>
      <x:c r="J1045" s="13" t="str">
        <x:v>protective_pattern</x:v>
      </x:c>
      <x:c r="K1045" s="13" t="str">
        <x:v>operational_pattern_needs_review</x:v>
      </x:c>
      <x:c r="L1045" s="13" t="str">
        <x:v>P2</x:v>
      </x:c>
      <x:c r="M1045" s="13" t="str">
        <x:v>review</x:v>
      </x:c>
      <x:c r="N1045" s="13" t="str">
        <x:v>Protective reasoning pattern under Counterexample consideration: the text explicitly calibrates uncertainty. It should reduce risk scores when supported by evidence.</x:v>
      </x:c>
      <x:c r="O1045" s="13" t="str">
        <x:v>Look for: explicit claim-level evidence; parent-family cues for Counterexample consideration; variant cue: the text explicitly calibrates uncertainty; avoid author-level inference.</x:v>
      </x:c>
      <x:c r="P1045" s="13" t="str">
        <x:v>Exact evidence span in text plus claim-level reasoning link; for contextual/discourse entries, require surrounding context.</x:v>
      </x:c>
      <x:c r="Q1045" s="13" t="str">
        <x:v>Do not label merely because topic is controversial, emotional, or wrong. Do not judge intent or personality. Require textual evidence and consider healthy-reasoning cues.</x:v>
      </x:c>
      <x:c r="R1045" s="13" t="str">
        <x:v>Stub: A claim relies on the text explicitly calibrates uncertainty to support a conclusion without adequate qualification.</x:v>
      </x:c>
      <x:c r="S1045" s="13" t="str">
        <x:v>Stub: A claim discusses counterexample consideration with caveats, balanced evidence, or no argumentative use of the pattern.</x:v>
      </x:c>
      <x:c r="T1045" s="13" t="str">
        <x:v>Weak protective cue; keep normal review.</x:v>
      </x:c>
      <x:c r="U1045" s="13" t="str">
        <x:v>Clear protective cue; reduce false-positive risk.</x:v>
      </x:c>
      <x:c r="V1045" s="13" t="str">
        <x:v>Strong protective cue; require stronger evidence before assigning risk labels.</x:v>
      </x:c>
      <x:c r="W1045" s="13" t="str">
        <x:v>cherry_picking; missing_counterevidence; evidence_grading</x:v>
      </x:c>
      <x:c r="X1045" s="13" t="str">
        <x:v>toulmin_uses_argument</x:v>
      </x:c>
      <x:c r="Y1045" s="13" t="str">
        <x:v>https://doi.org/10.1017/CBO9780511840005</x:v>
      </x:c>
      <x:c r="Z1045" s="13" t="str">
        <x:v>Review before enabling. This workbook is a living taxonomy scaffold, not a validated scientific benchmark.</x:v>
      </x:c>
      <x:c r="AA1045" s="13" t="str">
        <x:v>0.1.0-draft</x:v>
      </x:c>
      <x:c r="AB1045" s="12" t="str">
        <x:f>IF(ISNUMBER(SEARCH("healthy",F1045)),"healthy_reasoning_patterns",IF(ISNUMBER(SEARCH("statistical",F1045)),"statistical_reasoning",IF(ISNUMBER(SEARCH("causal",F1045)),"causal_reasoning",IF(ISNUMBER(SEARCH("social",F1045)),"social_influence",IF(ISNUMBER(SEARCH("rhetoric",F1045)),"rhetoric_discourse",IF(ISNUMBER(SEARCH("behavior",F1045)),"behavioural_economics",IF(ISNUMBER(SEARCH("cognitive",F1045)),"cognitive_biases",IF(J1045="protective_pattern","healthy_reasoning_patterns",IF(L1045="P0","core_mvp","extended_fallacies")))))))))</x:f>
        <x:v>healthy_reasoning_patterns</x:v>
      </x:c>
      <x:c r="AC1045" s="12" t="str">
        <x:f>IF(ISNUMBER(SEARCH("operational",J1045)),"operational",IF(ISNUMBER(SEARCH("deprecated",J1045)),"deprecated",IF(L1045="P0","canonical","recognized_subtype")))</x:f>
        <x:v>recognized_subtype</x:v>
      </x:c>
      <x:c r="AD1045" s="12" t="str">
        <x:f>IF(AC1045="canonical","high",IF(AC1045="recognized_subtype","medium",IF(AC1045="operational","operational_only","debated")))</x:f>
        <x:v>medium</x:v>
      </x:c>
      <x:c r="AE1045" s="12" t="str">
        <x:f>IF(AC1045="deprecated","deprecated",IF(M1045="yes","active",IF(M1045="review","review_required","backlog")))</x:f>
        <x:v>review_required</x:v>
      </x:c>
      <x:c r="AF1045" s="12" t="str">
        <x:f>IF(OR(AE1045="active",AE1045="review_required"),"yes","no")</x:f>
        <x:v>yes</x:v>
      </x:c>
      <x:c r="AG1045" s="12" t="str">
        <x:f>IF(AND(AE1045="active",M1045="yes",NOT(ISNUMBER(SEARCH("healthy",AB1045)))),"yes","no")</x:f>
        <x:v>no</x:v>
      </x:c>
      <x:c r="AH1045" s="12" t="str">
        <x:f>IF(OR(H1045="contextual",H1045="dialogue",H1045="discourse",I1045="claim+context",I1045="discourse_segment"),"yes","no")</x:f>
        <x:v>yes</x:v>
      </x:c>
      <x:c r="AI1045" s="12" t="str">
        <x:f>IF(OR(AH1045="yes",AD1045="debated",AC1045="operational"),"yes","no")</x:f>
        <x:v>yes</x:v>
      </x:c>
      <x:c r="AJ1045" s="12" t="str">
        <x:f>IF(OR(AH1045="yes",AC1045="operational",AD1045="debated"),"high",IF(AND(AG1045="yes",L1045="P0"),"medium","low"))</x:f>
        <x:v>high</x:v>
      </x:c>
      <x:c r="AK1045" s="12" t="str">
        <x:f>IF(ISNUMBER(SEARCH("healthy",AB1045)),"yes","no")</x:f>
        <x:v>yes</x:v>
      </x:c>
      <x:c r="AL1045" s="12" t="str">
        <x:f>IF(AG1045="yes","yes","candidate_only")</x:f>
        <x:v>candidate_only</x:v>
      </x:c>
      <x:c r="AM1045" s="12" t="str">
        <x:f>IF(OR(AC1045="canonical",AG1045="yes"),"yes","recommended")</x:f>
        <x:v>recommended</x:v>
      </x:c>
      <x:c r="AN1045" s="12" t="str">
        <x:f>IF(AC1045="deprecated","exclude",IF(AND(AG1045="yes",AJ1045="high"),"import_but_human_review_required",IF(AG1045="yes","import_as_active","import_as_backlog")))</x:f>
        <x:v>import_as_backlog</x:v>
      </x:c>
      <x:c r="AO1045" s="12" t="str">
        <x:f>IF(AND(AG1045="yes",OR(P1045="",Q1045="",R1045="",S1045="")),"missing_required_mvp_fields",IF(AND(AC1045="canonical",Y1045=""),"missing_source_ref","ok"))</x:f>
        <x:v>ok</x:v>
      </x:c>
      <x:c r="AP1045" s="12" t="str">
        <x:f>IF(AO1045="ok","ready_for_codex_import","needs_review")</x:f>
        <x:v>ready_for_codex_import</x:v>
      </x:c>
      <x:c r="AQ1045" s="12"/>
      <x:c r="AR1045" s="12" t="str">
        <x:v>Added v2 operational fields. Review before classification activation.</x:v>
      </x:c>
    </x:row>
    <x:row r="1046">
      <x:c r="A1046" s="13" t="str">
        <x:v>alternative_explanation_consideration_uncertainty_variant</x:v>
      </x:c>
      <x:c r="B1046" s="13" t="str">
        <x:v>alternative_explanation_consideration</x:v>
      </x:c>
      <x:c r="C1046" s="13" t="str">
        <x:v>Alternative explanations considered</x:v>
      </x:c>
      <x:c r="D1046" s="13" t="str">
        <x:v>توجه به توضیح‌های بدیل</x:v>
      </x:c>
      <x:c r="E1046" s="13" t="str">
        <x:v>Uncertainty variant</x:v>
      </x:c>
      <x:c r="F1046" s="13" t="str">
        <x:v>healthy_reasoning_patterns</x:v>
      </x:c>
      <x:c r="G1046" s="13" t="str">
        <x:v>operational_variant</x:v>
      </x:c>
      <x:c r="H1046" s="13" t="str">
        <x:v>contextual</x:v>
      </x:c>
      <x:c r="I1046" s="13" t="str">
        <x:v>claim+context</x:v>
      </x:c>
      <x:c r="J1046" s="13" t="str">
        <x:v>protective_pattern</x:v>
      </x:c>
      <x:c r="K1046" s="13" t="str">
        <x:v>operational_pattern_needs_review</x:v>
      </x:c>
      <x:c r="L1046" s="13" t="str">
        <x:v>P2</x:v>
      </x:c>
      <x:c r="M1046" s="13" t="str">
        <x:v>review</x:v>
      </x:c>
      <x:c r="N1046" s="13" t="str">
        <x:v>Protective reasoning pattern under Alternative explanations considered: the text explicitly calibrates uncertainty. It should reduce risk scores when supported by evidence.</x:v>
      </x:c>
      <x:c r="O1046" s="13" t="str">
        <x:v>Look for: explicit claim-level evidence; parent-family cues for Alternative explanations considered; variant cue: the text explicitly calibrates uncertainty; avoid author-level inference.</x:v>
      </x:c>
      <x:c r="P1046" s="13" t="str">
        <x:v>Exact evidence span in text plus claim-level reasoning link; for contextual/discourse entries, require surrounding context.</x:v>
      </x:c>
      <x:c r="Q1046" s="13" t="str">
        <x:v>Do not label merely because topic is controversial, emotional, or wrong. Do not judge intent or personality. Require textual evidence and consider healthy-reasoning cues.</x:v>
      </x:c>
      <x:c r="R1046" s="13" t="str">
        <x:v>Stub: A claim relies on the text explicitly calibrates uncertainty to support a conclusion without adequate qualification.</x:v>
      </x:c>
      <x:c r="S1046" s="13" t="str">
        <x:v>Stub: A claim discusses alternative explanations considered with caveats, balanced evidence, or no argumentative use of the pattern.</x:v>
      </x:c>
      <x:c r="T1046" s="13" t="str">
        <x:v>Weak protective cue; keep normal review.</x:v>
      </x:c>
      <x:c r="U1046" s="13" t="str">
        <x:v>Clear protective cue; reduce false-positive risk.</x:v>
      </x:c>
      <x:c r="V1046" s="13" t="str">
        <x:v>Strong protective cue; require stronger evidence before assigning risk labels.</x:v>
      </x:c>
      <x:c r="W1046" s="13" t="str"/>
      <x:c r="X1046" s="13" t="str">
        <x:v>toulmin_uses_argument</x:v>
      </x:c>
      <x:c r="Y1046" s="13" t="str">
        <x:v>https://doi.org/10.1017/CBO9780511840005</x:v>
      </x:c>
      <x:c r="Z1046" s="13" t="str">
        <x:v>Review before enabling. This workbook is a living taxonomy scaffold, not a validated scientific benchmark.</x:v>
      </x:c>
      <x:c r="AA1046" s="13" t="str">
        <x:v>0.1.0-draft</x:v>
      </x:c>
      <x:c r="AB1046" s="12" t="str">
        <x:f>IF(ISNUMBER(SEARCH("healthy",F1046)),"healthy_reasoning_patterns",IF(ISNUMBER(SEARCH("statistical",F1046)),"statistical_reasoning",IF(ISNUMBER(SEARCH("causal",F1046)),"causal_reasoning",IF(ISNUMBER(SEARCH("social",F1046)),"social_influence",IF(ISNUMBER(SEARCH("rhetoric",F1046)),"rhetoric_discourse",IF(ISNUMBER(SEARCH("behavior",F1046)),"behavioural_economics",IF(ISNUMBER(SEARCH("cognitive",F1046)),"cognitive_biases",IF(J1046="protective_pattern","healthy_reasoning_patterns",IF(L1046="P0","core_mvp","extended_fallacies")))))))))</x:f>
        <x:v>healthy_reasoning_patterns</x:v>
      </x:c>
      <x:c r="AC1046" s="12" t="str">
        <x:f>IF(ISNUMBER(SEARCH("operational",J1046)),"operational",IF(ISNUMBER(SEARCH("deprecated",J1046)),"deprecated",IF(L1046="P0","canonical","recognized_subtype")))</x:f>
        <x:v>recognized_subtype</x:v>
      </x:c>
      <x:c r="AD1046" s="12" t="str">
        <x:f>IF(AC1046="canonical","high",IF(AC1046="recognized_subtype","medium",IF(AC1046="operational","operational_only","debated")))</x:f>
        <x:v>medium</x:v>
      </x:c>
      <x:c r="AE1046" s="12" t="str">
        <x:f>IF(AC1046="deprecated","deprecated",IF(M1046="yes","active",IF(M1046="review","review_required","backlog")))</x:f>
        <x:v>review_required</x:v>
      </x:c>
      <x:c r="AF1046" s="12" t="str">
        <x:f>IF(OR(AE1046="active",AE1046="review_required"),"yes","no")</x:f>
        <x:v>yes</x:v>
      </x:c>
      <x:c r="AG1046" s="12" t="str">
        <x:f>IF(AND(AE1046="active",M1046="yes",NOT(ISNUMBER(SEARCH("healthy",AB1046)))),"yes","no")</x:f>
        <x:v>no</x:v>
      </x:c>
      <x:c r="AH1046" s="12" t="str">
        <x:f>IF(OR(H1046="contextual",H1046="dialogue",H1046="discourse",I1046="claim+context",I1046="discourse_segment"),"yes","no")</x:f>
        <x:v>yes</x:v>
      </x:c>
      <x:c r="AI1046" s="12" t="str">
        <x:f>IF(OR(AH1046="yes",AD1046="debated",AC1046="operational"),"yes","no")</x:f>
        <x:v>yes</x:v>
      </x:c>
      <x:c r="AJ1046" s="12" t="str">
        <x:f>IF(OR(AH1046="yes",AC1046="operational",AD1046="debated"),"high",IF(AND(AG1046="yes",L1046="P0"),"medium","low"))</x:f>
        <x:v>high</x:v>
      </x:c>
      <x:c r="AK1046" s="12" t="str">
        <x:f>IF(ISNUMBER(SEARCH("healthy",AB1046)),"yes","no")</x:f>
        <x:v>yes</x:v>
      </x:c>
      <x:c r="AL1046" s="12" t="str">
        <x:f>IF(AG1046="yes","yes","candidate_only")</x:f>
        <x:v>candidate_only</x:v>
      </x:c>
      <x:c r="AM1046" s="12" t="str">
        <x:f>IF(OR(AC1046="canonical",AG1046="yes"),"yes","recommended")</x:f>
        <x:v>recommended</x:v>
      </x:c>
      <x:c r="AN1046" s="12" t="str">
        <x:f>IF(AC1046="deprecated","exclude",IF(AND(AG1046="yes",AJ1046="high"),"import_but_human_review_required",IF(AG1046="yes","import_as_active","import_as_backlog")))</x:f>
        <x:v>import_as_backlog</x:v>
      </x:c>
      <x:c r="AO1046" s="12" t="str">
        <x:f>IF(AND(AG1046="yes",OR(P1046="",Q1046="",R1046="",S1046="")),"missing_required_mvp_fields",IF(AND(AC1046="canonical",Y1046=""),"missing_source_ref","ok"))</x:f>
        <x:v>ok</x:v>
      </x:c>
      <x:c r="AP1046" s="12" t="str">
        <x:f>IF(AO1046="ok","ready_for_codex_import","needs_review")</x:f>
        <x:v>ready_for_codex_import</x:v>
      </x:c>
      <x:c r="AQ1046" s="12"/>
      <x:c r="AR1046" s="12" t="str">
        <x:v>Added v2 operational fields. Review before classification activation.</x:v>
      </x:c>
    </x:row>
    <x:row r="1047">
      <x:c r="A1047" s="13" t="str">
        <x:v>evidence_grading_uncertainty_variant</x:v>
      </x:c>
      <x:c r="B1047" s="13" t="str">
        <x:v>evidence_grading</x:v>
      </x:c>
      <x:c r="C1047" s="13" t="str">
        <x:v>Evidence grading</x:v>
      </x:c>
      <x:c r="D1047" s="13" t="str">
        <x:v>درجه‌بندی کیفیت شواهد</x:v>
      </x:c>
      <x:c r="E1047" s="13" t="str">
        <x:v>Uncertainty variant</x:v>
      </x:c>
      <x:c r="F1047" s="13" t="str">
        <x:v>healthy_reasoning_patterns</x:v>
      </x:c>
      <x:c r="G1047" s="13" t="str">
        <x:v>operational_variant</x:v>
      </x:c>
      <x:c r="H1047" s="13" t="str">
        <x:v>contextual</x:v>
      </x:c>
      <x:c r="I1047" s="13" t="str">
        <x:v>claim+context</x:v>
      </x:c>
      <x:c r="J1047" s="13" t="str">
        <x:v>protective_pattern</x:v>
      </x:c>
      <x:c r="K1047" s="13" t="str">
        <x:v>operational_pattern_needs_review</x:v>
      </x:c>
      <x:c r="L1047" s="13" t="str">
        <x:v>P2</x:v>
      </x:c>
      <x:c r="M1047" s="13" t="str">
        <x:v>review</x:v>
      </x:c>
      <x:c r="N1047" s="13" t="str">
        <x:v>Protective reasoning pattern under Evidence grading: the text explicitly calibrates uncertainty. It should reduce risk scores when supported by evidence.</x:v>
      </x:c>
      <x:c r="O1047" s="13" t="str">
        <x:v>Look for: explicit claim-level evidence; parent-family cues for Evidence grading; variant cue: the text explicitly calibrates uncertainty; avoid author-level inference.</x:v>
      </x:c>
      <x:c r="P1047" s="13" t="str">
        <x:v>Exact evidence span in text plus claim-level reasoning link; for contextual/discourse entries, require surrounding context.</x:v>
      </x:c>
      <x:c r="Q1047" s="13" t="str">
        <x:v>Do not label merely because topic is controversial, emotional, or wrong. Do not judge intent or personality. Require textual evidence and consider healthy-reasoning cues.</x:v>
      </x:c>
      <x:c r="R1047" s="13" t="str">
        <x:v>Stub: A claim relies on the text explicitly calibrates uncertainty to support a conclusion without adequate qualification.</x:v>
      </x:c>
      <x:c r="S1047" s="13" t="str">
        <x:v>Stub: A claim discusses evidence grading with caveats, balanced evidence, or no argumentative use of the pattern.</x:v>
      </x:c>
      <x:c r="T1047" s="13" t="str">
        <x:v>Weak protective cue; keep normal review.</x:v>
      </x:c>
      <x:c r="U1047" s="13" t="str">
        <x:v>Clear protective cue; reduce false-positive risk.</x:v>
      </x:c>
      <x:c r="V1047" s="13" t="str">
        <x:v>Strong protective cue; require stronger evidence before assigning risk labels.</x:v>
      </x:c>
      <x:c r="W1047" s="13" t="str">
        <x:v>cherry_picking; missing_counterevidence; evidence_grading</x:v>
      </x:c>
      <x:c r="X1047" s="13" t="str">
        <x:v>toulmin_uses_argument</x:v>
      </x:c>
      <x:c r="Y1047" s="13" t="str">
        <x:v>https://doi.org/10.1017/CBO9780511840005</x:v>
      </x:c>
      <x:c r="Z1047" s="13" t="str">
        <x:v>Review before enabling. This workbook is a living taxonomy scaffold, not a validated scientific benchmark.</x:v>
      </x:c>
      <x:c r="AA1047" s="13" t="str">
        <x:v>0.1.0-draft</x:v>
      </x:c>
      <x:c r="AB1047" s="12" t="str">
        <x:f>IF(ISNUMBER(SEARCH("healthy",F1047)),"healthy_reasoning_patterns",IF(ISNUMBER(SEARCH("statistical",F1047)),"statistical_reasoning",IF(ISNUMBER(SEARCH("causal",F1047)),"causal_reasoning",IF(ISNUMBER(SEARCH("social",F1047)),"social_influence",IF(ISNUMBER(SEARCH("rhetoric",F1047)),"rhetoric_discourse",IF(ISNUMBER(SEARCH("behavior",F1047)),"behavioural_economics",IF(ISNUMBER(SEARCH("cognitive",F1047)),"cognitive_biases",IF(J1047="protective_pattern","healthy_reasoning_patterns",IF(L1047="P0","core_mvp","extended_fallacies")))))))))</x:f>
        <x:v>healthy_reasoning_patterns</x:v>
      </x:c>
      <x:c r="AC1047" s="12" t="str">
        <x:f>IF(ISNUMBER(SEARCH("operational",J1047)),"operational",IF(ISNUMBER(SEARCH("deprecated",J1047)),"deprecated",IF(L1047="P0","canonical","recognized_subtype")))</x:f>
        <x:v>recognized_subtype</x:v>
      </x:c>
      <x:c r="AD1047" s="12" t="str">
        <x:f>IF(AC1047="canonical","high",IF(AC1047="recognized_subtype","medium",IF(AC1047="operational","operational_only","debated")))</x:f>
        <x:v>medium</x:v>
      </x:c>
      <x:c r="AE1047" s="12" t="str">
        <x:f>IF(AC1047="deprecated","deprecated",IF(M1047="yes","active",IF(M1047="review","review_required","backlog")))</x:f>
        <x:v>review_required</x:v>
      </x:c>
      <x:c r="AF1047" s="12" t="str">
        <x:f>IF(OR(AE1047="active",AE1047="review_required"),"yes","no")</x:f>
        <x:v>yes</x:v>
      </x:c>
      <x:c r="AG1047" s="12" t="str">
        <x:f>IF(AND(AE1047="active",M1047="yes",NOT(ISNUMBER(SEARCH("healthy",AB1047)))),"yes","no")</x:f>
        <x:v>no</x:v>
      </x:c>
      <x:c r="AH1047" s="12" t="str">
        <x:f>IF(OR(H1047="contextual",H1047="dialogue",H1047="discourse",I1047="claim+context",I1047="discourse_segment"),"yes","no")</x:f>
        <x:v>yes</x:v>
      </x:c>
      <x:c r="AI1047" s="12" t="str">
        <x:f>IF(OR(AH1047="yes",AD1047="debated",AC1047="operational"),"yes","no")</x:f>
        <x:v>yes</x:v>
      </x:c>
      <x:c r="AJ1047" s="12" t="str">
        <x:f>IF(OR(AH1047="yes",AC1047="operational",AD1047="debated"),"high",IF(AND(AG1047="yes",L1047="P0"),"medium","low"))</x:f>
        <x:v>high</x:v>
      </x:c>
      <x:c r="AK1047" s="12" t="str">
        <x:f>IF(ISNUMBER(SEARCH("healthy",AB1047)),"yes","no")</x:f>
        <x:v>yes</x:v>
      </x:c>
      <x:c r="AL1047" s="12" t="str">
        <x:f>IF(AG1047="yes","yes","candidate_only")</x:f>
        <x:v>candidate_only</x:v>
      </x:c>
      <x:c r="AM1047" s="12" t="str">
        <x:f>IF(OR(AC1047="canonical",AG1047="yes"),"yes","recommended")</x:f>
        <x:v>recommended</x:v>
      </x:c>
      <x:c r="AN1047" s="12" t="str">
        <x:f>IF(AC1047="deprecated","exclude",IF(AND(AG1047="yes",AJ1047="high"),"import_but_human_review_required",IF(AG1047="yes","import_as_active","import_as_backlog")))</x:f>
        <x:v>import_as_backlog</x:v>
      </x:c>
      <x:c r="AO1047" s="12" t="str">
        <x:f>IF(AND(AG1047="yes",OR(P1047="",Q1047="",R1047="",S1047="")),"missing_required_mvp_fields",IF(AND(AC1047="canonical",Y1047=""),"missing_source_ref","ok"))</x:f>
        <x:v>ok</x:v>
      </x:c>
      <x:c r="AP1047" s="12" t="str">
        <x:f>IF(AO1047="ok","ready_for_codex_import","needs_review")</x:f>
        <x:v>ready_for_codex_import</x:v>
      </x:c>
      <x:c r="AQ1047" s="12"/>
      <x:c r="AR1047" s="12" t="str">
        <x:v>Added v2 operational fields. Review before classification activation.</x:v>
      </x:c>
    </x:row>
    <x:row r="1048">
      <x:c r="A1048" s="13" t="str">
        <x:v>source_triangulation_uncertainty_variant</x:v>
      </x:c>
      <x:c r="B1048" s="13" t="str">
        <x:v>source_triangulation</x:v>
      </x:c>
      <x:c r="C1048" s="13" t="str">
        <x:v>Source triangulation</x:v>
      </x:c>
      <x:c r="D1048" s="13" t="str">
        <x:v>مثلث‌سازی منابع</x:v>
      </x:c>
      <x:c r="E1048" s="13" t="str">
        <x:v>Uncertainty variant</x:v>
      </x:c>
      <x:c r="F1048" s="13" t="str">
        <x:v>healthy_reasoning_patterns</x:v>
      </x:c>
      <x:c r="G1048" s="13" t="str">
        <x:v>operational_variant</x:v>
      </x:c>
      <x:c r="H1048" s="13" t="str">
        <x:v>contextual</x:v>
      </x:c>
      <x:c r="I1048" s="13" t="str">
        <x:v>claim+context</x:v>
      </x:c>
      <x:c r="J1048" s="13" t="str">
        <x:v>protective_pattern</x:v>
      </x:c>
      <x:c r="K1048" s="13" t="str">
        <x:v>operational_pattern_needs_review</x:v>
      </x:c>
      <x:c r="L1048" s="13" t="str">
        <x:v>P2</x:v>
      </x:c>
      <x:c r="M1048" s="13" t="str">
        <x:v>review</x:v>
      </x:c>
      <x:c r="N1048" s="13" t="str">
        <x:v>Protective reasoning pattern under Source triangulation: the text explicitly calibrates uncertainty. It should reduce risk scores when supported by evidence.</x:v>
      </x:c>
      <x:c r="O1048" s="13" t="str">
        <x:v>Look for: explicit claim-level evidence; parent-family cues for Source triangulation; variant cue: the text explicitly calibrates uncertainty; avoid author-level inference.</x:v>
      </x:c>
      <x:c r="P1048" s="13" t="str">
        <x:v>Exact evidence span in text plus claim-level reasoning link; for contextual/discourse entries, require surrounding context.</x:v>
      </x:c>
      <x:c r="Q1048" s="13" t="str">
        <x:v>Do not label merely because topic is controversial, emotional, or wrong. Do not judge intent or personality. Require textual evidence and consider healthy-reasoning cues.</x:v>
      </x:c>
      <x:c r="R1048" s="13" t="str">
        <x:v>Stub: A claim relies on the text explicitly calibrates uncertainty to support a conclusion without adequate qualification.</x:v>
      </x:c>
      <x:c r="S1048" s="13" t="str">
        <x:v>Stub: A claim discusses source triangulation with caveats, balanced evidence, or no argumentative use of the pattern.</x:v>
      </x:c>
      <x:c r="T1048" s="13" t="str">
        <x:v>Weak protective cue; keep normal review.</x:v>
      </x:c>
      <x:c r="U1048" s="13" t="str">
        <x:v>Clear protective cue; reduce false-positive risk.</x:v>
      </x:c>
      <x:c r="V1048" s="13" t="str">
        <x:v>Strong protective cue; require stronger evidence before assigning risk labels.</x:v>
      </x:c>
      <x:c r="W1048" s="13" t="str"/>
      <x:c r="X1048" s="13" t="str">
        <x:v>sep_informal_logic</x:v>
      </x:c>
      <x:c r="Y1048" s="13" t="str">
        <x:v>https://plato.stanford.edu/entries/logic-informal/</x:v>
      </x:c>
      <x:c r="Z1048" s="13" t="str">
        <x:v>Review before enabling. This workbook is a living taxonomy scaffold, not a validated scientific benchmark.</x:v>
      </x:c>
      <x:c r="AA1048" s="13" t="str">
        <x:v>0.1.0-draft</x:v>
      </x:c>
      <x:c r="AB1048" s="12" t="str">
        <x:f>IF(ISNUMBER(SEARCH("healthy",F1048)),"healthy_reasoning_patterns",IF(ISNUMBER(SEARCH("statistical",F1048)),"statistical_reasoning",IF(ISNUMBER(SEARCH("causal",F1048)),"causal_reasoning",IF(ISNUMBER(SEARCH("social",F1048)),"social_influence",IF(ISNUMBER(SEARCH("rhetoric",F1048)),"rhetoric_discourse",IF(ISNUMBER(SEARCH("behavior",F1048)),"behavioural_economics",IF(ISNUMBER(SEARCH("cognitive",F1048)),"cognitive_biases",IF(J1048="protective_pattern","healthy_reasoning_patterns",IF(L1048="P0","core_mvp","extended_fallacies")))))))))</x:f>
        <x:v>healthy_reasoning_patterns</x:v>
      </x:c>
      <x:c r="AC1048" s="12" t="str">
        <x:f>IF(ISNUMBER(SEARCH("operational",J1048)),"operational",IF(ISNUMBER(SEARCH("deprecated",J1048)),"deprecated",IF(L1048="P0","canonical","recognized_subtype")))</x:f>
        <x:v>recognized_subtype</x:v>
      </x:c>
      <x:c r="AD1048" s="12" t="str">
        <x:f>IF(AC1048="canonical","high",IF(AC1048="recognized_subtype","medium",IF(AC1048="operational","operational_only","debated")))</x:f>
        <x:v>medium</x:v>
      </x:c>
      <x:c r="AE1048" s="12" t="str">
        <x:f>IF(AC1048="deprecated","deprecated",IF(M1048="yes","active",IF(M1048="review","review_required","backlog")))</x:f>
        <x:v>review_required</x:v>
      </x:c>
      <x:c r="AF1048" s="12" t="str">
        <x:f>IF(OR(AE1048="active",AE1048="review_required"),"yes","no")</x:f>
        <x:v>yes</x:v>
      </x:c>
      <x:c r="AG1048" s="12" t="str">
        <x:f>IF(AND(AE1048="active",M1048="yes",NOT(ISNUMBER(SEARCH("healthy",AB1048)))),"yes","no")</x:f>
        <x:v>no</x:v>
      </x:c>
      <x:c r="AH1048" s="12" t="str">
        <x:f>IF(OR(H1048="contextual",H1048="dialogue",H1048="discourse",I1048="claim+context",I1048="discourse_segment"),"yes","no")</x:f>
        <x:v>yes</x:v>
      </x:c>
      <x:c r="AI1048" s="12" t="str">
        <x:f>IF(OR(AH1048="yes",AD1048="debated",AC1048="operational"),"yes","no")</x:f>
        <x:v>yes</x:v>
      </x:c>
      <x:c r="AJ1048" s="12" t="str">
        <x:f>IF(OR(AH1048="yes",AC1048="operational",AD1048="debated"),"high",IF(AND(AG1048="yes",L1048="P0"),"medium","low"))</x:f>
        <x:v>high</x:v>
      </x:c>
      <x:c r="AK1048" s="12" t="str">
        <x:f>IF(ISNUMBER(SEARCH("healthy",AB1048)),"yes","no")</x:f>
        <x:v>yes</x:v>
      </x:c>
      <x:c r="AL1048" s="12" t="str">
        <x:f>IF(AG1048="yes","yes","candidate_only")</x:f>
        <x:v>candidate_only</x:v>
      </x:c>
      <x:c r="AM1048" s="12" t="str">
        <x:f>IF(OR(AC1048="canonical",AG1048="yes"),"yes","recommended")</x:f>
        <x:v>recommended</x:v>
      </x:c>
      <x:c r="AN1048" s="12" t="str">
        <x:f>IF(AC1048="deprecated","exclude",IF(AND(AG1048="yes",AJ1048="high"),"import_but_human_review_required",IF(AG1048="yes","import_as_active","import_as_backlog")))</x:f>
        <x:v>import_as_backlog</x:v>
      </x:c>
      <x:c r="AO1048" s="12" t="str">
        <x:f>IF(AND(AG1048="yes",OR(P1048="",Q1048="",R1048="",S1048="")),"missing_required_mvp_fields",IF(AND(AC1048="canonical",Y1048=""),"missing_source_ref","ok"))</x:f>
        <x:v>ok</x:v>
      </x:c>
      <x:c r="AP1048" s="12" t="str">
        <x:f>IF(AO1048="ok","ready_for_codex_import","needs_review")</x:f>
        <x:v>ready_for_codex_import</x:v>
      </x:c>
      <x:c r="AQ1048" s="12"/>
      <x:c r="AR1048" s="12" t="str">
        <x:v>Added v2 operational fields. Review before classification activation.</x:v>
      </x:c>
    </x:row>
    <x:row r="1049">
      <x:c r="A1049" s="13" t="str">
        <x:v>probabilistic_language_uncertainty_variant</x:v>
      </x:c>
      <x:c r="B1049" s="13" t="str">
        <x:v>probabilistic_language</x:v>
      </x:c>
      <x:c r="C1049" s="13" t="str">
        <x:v>Probabilistic language</x:v>
      </x:c>
      <x:c r="D1049" s="13" t="str">
        <x:v>زبان احتمالاتی</x:v>
      </x:c>
      <x:c r="E1049" s="13" t="str">
        <x:v>Uncertainty variant</x:v>
      </x:c>
      <x:c r="F1049" s="13" t="str">
        <x:v>healthy_reasoning_patterns</x:v>
      </x:c>
      <x:c r="G1049" s="13" t="str">
        <x:v>operational_variant</x:v>
      </x:c>
      <x:c r="H1049" s="13" t="str">
        <x:v>lexical</x:v>
      </x:c>
      <x:c r="I1049" s="13" t="str">
        <x:v>claim</x:v>
      </x:c>
      <x:c r="J1049" s="13" t="str">
        <x:v>protective_pattern</x:v>
      </x:c>
      <x:c r="K1049" s="13" t="str">
        <x:v>operational_pattern_needs_review</x:v>
      </x:c>
      <x:c r="L1049" s="13" t="str">
        <x:v>P2</x:v>
      </x:c>
      <x:c r="M1049" s="13" t="str">
        <x:v>review</x:v>
      </x:c>
      <x:c r="N1049" s="13" t="str">
        <x:v>Protective reasoning pattern under Probabilistic language: the text explicitly calibrates uncertainty. It should reduce risk scores when supported by evidence.</x:v>
      </x:c>
      <x:c r="O1049" s="13" t="str">
        <x:v>Look for: explicit claim-level evidence; parent-family cues for Probabilistic language; variant cue: the text explicitly calibrates uncertainty; avoid author-level inference.</x:v>
      </x:c>
      <x:c r="P1049" s="13" t="str">
        <x:v>Exact evidence span in text plus claim-level reasoning link; for contextual/discourse entries, require surrounding context.</x:v>
      </x:c>
      <x:c r="Q1049" s="13" t="str">
        <x:v>Do not label merely because topic is controversial, emotional, or wrong. Do not judge intent or personality. Require textual evidence and consider healthy-reasoning cues.</x:v>
      </x:c>
      <x:c r="R1049" s="13" t="str">
        <x:v>Stub: A claim relies on the text explicitly calibrates uncertainty to support a conclusion without adequate qualification.</x:v>
      </x:c>
      <x:c r="S1049" s="13" t="str">
        <x:v>Stub: A claim discusses probabilistic language with caveats, balanced evidence, or no argumentative use of the pattern.</x:v>
      </x:c>
      <x:c r="T1049" s="13" t="str">
        <x:v>Weak protective cue; keep normal review.</x:v>
      </x:c>
      <x:c r="U1049" s="13" t="str">
        <x:v>Clear protective cue; reduce false-positive risk.</x:v>
      </x:c>
      <x:c r="V1049" s="13" t="str">
        <x:v>Strong protective cue; require stronger evidence before assigning risk labels.</x:v>
      </x:c>
      <x:c r="W1049" s="13" t="str"/>
      <x:c r="X1049" s="13" t="str">
        <x:v>stanovich_dual_process</x:v>
      </x:c>
      <x:c r="Y1049" s="13" t="str">
        <x:v>https://global.oup.com/academic/product/rationality-and-the-reflective-mind-9780195341140</x:v>
      </x:c>
      <x:c r="Z1049" s="13" t="str">
        <x:v>Review before enabling. This workbook is a living taxonomy scaffold, not a validated scientific benchmark.</x:v>
      </x:c>
      <x:c r="AA1049" s="13" t="str">
        <x:v>0.1.0-draft</x:v>
      </x:c>
      <x:c r="AB1049" s="12" t="str">
        <x:f>IF(ISNUMBER(SEARCH("healthy",F1049)),"healthy_reasoning_patterns",IF(ISNUMBER(SEARCH("statistical",F1049)),"statistical_reasoning",IF(ISNUMBER(SEARCH("causal",F1049)),"causal_reasoning",IF(ISNUMBER(SEARCH("social",F1049)),"social_influence",IF(ISNUMBER(SEARCH("rhetoric",F1049)),"rhetoric_discourse",IF(ISNUMBER(SEARCH("behavior",F1049)),"behavioural_economics",IF(ISNUMBER(SEARCH("cognitive",F1049)),"cognitive_biases",IF(J1049="protective_pattern","healthy_reasoning_patterns",IF(L1049="P0","core_mvp","extended_fallacies")))))))))</x:f>
        <x:v>healthy_reasoning_patterns</x:v>
      </x:c>
      <x:c r="AC1049" s="12" t="str">
        <x:f>IF(ISNUMBER(SEARCH("operational",J1049)),"operational",IF(ISNUMBER(SEARCH("deprecated",J1049)),"deprecated",IF(L1049="P0","canonical","recognized_subtype")))</x:f>
        <x:v>recognized_subtype</x:v>
      </x:c>
      <x:c r="AD1049" s="12" t="str">
        <x:f>IF(AC1049="canonical","high",IF(AC1049="recognized_subtype","medium",IF(AC1049="operational","operational_only","debated")))</x:f>
        <x:v>medium</x:v>
      </x:c>
      <x:c r="AE1049" s="12" t="str">
        <x:f>IF(AC1049="deprecated","deprecated",IF(M1049="yes","active",IF(M1049="review","review_required","backlog")))</x:f>
        <x:v>review_required</x:v>
      </x:c>
      <x:c r="AF1049" s="12" t="str">
        <x:f>IF(OR(AE1049="active",AE1049="review_required"),"yes","no")</x:f>
        <x:v>yes</x:v>
      </x:c>
      <x:c r="AG1049" s="12" t="str">
        <x:f>IF(AND(AE1049="active",M1049="yes",NOT(ISNUMBER(SEARCH("healthy",AB1049)))),"yes","no")</x:f>
        <x:v>no</x:v>
      </x:c>
      <x:c r="AH1049" s="12" t="str">
        <x:f>IF(OR(H1049="contextual",H1049="dialogue",H1049="discourse",I1049="claim+context",I1049="discourse_segment"),"yes","no")</x:f>
        <x:v>no</x:v>
      </x:c>
      <x:c r="AI1049" s="12" t="str">
        <x:f>IF(OR(AH1049="yes",AD1049="debated",AC1049="operational"),"yes","no")</x:f>
        <x:v>no</x:v>
      </x:c>
      <x:c r="AJ1049" s="12" t="str">
        <x:f>IF(OR(AH1049="yes",AC1049="operational",AD1049="debated"),"high",IF(AND(AG1049="yes",L1049="P0"),"medium","low"))</x:f>
        <x:v>low</x:v>
      </x:c>
      <x:c r="AK1049" s="12" t="str">
        <x:f>IF(ISNUMBER(SEARCH("healthy",AB1049)),"yes","no")</x:f>
        <x:v>yes</x:v>
      </x:c>
      <x:c r="AL1049" s="12" t="str">
        <x:f>IF(AG1049="yes","yes","candidate_only")</x:f>
        <x:v>candidate_only</x:v>
      </x:c>
      <x:c r="AM1049" s="12" t="str">
        <x:f>IF(OR(AC1049="canonical",AG1049="yes"),"yes","recommended")</x:f>
        <x:v>recommended</x:v>
      </x:c>
      <x:c r="AN1049" s="12" t="str">
        <x:f>IF(AC1049="deprecated","exclude",IF(AND(AG1049="yes",AJ1049="high"),"import_but_human_review_required",IF(AG1049="yes","import_as_active","import_as_backlog")))</x:f>
        <x:v>import_as_backlog</x:v>
      </x:c>
      <x:c r="AO1049" s="12" t="str">
        <x:f>IF(AND(AG1049="yes",OR(P1049="",Q1049="",R1049="",S1049="")),"missing_required_mvp_fields",IF(AND(AC1049="canonical",Y1049=""),"missing_source_ref","ok"))</x:f>
        <x:v>ok</x:v>
      </x:c>
      <x:c r="AP1049" s="12" t="str">
        <x:f>IF(AO1049="ok","ready_for_codex_import","needs_review")</x:f>
        <x:v>ready_for_codex_import</x:v>
      </x:c>
      <x:c r="AQ1049" s="12"/>
      <x:c r="AR1049" s="12" t="str">
        <x:v>Added v2 operational fields. Review before classification activation.</x:v>
      </x:c>
    </x:row>
    <x:row r="1050">
      <x:c r="A1050" s="13" t="str">
        <x:v>confidence_calibration_uncertainty_variant</x:v>
      </x:c>
      <x:c r="B1050" s="13" t="str">
        <x:v>confidence_calibration</x:v>
      </x:c>
      <x:c r="C1050" s="13" t="str">
        <x:v>Confidence calibration</x:v>
      </x:c>
      <x:c r="D1050" s="13" t="str">
        <x:v>کالیبراسیون اطمینان</x:v>
      </x:c>
      <x:c r="E1050" s="13" t="str">
        <x:v>Uncertainty variant</x:v>
      </x:c>
      <x:c r="F1050" s="13" t="str">
        <x:v>healthy_reasoning_patterns</x:v>
      </x:c>
      <x:c r="G1050" s="13" t="str">
        <x:v>operational_variant</x:v>
      </x:c>
      <x:c r="H1050" s="13" t="str">
        <x:v>contextual</x:v>
      </x:c>
      <x:c r="I1050" s="13" t="str">
        <x:v>claim+context</x:v>
      </x:c>
      <x:c r="J1050" s="13" t="str">
        <x:v>protective_pattern</x:v>
      </x:c>
      <x:c r="K1050" s="13" t="str">
        <x:v>operational_pattern_needs_review</x:v>
      </x:c>
      <x:c r="L1050" s="13" t="str">
        <x:v>P2</x:v>
      </x:c>
      <x:c r="M1050" s="13" t="str">
        <x:v>review</x:v>
      </x:c>
      <x:c r="N1050" s="13" t="str">
        <x:v>Protective reasoning pattern under Confidence calibration: the text explicitly calibrates uncertainty. It should reduce risk scores when supported by evidence.</x:v>
      </x:c>
      <x:c r="O1050" s="13" t="str">
        <x:v>Look for: explicit claim-level evidence; parent-family cues for Confidence calibration; variant cue: the text explicitly calibrates uncertainty; avoid author-level inference.</x:v>
      </x:c>
      <x:c r="P1050" s="13" t="str">
        <x:v>Exact evidence span in text plus claim-level reasoning link; for contextual/discourse entries, require surrounding context.</x:v>
      </x:c>
      <x:c r="Q1050" s="13" t="str">
        <x:v>Do not label merely because topic is controversial, emotional, or wrong. Do not judge intent or personality. Require textual evidence and consider healthy-reasoning cues.</x:v>
      </x:c>
      <x:c r="R1050" s="13" t="str">
        <x:v>Stub: A claim relies on the text explicitly calibrates uncertainty to support a conclusion without adequate qualification.</x:v>
      </x:c>
      <x:c r="S1050" s="13" t="str">
        <x:v>Stub: A claim discusses confidence calibration with caveats, balanced evidence, or no argumentative use of the pattern.</x:v>
      </x:c>
      <x:c r="T1050" s="13" t="str">
        <x:v>Weak protective cue; keep normal review.</x:v>
      </x:c>
      <x:c r="U1050" s="13" t="str">
        <x:v>Clear protective cue; reduce false-positive risk.</x:v>
      </x:c>
      <x:c r="V1050" s="13" t="str">
        <x:v>Strong protective cue; require stronger evidence before assigning risk labels.</x:v>
      </x:c>
      <x:c r="W1050" s="13" t="str">
        <x:v>cherry_picking; missing_counterevidence; evidence_grading</x:v>
      </x:c>
      <x:c r="X1050" s="13" t="str">
        <x:v>stanovich_dual_process</x:v>
      </x:c>
      <x:c r="Y1050" s="13" t="str">
        <x:v>https://global.oup.com/academic/product/rationality-and-the-reflective-mind-9780195341140</x:v>
      </x:c>
      <x:c r="Z1050" s="13" t="str">
        <x:v>Review before enabling. This workbook is a living taxonomy scaffold, not a validated scientific benchmark.</x:v>
      </x:c>
      <x:c r="AA1050" s="13" t="str">
        <x:v>0.1.0-draft</x:v>
      </x:c>
      <x:c r="AB1050" s="12" t="str">
        <x:f>IF(ISNUMBER(SEARCH("healthy",F1050)),"healthy_reasoning_patterns",IF(ISNUMBER(SEARCH("statistical",F1050)),"statistical_reasoning",IF(ISNUMBER(SEARCH("causal",F1050)),"causal_reasoning",IF(ISNUMBER(SEARCH("social",F1050)),"social_influence",IF(ISNUMBER(SEARCH("rhetoric",F1050)),"rhetoric_discourse",IF(ISNUMBER(SEARCH("behavior",F1050)),"behavioural_economics",IF(ISNUMBER(SEARCH("cognitive",F1050)),"cognitive_biases",IF(J1050="protective_pattern","healthy_reasoning_patterns",IF(L1050="P0","core_mvp","extended_fallacies")))))))))</x:f>
        <x:v>healthy_reasoning_patterns</x:v>
      </x:c>
      <x:c r="AC1050" s="12" t="str">
        <x:f>IF(ISNUMBER(SEARCH("operational",J1050)),"operational",IF(ISNUMBER(SEARCH("deprecated",J1050)),"deprecated",IF(L1050="P0","canonical","recognized_subtype")))</x:f>
        <x:v>recognized_subtype</x:v>
      </x:c>
      <x:c r="AD1050" s="12" t="str">
        <x:f>IF(AC1050="canonical","high",IF(AC1050="recognized_subtype","medium",IF(AC1050="operational","operational_only","debated")))</x:f>
        <x:v>medium</x:v>
      </x:c>
      <x:c r="AE1050" s="12" t="str">
        <x:f>IF(AC1050="deprecated","deprecated",IF(M1050="yes","active",IF(M1050="review","review_required","backlog")))</x:f>
        <x:v>review_required</x:v>
      </x:c>
      <x:c r="AF1050" s="12" t="str">
        <x:f>IF(OR(AE1050="active",AE1050="review_required"),"yes","no")</x:f>
        <x:v>yes</x:v>
      </x:c>
      <x:c r="AG1050" s="12" t="str">
        <x:f>IF(AND(AE1050="active",M1050="yes",NOT(ISNUMBER(SEARCH("healthy",AB1050)))),"yes","no")</x:f>
        <x:v>no</x:v>
      </x:c>
      <x:c r="AH1050" s="12" t="str">
        <x:f>IF(OR(H1050="contextual",H1050="dialogue",H1050="discourse",I1050="claim+context",I1050="discourse_segment"),"yes","no")</x:f>
        <x:v>yes</x:v>
      </x:c>
      <x:c r="AI1050" s="12" t="str">
        <x:f>IF(OR(AH1050="yes",AD1050="debated",AC1050="operational"),"yes","no")</x:f>
        <x:v>yes</x:v>
      </x:c>
      <x:c r="AJ1050" s="12" t="str">
        <x:f>IF(OR(AH1050="yes",AC1050="operational",AD1050="debated"),"high",IF(AND(AG1050="yes",L1050="P0"),"medium","low"))</x:f>
        <x:v>high</x:v>
      </x:c>
      <x:c r="AK1050" s="12" t="str">
        <x:f>IF(ISNUMBER(SEARCH("healthy",AB1050)),"yes","no")</x:f>
        <x:v>yes</x:v>
      </x:c>
      <x:c r="AL1050" s="12" t="str">
        <x:f>IF(AG1050="yes","yes","candidate_only")</x:f>
        <x:v>candidate_only</x:v>
      </x:c>
      <x:c r="AM1050" s="12" t="str">
        <x:f>IF(OR(AC1050="canonical",AG1050="yes"),"yes","recommended")</x:f>
        <x:v>recommended</x:v>
      </x:c>
      <x:c r="AN1050" s="12" t="str">
        <x:f>IF(AC1050="deprecated","exclude",IF(AND(AG1050="yes",AJ1050="high"),"import_but_human_review_required",IF(AG1050="yes","import_as_active","import_as_backlog")))</x:f>
        <x:v>import_as_backlog</x:v>
      </x:c>
      <x:c r="AO1050" s="12" t="str">
        <x:f>IF(AND(AG1050="yes",OR(P1050="",Q1050="",R1050="",S1050="")),"missing_required_mvp_fields",IF(AND(AC1050="canonical",Y1050=""),"missing_source_ref","ok"))</x:f>
        <x:v>ok</x:v>
      </x:c>
      <x:c r="AP1050" s="12" t="str">
        <x:f>IF(AO1050="ok","ready_for_codex_import","needs_review")</x:f>
        <x:v>ready_for_codex_import</x:v>
      </x:c>
      <x:c r="AQ1050" s="12"/>
      <x:c r="AR1050" s="12" t="str">
        <x:v>Added v2 operational fields. Review before classification activation.</x:v>
      </x:c>
    </x:row>
    <x:row r="1051">
      <x:c r="A1051" s="13" t="str">
        <x:v>causal_caveat_uncertainty_variant</x:v>
      </x:c>
      <x:c r="B1051" s="13" t="str">
        <x:v>causal_caveat</x:v>
      </x:c>
      <x:c r="C1051" s="13" t="str">
        <x:v>Causal caveat</x:v>
      </x:c>
      <x:c r="D1051" s="13" t="str">
        <x:v>احتیاط در علیت</x:v>
      </x:c>
      <x:c r="E1051" s="13" t="str">
        <x:v>Uncertainty variant</x:v>
      </x:c>
      <x:c r="F1051" s="13" t="str">
        <x:v>healthy_reasoning_patterns</x:v>
      </x:c>
      <x:c r="G1051" s="13" t="str">
        <x:v>operational_variant</x:v>
      </x:c>
      <x:c r="H1051" s="13" t="str">
        <x:v>lexical</x:v>
      </x:c>
      <x:c r="I1051" s="13" t="str">
        <x:v>claim</x:v>
      </x:c>
      <x:c r="J1051" s="13" t="str">
        <x:v>protective_pattern</x:v>
      </x:c>
      <x:c r="K1051" s="13" t="str">
        <x:v>operational_pattern_needs_review</x:v>
      </x:c>
      <x:c r="L1051" s="13" t="str">
        <x:v>P2</x:v>
      </x:c>
      <x:c r="M1051" s="13" t="str">
        <x:v>review</x:v>
      </x:c>
      <x:c r="N1051" s="13" t="str">
        <x:v>Protective reasoning pattern under Causal caveat: the text explicitly calibrates uncertainty. It should reduce risk scores when supported by evidence.</x:v>
      </x:c>
      <x:c r="O1051" s="13" t="str">
        <x:v>Look for: explicit claim-level evidence; parent-family cues for Causal caveat; variant cue: the text explicitly calibrates uncertainty; avoid author-level inference.</x:v>
      </x:c>
      <x:c r="P1051" s="13" t="str">
        <x:v>Exact evidence span in text plus claim-level reasoning link; for contextual/discourse entries, require surrounding context.</x:v>
      </x:c>
      <x:c r="Q1051" s="13" t="str">
        <x:v>Do not label merely because topic is controversial, emotional, or wrong. Do not judge intent or personality. Require textual evidence and consider healthy-reasoning cues.</x:v>
      </x:c>
      <x:c r="R1051" s="13" t="str">
        <x:v>Stub: A claim relies on the text explicitly calibrates uncertainty to support a conclusion without adequate qualification.</x:v>
      </x:c>
      <x:c r="S1051" s="13" t="str">
        <x:v>Stub: A claim discusses causal caveat with caveats, balanced evidence, or no argumentative use of the pattern.</x:v>
      </x:c>
      <x:c r="T1051" s="13" t="str">
        <x:v>Weak protective cue; keep normal review.</x:v>
      </x:c>
      <x:c r="U1051" s="13" t="str">
        <x:v>Clear protective cue; reduce false-positive risk.</x:v>
      </x:c>
      <x:c r="V1051" s="13" t="str">
        <x:v>Strong protective cue; require stronger evidence before assigning risk labels.</x:v>
      </x:c>
      <x:c r="W1051" s="13" t="str">
        <x:v>post_hoc; cum_hoc; alternative_explanation_neglect</x:v>
      </x:c>
      <x:c r="X1051" s="13" t="str">
        <x:v>toulmin_uses_argument</x:v>
      </x:c>
      <x:c r="Y1051" s="13" t="str">
        <x:v>https://doi.org/10.1017/CBO9780511840005</x:v>
      </x:c>
      <x:c r="Z1051" s="13" t="str">
        <x:v>Review before enabling. This workbook is a living taxonomy scaffold, not a validated scientific benchmark.</x:v>
      </x:c>
      <x:c r="AA1051" s="13" t="str">
        <x:v>0.1.0-draft</x:v>
      </x:c>
      <x:c r="AB1051" s="12" t="str">
        <x:f>IF(ISNUMBER(SEARCH("healthy",F1051)),"healthy_reasoning_patterns",IF(ISNUMBER(SEARCH("statistical",F1051)),"statistical_reasoning",IF(ISNUMBER(SEARCH("causal",F1051)),"causal_reasoning",IF(ISNUMBER(SEARCH("social",F1051)),"social_influence",IF(ISNUMBER(SEARCH("rhetoric",F1051)),"rhetoric_discourse",IF(ISNUMBER(SEARCH("behavior",F1051)),"behavioural_economics",IF(ISNUMBER(SEARCH("cognitive",F1051)),"cognitive_biases",IF(J1051="protective_pattern","healthy_reasoning_patterns",IF(L1051="P0","core_mvp","extended_fallacies")))))))))</x:f>
        <x:v>healthy_reasoning_patterns</x:v>
      </x:c>
      <x:c r="AC1051" s="12" t="str">
        <x:f>IF(ISNUMBER(SEARCH("operational",J1051)),"operational",IF(ISNUMBER(SEARCH("deprecated",J1051)),"deprecated",IF(L1051="P0","canonical","recognized_subtype")))</x:f>
        <x:v>recognized_subtype</x:v>
      </x:c>
      <x:c r="AD1051" s="12" t="str">
        <x:f>IF(AC1051="canonical","high",IF(AC1051="recognized_subtype","medium",IF(AC1051="operational","operational_only","debated")))</x:f>
        <x:v>medium</x:v>
      </x:c>
      <x:c r="AE1051" s="12" t="str">
        <x:f>IF(AC1051="deprecated","deprecated",IF(M1051="yes","active",IF(M1051="review","review_required","backlog")))</x:f>
        <x:v>review_required</x:v>
      </x:c>
      <x:c r="AF1051" s="12" t="str">
        <x:f>IF(OR(AE1051="active",AE1051="review_required"),"yes","no")</x:f>
        <x:v>yes</x:v>
      </x:c>
      <x:c r="AG1051" s="12" t="str">
        <x:f>IF(AND(AE1051="active",M1051="yes",NOT(ISNUMBER(SEARCH("healthy",AB1051)))),"yes","no")</x:f>
        <x:v>no</x:v>
      </x:c>
      <x:c r="AH1051" s="12" t="str">
        <x:f>IF(OR(H1051="contextual",H1051="dialogue",H1051="discourse",I1051="claim+context",I1051="discourse_segment"),"yes","no")</x:f>
        <x:v>no</x:v>
      </x:c>
      <x:c r="AI1051" s="12" t="str">
        <x:f>IF(OR(AH1051="yes",AD1051="debated",AC1051="operational"),"yes","no")</x:f>
        <x:v>no</x:v>
      </x:c>
      <x:c r="AJ1051" s="12" t="str">
        <x:f>IF(OR(AH1051="yes",AC1051="operational",AD1051="debated"),"high",IF(AND(AG1051="yes",L1051="P0"),"medium","low"))</x:f>
        <x:v>low</x:v>
      </x:c>
      <x:c r="AK1051" s="12" t="str">
        <x:f>IF(ISNUMBER(SEARCH("healthy",AB1051)),"yes","no")</x:f>
        <x:v>yes</x:v>
      </x:c>
      <x:c r="AL1051" s="12" t="str">
        <x:f>IF(AG1051="yes","yes","candidate_only")</x:f>
        <x:v>candidate_only</x:v>
      </x:c>
      <x:c r="AM1051" s="12" t="str">
        <x:f>IF(OR(AC1051="canonical",AG1051="yes"),"yes","recommended")</x:f>
        <x:v>recommended</x:v>
      </x:c>
      <x:c r="AN1051" s="12" t="str">
        <x:f>IF(AC1051="deprecated","exclude",IF(AND(AG1051="yes",AJ1051="high"),"import_but_human_review_required",IF(AG1051="yes","import_as_active","import_as_backlog")))</x:f>
        <x:v>import_as_backlog</x:v>
      </x:c>
      <x:c r="AO1051" s="12" t="str">
        <x:f>IF(AND(AG1051="yes",OR(P1051="",Q1051="",R1051="",S1051="")),"missing_required_mvp_fields",IF(AND(AC1051="canonical",Y1051=""),"missing_source_ref","ok"))</x:f>
        <x:v>ok</x:v>
      </x:c>
      <x:c r="AP1051" s="12" t="str">
        <x:f>IF(AO1051="ok","ready_for_codex_import","needs_review")</x:f>
        <x:v>ready_for_codex_import</x:v>
      </x:c>
      <x:c r="AQ1051" s="12"/>
      <x:c r="AR1051" s="12" t="str">
        <x:v>Added v2 operational fields. Review before classification activation.</x:v>
      </x:c>
    </x:row>
    <x:row r="1052">
      <x:c r="A1052" s="13" t="str">
        <x:v>sample_limitation_statement_uncertainty_variant</x:v>
      </x:c>
      <x:c r="B1052" s="13" t="str">
        <x:v>sample_limitation_statement</x:v>
      </x:c>
      <x:c r="C1052" s="13" t="str">
        <x:v>Sample limitation statement</x:v>
      </x:c>
      <x:c r="D1052" s="13" t="str">
        <x:v>بیان محدودیت نمونه</x:v>
      </x:c>
      <x:c r="E1052" s="13" t="str">
        <x:v>Uncertainty variant</x:v>
      </x:c>
      <x:c r="F1052" s="13" t="str">
        <x:v>healthy_reasoning_patterns</x:v>
      </x:c>
      <x:c r="G1052" s="13" t="str">
        <x:v>operational_variant</x:v>
      </x:c>
      <x:c r="H1052" s="13" t="str">
        <x:v>contextual</x:v>
      </x:c>
      <x:c r="I1052" s="13" t="str">
        <x:v>claim+context</x:v>
      </x:c>
      <x:c r="J1052" s="13" t="str">
        <x:v>protective_pattern</x:v>
      </x:c>
      <x:c r="K1052" s="13" t="str">
        <x:v>operational_pattern_needs_review</x:v>
      </x:c>
      <x:c r="L1052" s="13" t="str">
        <x:v>P2</x:v>
      </x:c>
      <x:c r="M1052" s="13" t="str">
        <x:v>review</x:v>
      </x:c>
      <x:c r="N1052" s="13" t="str">
        <x:v>Protective reasoning pattern under Sample limitation statement: the text explicitly calibrates uncertainty. It should reduce risk scores when supported by evidence.</x:v>
      </x:c>
      <x:c r="O1052" s="13" t="str">
        <x:v>Look for: explicit claim-level evidence; parent-family cues for Sample limitation statement; variant cue: the text explicitly calibrates uncertainty; avoid author-level inference.</x:v>
      </x:c>
      <x:c r="P1052" s="13" t="str">
        <x:v>Exact evidence span in text plus claim-level reasoning link; for contextual/discourse entries, require surrounding context.</x:v>
      </x:c>
      <x:c r="Q1052" s="13" t="str">
        <x:v>Do not label merely because topic is controversial, emotional, or wrong. Do not judge intent or personality. Require textual evidence and consider healthy-reasoning cues.</x:v>
      </x:c>
      <x:c r="R1052" s="13" t="str">
        <x:v>Stub: A claim relies on the text explicitly calibrates uncertainty to support a conclusion without adequate qualification.</x:v>
      </x:c>
      <x:c r="S1052" s="13" t="str">
        <x:v>Stub: A claim discusses sample limitation statement with caveats, balanced evidence, or no argumentative use of the pattern.</x:v>
      </x:c>
      <x:c r="T1052" s="13" t="str">
        <x:v>Weak protective cue; keep normal review.</x:v>
      </x:c>
      <x:c r="U1052" s="13" t="str">
        <x:v>Clear protective cue; reduce false-positive risk.</x:v>
      </x:c>
      <x:c r="V1052" s="13" t="str">
        <x:v>Strong protective cue; require stronger evidence before assigning risk labels.</x:v>
      </x:c>
      <x:c r="W1052" s="13" t="str"/>
      <x:c r="X1052" s="13" t="str">
        <x:v>toulmin_uses_argument</x:v>
      </x:c>
      <x:c r="Y1052" s="13" t="str">
        <x:v>https://doi.org/10.1017/CBO9780511840005</x:v>
      </x:c>
      <x:c r="Z1052" s="13" t="str">
        <x:v>Review before enabling. This workbook is a living taxonomy scaffold, not a validated scientific benchmark.</x:v>
      </x:c>
      <x:c r="AA1052" s="13" t="str">
        <x:v>0.1.0-draft</x:v>
      </x:c>
      <x:c r="AB1052" s="12" t="str">
        <x:f>IF(ISNUMBER(SEARCH("healthy",F1052)),"healthy_reasoning_patterns",IF(ISNUMBER(SEARCH("statistical",F1052)),"statistical_reasoning",IF(ISNUMBER(SEARCH("causal",F1052)),"causal_reasoning",IF(ISNUMBER(SEARCH("social",F1052)),"social_influence",IF(ISNUMBER(SEARCH("rhetoric",F1052)),"rhetoric_discourse",IF(ISNUMBER(SEARCH("behavior",F1052)),"behavioural_economics",IF(ISNUMBER(SEARCH("cognitive",F1052)),"cognitive_biases",IF(J1052="protective_pattern","healthy_reasoning_patterns",IF(L1052="P0","core_mvp","extended_fallacies")))))))))</x:f>
        <x:v>healthy_reasoning_patterns</x:v>
      </x:c>
      <x:c r="AC1052" s="12" t="str">
        <x:f>IF(ISNUMBER(SEARCH("operational",J1052)),"operational",IF(ISNUMBER(SEARCH("deprecated",J1052)),"deprecated",IF(L1052="P0","canonical","recognized_subtype")))</x:f>
        <x:v>recognized_subtype</x:v>
      </x:c>
      <x:c r="AD1052" s="12" t="str">
        <x:f>IF(AC1052="canonical","high",IF(AC1052="recognized_subtype","medium",IF(AC1052="operational","operational_only","debated")))</x:f>
        <x:v>medium</x:v>
      </x:c>
      <x:c r="AE1052" s="12" t="str">
        <x:f>IF(AC1052="deprecated","deprecated",IF(M1052="yes","active",IF(M1052="review","review_required","backlog")))</x:f>
        <x:v>review_required</x:v>
      </x:c>
      <x:c r="AF1052" s="12" t="str">
        <x:f>IF(OR(AE1052="active",AE1052="review_required"),"yes","no")</x:f>
        <x:v>yes</x:v>
      </x:c>
      <x:c r="AG1052" s="12" t="str">
        <x:f>IF(AND(AE1052="active",M1052="yes",NOT(ISNUMBER(SEARCH("healthy",AB1052)))),"yes","no")</x:f>
        <x:v>no</x:v>
      </x:c>
      <x:c r="AH1052" s="12" t="str">
        <x:f>IF(OR(H1052="contextual",H1052="dialogue",H1052="discourse",I1052="claim+context",I1052="discourse_segment"),"yes","no")</x:f>
        <x:v>yes</x:v>
      </x:c>
      <x:c r="AI1052" s="12" t="str">
        <x:f>IF(OR(AH1052="yes",AD1052="debated",AC1052="operational"),"yes","no")</x:f>
        <x:v>yes</x:v>
      </x:c>
      <x:c r="AJ1052" s="12" t="str">
        <x:f>IF(OR(AH1052="yes",AC1052="operational",AD1052="debated"),"high",IF(AND(AG1052="yes",L1052="P0"),"medium","low"))</x:f>
        <x:v>high</x:v>
      </x:c>
      <x:c r="AK1052" s="12" t="str">
        <x:f>IF(ISNUMBER(SEARCH("healthy",AB1052)),"yes","no")</x:f>
        <x:v>yes</x:v>
      </x:c>
      <x:c r="AL1052" s="12" t="str">
        <x:f>IF(AG1052="yes","yes","candidate_only")</x:f>
        <x:v>candidate_only</x:v>
      </x:c>
      <x:c r="AM1052" s="12" t="str">
        <x:f>IF(OR(AC1052="canonical",AG1052="yes"),"yes","recommended")</x:f>
        <x:v>recommended</x:v>
      </x:c>
      <x:c r="AN1052" s="12" t="str">
        <x:f>IF(AC1052="deprecated","exclude",IF(AND(AG1052="yes",AJ1052="high"),"import_but_human_review_required",IF(AG1052="yes","import_as_active","import_as_backlog")))</x:f>
        <x:v>import_as_backlog</x:v>
      </x:c>
      <x:c r="AO1052" s="12" t="str">
        <x:f>IF(AND(AG1052="yes",OR(P1052="",Q1052="",R1052="",S1052="")),"missing_required_mvp_fields",IF(AND(AC1052="canonical",Y1052=""),"missing_source_ref","ok"))</x:f>
        <x:v>ok</x:v>
      </x:c>
      <x:c r="AP1052" s="12" t="str">
        <x:f>IF(AO1052="ok","ready_for_codex_import","needs_review")</x:f>
        <x:v>ready_for_codex_import</x:v>
      </x:c>
      <x:c r="AQ1052" s="12"/>
      <x:c r="AR1052" s="12" t="str">
        <x:v>Added v2 operational fields. Review before classification activation.</x:v>
      </x:c>
    </x:row>
    <x:row r="1053">
      <x:c r="A1053" s="13" t="str">
        <x:v>method_limitation_statement_uncertainty_variant</x:v>
      </x:c>
      <x:c r="B1053" s="13" t="str">
        <x:v>method_limitation_statement</x:v>
      </x:c>
      <x:c r="C1053" s="13" t="str">
        <x:v>Method limitation statement</x:v>
      </x:c>
      <x:c r="D1053" s="13" t="str">
        <x:v>بیان محدودیت روش</x:v>
      </x:c>
      <x:c r="E1053" s="13" t="str">
        <x:v>Uncertainty variant</x:v>
      </x:c>
      <x:c r="F1053" s="13" t="str">
        <x:v>healthy_reasoning_patterns</x:v>
      </x:c>
      <x:c r="G1053" s="13" t="str">
        <x:v>operational_variant</x:v>
      </x:c>
      <x:c r="H1053" s="13" t="str">
        <x:v>contextual</x:v>
      </x:c>
      <x:c r="I1053" s="13" t="str">
        <x:v>claim+context</x:v>
      </x:c>
      <x:c r="J1053" s="13" t="str">
        <x:v>protective_pattern</x:v>
      </x:c>
      <x:c r="K1053" s="13" t="str">
        <x:v>operational_pattern_needs_review</x:v>
      </x:c>
      <x:c r="L1053" s="13" t="str">
        <x:v>P2</x:v>
      </x:c>
      <x:c r="M1053" s="13" t="str">
        <x:v>review</x:v>
      </x:c>
      <x:c r="N1053" s="13" t="str">
        <x:v>Protective reasoning pattern under Method limitation statement: the text explicitly calibrates uncertainty. It should reduce risk scores when supported by evidence.</x:v>
      </x:c>
      <x:c r="O1053" s="13" t="str">
        <x:v>Look for: explicit claim-level evidence; parent-family cues for Method limitation statement; variant cue: the text explicitly calibrates uncertainty; avoid author-level inference.</x:v>
      </x:c>
      <x:c r="P1053" s="13" t="str">
        <x:v>Exact evidence span in text plus claim-level reasoning link; for contextual/discourse entries, require surrounding context.</x:v>
      </x:c>
      <x:c r="Q1053" s="13" t="str">
        <x:v>Do not label merely because topic is controversial, emotional, or wrong. Do not judge intent or personality. Require textual evidence and consider healthy-reasoning cues.</x:v>
      </x:c>
      <x:c r="R1053" s="13" t="str">
        <x:v>Stub: A claim relies on the text explicitly calibrates uncertainty to support a conclusion without adequate qualification.</x:v>
      </x:c>
      <x:c r="S1053" s="13" t="str">
        <x:v>Stub: A claim discusses method limitation statement with caveats, balanced evidence, or no argumentative use of the pattern.</x:v>
      </x:c>
      <x:c r="T1053" s="13" t="str">
        <x:v>Weak protective cue; keep normal review.</x:v>
      </x:c>
      <x:c r="U1053" s="13" t="str">
        <x:v>Clear protective cue; reduce false-positive risk.</x:v>
      </x:c>
      <x:c r="V1053" s="13" t="str">
        <x:v>Strong protective cue; require stronger evidence before assigning risk labels.</x:v>
      </x:c>
      <x:c r="W1053" s="13" t="str"/>
      <x:c r="X1053" s="13" t="str">
        <x:v>toulmin_uses_argument</x:v>
      </x:c>
      <x:c r="Y1053" s="13" t="str">
        <x:v>https://doi.org/10.1017/CBO9780511840005</x:v>
      </x:c>
      <x:c r="Z1053" s="13" t="str">
        <x:v>Review before enabling. This workbook is a living taxonomy scaffold, not a validated scientific benchmark.</x:v>
      </x:c>
      <x:c r="AA1053" s="13" t="str">
        <x:v>0.1.0-draft</x:v>
      </x:c>
      <x:c r="AB1053" s="12" t="str">
        <x:f>IF(ISNUMBER(SEARCH("healthy",F1053)),"healthy_reasoning_patterns",IF(ISNUMBER(SEARCH("statistical",F1053)),"statistical_reasoning",IF(ISNUMBER(SEARCH("causal",F1053)),"causal_reasoning",IF(ISNUMBER(SEARCH("social",F1053)),"social_influence",IF(ISNUMBER(SEARCH("rhetoric",F1053)),"rhetoric_discourse",IF(ISNUMBER(SEARCH("behavior",F1053)),"behavioural_economics",IF(ISNUMBER(SEARCH("cognitive",F1053)),"cognitive_biases",IF(J1053="protective_pattern","healthy_reasoning_patterns",IF(L1053="P0","core_mvp","extended_fallacies")))))))))</x:f>
        <x:v>healthy_reasoning_patterns</x:v>
      </x:c>
      <x:c r="AC1053" s="12" t="str">
        <x:f>IF(ISNUMBER(SEARCH("operational",J1053)),"operational",IF(ISNUMBER(SEARCH("deprecated",J1053)),"deprecated",IF(L1053="P0","canonical","recognized_subtype")))</x:f>
        <x:v>recognized_subtype</x:v>
      </x:c>
      <x:c r="AD1053" s="12" t="str">
        <x:f>IF(AC1053="canonical","high",IF(AC1053="recognized_subtype","medium",IF(AC1053="operational","operational_only","debated")))</x:f>
        <x:v>medium</x:v>
      </x:c>
      <x:c r="AE1053" s="12" t="str">
        <x:f>IF(AC1053="deprecated","deprecated",IF(M1053="yes","active",IF(M1053="review","review_required","backlog")))</x:f>
        <x:v>review_required</x:v>
      </x:c>
      <x:c r="AF1053" s="12" t="str">
        <x:f>IF(OR(AE1053="active",AE1053="review_required"),"yes","no")</x:f>
        <x:v>yes</x:v>
      </x:c>
      <x:c r="AG1053" s="12" t="str">
        <x:f>IF(AND(AE1053="active",M1053="yes",NOT(ISNUMBER(SEARCH("healthy",AB1053)))),"yes","no")</x:f>
        <x:v>no</x:v>
      </x:c>
      <x:c r="AH1053" s="12" t="str">
        <x:f>IF(OR(H1053="contextual",H1053="dialogue",H1053="discourse",I1053="claim+context",I1053="discourse_segment"),"yes","no")</x:f>
        <x:v>yes</x:v>
      </x:c>
      <x:c r="AI1053" s="12" t="str">
        <x:f>IF(OR(AH1053="yes",AD1053="debated",AC1053="operational"),"yes","no")</x:f>
        <x:v>yes</x:v>
      </x:c>
      <x:c r="AJ1053" s="12" t="str">
        <x:f>IF(OR(AH1053="yes",AC1053="operational",AD1053="debated"),"high",IF(AND(AG1053="yes",L1053="P0"),"medium","low"))</x:f>
        <x:v>high</x:v>
      </x:c>
      <x:c r="AK1053" s="12" t="str">
        <x:f>IF(ISNUMBER(SEARCH("healthy",AB1053)),"yes","no")</x:f>
        <x:v>yes</x:v>
      </x:c>
      <x:c r="AL1053" s="12" t="str">
        <x:f>IF(AG1053="yes","yes","candidate_only")</x:f>
        <x:v>candidate_only</x:v>
      </x:c>
      <x:c r="AM1053" s="12" t="str">
        <x:f>IF(OR(AC1053="canonical",AG1053="yes"),"yes","recommended")</x:f>
        <x:v>recommended</x:v>
      </x:c>
      <x:c r="AN1053" s="12" t="str">
        <x:f>IF(AC1053="deprecated","exclude",IF(AND(AG1053="yes",AJ1053="high"),"import_but_human_review_required",IF(AG1053="yes","import_as_active","import_as_backlog")))</x:f>
        <x:v>import_as_backlog</x:v>
      </x:c>
      <x:c r="AO1053" s="12" t="str">
        <x:f>IF(AND(AG1053="yes",OR(P1053="",Q1053="",R1053="",S1053="")),"missing_required_mvp_fields",IF(AND(AC1053="canonical",Y1053=""),"missing_source_ref","ok"))</x:f>
        <x:v>ok</x:v>
      </x:c>
      <x:c r="AP1053" s="12" t="str">
        <x:f>IF(AO1053="ok","ready_for_codex_import","needs_review")</x:f>
        <x:v>ready_for_codex_import</x:v>
      </x:c>
      <x:c r="AQ1053" s="12"/>
      <x:c r="AR1053" s="12" t="str">
        <x:v>Added v2 operational fields. Review before classification activation.</x:v>
      </x:c>
    </x:row>
    <x:row r="1054">
      <x:c r="A1054" s="13" t="str">
        <x:v>rebuttal_inclusion_uncertainty_variant</x:v>
      </x:c>
      <x:c r="B1054" s="13" t="str">
        <x:v>rebuttal_inclusion</x:v>
      </x:c>
      <x:c r="C1054" s="13" t="str">
        <x:v>Rebuttal inclusion</x:v>
      </x:c>
      <x:c r="D1054" s="13" t="str">
        <x:v>درج ردیه یا استثنا</x:v>
      </x:c>
      <x:c r="E1054" s="13" t="str">
        <x:v>Uncertainty variant</x:v>
      </x:c>
      <x:c r="F1054" s="13" t="str">
        <x:v>healthy_reasoning_patterns</x:v>
      </x:c>
      <x:c r="G1054" s="13" t="str">
        <x:v>operational_variant</x:v>
      </x:c>
      <x:c r="H1054" s="13" t="str">
        <x:v>structural</x:v>
      </x:c>
      <x:c r="I1054" s="13" t="str">
        <x:v>claim</x:v>
      </x:c>
      <x:c r="J1054" s="13" t="str">
        <x:v>protective_pattern</x:v>
      </x:c>
      <x:c r="K1054" s="13" t="str">
        <x:v>operational_pattern_needs_review</x:v>
      </x:c>
      <x:c r="L1054" s="13" t="str">
        <x:v>P2</x:v>
      </x:c>
      <x:c r="M1054" s="13" t="str">
        <x:v>review</x:v>
      </x:c>
      <x:c r="N1054" s="13" t="str">
        <x:v>Protective reasoning pattern under Rebuttal inclusion: the text explicitly calibrates uncertainty. It should reduce risk scores when supported by evidence.</x:v>
      </x:c>
      <x:c r="O1054" s="13" t="str">
        <x:v>Look for: explicit claim-level evidence; parent-family cues for Rebuttal inclusion; variant cue: the text explicitly calibrates uncertainty; avoid author-level inference.</x:v>
      </x:c>
      <x:c r="P1054" s="13" t="str">
        <x:v>Exact evidence span in text plus claim-level reasoning link; for contextual/discourse entries, require surrounding context.</x:v>
      </x:c>
      <x:c r="Q1054" s="13" t="str">
        <x:v>Do not label merely because topic is controversial, emotional, or wrong. Do not judge intent or personality. Require textual evidence and consider healthy-reasoning cues.</x:v>
      </x:c>
      <x:c r="R1054" s="13" t="str">
        <x:v>Stub: A claim relies on the text explicitly calibrates uncertainty to support a conclusion without adequate qualification.</x:v>
      </x:c>
      <x:c r="S1054" s="13" t="str">
        <x:v>Stub: A claim discusses rebuttal inclusion with caveats, balanced evidence, or no argumentative use of the pattern.</x:v>
      </x:c>
      <x:c r="T1054" s="13" t="str">
        <x:v>Weak protective cue; keep normal review.</x:v>
      </x:c>
      <x:c r="U1054" s="13" t="str">
        <x:v>Clear protective cue; reduce false-positive risk.</x:v>
      </x:c>
      <x:c r="V1054" s="13" t="str">
        <x:v>Strong protective cue; require stronger evidence before assigning risk labels.</x:v>
      </x:c>
      <x:c r="W1054" s="13" t="str"/>
      <x:c r="X1054" s="13" t="str">
        <x:v>toulmin_uses_argument</x:v>
      </x:c>
      <x:c r="Y1054" s="13" t="str">
        <x:v>https://doi.org/10.1017/CBO9780511840005</x:v>
      </x:c>
      <x:c r="Z1054" s="13" t="str">
        <x:v>Review before enabling. This workbook is a living taxonomy scaffold, not a validated scientific benchmark.</x:v>
      </x:c>
      <x:c r="AA1054" s="13" t="str">
        <x:v>0.1.0-draft</x:v>
      </x:c>
      <x:c r="AB1054" s="12" t="str">
        <x:f>IF(ISNUMBER(SEARCH("healthy",F1054)),"healthy_reasoning_patterns",IF(ISNUMBER(SEARCH("statistical",F1054)),"statistical_reasoning",IF(ISNUMBER(SEARCH("causal",F1054)),"causal_reasoning",IF(ISNUMBER(SEARCH("social",F1054)),"social_influence",IF(ISNUMBER(SEARCH("rhetoric",F1054)),"rhetoric_discourse",IF(ISNUMBER(SEARCH("behavior",F1054)),"behavioural_economics",IF(ISNUMBER(SEARCH("cognitive",F1054)),"cognitive_biases",IF(J1054="protective_pattern","healthy_reasoning_patterns",IF(L1054="P0","core_mvp","extended_fallacies")))))))))</x:f>
        <x:v>healthy_reasoning_patterns</x:v>
      </x:c>
      <x:c r="AC1054" s="12" t="str">
        <x:f>IF(ISNUMBER(SEARCH("operational",J1054)),"operational",IF(ISNUMBER(SEARCH("deprecated",J1054)),"deprecated",IF(L1054="P0","canonical","recognized_subtype")))</x:f>
        <x:v>recognized_subtype</x:v>
      </x:c>
      <x:c r="AD1054" s="12" t="str">
        <x:f>IF(AC1054="canonical","high",IF(AC1054="recognized_subtype","medium",IF(AC1054="operational","operational_only","debated")))</x:f>
        <x:v>medium</x:v>
      </x:c>
      <x:c r="AE1054" s="12" t="str">
        <x:f>IF(AC1054="deprecated","deprecated",IF(M1054="yes","active",IF(M1054="review","review_required","backlog")))</x:f>
        <x:v>review_required</x:v>
      </x:c>
      <x:c r="AF1054" s="12" t="str">
        <x:f>IF(OR(AE1054="active",AE1054="review_required"),"yes","no")</x:f>
        <x:v>yes</x:v>
      </x:c>
      <x:c r="AG1054" s="12" t="str">
        <x:f>IF(AND(AE1054="active",M1054="yes",NOT(ISNUMBER(SEARCH("healthy",AB1054)))),"yes","no")</x:f>
        <x:v>no</x:v>
      </x:c>
      <x:c r="AH1054" s="12" t="str">
        <x:f>IF(OR(H1054="contextual",H1054="dialogue",H1054="discourse",I1054="claim+context",I1054="discourse_segment"),"yes","no")</x:f>
        <x:v>no</x:v>
      </x:c>
      <x:c r="AI1054" s="12" t="str">
        <x:f>IF(OR(AH1054="yes",AD1054="debated",AC1054="operational"),"yes","no")</x:f>
        <x:v>no</x:v>
      </x:c>
      <x:c r="AJ1054" s="12" t="str">
        <x:f>IF(OR(AH1054="yes",AC1054="operational",AD1054="debated"),"high",IF(AND(AG1054="yes",L1054="P0"),"medium","low"))</x:f>
        <x:v>low</x:v>
      </x:c>
      <x:c r="AK1054" s="12" t="str">
        <x:f>IF(ISNUMBER(SEARCH("healthy",AB1054)),"yes","no")</x:f>
        <x:v>yes</x:v>
      </x:c>
      <x:c r="AL1054" s="12" t="str">
        <x:f>IF(AG1054="yes","yes","candidate_only")</x:f>
        <x:v>candidate_only</x:v>
      </x:c>
      <x:c r="AM1054" s="12" t="str">
        <x:f>IF(OR(AC1054="canonical",AG1054="yes"),"yes","recommended")</x:f>
        <x:v>recommended</x:v>
      </x:c>
      <x:c r="AN1054" s="12" t="str">
        <x:f>IF(AC1054="deprecated","exclude",IF(AND(AG1054="yes",AJ1054="high"),"import_but_human_review_required",IF(AG1054="yes","import_as_active","import_as_backlog")))</x:f>
        <x:v>import_as_backlog</x:v>
      </x:c>
      <x:c r="AO1054" s="12" t="str">
        <x:f>IF(AND(AG1054="yes",OR(P1054="",Q1054="",R1054="",S1054="")),"missing_required_mvp_fields",IF(AND(AC1054="canonical",Y1054=""),"missing_source_ref","ok"))</x:f>
        <x:v>ok</x:v>
      </x:c>
      <x:c r="AP1054" s="12" t="str">
        <x:f>IF(AO1054="ok","ready_for_codex_import","needs_review")</x:f>
        <x:v>ready_for_codex_import</x:v>
      </x:c>
      <x:c r="AQ1054" s="12"/>
      <x:c r="AR1054" s="12" t="str">
        <x:v>Added v2 operational fields. Review before classification activation.</x:v>
      </x:c>
    </x:row>
    <x:row r="1055">
      <x:c r="A1055" s="13" t="str">
        <x:v>warrant_explication_uncertainty_variant</x:v>
      </x:c>
      <x:c r="B1055" s="13" t="str">
        <x:v>warrant_explication</x:v>
      </x:c>
      <x:c r="C1055" s="13" t="str">
        <x:v>Warrant explication</x:v>
      </x:c>
      <x:c r="D1055" s="13" t="str">
        <x:v>تصریح پیوند استدلالی</x:v>
      </x:c>
      <x:c r="E1055" s="13" t="str">
        <x:v>Uncertainty variant</x:v>
      </x:c>
      <x:c r="F1055" s="13" t="str">
        <x:v>healthy_reasoning_patterns</x:v>
      </x:c>
      <x:c r="G1055" s="13" t="str">
        <x:v>operational_variant</x:v>
      </x:c>
      <x:c r="H1055" s="13" t="str">
        <x:v>structural</x:v>
      </x:c>
      <x:c r="I1055" s="13" t="str">
        <x:v>claim</x:v>
      </x:c>
      <x:c r="J1055" s="13" t="str">
        <x:v>protective_pattern</x:v>
      </x:c>
      <x:c r="K1055" s="13" t="str">
        <x:v>operational_pattern_needs_review</x:v>
      </x:c>
      <x:c r="L1055" s="13" t="str">
        <x:v>P2</x:v>
      </x:c>
      <x:c r="M1055" s="13" t="str">
        <x:v>review</x:v>
      </x:c>
      <x:c r="N1055" s="13" t="str">
        <x:v>Protective reasoning pattern under Warrant explication: the text explicitly calibrates uncertainty. It should reduce risk scores when supported by evidence.</x:v>
      </x:c>
      <x:c r="O1055" s="13" t="str">
        <x:v>Look for: explicit claim-level evidence; parent-family cues for Warrant explication; variant cue: the text explicitly calibrates uncertainty; avoid author-level inference.</x:v>
      </x:c>
      <x:c r="P1055" s="13" t="str">
        <x:v>Exact evidence span in text plus claim-level reasoning link; for contextual/discourse entries, require surrounding context.</x:v>
      </x:c>
      <x:c r="Q1055" s="13" t="str">
        <x:v>Do not label merely because topic is controversial, emotional, or wrong. Do not judge intent or personality. Require textual evidence and consider healthy-reasoning cues.</x:v>
      </x:c>
      <x:c r="R1055" s="13" t="str">
        <x:v>Stub: A claim relies on the text explicitly calibrates uncertainty to support a conclusion without adequate qualification.</x:v>
      </x:c>
      <x:c r="S1055" s="13" t="str">
        <x:v>Stub: A claim discusses warrant explication with caveats, balanced evidence, or no argumentative use of the pattern.</x:v>
      </x:c>
      <x:c r="T1055" s="13" t="str">
        <x:v>Weak protective cue; keep normal review.</x:v>
      </x:c>
      <x:c r="U1055" s="13" t="str">
        <x:v>Clear protective cue; reduce false-positive risk.</x:v>
      </x:c>
      <x:c r="V1055" s="13" t="str">
        <x:v>Strong protective cue; require stronger evidence before assigning risk labels.</x:v>
      </x:c>
      <x:c r="W1055" s="13" t="str">
        <x:v>cherry_picking; missing_counterevidence; evidence_grading</x:v>
      </x:c>
      <x:c r="X1055" s="13" t="str">
        <x:v>toulmin_uses_argument</x:v>
      </x:c>
      <x:c r="Y1055" s="13" t="str">
        <x:v>https://doi.org/10.1017/CBO9780511840005</x:v>
      </x:c>
      <x:c r="Z1055" s="13" t="str">
        <x:v>Review before enabling. This workbook is a living taxonomy scaffold, not a validated scientific benchmark.</x:v>
      </x:c>
      <x:c r="AA1055" s="13" t="str">
        <x:v>0.1.0-draft</x:v>
      </x:c>
      <x:c r="AB1055" s="12" t="str">
        <x:f>IF(ISNUMBER(SEARCH("healthy",F1055)),"healthy_reasoning_patterns",IF(ISNUMBER(SEARCH("statistical",F1055)),"statistical_reasoning",IF(ISNUMBER(SEARCH("causal",F1055)),"causal_reasoning",IF(ISNUMBER(SEARCH("social",F1055)),"social_influence",IF(ISNUMBER(SEARCH("rhetoric",F1055)),"rhetoric_discourse",IF(ISNUMBER(SEARCH("behavior",F1055)),"behavioural_economics",IF(ISNUMBER(SEARCH("cognitive",F1055)),"cognitive_biases",IF(J1055="protective_pattern","healthy_reasoning_patterns",IF(L1055="P0","core_mvp","extended_fallacies")))))))))</x:f>
        <x:v>healthy_reasoning_patterns</x:v>
      </x:c>
      <x:c r="AC1055" s="12" t="str">
        <x:f>IF(ISNUMBER(SEARCH("operational",J1055)),"operational",IF(ISNUMBER(SEARCH("deprecated",J1055)),"deprecated",IF(L1055="P0","canonical","recognized_subtype")))</x:f>
        <x:v>recognized_subtype</x:v>
      </x:c>
      <x:c r="AD1055" s="12" t="str">
        <x:f>IF(AC1055="canonical","high",IF(AC1055="recognized_subtype","medium",IF(AC1055="operational","operational_only","debated")))</x:f>
        <x:v>medium</x:v>
      </x:c>
      <x:c r="AE1055" s="12" t="str">
        <x:f>IF(AC1055="deprecated","deprecated",IF(M1055="yes","active",IF(M1055="review","review_required","backlog")))</x:f>
        <x:v>review_required</x:v>
      </x:c>
      <x:c r="AF1055" s="12" t="str">
        <x:f>IF(OR(AE1055="active",AE1055="review_required"),"yes","no")</x:f>
        <x:v>yes</x:v>
      </x:c>
      <x:c r="AG1055" s="12" t="str">
        <x:f>IF(AND(AE1055="active",M1055="yes",NOT(ISNUMBER(SEARCH("healthy",AB1055)))),"yes","no")</x:f>
        <x:v>no</x:v>
      </x:c>
      <x:c r="AH1055" s="12" t="str">
        <x:f>IF(OR(H1055="contextual",H1055="dialogue",H1055="discourse",I1055="claim+context",I1055="discourse_segment"),"yes","no")</x:f>
        <x:v>no</x:v>
      </x:c>
      <x:c r="AI1055" s="12" t="str">
        <x:f>IF(OR(AH1055="yes",AD1055="debated",AC1055="operational"),"yes","no")</x:f>
        <x:v>no</x:v>
      </x:c>
      <x:c r="AJ1055" s="12" t="str">
        <x:f>IF(OR(AH1055="yes",AC1055="operational",AD1055="debated"),"high",IF(AND(AG1055="yes",L1055="P0"),"medium","low"))</x:f>
        <x:v>low</x:v>
      </x:c>
      <x:c r="AK1055" s="12" t="str">
        <x:f>IF(ISNUMBER(SEARCH("healthy",AB1055)),"yes","no")</x:f>
        <x:v>yes</x:v>
      </x:c>
      <x:c r="AL1055" s="12" t="str">
        <x:f>IF(AG1055="yes","yes","candidate_only")</x:f>
        <x:v>candidate_only</x:v>
      </x:c>
      <x:c r="AM1055" s="12" t="str">
        <x:f>IF(OR(AC1055="canonical",AG1055="yes"),"yes","recommended")</x:f>
        <x:v>recommended</x:v>
      </x:c>
      <x:c r="AN1055" s="12" t="str">
        <x:f>IF(AC1055="deprecated","exclude",IF(AND(AG1055="yes",AJ1055="high"),"import_but_human_review_required",IF(AG1055="yes","import_as_active","import_as_backlog")))</x:f>
        <x:v>import_as_backlog</x:v>
      </x:c>
      <x:c r="AO1055" s="12" t="str">
        <x:f>IF(AND(AG1055="yes",OR(P1055="",Q1055="",R1055="",S1055="")),"missing_required_mvp_fields",IF(AND(AC1055="canonical",Y1055=""),"missing_source_ref","ok"))</x:f>
        <x:v>ok</x:v>
      </x:c>
      <x:c r="AP1055" s="12" t="str">
        <x:f>IF(AO1055="ok","ready_for_codex_import","needs_review")</x:f>
        <x:v>ready_for_codex_import</x:v>
      </x:c>
      <x:c r="AQ1055" s="12"/>
      <x:c r="AR1055" s="12" t="str">
        <x:v>Added v2 operational fields. Review before classification activation.</x:v>
      </x:c>
    </x:row>
    <x:row r="1056">
      <x:c r="A1056" s="13" t="str">
        <x:v>steelman_interpretation_uncertainty_variant</x:v>
      </x:c>
      <x:c r="B1056" s="13" t="str">
        <x:v>steelman_interpretation</x:v>
      </x:c>
      <x:c r="C1056" s="13" t="str">
        <x:v>Steelman interpretation</x:v>
      </x:c>
      <x:c r="D1056" s="13" t="str">
        <x:v>تقویت منصفانه موضع مقابل</x:v>
      </x:c>
      <x:c r="E1056" s="13" t="str">
        <x:v>Uncertainty variant</x:v>
      </x:c>
      <x:c r="F1056" s="13" t="str">
        <x:v>healthy_reasoning_patterns</x:v>
      </x:c>
      <x:c r="G1056" s="13" t="str">
        <x:v>operational_variant</x:v>
      </x:c>
      <x:c r="H1056" s="13" t="str">
        <x:v>dialogue</x:v>
      </x:c>
      <x:c r="I1056" s="13" t="str">
        <x:v>discourse_segment</x:v>
      </x:c>
      <x:c r="J1056" s="13" t="str">
        <x:v>protective_pattern</x:v>
      </x:c>
      <x:c r="K1056" s="13" t="str">
        <x:v>operational_pattern_needs_review</x:v>
      </x:c>
      <x:c r="L1056" s="13" t="str">
        <x:v>P2</x:v>
      </x:c>
      <x:c r="M1056" s="13" t="str">
        <x:v>review</x:v>
      </x:c>
      <x:c r="N1056" s="13" t="str">
        <x:v>Protective reasoning pattern under Steelman interpretation: the text explicitly calibrates uncertainty. It should reduce risk scores when supported by evidence.</x:v>
      </x:c>
      <x:c r="O1056" s="13" t="str">
        <x:v>Look for: explicit claim-level evidence; parent-family cues for Steelman interpretation; variant cue: the text explicitly calibrates uncertainty; avoid author-level inference.</x:v>
      </x:c>
      <x:c r="P1056" s="13" t="str">
        <x:v>Exact evidence span in text plus claim-level reasoning link; for contextual/discourse entries, require surrounding context.</x:v>
      </x:c>
      <x:c r="Q1056" s="13" t="str">
        <x:v>Do not label merely because topic is controversial, emotional, or wrong. Do not judge intent or personality. Require textual evidence and consider healthy-reasoning cues.</x:v>
      </x:c>
      <x:c r="R1056" s="13" t="str">
        <x:v>Stub: A claim relies on the text explicitly calibrates uncertainty to support a conclusion without adequate qualification.</x:v>
      </x:c>
      <x:c r="S1056" s="13" t="str">
        <x:v>Stub: A claim discusses steelman interpretation with caveats, balanced evidence, or no argumentative use of the pattern.</x:v>
      </x:c>
      <x:c r="T1056" s="13" t="str">
        <x:v>Weak protective cue; keep normal review.</x:v>
      </x:c>
      <x:c r="U1056" s="13" t="str">
        <x:v>Clear protective cue; reduce false-positive risk.</x:v>
      </x:c>
      <x:c r="V1056" s="13" t="str">
        <x:v>Strong protective cue; require stronger evidence before assigning risk labels.</x:v>
      </x:c>
      <x:c r="W1056" s="13" t="str"/>
      <x:c r="X1056" s="13" t="str">
        <x:v>toulmin_uses_argument</x:v>
      </x:c>
      <x:c r="Y1056" s="13" t="str">
        <x:v>https://doi.org/10.1017/CBO9780511840005</x:v>
      </x:c>
      <x:c r="Z1056" s="13" t="str">
        <x:v>Review before enabling. This workbook is a living taxonomy scaffold, not a validated scientific benchmark.</x:v>
      </x:c>
      <x:c r="AA1056" s="13" t="str">
        <x:v>0.1.0-draft</x:v>
      </x:c>
      <x:c r="AB1056" s="12" t="str">
        <x:f>IF(ISNUMBER(SEARCH("healthy",F1056)),"healthy_reasoning_patterns",IF(ISNUMBER(SEARCH("statistical",F1056)),"statistical_reasoning",IF(ISNUMBER(SEARCH("causal",F1056)),"causal_reasoning",IF(ISNUMBER(SEARCH("social",F1056)),"social_influence",IF(ISNUMBER(SEARCH("rhetoric",F1056)),"rhetoric_discourse",IF(ISNUMBER(SEARCH("behavior",F1056)),"behavioural_economics",IF(ISNUMBER(SEARCH("cognitive",F1056)),"cognitive_biases",IF(J1056="protective_pattern","healthy_reasoning_patterns",IF(L1056="P0","core_mvp","extended_fallacies")))))))))</x:f>
        <x:v>healthy_reasoning_patterns</x:v>
      </x:c>
      <x:c r="AC1056" s="12" t="str">
        <x:f>IF(ISNUMBER(SEARCH("operational",J1056)),"operational",IF(ISNUMBER(SEARCH("deprecated",J1056)),"deprecated",IF(L1056="P0","canonical","recognized_subtype")))</x:f>
        <x:v>recognized_subtype</x:v>
      </x:c>
      <x:c r="AD1056" s="12" t="str">
        <x:f>IF(AC1056="canonical","high",IF(AC1056="recognized_subtype","medium",IF(AC1056="operational","operational_only","debated")))</x:f>
        <x:v>medium</x:v>
      </x:c>
      <x:c r="AE1056" s="12" t="str">
        <x:f>IF(AC1056="deprecated","deprecated",IF(M1056="yes","active",IF(M1056="review","review_required","backlog")))</x:f>
        <x:v>review_required</x:v>
      </x:c>
      <x:c r="AF1056" s="12" t="str">
        <x:f>IF(OR(AE1056="active",AE1056="review_required"),"yes","no")</x:f>
        <x:v>yes</x:v>
      </x:c>
      <x:c r="AG1056" s="12" t="str">
        <x:f>IF(AND(AE1056="active",M1056="yes",NOT(ISNUMBER(SEARCH("healthy",AB1056)))),"yes","no")</x:f>
        <x:v>no</x:v>
      </x:c>
      <x:c r="AH1056" s="12" t="str">
        <x:f>IF(OR(H1056="contextual",H1056="dialogue",H1056="discourse",I1056="claim+context",I1056="discourse_segment"),"yes","no")</x:f>
        <x:v>yes</x:v>
      </x:c>
      <x:c r="AI1056" s="12" t="str">
        <x:f>IF(OR(AH1056="yes",AD1056="debated",AC1056="operational"),"yes","no")</x:f>
        <x:v>yes</x:v>
      </x:c>
      <x:c r="AJ1056" s="12" t="str">
        <x:f>IF(OR(AH1056="yes",AC1056="operational",AD1056="debated"),"high",IF(AND(AG1056="yes",L1056="P0"),"medium","low"))</x:f>
        <x:v>high</x:v>
      </x:c>
      <x:c r="AK1056" s="12" t="str">
        <x:f>IF(ISNUMBER(SEARCH("healthy",AB1056)),"yes","no")</x:f>
        <x:v>yes</x:v>
      </x:c>
      <x:c r="AL1056" s="12" t="str">
        <x:f>IF(AG1056="yes","yes","candidate_only")</x:f>
        <x:v>candidate_only</x:v>
      </x:c>
      <x:c r="AM1056" s="12" t="str">
        <x:f>IF(OR(AC1056="canonical",AG1056="yes"),"yes","recommended")</x:f>
        <x:v>recommended</x:v>
      </x:c>
      <x:c r="AN1056" s="12" t="str">
        <x:f>IF(AC1056="deprecated","exclude",IF(AND(AG1056="yes",AJ1056="high"),"import_but_human_review_required",IF(AG1056="yes","import_as_active","import_as_backlog")))</x:f>
        <x:v>import_as_backlog</x:v>
      </x:c>
      <x:c r="AO1056" s="12" t="str">
        <x:f>IF(AND(AG1056="yes",OR(P1056="",Q1056="",R1056="",S1056="")),"missing_required_mvp_fields",IF(AND(AC1056="canonical",Y1056=""),"missing_source_ref","ok"))</x:f>
        <x:v>ok</x:v>
      </x:c>
      <x:c r="AP1056" s="12" t="str">
        <x:f>IF(AO1056="ok","ready_for_codex_import","needs_review")</x:f>
        <x:v>ready_for_codex_import</x:v>
      </x:c>
      <x:c r="AQ1056" s="12"/>
      <x:c r="AR1056" s="12" t="str">
        <x:v>Added v2 operational fields. Review before classification activation.</x:v>
      </x:c>
    </x:row>
    <x:row r="1057">
      <x:c r="A1057" s="13" t="str">
        <x:v>decision_threshold_statement_uncertainty_variant</x:v>
      </x:c>
      <x:c r="B1057" s="13" t="str">
        <x:v>decision_threshold_statement</x:v>
      </x:c>
      <x:c r="C1057" s="13" t="str">
        <x:v>Decision threshold statement</x:v>
      </x:c>
      <x:c r="D1057" s="13" t="str">
        <x:v>بیان آستانه تصمیم</x:v>
      </x:c>
      <x:c r="E1057" s="13" t="str">
        <x:v>Uncertainty variant</x:v>
      </x:c>
      <x:c r="F1057" s="13" t="str">
        <x:v>healthy_reasoning_patterns</x:v>
      </x:c>
      <x:c r="G1057" s="13" t="str">
        <x:v>operational_variant</x:v>
      </x:c>
      <x:c r="H1057" s="13" t="str">
        <x:v>contextual</x:v>
      </x:c>
      <x:c r="I1057" s="13" t="str">
        <x:v>claim+context</x:v>
      </x:c>
      <x:c r="J1057" s="13" t="str">
        <x:v>protective_pattern</x:v>
      </x:c>
      <x:c r="K1057" s="13" t="str">
        <x:v>operational_pattern_needs_review</x:v>
      </x:c>
      <x:c r="L1057" s="13" t="str">
        <x:v>P2</x:v>
      </x:c>
      <x:c r="M1057" s="13" t="str">
        <x:v>review</x:v>
      </x:c>
      <x:c r="N1057" s="13" t="str">
        <x:v>Protective reasoning pattern under Decision threshold statement: the text explicitly calibrates uncertainty. It should reduce risk scores when supported by evidence.</x:v>
      </x:c>
      <x:c r="O1057" s="13" t="str">
        <x:v>Look for: explicit claim-level evidence; parent-family cues for Decision threshold statement; variant cue: the text explicitly calibrates uncertainty; avoid author-level inference.</x:v>
      </x:c>
      <x:c r="P1057" s="13" t="str">
        <x:v>Exact evidence span in text plus claim-level reasoning link; for contextual/discourse entries, require surrounding context.</x:v>
      </x:c>
      <x:c r="Q1057" s="13" t="str">
        <x:v>Do not label merely because topic is controversial, emotional, or wrong. Do not judge intent or personality. Require textual evidence and consider healthy-reasoning cues.</x:v>
      </x:c>
      <x:c r="R1057" s="13" t="str">
        <x:v>Stub: A claim relies on the text explicitly calibrates uncertainty to support a conclusion without adequate qualification.</x:v>
      </x:c>
      <x:c r="S1057" s="13" t="str">
        <x:v>Stub: A claim discusses decision threshold statement with caveats, balanced evidence, or no argumentative use of the pattern.</x:v>
      </x:c>
      <x:c r="T1057" s="13" t="str">
        <x:v>Weak protective cue; keep normal review.</x:v>
      </x:c>
      <x:c r="U1057" s="13" t="str">
        <x:v>Clear protective cue; reduce false-positive risk.</x:v>
      </x:c>
      <x:c r="V1057" s="13" t="str">
        <x:v>Strong protective cue; require stronger evidence before assigning risk labels.</x:v>
      </x:c>
      <x:c r="W1057" s="13" t="str">
        <x:v>cherry_picking; missing_counterevidence; evidence_grading</x:v>
      </x:c>
      <x:c r="X1057" s="13" t="str">
        <x:v>stanovich_dual_process</x:v>
      </x:c>
      <x:c r="Y1057" s="13" t="str">
        <x:v>https://global.oup.com/academic/product/rationality-and-the-reflective-mind-9780195341140</x:v>
      </x:c>
      <x:c r="Z1057" s="13" t="str">
        <x:v>Review before enabling. This workbook is a living taxonomy scaffold, not a validated scientific benchmark.</x:v>
      </x:c>
      <x:c r="AA1057" s="13" t="str">
        <x:v>0.1.0-draft</x:v>
      </x:c>
      <x:c r="AB1057" s="12" t="str">
        <x:f>IF(ISNUMBER(SEARCH("healthy",F1057)),"healthy_reasoning_patterns",IF(ISNUMBER(SEARCH("statistical",F1057)),"statistical_reasoning",IF(ISNUMBER(SEARCH("causal",F1057)),"causal_reasoning",IF(ISNUMBER(SEARCH("social",F1057)),"social_influence",IF(ISNUMBER(SEARCH("rhetoric",F1057)),"rhetoric_discourse",IF(ISNUMBER(SEARCH("behavior",F1057)),"behavioural_economics",IF(ISNUMBER(SEARCH("cognitive",F1057)),"cognitive_biases",IF(J1057="protective_pattern","healthy_reasoning_patterns",IF(L1057="P0","core_mvp","extended_fallacies")))))))))</x:f>
        <x:v>healthy_reasoning_patterns</x:v>
      </x:c>
      <x:c r="AC1057" s="12" t="str">
        <x:f>IF(ISNUMBER(SEARCH("operational",J1057)),"operational",IF(ISNUMBER(SEARCH("deprecated",J1057)),"deprecated",IF(L1057="P0","canonical","recognized_subtype")))</x:f>
        <x:v>recognized_subtype</x:v>
      </x:c>
      <x:c r="AD1057" s="12" t="str">
        <x:f>IF(AC1057="canonical","high",IF(AC1057="recognized_subtype","medium",IF(AC1057="operational","operational_only","debated")))</x:f>
        <x:v>medium</x:v>
      </x:c>
      <x:c r="AE1057" s="12" t="str">
        <x:f>IF(AC1057="deprecated","deprecated",IF(M1057="yes","active",IF(M1057="review","review_required","backlog")))</x:f>
        <x:v>review_required</x:v>
      </x:c>
      <x:c r="AF1057" s="12" t="str">
        <x:f>IF(OR(AE1057="active",AE1057="review_required"),"yes","no")</x:f>
        <x:v>yes</x:v>
      </x:c>
      <x:c r="AG1057" s="12" t="str">
        <x:f>IF(AND(AE1057="active",M1057="yes",NOT(ISNUMBER(SEARCH("healthy",AB1057)))),"yes","no")</x:f>
        <x:v>no</x:v>
      </x:c>
      <x:c r="AH1057" s="12" t="str">
        <x:f>IF(OR(H1057="contextual",H1057="dialogue",H1057="discourse",I1057="claim+context",I1057="discourse_segment"),"yes","no")</x:f>
        <x:v>yes</x:v>
      </x:c>
      <x:c r="AI1057" s="12" t="str">
        <x:f>IF(OR(AH1057="yes",AD1057="debated",AC1057="operational"),"yes","no")</x:f>
        <x:v>yes</x:v>
      </x:c>
      <x:c r="AJ1057" s="12" t="str">
        <x:f>IF(OR(AH1057="yes",AC1057="operational",AD1057="debated"),"high",IF(AND(AG1057="yes",L1057="P0"),"medium","low"))</x:f>
        <x:v>high</x:v>
      </x:c>
      <x:c r="AK1057" s="12" t="str">
        <x:f>IF(ISNUMBER(SEARCH("healthy",AB1057)),"yes","no")</x:f>
        <x:v>yes</x:v>
      </x:c>
      <x:c r="AL1057" s="12" t="str">
        <x:f>IF(AG1057="yes","yes","candidate_only")</x:f>
        <x:v>candidate_only</x:v>
      </x:c>
      <x:c r="AM1057" s="12" t="str">
        <x:f>IF(OR(AC1057="canonical",AG1057="yes"),"yes","recommended")</x:f>
        <x:v>recommended</x:v>
      </x:c>
      <x:c r="AN1057" s="12" t="str">
        <x:f>IF(AC1057="deprecated","exclude",IF(AND(AG1057="yes",AJ1057="high"),"import_but_human_review_required",IF(AG1057="yes","import_as_active","import_as_backlog")))</x:f>
        <x:v>import_as_backlog</x:v>
      </x:c>
      <x:c r="AO1057" s="12" t="str">
        <x:f>IF(AND(AG1057="yes",OR(P1057="",Q1057="",R1057="",S1057="")),"missing_required_mvp_fields",IF(AND(AC1057="canonical",Y1057=""),"missing_source_ref","ok"))</x:f>
        <x:v>ok</x:v>
      </x:c>
      <x:c r="AP1057" s="12" t="str">
        <x:f>IF(AO1057="ok","ready_for_codex_import","needs_review")</x:f>
        <x:v>ready_for_codex_import</x:v>
      </x:c>
      <x:c r="AQ1057" s="12"/>
      <x:c r="AR1057" s="12" t="str">
        <x:v>Added v2 operational fields. Review before classification activation.</x:v>
      </x:c>
    </x:row>
    <x:row r="1058">
      <x:c r="A1058" s="13" t="str">
        <x:v>pre_registered_criterion_uncertainty_variant</x:v>
      </x:c>
      <x:c r="B1058" s="13" t="str">
        <x:v>pre_registered_criterion</x:v>
      </x:c>
      <x:c r="C1058" s="13" t="str">
        <x:v>Pre-specified criterion</x:v>
      </x:c>
      <x:c r="D1058" s="13" t="str">
        <x:v>معیار از پیش تعیین‌شده</x:v>
      </x:c>
      <x:c r="E1058" s="13" t="str">
        <x:v>Uncertainty variant</x:v>
      </x:c>
      <x:c r="F1058" s="13" t="str">
        <x:v>healthy_reasoning_patterns</x:v>
      </x:c>
      <x:c r="G1058" s="13" t="str">
        <x:v>operational_variant</x:v>
      </x:c>
      <x:c r="H1058" s="13" t="str">
        <x:v>contextual</x:v>
      </x:c>
      <x:c r="I1058" s="13" t="str">
        <x:v>claim+context</x:v>
      </x:c>
      <x:c r="J1058" s="13" t="str">
        <x:v>protective_pattern</x:v>
      </x:c>
      <x:c r="K1058" s="13" t="str">
        <x:v>operational_pattern_needs_review</x:v>
      </x:c>
      <x:c r="L1058" s="13" t="str">
        <x:v>P2</x:v>
      </x:c>
      <x:c r="M1058" s="13" t="str">
        <x:v>review</x:v>
      </x:c>
      <x:c r="N1058" s="13" t="str">
        <x:v>Protective reasoning pattern under Pre-specified criterion: the text explicitly calibrates uncertainty. It should reduce risk scores when supported by evidence.</x:v>
      </x:c>
      <x:c r="O1058" s="13" t="str">
        <x:v>Look for: explicit claim-level evidence; parent-family cues for Pre-specified criterion; variant cue: the text explicitly calibrates uncertainty; avoid author-level inference.</x:v>
      </x:c>
      <x:c r="P1058" s="13" t="str">
        <x:v>Exact evidence span in text plus claim-level reasoning link; for contextual/discourse entries, require surrounding context.</x:v>
      </x:c>
      <x:c r="Q1058" s="13" t="str">
        <x:v>Do not label merely because topic is controversial, emotional, or wrong. Do not judge intent or personality. Require textual evidence and consider healthy-reasoning cues.</x:v>
      </x:c>
      <x:c r="R1058" s="13" t="str">
        <x:v>Stub: A claim relies on the text explicitly calibrates uncertainty to support a conclusion without adequate qualification.</x:v>
      </x:c>
      <x:c r="S1058" s="13" t="str">
        <x:v>Stub: A claim discusses pre-specified criterion with caveats, balanced evidence, or no argumentative use of the pattern.</x:v>
      </x:c>
      <x:c r="T1058" s="13" t="str">
        <x:v>Weak protective cue; keep normal review.</x:v>
      </x:c>
      <x:c r="U1058" s="13" t="str">
        <x:v>Clear protective cue; reduce false-positive risk.</x:v>
      </x:c>
      <x:c r="V1058" s="13" t="str">
        <x:v>Strong protective cue; require stronger evidence before assigning risk labels.</x:v>
      </x:c>
      <x:c r="W1058" s="13" t="str"/>
      <x:c r="X1058" s="13" t="str">
        <x:v>stanovich_dual_process</x:v>
      </x:c>
      <x:c r="Y1058" s="13" t="str">
        <x:v>https://global.oup.com/academic/product/rationality-and-the-reflective-mind-9780195341140</x:v>
      </x:c>
      <x:c r="Z1058" s="13" t="str">
        <x:v>Review before enabling. This workbook is a living taxonomy scaffold, not a validated scientific benchmark.</x:v>
      </x:c>
      <x:c r="AA1058" s="13" t="str">
        <x:v>0.1.0-draft</x:v>
      </x:c>
      <x:c r="AB1058" s="12" t="str">
        <x:f>IF(ISNUMBER(SEARCH("healthy",F1058)),"healthy_reasoning_patterns",IF(ISNUMBER(SEARCH("statistical",F1058)),"statistical_reasoning",IF(ISNUMBER(SEARCH("causal",F1058)),"causal_reasoning",IF(ISNUMBER(SEARCH("social",F1058)),"social_influence",IF(ISNUMBER(SEARCH("rhetoric",F1058)),"rhetoric_discourse",IF(ISNUMBER(SEARCH("behavior",F1058)),"behavioural_economics",IF(ISNUMBER(SEARCH("cognitive",F1058)),"cognitive_biases",IF(J1058="protective_pattern","healthy_reasoning_patterns",IF(L1058="P0","core_mvp","extended_fallacies")))))))))</x:f>
        <x:v>healthy_reasoning_patterns</x:v>
      </x:c>
      <x:c r="AC1058" s="12" t="str">
        <x:f>IF(ISNUMBER(SEARCH("operational",J1058)),"operational",IF(ISNUMBER(SEARCH("deprecated",J1058)),"deprecated",IF(L1058="P0","canonical","recognized_subtype")))</x:f>
        <x:v>recognized_subtype</x:v>
      </x:c>
      <x:c r="AD1058" s="12" t="str">
        <x:f>IF(AC1058="canonical","high",IF(AC1058="recognized_subtype","medium",IF(AC1058="operational","operational_only","debated")))</x:f>
        <x:v>medium</x:v>
      </x:c>
      <x:c r="AE1058" s="12" t="str">
        <x:f>IF(AC1058="deprecated","deprecated",IF(M1058="yes","active",IF(M1058="review","review_required","backlog")))</x:f>
        <x:v>review_required</x:v>
      </x:c>
      <x:c r="AF1058" s="12" t="str">
        <x:f>IF(OR(AE1058="active",AE1058="review_required"),"yes","no")</x:f>
        <x:v>yes</x:v>
      </x:c>
      <x:c r="AG1058" s="12" t="str">
        <x:f>IF(AND(AE1058="active",M1058="yes",NOT(ISNUMBER(SEARCH("healthy",AB1058)))),"yes","no")</x:f>
        <x:v>no</x:v>
      </x:c>
      <x:c r="AH1058" s="12" t="str">
        <x:f>IF(OR(H1058="contextual",H1058="dialogue",H1058="discourse",I1058="claim+context",I1058="discourse_segment"),"yes","no")</x:f>
        <x:v>yes</x:v>
      </x:c>
      <x:c r="AI1058" s="12" t="str">
        <x:f>IF(OR(AH1058="yes",AD1058="debated",AC1058="operational"),"yes","no")</x:f>
        <x:v>yes</x:v>
      </x:c>
      <x:c r="AJ1058" s="12" t="str">
        <x:f>IF(OR(AH1058="yes",AC1058="operational",AD1058="debated"),"high",IF(AND(AG1058="yes",L1058="P0"),"medium","low"))</x:f>
        <x:v>high</x:v>
      </x:c>
      <x:c r="AK1058" s="12" t="str">
        <x:f>IF(ISNUMBER(SEARCH("healthy",AB1058)),"yes","no")</x:f>
        <x:v>yes</x:v>
      </x:c>
      <x:c r="AL1058" s="12" t="str">
        <x:f>IF(AG1058="yes","yes","candidate_only")</x:f>
        <x:v>candidate_only</x:v>
      </x:c>
      <x:c r="AM1058" s="12" t="str">
        <x:f>IF(OR(AC1058="canonical",AG1058="yes"),"yes","recommended")</x:f>
        <x:v>recommended</x:v>
      </x:c>
      <x:c r="AN1058" s="12" t="str">
        <x:f>IF(AC1058="deprecated","exclude",IF(AND(AG1058="yes",AJ1058="high"),"import_but_human_review_required",IF(AG1058="yes","import_as_active","import_as_backlog")))</x:f>
        <x:v>import_as_backlog</x:v>
      </x:c>
      <x:c r="AO1058" s="12" t="str">
        <x:f>IF(AND(AG1058="yes",OR(P1058="",Q1058="",R1058="",S1058="")),"missing_required_mvp_fields",IF(AND(AC1058="canonical",Y1058=""),"missing_source_ref","ok"))</x:f>
        <x:v>ok</x:v>
      </x:c>
      <x:c r="AP1058" s="12" t="str">
        <x:f>IF(AO1058="ok","ready_for_codex_import","needs_review")</x:f>
        <x:v>ready_for_codex_import</x:v>
      </x:c>
      <x:c r="AQ1058" s="12"/>
      <x:c r="AR1058" s="12" t="str">
        <x:v>Added v2 operational fields. Review before classification activation.</x:v>
      </x:c>
    </x:row>
    <x:row r="1059">
      <x:c r="A1059" s="13" t="str">
        <x:v>uncertainty_interval_reported_uncertainty_variant</x:v>
      </x:c>
      <x:c r="B1059" s="13" t="str">
        <x:v>uncertainty_interval_reported</x:v>
      </x:c>
      <x:c r="C1059" s="13" t="str">
        <x:v>Uncertainty interval reported</x:v>
      </x:c>
      <x:c r="D1059" s="13" t="str">
        <x:v>گزارش بازه عدم قطعیت</x:v>
      </x:c>
      <x:c r="E1059" s="13" t="str">
        <x:v>Uncertainty variant</x:v>
      </x:c>
      <x:c r="F1059" s="13" t="str">
        <x:v>healthy_reasoning_patterns</x:v>
      </x:c>
      <x:c r="G1059" s="13" t="str">
        <x:v>operational_variant</x:v>
      </x:c>
      <x:c r="H1059" s="13" t="str">
        <x:v>lexical</x:v>
      </x:c>
      <x:c r="I1059" s="13" t="str">
        <x:v>claim</x:v>
      </x:c>
      <x:c r="J1059" s="13" t="str">
        <x:v>protective_pattern</x:v>
      </x:c>
      <x:c r="K1059" s="13" t="str">
        <x:v>operational_pattern_needs_review</x:v>
      </x:c>
      <x:c r="L1059" s="13" t="str">
        <x:v>P2</x:v>
      </x:c>
      <x:c r="M1059" s="13" t="str">
        <x:v>review</x:v>
      </x:c>
      <x:c r="N1059" s="13" t="str">
        <x:v>Protective reasoning pattern under Uncertainty interval reported: the text explicitly calibrates uncertainty. It should reduce risk scores when supported by evidence.</x:v>
      </x:c>
      <x:c r="O1059" s="13" t="str">
        <x:v>Look for: explicit claim-level evidence; parent-family cues for Uncertainty interval reported; variant cue: the text explicitly calibrates uncertainty; avoid author-level inference.</x:v>
      </x:c>
      <x:c r="P1059" s="13" t="str">
        <x:v>Exact evidence span in text plus claim-level reasoning link; for contextual/discourse entries, require surrounding context.</x:v>
      </x:c>
      <x:c r="Q1059" s="13" t="str">
        <x:v>Do not label merely because topic is controversial, emotional, or wrong. Do not judge intent or personality. Require textual evidence and consider healthy-reasoning cues.</x:v>
      </x:c>
      <x:c r="R1059" s="13" t="str">
        <x:v>Stub: A claim relies on the text explicitly calibrates uncertainty to support a conclusion without adequate qualification.</x:v>
      </x:c>
      <x:c r="S1059" s="13" t="str">
        <x:v>Stub: A claim discusses uncertainty interval reported with caveats, balanced evidence, or no argumentative use of the pattern.</x:v>
      </x:c>
      <x:c r="T1059" s="13" t="str">
        <x:v>Weak protective cue; keep normal review.</x:v>
      </x:c>
      <x:c r="U1059" s="13" t="str">
        <x:v>Clear protective cue; reduce false-positive risk.</x:v>
      </x:c>
      <x:c r="V1059" s="13" t="str">
        <x:v>Strong protective cue; require stronger evidence before assigning risk labels.</x:v>
      </x:c>
      <x:c r="W1059" s="13" t="str"/>
      <x:c r="X1059" s="13" t="str">
        <x:v>stanovich_dual_process</x:v>
      </x:c>
      <x:c r="Y1059" s="13" t="str">
        <x:v>https://global.oup.com/academic/product/rationality-and-the-reflective-mind-9780195341140</x:v>
      </x:c>
      <x:c r="Z1059" s="13" t="str">
        <x:v>Review before enabling. This workbook is a living taxonomy scaffold, not a validated scientific benchmark.</x:v>
      </x:c>
      <x:c r="AA1059" s="13" t="str">
        <x:v>0.1.0-draft</x:v>
      </x:c>
      <x:c r="AB1059" s="12" t="str">
        <x:f>IF(ISNUMBER(SEARCH("healthy",F1059)),"healthy_reasoning_patterns",IF(ISNUMBER(SEARCH("statistical",F1059)),"statistical_reasoning",IF(ISNUMBER(SEARCH("causal",F1059)),"causal_reasoning",IF(ISNUMBER(SEARCH("social",F1059)),"social_influence",IF(ISNUMBER(SEARCH("rhetoric",F1059)),"rhetoric_discourse",IF(ISNUMBER(SEARCH("behavior",F1059)),"behavioural_economics",IF(ISNUMBER(SEARCH("cognitive",F1059)),"cognitive_biases",IF(J1059="protective_pattern","healthy_reasoning_patterns",IF(L1059="P0","core_mvp","extended_fallacies")))))))))</x:f>
        <x:v>healthy_reasoning_patterns</x:v>
      </x:c>
      <x:c r="AC1059" s="12" t="str">
        <x:f>IF(ISNUMBER(SEARCH("operational",J1059)),"operational",IF(ISNUMBER(SEARCH("deprecated",J1059)),"deprecated",IF(L1059="P0","canonical","recognized_subtype")))</x:f>
        <x:v>recognized_subtype</x:v>
      </x:c>
      <x:c r="AD1059" s="12" t="str">
        <x:f>IF(AC1059="canonical","high",IF(AC1059="recognized_subtype","medium",IF(AC1059="operational","operational_only","debated")))</x:f>
        <x:v>medium</x:v>
      </x:c>
      <x:c r="AE1059" s="12" t="str">
        <x:f>IF(AC1059="deprecated","deprecated",IF(M1059="yes","active",IF(M1059="review","review_required","backlog")))</x:f>
        <x:v>review_required</x:v>
      </x:c>
      <x:c r="AF1059" s="12" t="str">
        <x:f>IF(OR(AE1059="active",AE1059="review_required"),"yes","no")</x:f>
        <x:v>yes</x:v>
      </x:c>
      <x:c r="AG1059" s="12" t="str">
        <x:f>IF(AND(AE1059="active",M1059="yes",NOT(ISNUMBER(SEARCH("healthy",AB1059)))),"yes","no")</x:f>
        <x:v>no</x:v>
      </x:c>
      <x:c r="AH1059" s="12" t="str">
        <x:f>IF(OR(H1059="contextual",H1059="dialogue",H1059="discourse",I1059="claim+context",I1059="discourse_segment"),"yes","no")</x:f>
        <x:v>no</x:v>
      </x:c>
      <x:c r="AI1059" s="12" t="str">
        <x:f>IF(OR(AH1059="yes",AD1059="debated",AC1059="operational"),"yes","no")</x:f>
        <x:v>no</x:v>
      </x:c>
      <x:c r="AJ1059" s="12" t="str">
        <x:f>IF(OR(AH1059="yes",AC1059="operational",AD1059="debated"),"high",IF(AND(AG1059="yes",L1059="P0"),"medium","low"))</x:f>
        <x:v>low</x:v>
      </x:c>
      <x:c r="AK1059" s="12" t="str">
        <x:f>IF(ISNUMBER(SEARCH("healthy",AB1059)),"yes","no")</x:f>
        <x:v>yes</x:v>
      </x:c>
      <x:c r="AL1059" s="12" t="str">
        <x:f>IF(AG1059="yes","yes","candidate_only")</x:f>
        <x:v>candidate_only</x:v>
      </x:c>
      <x:c r="AM1059" s="12" t="str">
        <x:f>IF(OR(AC1059="canonical",AG1059="yes"),"yes","recommended")</x:f>
        <x:v>recommended</x:v>
      </x:c>
      <x:c r="AN1059" s="12" t="str">
        <x:f>IF(AC1059="deprecated","exclude",IF(AND(AG1059="yes",AJ1059="high"),"import_but_human_review_required",IF(AG1059="yes","import_as_active","import_as_backlog")))</x:f>
        <x:v>import_as_backlog</x:v>
      </x:c>
      <x:c r="AO1059" s="12" t="str">
        <x:f>IF(AND(AG1059="yes",OR(P1059="",Q1059="",R1059="",S1059="")),"missing_required_mvp_fields",IF(AND(AC1059="canonical",Y1059=""),"missing_source_ref","ok"))</x:f>
        <x:v>ok</x:v>
      </x:c>
      <x:c r="AP1059" s="12" t="str">
        <x:f>IF(AO1059="ok","ready_for_codex_import","needs_review")</x:f>
        <x:v>ready_for_codex_import</x:v>
      </x:c>
      <x:c r="AQ1059" s="12"/>
      <x:c r="AR1059" s="12" t="str">
        <x:v>Added v2 operational fields. Review before classification activation.</x:v>
      </x:c>
    </x:row>
    <x:row r="1060">
      <x:c r="A1060" s="13" t="str">
        <x:v>balanced_evidence_summary_uncertainty_variant</x:v>
      </x:c>
      <x:c r="B1060" s="13" t="str">
        <x:v>balanced_evidence_summary</x:v>
      </x:c>
      <x:c r="C1060" s="13" t="str">
        <x:v>Balanced evidence summary</x:v>
      </x:c>
      <x:c r="D1060" s="13" t="str">
        <x:v>خلاصه متوازن شواهد</x:v>
      </x:c>
      <x:c r="E1060" s="13" t="str">
        <x:v>Uncertainty variant</x:v>
      </x:c>
      <x:c r="F1060" s="13" t="str">
        <x:v>healthy_reasoning_patterns</x:v>
      </x:c>
      <x:c r="G1060" s="13" t="str">
        <x:v>operational_variant</x:v>
      </x:c>
      <x:c r="H1060" s="13" t="str">
        <x:v>contextual</x:v>
      </x:c>
      <x:c r="I1060" s="13" t="str">
        <x:v>claim+context</x:v>
      </x:c>
      <x:c r="J1060" s="13" t="str">
        <x:v>protective_pattern</x:v>
      </x:c>
      <x:c r="K1060" s="13" t="str">
        <x:v>operational_pattern_needs_review</x:v>
      </x:c>
      <x:c r="L1060" s="13" t="str">
        <x:v>P2</x:v>
      </x:c>
      <x:c r="M1060" s="13" t="str">
        <x:v>review</x:v>
      </x:c>
      <x:c r="N1060" s="13" t="str">
        <x:v>Protective reasoning pattern under Balanced evidence summary: the text explicitly calibrates uncertainty. It should reduce risk scores when supported by evidence.</x:v>
      </x:c>
      <x:c r="O1060" s="13" t="str">
        <x:v>Look for: explicit claim-level evidence; parent-family cues for Balanced evidence summary; variant cue: the text explicitly calibrates uncertainty; avoid author-level inference.</x:v>
      </x:c>
      <x:c r="P1060" s="13" t="str">
        <x:v>Exact evidence span in text plus claim-level reasoning link; for contextual/discourse entries, require surrounding context.</x:v>
      </x:c>
      <x:c r="Q1060" s="13" t="str">
        <x:v>Do not label merely because topic is controversial, emotional, or wrong. Do not judge intent or personality. Require textual evidence and consider healthy-reasoning cues.</x:v>
      </x:c>
      <x:c r="R1060" s="13" t="str">
        <x:v>Stub: A claim relies on the text explicitly calibrates uncertainty to support a conclusion without adequate qualification.</x:v>
      </x:c>
      <x:c r="S1060" s="13" t="str">
        <x:v>Stub: A claim discusses balanced evidence summary with caveats, balanced evidence, or no argumentative use of the pattern.</x:v>
      </x:c>
      <x:c r="T1060" s="13" t="str">
        <x:v>Weak protective cue; keep normal review.</x:v>
      </x:c>
      <x:c r="U1060" s="13" t="str">
        <x:v>Clear protective cue; reduce false-positive risk.</x:v>
      </x:c>
      <x:c r="V1060" s="13" t="str">
        <x:v>Strong protective cue; require stronger evidence before assigning risk labels.</x:v>
      </x:c>
      <x:c r="W1060" s="13" t="str">
        <x:v>cherry_picking; missing_counterevidence; evidence_grading</x:v>
      </x:c>
      <x:c r="X1060" s="13" t="str">
        <x:v>sep_informal_logic</x:v>
      </x:c>
      <x:c r="Y1060" s="13" t="str">
        <x:v>https://plato.stanford.edu/entries/logic-informal/</x:v>
      </x:c>
      <x:c r="Z1060" s="13" t="str">
        <x:v>Review before enabling. This workbook is a living taxonomy scaffold, not a validated scientific benchmark.</x:v>
      </x:c>
      <x:c r="AA1060" s="13" t="str">
        <x:v>0.1.0-draft</x:v>
      </x:c>
      <x:c r="AB1060" s="12" t="str">
        <x:f>IF(ISNUMBER(SEARCH("healthy",F1060)),"healthy_reasoning_patterns",IF(ISNUMBER(SEARCH("statistical",F1060)),"statistical_reasoning",IF(ISNUMBER(SEARCH("causal",F1060)),"causal_reasoning",IF(ISNUMBER(SEARCH("social",F1060)),"social_influence",IF(ISNUMBER(SEARCH("rhetoric",F1060)),"rhetoric_discourse",IF(ISNUMBER(SEARCH("behavior",F1060)),"behavioural_economics",IF(ISNUMBER(SEARCH("cognitive",F1060)),"cognitive_biases",IF(J1060="protective_pattern","healthy_reasoning_patterns",IF(L1060="P0","core_mvp","extended_fallacies")))))))))</x:f>
        <x:v>healthy_reasoning_patterns</x:v>
      </x:c>
      <x:c r="AC1060" s="12" t="str">
        <x:f>IF(ISNUMBER(SEARCH("operational",J1060)),"operational",IF(ISNUMBER(SEARCH("deprecated",J1060)),"deprecated",IF(L1060="P0","canonical","recognized_subtype")))</x:f>
        <x:v>recognized_subtype</x:v>
      </x:c>
      <x:c r="AD1060" s="12" t="str">
        <x:f>IF(AC1060="canonical","high",IF(AC1060="recognized_subtype","medium",IF(AC1060="operational","operational_only","debated")))</x:f>
        <x:v>medium</x:v>
      </x:c>
      <x:c r="AE1060" s="12" t="str">
        <x:f>IF(AC1060="deprecated","deprecated",IF(M1060="yes","active",IF(M1060="review","review_required","backlog")))</x:f>
        <x:v>review_required</x:v>
      </x:c>
      <x:c r="AF1060" s="12" t="str">
        <x:f>IF(OR(AE1060="active",AE1060="review_required"),"yes","no")</x:f>
        <x:v>yes</x:v>
      </x:c>
      <x:c r="AG1060" s="12" t="str">
        <x:f>IF(AND(AE1060="active",M1060="yes",NOT(ISNUMBER(SEARCH("healthy",AB1060)))),"yes","no")</x:f>
        <x:v>no</x:v>
      </x:c>
      <x:c r="AH1060" s="12" t="str">
        <x:f>IF(OR(H1060="contextual",H1060="dialogue",H1060="discourse",I1060="claim+context",I1060="discourse_segment"),"yes","no")</x:f>
        <x:v>yes</x:v>
      </x:c>
      <x:c r="AI1060" s="12" t="str">
        <x:f>IF(OR(AH1060="yes",AD1060="debated",AC1060="operational"),"yes","no")</x:f>
        <x:v>yes</x:v>
      </x:c>
      <x:c r="AJ1060" s="12" t="str">
        <x:f>IF(OR(AH1060="yes",AC1060="operational",AD1060="debated"),"high",IF(AND(AG1060="yes",L1060="P0"),"medium","low"))</x:f>
        <x:v>high</x:v>
      </x:c>
      <x:c r="AK1060" s="12" t="str">
        <x:f>IF(ISNUMBER(SEARCH("healthy",AB1060)),"yes","no")</x:f>
        <x:v>yes</x:v>
      </x:c>
      <x:c r="AL1060" s="12" t="str">
        <x:f>IF(AG1060="yes","yes","candidate_only")</x:f>
        <x:v>candidate_only</x:v>
      </x:c>
      <x:c r="AM1060" s="12" t="str">
        <x:f>IF(OR(AC1060="canonical",AG1060="yes"),"yes","recommended")</x:f>
        <x:v>recommended</x:v>
      </x:c>
      <x:c r="AN1060" s="12" t="str">
        <x:f>IF(AC1060="deprecated","exclude",IF(AND(AG1060="yes",AJ1060="high"),"import_but_human_review_required",IF(AG1060="yes","import_as_active","import_as_backlog")))</x:f>
        <x:v>import_as_backlog</x:v>
      </x:c>
      <x:c r="AO1060" s="12" t="str">
        <x:f>IF(AND(AG1060="yes",OR(P1060="",Q1060="",R1060="",S1060="")),"missing_required_mvp_fields",IF(AND(AC1060="canonical",Y1060=""),"missing_source_ref","ok"))</x:f>
        <x:v>ok</x:v>
      </x:c>
      <x:c r="AP1060" s="12" t="str">
        <x:f>IF(AO1060="ok","ready_for_codex_import","needs_review")</x:f>
        <x:v>ready_for_codex_import</x:v>
      </x:c>
      <x:c r="AQ1060" s="12"/>
      <x:c r="AR1060" s="12" t="str">
        <x:v>Added v2 operational fields. Review before classification activation.</x:v>
      </x:c>
    </x:row>
    <x:row r="1061">
      <x:c r="A1061" s="13" t="str">
        <x:v>human_review_trigger_uncertainty_variant</x:v>
      </x:c>
      <x:c r="B1061" s="13" t="str">
        <x:v>human_review_trigger</x:v>
      </x:c>
      <x:c r="C1061" s="13" t="str">
        <x:v>Human-review trigger</x:v>
      </x:c>
      <x:c r="D1061" s="13" t="str">
        <x:v>ارجاع به بازبینی انسانی</x:v>
      </x:c>
      <x:c r="E1061" s="13" t="str">
        <x:v>Uncertainty variant</x:v>
      </x:c>
      <x:c r="F1061" s="13" t="str">
        <x:v>healthy_reasoning_patterns</x:v>
      </x:c>
      <x:c r="G1061" s="13" t="str">
        <x:v>operational_variant</x:v>
      </x:c>
      <x:c r="H1061" s="13" t="str">
        <x:v>dialogue</x:v>
      </x:c>
      <x:c r="I1061" s="13" t="str">
        <x:v>discourse_segment</x:v>
      </x:c>
      <x:c r="J1061" s="13" t="str">
        <x:v>protective_pattern</x:v>
      </x:c>
      <x:c r="K1061" s="13" t="str">
        <x:v>operational_pattern_needs_review</x:v>
      </x:c>
      <x:c r="L1061" s="13" t="str">
        <x:v>P2</x:v>
      </x:c>
      <x:c r="M1061" s="13" t="str">
        <x:v>review</x:v>
      </x:c>
      <x:c r="N1061" s="13" t="str">
        <x:v>Protective reasoning pattern under Human-review trigger: the text explicitly calibrates uncertainty. It should reduce risk scores when supported by evidence.</x:v>
      </x:c>
      <x:c r="O1061" s="13" t="str">
        <x:v>Look for: explicit claim-level evidence; parent-family cues for Human-review trigger; variant cue: the text explicitly calibrates uncertainty; avoid author-level inference.</x:v>
      </x:c>
      <x:c r="P1061" s="13" t="str">
        <x:v>Exact evidence span in text plus claim-level reasoning link; for contextual/discourse entries, require surrounding context.</x:v>
      </x:c>
      <x:c r="Q1061" s="13" t="str">
        <x:v>Do not label merely because topic is controversial, emotional, or wrong. Do not judge intent or personality. Require textual evidence and consider healthy-reasoning cues.</x:v>
      </x:c>
      <x:c r="R1061" s="13" t="str">
        <x:v>Stub: A claim relies on the text explicitly calibrates uncertainty to support a conclusion without adequate qualification.</x:v>
      </x:c>
      <x:c r="S1061" s="13" t="str">
        <x:v>Stub: A claim discusses human-review trigger with caveats, balanced evidence, or no argumentative use of the pattern.</x:v>
      </x:c>
      <x:c r="T1061" s="13" t="str">
        <x:v>Weak protective cue; keep normal review.</x:v>
      </x:c>
      <x:c r="U1061" s="13" t="str">
        <x:v>Clear protective cue; reduce false-positive risk.</x:v>
      </x:c>
      <x:c r="V1061" s="13" t="str">
        <x:v>Strong protective cue; require stronger evidence before assigning risk labels.</x:v>
      </x:c>
      <x:c r="W1061" s="13" t="str"/>
      <x:c r="X1061" s="13" t="str">
        <x:v>pragmadialectics</x:v>
      </x:c>
      <x:c r="Y1061" s="13" t="str">
        <x:v>https://doi.org/10.1017/CBO9780511616389</x:v>
      </x:c>
      <x:c r="Z1061" s="13" t="str">
        <x:v>Review before enabling. This workbook is a living taxonomy scaffold, not a validated scientific benchmark.</x:v>
      </x:c>
      <x:c r="AA1061" s="13" t="str">
        <x:v>0.1.0-draft</x:v>
      </x:c>
      <x:c r="AB1061" s="12" t="str">
        <x:f>IF(ISNUMBER(SEARCH("healthy",F1061)),"healthy_reasoning_patterns",IF(ISNUMBER(SEARCH("statistical",F1061)),"statistical_reasoning",IF(ISNUMBER(SEARCH("causal",F1061)),"causal_reasoning",IF(ISNUMBER(SEARCH("social",F1061)),"social_influence",IF(ISNUMBER(SEARCH("rhetoric",F1061)),"rhetoric_discourse",IF(ISNUMBER(SEARCH("behavior",F1061)),"behavioural_economics",IF(ISNUMBER(SEARCH("cognitive",F1061)),"cognitive_biases",IF(J1061="protective_pattern","healthy_reasoning_patterns",IF(L1061="P0","core_mvp","extended_fallacies")))))))))</x:f>
        <x:v>healthy_reasoning_patterns</x:v>
      </x:c>
      <x:c r="AC1061" s="12" t="str">
        <x:f>IF(ISNUMBER(SEARCH("operational",J1061)),"operational",IF(ISNUMBER(SEARCH("deprecated",J1061)),"deprecated",IF(L1061="P0","canonical","recognized_subtype")))</x:f>
        <x:v>recognized_subtype</x:v>
      </x:c>
      <x:c r="AD1061" s="12" t="str">
        <x:f>IF(AC1061="canonical","high",IF(AC1061="recognized_subtype","medium",IF(AC1061="operational","operational_only","debated")))</x:f>
        <x:v>medium</x:v>
      </x:c>
      <x:c r="AE1061" s="12" t="str">
        <x:f>IF(AC1061="deprecated","deprecated",IF(M1061="yes","active",IF(M1061="review","review_required","backlog")))</x:f>
        <x:v>review_required</x:v>
      </x:c>
      <x:c r="AF1061" s="12" t="str">
        <x:f>IF(OR(AE1061="active",AE1061="review_required"),"yes","no")</x:f>
        <x:v>yes</x:v>
      </x:c>
      <x:c r="AG1061" s="12" t="str">
        <x:f>IF(AND(AE1061="active",M1061="yes",NOT(ISNUMBER(SEARCH("healthy",AB1061)))),"yes","no")</x:f>
        <x:v>no</x:v>
      </x:c>
      <x:c r="AH1061" s="12" t="str">
        <x:f>IF(OR(H1061="contextual",H1061="dialogue",H1061="discourse",I1061="claim+context",I1061="discourse_segment"),"yes","no")</x:f>
        <x:v>yes</x:v>
      </x:c>
      <x:c r="AI1061" s="12" t="str">
        <x:f>IF(OR(AH1061="yes",AD1061="debated",AC1061="operational"),"yes","no")</x:f>
        <x:v>yes</x:v>
      </x:c>
      <x:c r="AJ1061" s="12" t="str">
        <x:f>IF(OR(AH1061="yes",AC1061="operational",AD1061="debated"),"high",IF(AND(AG1061="yes",L1061="P0"),"medium","low"))</x:f>
        <x:v>high</x:v>
      </x:c>
      <x:c r="AK1061" s="12" t="str">
        <x:f>IF(ISNUMBER(SEARCH("healthy",AB1061)),"yes","no")</x:f>
        <x:v>yes</x:v>
      </x:c>
      <x:c r="AL1061" s="12" t="str">
        <x:f>IF(AG1061="yes","yes","candidate_only")</x:f>
        <x:v>candidate_only</x:v>
      </x:c>
      <x:c r="AM1061" s="12" t="str">
        <x:f>IF(OR(AC1061="canonical",AG1061="yes"),"yes","recommended")</x:f>
        <x:v>recommended</x:v>
      </x:c>
      <x:c r="AN1061" s="12" t="str">
        <x:f>IF(AC1061="deprecated","exclude",IF(AND(AG1061="yes",AJ1061="high"),"import_but_human_review_required",IF(AG1061="yes","import_as_active","import_as_backlog")))</x:f>
        <x:v>import_as_backlog</x:v>
      </x:c>
      <x:c r="AO1061" s="12" t="str">
        <x:f>IF(AND(AG1061="yes",OR(P1061="",Q1061="",R1061="",S1061="")),"missing_required_mvp_fields",IF(AND(AC1061="canonical",Y1061=""),"missing_source_ref","ok"))</x:f>
        <x:v>ok</x:v>
      </x:c>
      <x:c r="AP1061" s="12" t="str">
        <x:f>IF(AO1061="ok","ready_for_codex_import","needs_review")</x:f>
        <x:v>ready_for_codex_import</x:v>
      </x:c>
      <x:c r="AQ1061" s="12"/>
      <x:c r="AR1061" s="12" t="str">
        <x:v>Added v2 operational fields. Review before classification activation.</x:v>
      </x:c>
    </x:row>
    <x:row r="1062">
      <x:c r="A1062" s="13" t="str">
        <x:v>uncertainty_acknowledgement_counterargument_variant</x:v>
      </x:c>
      <x:c r="B1062" s="13" t="str">
        <x:v>uncertainty_acknowledgement</x:v>
      </x:c>
      <x:c r="C1062" s="13" t="str">
        <x:v>Uncertainty acknowledgement</x:v>
      </x:c>
      <x:c r="D1062" s="13" t="str">
        <x:v>اذعان به عدم قطعیت</x:v>
      </x:c>
      <x:c r="E1062" s="13" t="str">
        <x:v>Counterargument variant</x:v>
      </x:c>
      <x:c r="F1062" s="13" t="str">
        <x:v>healthy_reasoning_patterns</x:v>
      </x:c>
      <x:c r="G1062" s="13" t="str">
        <x:v>operational_variant</x:v>
      </x:c>
      <x:c r="H1062" s="13" t="str">
        <x:v>lexical</x:v>
      </x:c>
      <x:c r="I1062" s="13" t="str">
        <x:v>claim</x:v>
      </x:c>
      <x:c r="J1062" s="13" t="str">
        <x:v>protective_pattern</x:v>
      </x:c>
      <x:c r="K1062" s="13" t="str">
        <x:v>operational_pattern_needs_review</x:v>
      </x:c>
      <x:c r="L1062" s="13" t="str">
        <x:v>P2</x:v>
      </x:c>
      <x:c r="M1062" s="13" t="str">
        <x:v>review</x:v>
      </x:c>
      <x:c r="N1062" s="13" t="str">
        <x:v>Protective reasoning pattern under Uncertainty acknowledgement: the text considers alternatives or objections. It should reduce risk scores when supported by evidence.</x:v>
      </x:c>
      <x:c r="O1062" s="13" t="str">
        <x:v>Look for: explicit claim-level evidence; parent-family cues for Uncertainty acknowledgement; variant cue: the text considers alternatives or objections; avoid author-level inference.</x:v>
      </x:c>
      <x:c r="P1062" s="13" t="str">
        <x:v>Exact evidence span in text plus claim-level reasoning link; for contextual/discourse entries, require surrounding context.</x:v>
      </x:c>
      <x:c r="Q1062" s="13" t="str">
        <x:v>Do not label merely because topic is controversial, emotional, or wrong. Do not judge intent or personality. Require textual evidence and consider healthy-reasoning cues.</x:v>
      </x:c>
      <x:c r="R1062" s="13" t="str">
        <x:v>Stub: A claim relies on the text considers alternatives or objections to support a conclusion without adequate qualification.</x:v>
      </x:c>
      <x:c r="S1062" s="13" t="str">
        <x:v>Stub: A claim discusses uncertainty acknowledgement with caveats, balanced evidence, or no argumentative use of the pattern.</x:v>
      </x:c>
      <x:c r="T1062" s="13" t="str">
        <x:v>Weak protective cue; keep normal review.</x:v>
      </x:c>
      <x:c r="U1062" s="13" t="str">
        <x:v>Clear protective cue; reduce false-positive risk.</x:v>
      </x:c>
      <x:c r="V1062" s="13" t="str">
        <x:v>Strong protective cue; require stronger evidence before assigning risk labels.</x:v>
      </x:c>
      <x:c r="W1062" s="13" t="str"/>
      <x:c r="X1062" s="13" t="str">
        <x:v>stanovich_dual_process</x:v>
      </x:c>
      <x:c r="Y1062" s="13" t="str">
        <x:v>https://global.oup.com/academic/product/rationality-and-the-reflective-mind-9780195341140</x:v>
      </x:c>
      <x:c r="Z1062" s="13" t="str">
        <x:v>Review before enabling. This workbook is a living taxonomy scaffold, not a validated scientific benchmark.</x:v>
      </x:c>
      <x:c r="AA1062" s="13" t="str">
        <x:v>0.1.0-draft</x:v>
      </x:c>
      <x:c r="AB1062" s="12" t="str">
        <x:f>IF(ISNUMBER(SEARCH("healthy",F1062)),"healthy_reasoning_patterns",IF(ISNUMBER(SEARCH("statistical",F1062)),"statistical_reasoning",IF(ISNUMBER(SEARCH("causal",F1062)),"causal_reasoning",IF(ISNUMBER(SEARCH("social",F1062)),"social_influence",IF(ISNUMBER(SEARCH("rhetoric",F1062)),"rhetoric_discourse",IF(ISNUMBER(SEARCH("behavior",F1062)),"behavioural_economics",IF(ISNUMBER(SEARCH("cognitive",F1062)),"cognitive_biases",IF(J1062="protective_pattern","healthy_reasoning_patterns",IF(L1062="P0","core_mvp","extended_fallacies")))))))))</x:f>
        <x:v>healthy_reasoning_patterns</x:v>
      </x:c>
      <x:c r="AC1062" s="12" t="str">
        <x:f>IF(ISNUMBER(SEARCH("operational",J1062)),"operational",IF(ISNUMBER(SEARCH("deprecated",J1062)),"deprecated",IF(L1062="P0","canonical","recognized_subtype")))</x:f>
        <x:v>recognized_subtype</x:v>
      </x:c>
      <x:c r="AD1062" s="12" t="str">
        <x:f>IF(AC1062="canonical","high",IF(AC1062="recognized_subtype","medium",IF(AC1062="operational","operational_only","debated")))</x:f>
        <x:v>medium</x:v>
      </x:c>
      <x:c r="AE1062" s="12" t="str">
        <x:f>IF(AC1062="deprecated","deprecated",IF(M1062="yes","active",IF(M1062="review","review_required","backlog")))</x:f>
        <x:v>review_required</x:v>
      </x:c>
      <x:c r="AF1062" s="12" t="str">
        <x:f>IF(OR(AE1062="active",AE1062="review_required"),"yes","no")</x:f>
        <x:v>yes</x:v>
      </x:c>
      <x:c r="AG1062" s="12" t="str">
        <x:f>IF(AND(AE1062="active",M1062="yes",NOT(ISNUMBER(SEARCH("healthy",AB1062)))),"yes","no")</x:f>
        <x:v>no</x:v>
      </x:c>
      <x:c r="AH1062" s="12" t="str">
        <x:f>IF(OR(H1062="contextual",H1062="dialogue",H1062="discourse",I1062="claim+context",I1062="discourse_segment"),"yes","no")</x:f>
        <x:v>no</x:v>
      </x:c>
      <x:c r="AI1062" s="12" t="str">
        <x:f>IF(OR(AH1062="yes",AD1062="debated",AC1062="operational"),"yes","no")</x:f>
        <x:v>no</x:v>
      </x:c>
      <x:c r="AJ1062" s="12" t="str">
        <x:f>IF(OR(AH1062="yes",AC1062="operational",AD1062="debated"),"high",IF(AND(AG1062="yes",L1062="P0"),"medium","low"))</x:f>
        <x:v>low</x:v>
      </x:c>
      <x:c r="AK1062" s="12" t="str">
        <x:f>IF(ISNUMBER(SEARCH("healthy",AB1062)),"yes","no")</x:f>
        <x:v>yes</x:v>
      </x:c>
      <x:c r="AL1062" s="12" t="str">
        <x:f>IF(AG1062="yes","yes","candidate_only")</x:f>
        <x:v>candidate_only</x:v>
      </x:c>
      <x:c r="AM1062" s="12" t="str">
        <x:f>IF(OR(AC1062="canonical",AG1062="yes"),"yes","recommended")</x:f>
        <x:v>recommended</x:v>
      </x:c>
      <x:c r="AN1062" s="12" t="str">
        <x:f>IF(AC1062="deprecated","exclude",IF(AND(AG1062="yes",AJ1062="high"),"import_but_human_review_required",IF(AG1062="yes","import_as_active","import_as_backlog")))</x:f>
        <x:v>import_as_backlog</x:v>
      </x:c>
      <x:c r="AO1062" s="12" t="str">
        <x:f>IF(AND(AG1062="yes",OR(P1062="",Q1062="",R1062="",S1062="")),"missing_required_mvp_fields",IF(AND(AC1062="canonical",Y1062=""),"missing_source_ref","ok"))</x:f>
        <x:v>ok</x:v>
      </x:c>
      <x:c r="AP1062" s="12" t="str">
        <x:f>IF(AO1062="ok","ready_for_codex_import","needs_review")</x:f>
        <x:v>ready_for_codex_import</x:v>
      </x:c>
      <x:c r="AQ1062" s="12"/>
      <x:c r="AR1062" s="12" t="str">
        <x:v>Added v2 operational fields. Review before classification activation.</x:v>
      </x:c>
    </x:row>
    <x:row r="1063">
      <x:c r="A1063" s="13" t="str">
        <x:v>scope_limitation_counterargument_variant</x:v>
      </x:c>
      <x:c r="B1063" s="13" t="str">
        <x:v>scope_limitation</x:v>
      </x:c>
      <x:c r="C1063" s="13" t="str">
        <x:v>Scope limitation</x:v>
      </x:c>
      <x:c r="D1063" s="13" t="str">
        <x:v>محدودسازی دامنه ادعا</x:v>
      </x:c>
      <x:c r="E1063" s="13" t="str">
        <x:v>Counterargument variant</x:v>
      </x:c>
      <x:c r="F1063" s="13" t="str">
        <x:v>healthy_reasoning_patterns</x:v>
      </x:c>
      <x:c r="G1063" s="13" t="str">
        <x:v>operational_variant</x:v>
      </x:c>
      <x:c r="H1063" s="13" t="str">
        <x:v>lexical</x:v>
      </x:c>
      <x:c r="I1063" s="13" t="str">
        <x:v>claim</x:v>
      </x:c>
      <x:c r="J1063" s="13" t="str">
        <x:v>protective_pattern</x:v>
      </x:c>
      <x:c r="K1063" s="13" t="str">
        <x:v>operational_pattern_needs_review</x:v>
      </x:c>
      <x:c r="L1063" s="13" t="str">
        <x:v>P2</x:v>
      </x:c>
      <x:c r="M1063" s="13" t="str">
        <x:v>review</x:v>
      </x:c>
      <x:c r="N1063" s="13" t="str">
        <x:v>Protective reasoning pattern under Scope limitation: the text considers alternatives or objections. It should reduce risk scores when supported by evidence.</x:v>
      </x:c>
      <x:c r="O1063" s="13" t="str">
        <x:v>Look for: explicit claim-level evidence; parent-family cues for Scope limitation; variant cue: the text considers alternatives or objections; avoid author-level inference.</x:v>
      </x:c>
      <x:c r="P1063" s="13" t="str">
        <x:v>Exact evidence span in text plus claim-level reasoning link; for contextual/discourse entries, require surrounding context.</x:v>
      </x:c>
      <x:c r="Q1063" s="13" t="str">
        <x:v>Do not label merely because topic is controversial, emotional, or wrong. Do not judge intent or personality. Require textual evidence and consider healthy-reasoning cues.</x:v>
      </x:c>
      <x:c r="R1063" s="13" t="str">
        <x:v>Stub: A claim relies on the text considers alternatives or objections to support a conclusion without adequate qualification.</x:v>
      </x:c>
      <x:c r="S1063" s="13" t="str">
        <x:v>Stub: A claim discusses scope limitation with caveats, balanced evidence, or no argumentative use of the pattern.</x:v>
      </x:c>
      <x:c r="T1063" s="13" t="str">
        <x:v>Weak protective cue; keep normal review.</x:v>
      </x:c>
      <x:c r="U1063" s="13" t="str">
        <x:v>Clear protective cue; reduce false-positive risk.</x:v>
      </x:c>
      <x:c r="V1063" s="13" t="str">
        <x:v>Strong protective cue; require stronger evidence before assigning risk labels.</x:v>
      </x:c>
      <x:c r="W1063" s="13" t="str"/>
      <x:c r="X1063" s="13" t="str">
        <x:v>toulmin_uses_argument</x:v>
      </x:c>
      <x:c r="Y1063" s="13" t="str">
        <x:v>https://doi.org/10.1017/CBO9780511840005</x:v>
      </x:c>
      <x:c r="Z1063" s="13" t="str">
        <x:v>Review before enabling. This workbook is a living taxonomy scaffold, not a validated scientific benchmark.</x:v>
      </x:c>
      <x:c r="AA1063" s="13" t="str">
        <x:v>0.1.0-draft</x:v>
      </x:c>
      <x:c r="AB1063" s="12" t="str">
        <x:f>IF(ISNUMBER(SEARCH("healthy",F1063)),"healthy_reasoning_patterns",IF(ISNUMBER(SEARCH("statistical",F1063)),"statistical_reasoning",IF(ISNUMBER(SEARCH("causal",F1063)),"causal_reasoning",IF(ISNUMBER(SEARCH("social",F1063)),"social_influence",IF(ISNUMBER(SEARCH("rhetoric",F1063)),"rhetoric_discourse",IF(ISNUMBER(SEARCH("behavior",F1063)),"behavioural_economics",IF(ISNUMBER(SEARCH("cognitive",F1063)),"cognitive_biases",IF(J1063="protective_pattern","healthy_reasoning_patterns",IF(L1063="P0","core_mvp","extended_fallacies")))))))))</x:f>
        <x:v>healthy_reasoning_patterns</x:v>
      </x:c>
      <x:c r="AC1063" s="12" t="str">
        <x:f>IF(ISNUMBER(SEARCH("operational",J1063)),"operational",IF(ISNUMBER(SEARCH("deprecated",J1063)),"deprecated",IF(L1063="P0","canonical","recognized_subtype")))</x:f>
        <x:v>recognized_subtype</x:v>
      </x:c>
      <x:c r="AD1063" s="12" t="str">
        <x:f>IF(AC1063="canonical","high",IF(AC1063="recognized_subtype","medium",IF(AC1063="operational","operational_only","debated")))</x:f>
        <x:v>medium</x:v>
      </x:c>
      <x:c r="AE1063" s="12" t="str">
        <x:f>IF(AC1063="deprecated","deprecated",IF(M1063="yes","active",IF(M1063="review","review_required","backlog")))</x:f>
        <x:v>review_required</x:v>
      </x:c>
      <x:c r="AF1063" s="12" t="str">
        <x:f>IF(OR(AE1063="active",AE1063="review_required"),"yes","no")</x:f>
        <x:v>yes</x:v>
      </x:c>
      <x:c r="AG1063" s="12" t="str">
        <x:f>IF(AND(AE1063="active",M1063="yes",NOT(ISNUMBER(SEARCH("healthy",AB1063)))),"yes","no")</x:f>
        <x:v>no</x:v>
      </x:c>
      <x:c r="AH1063" s="12" t="str">
        <x:f>IF(OR(H1063="contextual",H1063="dialogue",H1063="discourse",I1063="claim+context",I1063="discourse_segment"),"yes","no")</x:f>
        <x:v>no</x:v>
      </x:c>
      <x:c r="AI1063" s="12" t="str">
        <x:f>IF(OR(AH1063="yes",AD1063="debated",AC1063="operational"),"yes","no")</x:f>
        <x:v>no</x:v>
      </x:c>
      <x:c r="AJ1063" s="12" t="str">
        <x:f>IF(OR(AH1063="yes",AC1063="operational",AD1063="debated"),"high",IF(AND(AG1063="yes",L1063="P0"),"medium","low"))</x:f>
        <x:v>low</x:v>
      </x:c>
      <x:c r="AK1063" s="12" t="str">
        <x:f>IF(ISNUMBER(SEARCH("healthy",AB1063)),"yes","no")</x:f>
        <x:v>yes</x:v>
      </x:c>
      <x:c r="AL1063" s="12" t="str">
        <x:f>IF(AG1063="yes","yes","candidate_only")</x:f>
        <x:v>candidate_only</x:v>
      </x:c>
      <x:c r="AM1063" s="12" t="str">
        <x:f>IF(OR(AC1063="canonical",AG1063="yes"),"yes","recommended")</x:f>
        <x:v>recommended</x:v>
      </x:c>
      <x:c r="AN1063" s="12" t="str">
        <x:f>IF(AC1063="deprecated","exclude",IF(AND(AG1063="yes",AJ1063="high"),"import_but_human_review_required",IF(AG1063="yes","import_as_active","import_as_backlog")))</x:f>
        <x:v>import_as_backlog</x:v>
      </x:c>
      <x:c r="AO1063" s="12" t="str">
        <x:f>IF(AND(AG1063="yes",OR(P1063="",Q1063="",R1063="",S1063="")),"missing_required_mvp_fields",IF(AND(AC1063="canonical",Y1063=""),"missing_source_ref","ok"))</x:f>
        <x:v>ok</x:v>
      </x:c>
      <x:c r="AP1063" s="12" t="str">
        <x:f>IF(AO1063="ok","ready_for_codex_import","needs_review")</x:f>
        <x:v>ready_for_codex_import</x:v>
      </x:c>
      <x:c r="AQ1063" s="12"/>
      <x:c r="AR1063" s="12" t="str">
        <x:v>Added v2 operational fields. Review before classification activation.</x:v>
      </x:c>
    </x:row>
    <x:row r="1064">
      <x:c r="A1064" s="13" t="str">
        <x:v>base_rate_use_counterargument_variant</x:v>
      </x:c>
      <x:c r="B1064" s="13" t="str">
        <x:v>base_rate_use</x:v>
      </x:c>
      <x:c r="C1064" s="13" t="str">
        <x:v>Base-rate use</x:v>
      </x:c>
      <x:c r="D1064" s="13" t="str">
        <x:v>استفاده از نرخ پایه</x:v>
      </x:c>
      <x:c r="E1064" s="13" t="str">
        <x:v>Counterargument variant</x:v>
      </x:c>
      <x:c r="F1064" s="13" t="str">
        <x:v>healthy_reasoning_patterns</x:v>
      </x:c>
      <x:c r="G1064" s="13" t="str">
        <x:v>operational_variant</x:v>
      </x:c>
      <x:c r="H1064" s="13" t="str">
        <x:v>contextual</x:v>
      </x:c>
      <x:c r="I1064" s="13" t="str">
        <x:v>claim+context</x:v>
      </x:c>
      <x:c r="J1064" s="13" t="str">
        <x:v>protective_pattern</x:v>
      </x:c>
      <x:c r="K1064" s="13" t="str">
        <x:v>operational_pattern_needs_review</x:v>
      </x:c>
      <x:c r="L1064" s="13" t="str">
        <x:v>P2</x:v>
      </x:c>
      <x:c r="M1064" s="13" t="str">
        <x:v>review</x:v>
      </x:c>
      <x:c r="N1064" s="13" t="str">
        <x:v>Protective reasoning pattern under Base-rate use: the text considers alternatives or objections. It should reduce risk scores when supported by evidence.</x:v>
      </x:c>
      <x:c r="O1064" s="13" t="str">
        <x:v>Look for: explicit claim-level evidence; parent-family cues for Base-rate use; variant cue: the text considers alternatives or objections; avoid author-level inference.</x:v>
      </x:c>
      <x:c r="P1064" s="13" t="str">
        <x:v>Exact evidence span in text plus claim-level reasoning link; for contextual/discourse entries, require surrounding context.</x:v>
      </x:c>
      <x:c r="Q1064" s="13" t="str">
        <x:v>Do not label merely because topic is controversial, emotional, or wrong. Do not judge intent or personality. Require textual evidence and consider healthy-reasoning cues.</x:v>
      </x:c>
      <x:c r="R1064" s="13" t="str">
        <x:v>Stub: A claim relies on the text considers alternatives or objections to support a conclusion without adequate qualification.</x:v>
      </x:c>
      <x:c r="S1064" s="13" t="str">
        <x:v>Stub: A claim discusses base-rate use with caveats, balanced evidence, or no argumentative use of the pattern.</x:v>
      </x:c>
      <x:c r="T1064" s="13" t="str">
        <x:v>Weak protective cue; keep normal review.</x:v>
      </x:c>
      <x:c r="U1064" s="13" t="str">
        <x:v>Clear protective cue; reduce false-positive risk.</x:v>
      </x:c>
      <x:c r="V1064" s="13" t="str">
        <x:v>Strong protective cue; require stronger evidence before assigning risk labels.</x:v>
      </x:c>
      <x:c r="W1064" s="13" t="str"/>
      <x:c r="X1064" s="13" t="str">
        <x:v>kahneman_tversky_heuristics_1974</x:v>
      </x:c>
      <x:c r="Y1064" s="13" t="str">
        <x:v>https://doi.org/10.1126/science.185.4157.1124</x:v>
      </x:c>
      <x:c r="Z1064" s="13" t="str">
        <x:v>Review before enabling. This workbook is a living taxonomy scaffold, not a validated scientific benchmark.</x:v>
      </x:c>
      <x:c r="AA1064" s="13" t="str">
        <x:v>0.1.0-draft</x:v>
      </x:c>
      <x:c r="AB1064" s="12" t="str">
        <x:f>IF(ISNUMBER(SEARCH("healthy",F1064)),"healthy_reasoning_patterns",IF(ISNUMBER(SEARCH("statistical",F1064)),"statistical_reasoning",IF(ISNUMBER(SEARCH("causal",F1064)),"causal_reasoning",IF(ISNUMBER(SEARCH("social",F1064)),"social_influence",IF(ISNUMBER(SEARCH("rhetoric",F1064)),"rhetoric_discourse",IF(ISNUMBER(SEARCH("behavior",F1064)),"behavioural_economics",IF(ISNUMBER(SEARCH("cognitive",F1064)),"cognitive_biases",IF(J1064="protective_pattern","healthy_reasoning_patterns",IF(L1064="P0","core_mvp","extended_fallacies")))))))))</x:f>
        <x:v>healthy_reasoning_patterns</x:v>
      </x:c>
      <x:c r="AC1064" s="12" t="str">
        <x:f>IF(ISNUMBER(SEARCH("operational",J1064)),"operational",IF(ISNUMBER(SEARCH("deprecated",J1064)),"deprecated",IF(L1064="P0","canonical","recognized_subtype")))</x:f>
        <x:v>recognized_subtype</x:v>
      </x:c>
      <x:c r="AD1064" s="12" t="str">
        <x:f>IF(AC1064="canonical","high",IF(AC1064="recognized_subtype","medium",IF(AC1064="operational","operational_only","debated")))</x:f>
        <x:v>medium</x:v>
      </x:c>
      <x:c r="AE1064" s="12" t="str">
        <x:f>IF(AC1064="deprecated","deprecated",IF(M1064="yes","active",IF(M1064="review","review_required","backlog")))</x:f>
        <x:v>review_required</x:v>
      </x:c>
      <x:c r="AF1064" s="12" t="str">
        <x:f>IF(OR(AE1064="active",AE1064="review_required"),"yes","no")</x:f>
        <x:v>yes</x:v>
      </x:c>
      <x:c r="AG1064" s="12" t="str">
        <x:f>IF(AND(AE1064="active",M1064="yes",NOT(ISNUMBER(SEARCH("healthy",AB1064)))),"yes","no")</x:f>
        <x:v>no</x:v>
      </x:c>
      <x:c r="AH1064" s="12" t="str">
        <x:f>IF(OR(H1064="contextual",H1064="dialogue",H1064="discourse",I1064="claim+context",I1064="discourse_segment"),"yes","no")</x:f>
        <x:v>yes</x:v>
      </x:c>
      <x:c r="AI1064" s="12" t="str">
        <x:f>IF(OR(AH1064="yes",AD1064="debated",AC1064="operational"),"yes","no")</x:f>
        <x:v>yes</x:v>
      </x:c>
      <x:c r="AJ1064" s="12" t="str">
        <x:f>IF(OR(AH1064="yes",AC1064="operational",AD1064="debated"),"high",IF(AND(AG1064="yes",L1064="P0"),"medium","low"))</x:f>
        <x:v>high</x:v>
      </x:c>
      <x:c r="AK1064" s="12" t="str">
        <x:f>IF(ISNUMBER(SEARCH("healthy",AB1064)),"yes","no")</x:f>
        <x:v>yes</x:v>
      </x:c>
      <x:c r="AL1064" s="12" t="str">
        <x:f>IF(AG1064="yes","yes","candidate_only")</x:f>
        <x:v>candidate_only</x:v>
      </x:c>
      <x:c r="AM1064" s="12" t="str">
        <x:f>IF(OR(AC1064="canonical",AG1064="yes"),"yes","recommended")</x:f>
        <x:v>recommended</x:v>
      </x:c>
      <x:c r="AN1064" s="12" t="str">
        <x:f>IF(AC1064="deprecated","exclude",IF(AND(AG1064="yes",AJ1064="high"),"import_but_human_review_required",IF(AG1064="yes","import_as_active","import_as_backlog")))</x:f>
        <x:v>import_as_backlog</x:v>
      </x:c>
      <x:c r="AO1064" s="12" t="str">
        <x:f>IF(AND(AG1064="yes",OR(P1064="",Q1064="",R1064="",S1064="")),"missing_required_mvp_fields",IF(AND(AC1064="canonical",Y1064=""),"missing_source_ref","ok"))</x:f>
        <x:v>ok</x:v>
      </x:c>
      <x:c r="AP1064" s="12" t="str">
        <x:f>IF(AO1064="ok","ready_for_codex_import","needs_review")</x:f>
        <x:v>ready_for_codex_import</x:v>
      </x:c>
      <x:c r="AQ1064" s="12"/>
      <x:c r="AR1064" s="12" t="str">
        <x:v>Added v2 operational fields. Review before classification activation.</x:v>
      </x:c>
    </x:row>
    <x:row r="1065">
      <x:c r="A1065" s="13" t="str">
        <x:v>counterexample_consideration_counterargument_variant</x:v>
      </x:c>
      <x:c r="B1065" s="13" t="str">
        <x:v>counterexample_consideration</x:v>
      </x:c>
      <x:c r="C1065" s="13" t="str">
        <x:v>Counterexample consideration</x:v>
      </x:c>
      <x:c r="D1065" s="13" t="str">
        <x:v>توجه به نمونه نقض</x:v>
      </x:c>
      <x:c r="E1065" s="13" t="str">
        <x:v>Counterargument variant</x:v>
      </x:c>
      <x:c r="F1065" s="13" t="str">
        <x:v>healthy_reasoning_patterns</x:v>
      </x:c>
      <x:c r="G1065" s="13" t="str">
        <x:v>operational_variant</x:v>
      </x:c>
      <x:c r="H1065" s="13" t="str">
        <x:v>contextual</x:v>
      </x:c>
      <x:c r="I1065" s="13" t="str">
        <x:v>claim+context</x:v>
      </x:c>
      <x:c r="J1065" s="13" t="str">
        <x:v>protective_pattern</x:v>
      </x:c>
      <x:c r="K1065" s="13" t="str">
        <x:v>operational_pattern_needs_review</x:v>
      </x:c>
      <x:c r="L1065" s="13" t="str">
        <x:v>P2</x:v>
      </x:c>
      <x:c r="M1065" s="13" t="str">
        <x:v>review</x:v>
      </x:c>
      <x:c r="N1065" s="13" t="str">
        <x:v>Protective reasoning pattern under Counterexample consideration: the text considers alternatives or objections. It should reduce risk scores when supported by evidence.</x:v>
      </x:c>
      <x:c r="O1065" s="13" t="str">
        <x:v>Look for: explicit claim-level evidence; parent-family cues for Counterexample consideration; variant cue: the text considers alternatives or objections; avoid author-level inference.</x:v>
      </x:c>
      <x:c r="P1065" s="13" t="str">
        <x:v>Exact evidence span in text plus claim-level reasoning link; for contextual/discourse entries, require surrounding context.</x:v>
      </x:c>
      <x:c r="Q1065" s="13" t="str">
        <x:v>Do not label merely because topic is controversial, emotional, or wrong. Do not judge intent or personality. Require textual evidence and consider healthy-reasoning cues.</x:v>
      </x:c>
      <x:c r="R1065" s="13" t="str">
        <x:v>Stub: A claim relies on the text considers alternatives or objections to support a conclusion without adequate qualification.</x:v>
      </x:c>
      <x:c r="S1065" s="13" t="str">
        <x:v>Stub: A claim discusses counterexample consideration with caveats, balanced evidence, or no argumentative use of the pattern.</x:v>
      </x:c>
      <x:c r="T1065" s="13" t="str">
        <x:v>Weak protective cue; keep normal review.</x:v>
      </x:c>
      <x:c r="U1065" s="13" t="str">
        <x:v>Clear protective cue; reduce false-positive risk.</x:v>
      </x:c>
      <x:c r="V1065" s="13" t="str">
        <x:v>Strong protective cue; require stronger evidence before assigning risk labels.</x:v>
      </x:c>
      <x:c r="W1065" s="13" t="str">
        <x:v>cherry_picking; missing_counterevidence; evidence_grading</x:v>
      </x:c>
      <x:c r="X1065" s="13" t="str">
        <x:v>toulmin_uses_argument</x:v>
      </x:c>
      <x:c r="Y1065" s="13" t="str">
        <x:v>https://doi.org/10.1017/CBO9780511840005</x:v>
      </x:c>
      <x:c r="Z1065" s="13" t="str">
        <x:v>Review before enabling. This workbook is a living taxonomy scaffold, not a validated scientific benchmark.</x:v>
      </x:c>
      <x:c r="AA1065" s="13" t="str">
        <x:v>0.1.0-draft</x:v>
      </x:c>
      <x:c r="AB1065" s="12" t="str">
        <x:f>IF(ISNUMBER(SEARCH("healthy",F1065)),"healthy_reasoning_patterns",IF(ISNUMBER(SEARCH("statistical",F1065)),"statistical_reasoning",IF(ISNUMBER(SEARCH("causal",F1065)),"causal_reasoning",IF(ISNUMBER(SEARCH("social",F1065)),"social_influence",IF(ISNUMBER(SEARCH("rhetoric",F1065)),"rhetoric_discourse",IF(ISNUMBER(SEARCH("behavior",F1065)),"behavioural_economics",IF(ISNUMBER(SEARCH("cognitive",F1065)),"cognitive_biases",IF(J1065="protective_pattern","healthy_reasoning_patterns",IF(L1065="P0","core_mvp","extended_fallacies")))))))))</x:f>
        <x:v>healthy_reasoning_patterns</x:v>
      </x:c>
      <x:c r="AC1065" s="12" t="str">
        <x:f>IF(ISNUMBER(SEARCH("operational",J1065)),"operational",IF(ISNUMBER(SEARCH("deprecated",J1065)),"deprecated",IF(L1065="P0","canonical","recognized_subtype")))</x:f>
        <x:v>recognized_subtype</x:v>
      </x:c>
      <x:c r="AD1065" s="12" t="str">
        <x:f>IF(AC1065="canonical","high",IF(AC1065="recognized_subtype","medium",IF(AC1065="operational","operational_only","debated")))</x:f>
        <x:v>medium</x:v>
      </x:c>
      <x:c r="AE1065" s="12" t="str">
        <x:f>IF(AC1065="deprecated","deprecated",IF(M1065="yes","active",IF(M1065="review","review_required","backlog")))</x:f>
        <x:v>review_required</x:v>
      </x:c>
      <x:c r="AF1065" s="12" t="str">
        <x:f>IF(OR(AE1065="active",AE1065="review_required"),"yes","no")</x:f>
        <x:v>yes</x:v>
      </x:c>
      <x:c r="AG1065" s="12" t="str">
        <x:f>IF(AND(AE1065="active",M1065="yes",NOT(ISNUMBER(SEARCH("healthy",AB1065)))),"yes","no")</x:f>
        <x:v>no</x:v>
      </x:c>
      <x:c r="AH1065" s="12" t="str">
        <x:f>IF(OR(H1065="contextual",H1065="dialogue",H1065="discourse",I1065="claim+context",I1065="discourse_segment"),"yes","no")</x:f>
        <x:v>yes</x:v>
      </x:c>
      <x:c r="AI1065" s="12" t="str">
        <x:f>IF(OR(AH1065="yes",AD1065="debated",AC1065="operational"),"yes","no")</x:f>
        <x:v>yes</x:v>
      </x:c>
      <x:c r="AJ1065" s="12" t="str">
        <x:f>IF(OR(AH1065="yes",AC1065="operational",AD1065="debated"),"high",IF(AND(AG1065="yes",L1065="P0"),"medium","low"))</x:f>
        <x:v>high</x:v>
      </x:c>
      <x:c r="AK1065" s="12" t="str">
        <x:f>IF(ISNUMBER(SEARCH("healthy",AB1065)),"yes","no")</x:f>
        <x:v>yes</x:v>
      </x:c>
      <x:c r="AL1065" s="12" t="str">
        <x:f>IF(AG1065="yes","yes","candidate_only")</x:f>
        <x:v>candidate_only</x:v>
      </x:c>
      <x:c r="AM1065" s="12" t="str">
        <x:f>IF(OR(AC1065="canonical",AG1065="yes"),"yes","recommended")</x:f>
        <x:v>recommended</x:v>
      </x:c>
      <x:c r="AN1065" s="12" t="str">
        <x:f>IF(AC1065="deprecated","exclude",IF(AND(AG1065="yes",AJ1065="high"),"import_but_human_review_required",IF(AG1065="yes","import_as_active","import_as_backlog")))</x:f>
        <x:v>import_as_backlog</x:v>
      </x:c>
      <x:c r="AO1065" s="12" t="str">
        <x:f>IF(AND(AG1065="yes",OR(P1065="",Q1065="",R1065="",S1065="")),"missing_required_mvp_fields",IF(AND(AC1065="canonical",Y1065=""),"missing_source_ref","ok"))</x:f>
        <x:v>ok</x:v>
      </x:c>
      <x:c r="AP1065" s="12" t="str">
        <x:f>IF(AO1065="ok","ready_for_codex_import","needs_review")</x:f>
        <x:v>ready_for_codex_import</x:v>
      </x:c>
      <x:c r="AQ1065" s="12"/>
      <x:c r="AR1065" s="12" t="str">
        <x:v>Added v2 operational fields. Review before classification activation.</x:v>
      </x:c>
    </x:row>
    <x:row r="1066">
      <x:c r="A1066" s="13" t="str">
        <x:v>alternative_explanation_consideration_counterargument_variant</x:v>
      </x:c>
      <x:c r="B1066" s="13" t="str">
        <x:v>alternative_explanation_consideration</x:v>
      </x:c>
      <x:c r="C1066" s="13" t="str">
        <x:v>Alternative explanations considered</x:v>
      </x:c>
      <x:c r="D1066" s="13" t="str">
        <x:v>توجه به توضیح‌های بدیل</x:v>
      </x:c>
      <x:c r="E1066" s="13" t="str">
        <x:v>Counterargument variant</x:v>
      </x:c>
      <x:c r="F1066" s="13" t="str">
        <x:v>healthy_reasoning_patterns</x:v>
      </x:c>
      <x:c r="G1066" s="13" t="str">
        <x:v>operational_variant</x:v>
      </x:c>
      <x:c r="H1066" s="13" t="str">
        <x:v>contextual</x:v>
      </x:c>
      <x:c r="I1066" s="13" t="str">
        <x:v>claim+context</x:v>
      </x:c>
      <x:c r="J1066" s="13" t="str">
        <x:v>protective_pattern</x:v>
      </x:c>
      <x:c r="K1066" s="13" t="str">
        <x:v>operational_pattern_needs_review</x:v>
      </x:c>
      <x:c r="L1066" s="13" t="str">
        <x:v>P2</x:v>
      </x:c>
      <x:c r="M1066" s="13" t="str">
        <x:v>review</x:v>
      </x:c>
      <x:c r="N1066" s="13" t="str">
        <x:v>Protective reasoning pattern under Alternative explanations considered: the text considers alternatives or objections. It should reduce risk scores when supported by evidence.</x:v>
      </x:c>
      <x:c r="O1066" s="13" t="str">
        <x:v>Look for: explicit claim-level evidence; parent-family cues for Alternative explanations considered; variant cue: the text considers alternatives or objections; avoid author-level inference.</x:v>
      </x:c>
      <x:c r="P1066" s="13" t="str">
        <x:v>Exact evidence span in text plus claim-level reasoning link; for contextual/discourse entries, require surrounding context.</x:v>
      </x:c>
      <x:c r="Q1066" s="13" t="str">
        <x:v>Do not label merely because topic is controversial, emotional, or wrong. Do not judge intent or personality. Require textual evidence and consider healthy-reasoning cues.</x:v>
      </x:c>
      <x:c r="R1066" s="13" t="str">
        <x:v>Stub: A claim relies on the text considers alternatives or objections to support a conclusion without adequate qualification.</x:v>
      </x:c>
      <x:c r="S1066" s="13" t="str">
        <x:v>Stub: A claim discusses alternative explanations considered with caveats, balanced evidence, or no argumentative use of the pattern.</x:v>
      </x:c>
      <x:c r="T1066" s="13" t="str">
        <x:v>Weak protective cue; keep normal review.</x:v>
      </x:c>
      <x:c r="U1066" s="13" t="str">
        <x:v>Clear protective cue; reduce false-positive risk.</x:v>
      </x:c>
      <x:c r="V1066" s="13" t="str">
        <x:v>Strong protective cue; require stronger evidence before assigning risk labels.</x:v>
      </x:c>
      <x:c r="W1066" s="13" t="str"/>
      <x:c r="X1066" s="13" t="str">
        <x:v>toulmin_uses_argument</x:v>
      </x:c>
      <x:c r="Y1066" s="13" t="str">
        <x:v>https://doi.org/10.1017/CBO9780511840005</x:v>
      </x:c>
      <x:c r="Z1066" s="13" t="str">
        <x:v>Review before enabling. This workbook is a living taxonomy scaffold, not a validated scientific benchmark.</x:v>
      </x:c>
      <x:c r="AA1066" s="13" t="str">
        <x:v>0.1.0-draft</x:v>
      </x:c>
      <x:c r="AB1066" s="12" t="str">
        <x:f>IF(ISNUMBER(SEARCH("healthy",F1066)),"healthy_reasoning_patterns",IF(ISNUMBER(SEARCH("statistical",F1066)),"statistical_reasoning",IF(ISNUMBER(SEARCH("causal",F1066)),"causal_reasoning",IF(ISNUMBER(SEARCH("social",F1066)),"social_influence",IF(ISNUMBER(SEARCH("rhetoric",F1066)),"rhetoric_discourse",IF(ISNUMBER(SEARCH("behavior",F1066)),"behavioural_economics",IF(ISNUMBER(SEARCH("cognitive",F1066)),"cognitive_biases",IF(J1066="protective_pattern","healthy_reasoning_patterns",IF(L1066="P0","core_mvp","extended_fallacies")))))))))</x:f>
        <x:v>healthy_reasoning_patterns</x:v>
      </x:c>
      <x:c r="AC1066" s="12" t="str">
        <x:f>IF(ISNUMBER(SEARCH("operational",J1066)),"operational",IF(ISNUMBER(SEARCH("deprecated",J1066)),"deprecated",IF(L1066="P0","canonical","recognized_subtype")))</x:f>
        <x:v>recognized_subtype</x:v>
      </x:c>
      <x:c r="AD1066" s="12" t="str">
        <x:f>IF(AC1066="canonical","high",IF(AC1066="recognized_subtype","medium",IF(AC1066="operational","operational_only","debated")))</x:f>
        <x:v>medium</x:v>
      </x:c>
      <x:c r="AE1066" s="12" t="str">
        <x:f>IF(AC1066="deprecated","deprecated",IF(M1066="yes","active",IF(M1066="review","review_required","backlog")))</x:f>
        <x:v>review_required</x:v>
      </x:c>
      <x:c r="AF1066" s="12" t="str">
        <x:f>IF(OR(AE1066="active",AE1066="review_required"),"yes","no")</x:f>
        <x:v>yes</x:v>
      </x:c>
      <x:c r="AG1066" s="12" t="str">
        <x:f>IF(AND(AE1066="active",M1066="yes",NOT(ISNUMBER(SEARCH("healthy",AB1066)))),"yes","no")</x:f>
        <x:v>no</x:v>
      </x:c>
      <x:c r="AH1066" s="12" t="str">
        <x:f>IF(OR(H1066="contextual",H1066="dialogue",H1066="discourse",I1066="claim+context",I1066="discourse_segment"),"yes","no")</x:f>
        <x:v>yes</x:v>
      </x:c>
      <x:c r="AI1066" s="12" t="str">
        <x:f>IF(OR(AH1066="yes",AD1066="debated",AC1066="operational"),"yes","no")</x:f>
        <x:v>yes</x:v>
      </x:c>
      <x:c r="AJ1066" s="12" t="str">
        <x:f>IF(OR(AH1066="yes",AC1066="operational",AD1066="debated"),"high",IF(AND(AG1066="yes",L1066="P0"),"medium","low"))</x:f>
        <x:v>high</x:v>
      </x:c>
      <x:c r="AK1066" s="12" t="str">
        <x:f>IF(ISNUMBER(SEARCH("healthy",AB1066)),"yes","no")</x:f>
        <x:v>yes</x:v>
      </x:c>
      <x:c r="AL1066" s="12" t="str">
        <x:f>IF(AG1066="yes","yes","candidate_only")</x:f>
        <x:v>candidate_only</x:v>
      </x:c>
      <x:c r="AM1066" s="12" t="str">
        <x:f>IF(OR(AC1066="canonical",AG1066="yes"),"yes","recommended")</x:f>
        <x:v>recommended</x:v>
      </x:c>
      <x:c r="AN1066" s="12" t="str">
        <x:f>IF(AC1066="deprecated","exclude",IF(AND(AG1066="yes",AJ1066="high"),"import_but_human_review_required",IF(AG1066="yes","import_as_active","import_as_backlog")))</x:f>
        <x:v>import_as_backlog</x:v>
      </x:c>
      <x:c r="AO1066" s="12" t="str">
        <x:f>IF(AND(AG1066="yes",OR(P1066="",Q1066="",R1066="",S1066="")),"missing_required_mvp_fields",IF(AND(AC1066="canonical",Y1066=""),"missing_source_ref","ok"))</x:f>
        <x:v>ok</x:v>
      </x:c>
      <x:c r="AP1066" s="12" t="str">
        <x:f>IF(AO1066="ok","ready_for_codex_import","needs_review")</x:f>
        <x:v>ready_for_codex_import</x:v>
      </x:c>
      <x:c r="AQ1066" s="12"/>
      <x:c r="AR1066" s="12" t="str">
        <x:v>Added v2 operational fields. Review before classification activation.</x:v>
      </x:c>
    </x:row>
    <x:row r="1067">
      <x:c r="A1067" s="13" t="str">
        <x:v>evidence_grading_counterargument_variant</x:v>
      </x:c>
      <x:c r="B1067" s="13" t="str">
        <x:v>evidence_grading</x:v>
      </x:c>
      <x:c r="C1067" s="13" t="str">
        <x:v>Evidence grading</x:v>
      </x:c>
      <x:c r="D1067" s="13" t="str">
        <x:v>درجه‌بندی کیفیت شواهد</x:v>
      </x:c>
      <x:c r="E1067" s="13" t="str">
        <x:v>Counterargument variant</x:v>
      </x:c>
      <x:c r="F1067" s="13" t="str">
        <x:v>healthy_reasoning_patterns</x:v>
      </x:c>
      <x:c r="G1067" s="13" t="str">
        <x:v>operational_variant</x:v>
      </x:c>
      <x:c r="H1067" s="13" t="str">
        <x:v>contextual</x:v>
      </x:c>
      <x:c r="I1067" s="13" t="str">
        <x:v>claim+context</x:v>
      </x:c>
      <x:c r="J1067" s="13" t="str">
        <x:v>protective_pattern</x:v>
      </x:c>
      <x:c r="K1067" s="13" t="str">
        <x:v>operational_pattern_needs_review</x:v>
      </x:c>
      <x:c r="L1067" s="13" t="str">
        <x:v>P2</x:v>
      </x:c>
      <x:c r="M1067" s="13" t="str">
        <x:v>review</x:v>
      </x:c>
      <x:c r="N1067" s="13" t="str">
        <x:v>Protective reasoning pattern under Evidence grading: the text considers alternatives or objections. It should reduce risk scores when supported by evidence.</x:v>
      </x:c>
      <x:c r="O1067" s="13" t="str">
        <x:v>Look for: explicit claim-level evidence; parent-family cues for Evidence grading; variant cue: the text considers alternatives or objections; avoid author-level inference.</x:v>
      </x:c>
      <x:c r="P1067" s="13" t="str">
        <x:v>Exact evidence span in text plus claim-level reasoning link; for contextual/discourse entries, require surrounding context.</x:v>
      </x:c>
      <x:c r="Q1067" s="13" t="str">
        <x:v>Do not label merely because topic is controversial, emotional, or wrong. Do not judge intent or personality. Require textual evidence and consider healthy-reasoning cues.</x:v>
      </x:c>
      <x:c r="R1067" s="13" t="str">
        <x:v>Stub: A claim relies on the text considers alternatives or objections to support a conclusion without adequate qualification.</x:v>
      </x:c>
      <x:c r="S1067" s="13" t="str">
        <x:v>Stub: A claim discusses evidence grading with caveats, balanced evidence, or no argumentative use of the pattern.</x:v>
      </x:c>
      <x:c r="T1067" s="13" t="str">
        <x:v>Weak protective cue; keep normal review.</x:v>
      </x:c>
      <x:c r="U1067" s="13" t="str">
        <x:v>Clear protective cue; reduce false-positive risk.</x:v>
      </x:c>
      <x:c r="V1067" s="13" t="str">
        <x:v>Strong protective cue; require stronger evidence before assigning risk labels.</x:v>
      </x:c>
      <x:c r="W1067" s="13" t="str">
        <x:v>cherry_picking; missing_counterevidence; evidence_grading</x:v>
      </x:c>
      <x:c r="X1067" s="13" t="str">
        <x:v>toulmin_uses_argument</x:v>
      </x:c>
      <x:c r="Y1067" s="13" t="str">
        <x:v>https://doi.org/10.1017/CBO9780511840005</x:v>
      </x:c>
      <x:c r="Z1067" s="13" t="str">
        <x:v>Review before enabling. This workbook is a living taxonomy scaffold, not a validated scientific benchmark.</x:v>
      </x:c>
      <x:c r="AA1067" s="13" t="str">
        <x:v>0.1.0-draft</x:v>
      </x:c>
      <x:c r="AB1067" s="12" t="str">
        <x:f>IF(ISNUMBER(SEARCH("healthy",F1067)),"healthy_reasoning_patterns",IF(ISNUMBER(SEARCH("statistical",F1067)),"statistical_reasoning",IF(ISNUMBER(SEARCH("causal",F1067)),"causal_reasoning",IF(ISNUMBER(SEARCH("social",F1067)),"social_influence",IF(ISNUMBER(SEARCH("rhetoric",F1067)),"rhetoric_discourse",IF(ISNUMBER(SEARCH("behavior",F1067)),"behavioural_economics",IF(ISNUMBER(SEARCH("cognitive",F1067)),"cognitive_biases",IF(J1067="protective_pattern","healthy_reasoning_patterns",IF(L1067="P0","core_mvp","extended_fallacies")))))))))</x:f>
        <x:v>healthy_reasoning_patterns</x:v>
      </x:c>
      <x:c r="AC1067" s="12" t="str">
        <x:f>IF(ISNUMBER(SEARCH("operational",J1067)),"operational",IF(ISNUMBER(SEARCH("deprecated",J1067)),"deprecated",IF(L1067="P0","canonical","recognized_subtype")))</x:f>
        <x:v>recognized_subtype</x:v>
      </x:c>
      <x:c r="AD1067" s="12" t="str">
        <x:f>IF(AC1067="canonical","high",IF(AC1067="recognized_subtype","medium",IF(AC1067="operational","operational_only","debated")))</x:f>
        <x:v>medium</x:v>
      </x:c>
      <x:c r="AE1067" s="12" t="str">
        <x:f>IF(AC1067="deprecated","deprecated",IF(M1067="yes","active",IF(M1067="review","review_required","backlog")))</x:f>
        <x:v>review_required</x:v>
      </x:c>
      <x:c r="AF1067" s="12" t="str">
        <x:f>IF(OR(AE1067="active",AE1067="review_required"),"yes","no")</x:f>
        <x:v>yes</x:v>
      </x:c>
      <x:c r="AG1067" s="12" t="str">
        <x:f>IF(AND(AE1067="active",M1067="yes",NOT(ISNUMBER(SEARCH("healthy",AB1067)))),"yes","no")</x:f>
        <x:v>no</x:v>
      </x:c>
      <x:c r="AH1067" s="12" t="str">
        <x:f>IF(OR(H1067="contextual",H1067="dialogue",H1067="discourse",I1067="claim+context",I1067="discourse_segment"),"yes","no")</x:f>
        <x:v>yes</x:v>
      </x:c>
      <x:c r="AI1067" s="12" t="str">
        <x:f>IF(OR(AH1067="yes",AD1067="debated",AC1067="operational"),"yes","no")</x:f>
        <x:v>yes</x:v>
      </x:c>
      <x:c r="AJ1067" s="12" t="str">
        <x:f>IF(OR(AH1067="yes",AC1067="operational",AD1067="debated"),"high",IF(AND(AG1067="yes",L1067="P0"),"medium","low"))</x:f>
        <x:v>high</x:v>
      </x:c>
      <x:c r="AK1067" s="12" t="str">
        <x:f>IF(ISNUMBER(SEARCH("healthy",AB1067)),"yes","no")</x:f>
        <x:v>yes</x:v>
      </x:c>
      <x:c r="AL1067" s="12" t="str">
        <x:f>IF(AG1067="yes","yes","candidate_only")</x:f>
        <x:v>candidate_only</x:v>
      </x:c>
      <x:c r="AM1067" s="12" t="str">
        <x:f>IF(OR(AC1067="canonical",AG1067="yes"),"yes","recommended")</x:f>
        <x:v>recommended</x:v>
      </x:c>
      <x:c r="AN1067" s="12" t="str">
        <x:f>IF(AC1067="deprecated","exclude",IF(AND(AG1067="yes",AJ1067="high"),"import_but_human_review_required",IF(AG1067="yes","import_as_active","import_as_backlog")))</x:f>
        <x:v>import_as_backlog</x:v>
      </x:c>
      <x:c r="AO1067" s="12" t="str">
        <x:f>IF(AND(AG1067="yes",OR(P1067="",Q1067="",R1067="",S1067="")),"missing_required_mvp_fields",IF(AND(AC1067="canonical",Y1067=""),"missing_source_ref","ok"))</x:f>
        <x:v>ok</x:v>
      </x:c>
      <x:c r="AP1067" s="12" t="str">
        <x:f>IF(AO1067="ok","ready_for_codex_import","needs_review")</x:f>
        <x:v>ready_for_codex_import</x:v>
      </x:c>
      <x:c r="AQ1067" s="12"/>
      <x:c r="AR1067" s="12" t="str">
        <x:v>Added v2 operational fields. Review before classification activation.</x:v>
      </x:c>
    </x:row>
    <x:row r="1068">
      <x:c r="A1068" s="13" t="str">
        <x:v>source_triangulation_counterargument_variant</x:v>
      </x:c>
      <x:c r="B1068" s="13" t="str">
        <x:v>source_triangulation</x:v>
      </x:c>
      <x:c r="C1068" s="13" t="str">
        <x:v>Source triangulation</x:v>
      </x:c>
      <x:c r="D1068" s="13" t="str">
        <x:v>مثلث‌سازی منابع</x:v>
      </x:c>
      <x:c r="E1068" s="13" t="str">
        <x:v>Counterargument variant</x:v>
      </x:c>
      <x:c r="F1068" s="13" t="str">
        <x:v>healthy_reasoning_patterns</x:v>
      </x:c>
      <x:c r="G1068" s="13" t="str">
        <x:v>operational_variant</x:v>
      </x:c>
      <x:c r="H1068" s="13" t="str">
        <x:v>contextual</x:v>
      </x:c>
      <x:c r="I1068" s="13" t="str">
        <x:v>claim+context</x:v>
      </x:c>
      <x:c r="J1068" s="13" t="str">
        <x:v>protective_pattern</x:v>
      </x:c>
      <x:c r="K1068" s="13" t="str">
        <x:v>operational_pattern_needs_review</x:v>
      </x:c>
      <x:c r="L1068" s="13" t="str">
        <x:v>P2</x:v>
      </x:c>
      <x:c r="M1068" s="13" t="str">
        <x:v>review</x:v>
      </x:c>
      <x:c r="N1068" s="13" t="str">
        <x:v>Protective reasoning pattern under Source triangulation: the text considers alternatives or objections. It should reduce risk scores when supported by evidence.</x:v>
      </x:c>
      <x:c r="O1068" s="13" t="str">
        <x:v>Look for: explicit claim-level evidence; parent-family cues for Source triangulation; variant cue: the text considers alternatives or objections; avoid author-level inference.</x:v>
      </x:c>
      <x:c r="P1068" s="13" t="str">
        <x:v>Exact evidence span in text plus claim-level reasoning link; for contextual/discourse entries, require surrounding context.</x:v>
      </x:c>
      <x:c r="Q1068" s="13" t="str">
        <x:v>Do not label merely because topic is controversial, emotional, or wrong. Do not judge intent or personality. Require textual evidence and consider healthy-reasoning cues.</x:v>
      </x:c>
      <x:c r="R1068" s="13" t="str">
        <x:v>Stub: A claim relies on the text considers alternatives or objections to support a conclusion without adequate qualification.</x:v>
      </x:c>
      <x:c r="S1068" s="13" t="str">
        <x:v>Stub: A claim discusses source triangulation with caveats, balanced evidence, or no argumentative use of the pattern.</x:v>
      </x:c>
      <x:c r="T1068" s="13" t="str">
        <x:v>Weak protective cue; keep normal review.</x:v>
      </x:c>
      <x:c r="U1068" s="13" t="str">
        <x:v>Clear protective cue; reduce false-positive risk.</x:v>
      </x:c>
      <x:c r="V1068" s="13" t="str">
        <x:v>Strong protective cue; require stronger evidence before assigning risk labels.</x:v>
      </x:c>
      <x:c r="W1068" s="13" t="str"/>
      <x:c r="X1068" s="13" t="str">
        <x:v>sep_informal_logic</x:v>
      </x:c>
      <x:c r="Y1068" s="13" t="str">
        <x:v>https://plato.stanford.edu/entries/logic-informal/</x:v>
      </x:c>
      <x:c r="Z1068" s="13" t="str">
        <x:v>Review before enabling. This workbook is a living taxonomy scaffold, not a validated scientific benchmark.</x:v>
      </x:c>
      <x:c r="AA1068" s="13" t="str">
        <x:v>0.1.0-draft</x:v>
      </x:c>
      <x:c r="AB1068" s="12" t="str">
        <x:f>IF(ISNUMBER(SEARCH("healthy",F1068)),"healthy_reasoning_patterns",IF(ISNUMBER(SEARCH("statistical",F1068)),"statistical_reasoning",IF(ISNUMBER(SEARCH("causal",F1068)),"causal_reasoning",IF(ISNUMBER(SEARCH("social",F1068)),"social_influence",IF(ISNUMBER(SEARCH("rhetoric",F1068)),"rhetoric_discourse",IF(ISNUMBER(SEARCH("behavior",F1068)),"behavioural_economics",IF(ISNUMBER(SEARCH("cognitive",F1068)),"cognitive_biases",IF(J1068="protective_pattern","healthy_reasoning_patterns",IF(L1068="P0","core_mvp","extended_fallacies")))))))))</x:f>
        <x:v>healthy_reasoning_patterns</x:v>
      </x:c>
      <x:c r="AC1068" s="12" t="str">
        <x:f>IF(ISNUMBER(SEARCH("operational",J1068)),"operational",IF(ISNUMBER(SEARCH("deprecated",J1068)),"deprecated",IF(L1068="P0","canonical","recognized_subtype")))</x:f>
        <x:v>recognized_subtype</x:v>
      </x:c>
      <x:c r="AD1068" s="12" t="str">
        <x:f>IF(AC1068="canonical","high",IF(AC1068="recognized_subtype","medium",IF(AC1068="operational","operational_only","debated")))</x:f>
        <x:v>medium</x:v>
      </x:c>
      <x:c r="AE1068" s="12" t="str">
        <x:f>IF(AC1068="deprecated","deprecated",IF(M1068="yes","active",IF(M1068="review","review_required","backlog")))</x:f>
        <x:v>review_required</x:v>
      </x:c>
      <x:c r="AF1068" s="12" t="str">
        <x:f>IF(OR(AE1068="active",AE1068="review_required"),"yes","no")</x:f>
        <x:v>yes</x:v>
      </x:c>
      <x:c r="AG1068" s="12" t="str">
        <x:f>IF(AND(AE1068="active",M1068="yes",NOT(ISNUMBER(SEARCH("healthy",AB1068)))),"yes","no")</x:f>
        <x:v>no</x:v>
      </x:c>
      <x:c r="AH1068" s="12" t="str">
        <x:f>IF(OR(H1068="contextual",H1068="dialogue",H1068="discourse",I1068="claim+context",I1068="discourse_segment"),"yes","no")</x:f>
        <x:v>yes</x:v>
      </x:c>
      <x:c r="AI1068" s="12" t="str">
        <x:f>IF(OR(AH1068="yes",AD1068="debated",AC1068="operational"),"yes","no")</x:f>
        <x:v>yes</x:v>
      </x:c>
      <x:c r="AJ1068" s="12" t="str">
        <x:f>IF(OR(AH1068="yes",AC1068="operational",AD1068="debated"),"high",IF(AND(AG1068="yes",L1068="P0"),"medium","low"))</x:f>
        <x:v>high</x:v>
      </x:c>
      <x:c r="AK1068" s="12" t="str">
        <x:f>IF(ISNUMBER(SEARCH("healthy",AB1068)),"yes","no")</x:f>
        <x:v>yes</x:v>
      </x:c>
      <x:c r="AL1068" s="12" t="str">
        <x:f>IF(AG1068="yes","yes","candidate_only")</x:f>
        <x:v>candidate_only</x:v>
      </x:c>
      <x:c r="AM1068" s="12" t="str">
        <x:f>IF(OR(AC1068="canonical",AG1068="yes"),"yes","recommended")</x:f>
        <x:v>recommended</x:v>
      </x:c>
      <x:c r="AN1068" s="12" t="str">
        <x:f>IF(AC1068="deprecated","exclude",IF(AND(AG1068="yes",AJ1068="high"),"import_but_human_review_required",IF(AG1068="yes","import_as_active","import_as_backlog")))</x:f>
        <x:v>import_as_backlog</x:v>
      </x:c>
      <x:c r="AO1068" s="12" t="str">
        <x:f>IF(AND(AG1068="yes",OR(P1068="",Q1068="",R1068="",S1068="")),"missing_required_mvp_fields",IF(AND(AC1068="canonical",Y1068=""),"missing_source_ref","ok"))</x:f>
        <x:v>ok</x:v>
      </x:c>
      <x:c r="AP1068" s="12" t="str">
        <x:f>IF(AO1068="ok","ready_for_codex_import","needs_review")</x:f>
        <x:v>ready_for_codex_import</x:v>
      </x:c>
      <x:c r="AQ1068" s="12"/>
      <x:c r="AR1068" s="12" t="str">
        <x:v>Added v2 operational fields. Review before classification activation.</x:v>
      </x:c>
    </x:row>
    <x:row r="1069">
      <x:c r="A1069" s="13" t="str">
        <x:v>probabilistic_language_counterargument_variant</x:v>
      </x:c>
      <x:c r="B1069" s="13" t="str">
        <x:v>probabilistic_language</x:v>
      </x:c>
      <x:c r="C1069" s="13" t="str">
        <x:v>Probabilistic language</x:v>
      </x:c>
      <x:c r="D1069" s="13" t="str">
        <x:v>زبان احتمالاتی</x:v>
      </x:c>
      <x:c r="E1069" s="13" t="str">
        <x:v>Counterargument variant</x:v>
      </x:c>
      <x:c r="F1069" s="13" t="str">
        <x:v>healthy_reasoning_patterns</x:v>
      </x:c>
      <x:c r="G1069" s="13" t="str">
        <x:v>operational_variant</x:v>
      </x:c>
      <x:c r="H1069" s="13" t="str">
        <x:v>lexical</x:v>
      </x:c>
      <x:c r="I1069" s="13" t="str">
        <x:v>claim</x:v>
      </x:c>
      <x:c r="J1069" s="13" t="str">
        <x:v>protective_pattern</x:v>
      </x:c>
      <x:c r="K1069" s="13" t="str">
        <x:v>operational_pattern_needs_review</x:v>
      </x:c>
      <x:c r="L1069" s="13" t="str">
        <x:v>P2</x:v>
      </x:c>
      <x:c r="M1069" s="13" t="str">
        <x:v>review</x:v>
      </x:c>
      <x:c r="N1069" s="13" t="str">
        <x:v>Protective reasoning pattern under Probabilistic language: the text considers alternatives or objections. It should reduce risk scores when supported by evidence.</x:v>
      </x:c>
      <x:c r="O1069" s="13" t="str">
        <x:v>Look for: explicit claim-level evidence; parent-family cues for Probabilistic language; variant cue: the text considers alternatives or objections; avoid author-level inference.</x:v>
      </x:c>
      <x:c r="P1069" s="13" t="str">
        <x:v>Exact evidence span in text plus claim-level reasoning link; for contextual/discourse entries, require surrounding context.</x:v>
      </x:c>
      <x:c r="Q1069" s="13" t="str">
        <x:v>Do not label merely because topic is controversial, emotional, or wrong. Do not judge intent or personality. Require textual evidence and consider healthy-reasoning cues.</x:v>
      </x:c>
      <x:c r="R1069" s="13" t="str">
        <x:v>Stub: A claim relies on the text considers alternatives or objections to support a conclusion without adequate qualification.</x:v>
      </x:c>
      <x:c r="S1069" s="13" t="str">
        <x:v>Stub: A claim discusses probabilistic language with caveats, balanced evidence, or no argumentative use of the pattern.</x:v>
      </x:c>
      <x:c r="T1069" s="13" t="str">
        <x:v>Weak protective cue; keep normal review.</x:v>
      </x:c>
      <x:c r="U1069" s="13" t="str">
        <x:v>Clear protective cue; reduce false-positive risk.</x:v>
      </x:c>
      <x:c r="V1069" s="13" t="str">
        <x:v>Strong protective cue; require stronger evidence before assigning risk labels.</x:v>
      </x:c>
      <x:c r="W1069" s="13" t="str"/>
      <x:c r="X1069" s="13" t="str">
        <x:v>stanovich_dual_process</x:v>
      </x:c>
      <x:c r="Y1069" s="13" t="str">
        <x:v>https://global.oup.com/academic/product/rationality-and-the-reflective-mind-9780195341140</x:v>
      </x:c>
      <x:c r="Z1069" s="13" t="str">
        <x:v>Review before enabling. This workbook is a living taxonomy scaffold, not a validated scientific benchmark.</x:v>
      </x:c>
      <x:c r="AA1069" s="13" t="str">
        <x:v>0.1.0-draft</x:v>
      </x:c>
      <x:c r="AB1069" s="12" t="str">
        <x:f>IF(ISNUMBER(SEARCH("healthy",F1069)),"healthy_reasoning_patterns",IF(ISNUMBER(SEARCH("statistical",F1069)),"statistical_reasoning",IF(ISNUMBER(SEARCH("causal",F1069)),"causal_reasoning",IF(ISNUMBER(SEARCH("social",F1069)),"social_influence",IF(ISNUMBER(SEARCH("rhetoric",F1069)),"rhetoric_discourse",IF(ISNUMBER(SEARCH("behavior",F1069)),"behavioural_economics",IF(ISNUMBER(SEARCH("cognitive",F1069)),"cognitive_biases",IF(J1069="protective_pattern","healthy_reasoning_patterns",IF(L1069="P0","core_mvp","extended_fallacies")))))))))</x:f>
        <x:v>healthy_reasoning_patterns</x:v>
      </x:c>
      <x:c r="AC1069" s="12" t="str">
        <x:f>IF(ISNUMBER(SEARCH("operational",J1069)),"operational",IF(ISNUMBER(SEARCH("deprecated",J1069)),"deprecated",IF(L1069="P0","canonical","recognized_subtype")))</x:f>
        <x:v>recognized_subtype</x:v>
      </x:c>
      <x:c r="AD1069" s="12" t="str">
        <x:f>IF(AC1069="canonical","high",IF(AC1069="recognized_subtype","medium",IF(AC1069="operational","operational_only","debated")))</x:f>
        <x:v>medium</x:v>
      </x:c>
      <x:c r="AE1069" s="12" t="str">
        <x:f>IF(AC1069="deprecated","deprecated",IF(M1069="yes","active",IF(M1069="review","review_required","backlog")))</x:f>
        <x:v>review_required</x:v>
      </x:c>
      <x:c r="AF1069" s="12" t="str">
        <x:f>IF(OR(AE1069="active",AE1069="review_required"),"yes","no")</x:f>
        <x:v>yes</x:v>
      </x:c>
      <x:c r="AG1069" s="12" t="str">
        <x:f>IF(AND(AE1069="active",M1069="yes",NOT(ISNUMBER(SEARCH("healthy",AB1069)))),"yes","no")</x:f>
        <x:v>no</x:v>
      </x:c>
      <x:c r="AH1069" s="12" t="str">
        <x:f>IF(OR(H1069="contextual",H1069="dialogue",H1069="discourse",I1069="claim+context",I1069="discourse_segment"),"yes","no")</x:f>
        <x:v>no</x:v>
      </x:c>
      <x:c r="AI1069" s="12" t="str">
        <x:f>IF(OR(AH1069="yes",AD1069="debated",AC1069="operational"),"yes","no")</x:f>
        <x:v>no</x:v>
      </x:c>
      <x:c r="AJ1069" s="12" t="str">
        <x:f>IF(OR(AH1069="yes",AC1069="operational",AD1069="debated"),"high",IF(AND(AG1069="yes",L1069="P0"),"medium","low"))</x:f>
        <x:v>low</x:v>
      </x:c>
      <x:c r="AK1069" s="12" t="str">
        <x:f>IF(ISNUMBER(SEARCH("healthy",AB1069)),"yes","no")</x:f>
        <x:v>yes</x:v>
      </x:c>
      <x:c r="AL1069" s="12" t="str">
        <x:f>IF(AG1069="yes","yes","candidate_only")</x:f>
        <x:v>candidate_only</x:v>
      </x:c>
      <x:c r="AM1069" s="12" t="str">
        <x:f>IF(OR(AC1069="canonical",AG1069="yes"),"yes","recommended")</x:f>
        <x:v>recommended</x:v>
      </x:c>
      <x:c r="AN1069" s="12" t="str">
        <x:f>IF(AC1069="deprecated","exclude",IF(AND(AG1069="yes",AJ1069="high"),"import_but_human_review_required",IF(AG1069="yes","import_as_active","import_as_backlog")))</x:f>
        <x:v>import_as_backlog</x:v>
      </x:c>
      <x:c r="AO1069" s="12" t="str">
        <x:f>IF(AND(AG1069="yes",OR(P1069="",Q1069="",R1069="",S1069="")),"missing_required_mvp_fields",IF(AND(AC1069="canonical",Y1069=""),"missing_source_ref","ok"))</x:f>
        <x:v>ok</x:v>
      </x:c>
      <x:c r="AP1069" s="12" t="str">
        <x:f>IF(AO1069="ok","ready_for_codex_import","needs_review")</x:f>
        <x:v>ready_for_codex_import</x:v>
      </x:c>
      <x:c r="AQ1069" s="12"/>
      <x:c r="AR1069" s="12" t="str">
        <x:v>Added v2 operational fields. Review before classification activation.</x:v>
      </x:c>
    </x:row>
    <x:row r="1070">
      <x:c r="A1070" s="13" t="str">
        <x:v>confidence_calibration_counterargument_variant</x:v>
      </x:c>
      <x:c r="B1070" s="13" t="str">
        <x:v>confidence_calibration</x:v>
      </x:c>
      <x:c r="C1070" s="13" t="str">
        <x:v>Confidence calibration</x:v>
      </x:c>
      <x:c r="D1070" s="13" t="str">
        <x:v>کالیبراسیون اطمینان</x:v>
      </x:c>
      <x:c r="E1070" s="13" t="str">
        <x:v>Counterargument variant</x:v>
      </x:c>
      <x:c r="F1070" s="13" t="str">
        <x:v>healthy_reasoning_patterns</x:v>
      </x:c>
      <x:c r="G1070" s="13" t="str">
        <x:v>operational_variant</x:v>
      </x:c>
      <x:c r="H1070" s="13" t="str">
        <x:v>contextual</x:v>
      </x:c>
      <x:c r="I1070" s="13" t="str">
        <x:v>claim+context</x:v>
      </x:c>
      <x:c r="J1070" s="13" t="str">
        <x:v>protective_pattern</x:v>
      </x:c>
      <x:c r="K1070" s="13" t="str">
        <x:v>operational_pattern_needs_review</x:v>
      </x:c>
      <x:c r="L1070" s="13" t="str">
        <x:v>P2</x:v>
      </x:c>
      <x:c r="M1070" s="13" t="str">
        <x:v>review</x:v>
      </x:c>
      <x:c r="N1070" s="13" t="str">
        <x:v>Protective reasoning pattern under Confidence calibration: the text considers alternatives or objections. It should reduce risk scores when supported by evidence.</x:v>
      </x:c>
      <x:c r="O1070" s="13" t="str">
        <x:v>Look for: explicit claim-level evidence; parent-family cues for Confidence calibration; variant cue: the text considers alternatives or objections; avoid author-level inference.</x:v>
      </x:c>
      <x:c r="P1070" s="13" t="str">
        <x:v>Exact evidence span in text plus claim-level reasoning link; for contextual/discourse entries, require surrounding context.</x:v>
      </x:c>
      <x:c r="Q1070" s="13" t="str">
        <x:v>Do not label merely because topic is controversial, emotional, or wrong. Do not judge intent or personality. Require textual evidence and consider healthy-reasoning cues.</x:v>
      </x:c>
      <x:c r="R1070" s="13" t="str">
        <x:v>Stub: A claim relies on the text considers alternatives or objections to support a conclusion without adequate qualification.</x:v>
      </x:c>
      <x:c r="S1070" s="13" t="str">
        <x:v>Stub: A claim discusses confidence calibration with caveats, balanced evidence, or no argumentative use of the pattern.</x:v>
      </x:c>
      <x:c r="T1070" s="13" t="str">
        <x:v>Weak protective cue; keep normal review.</x:v>
      </x:c>
      <x:c r="U1070" s="13" t="str">
        <x:v>Clear protective cue; reduce false-positive risk.</x:v>
      </x:c>
      <x:c r="V1070" s="13" t="str">
        <x:v>Strong protective cue; require stronger evidence before assigning risk labels.</x:v>
      </x:c>
      <x:c r="W1070" s="13" t="str">
        <x:v>cherry_picking; missing_counterevidence; evidence_grading</x:v>
      </x:c>
      <x:c r="X1070" s="13" t="str">
        <x:v>stanovich_dual_process</x:v>
      </x:c>
      <x:c r="Y1070" s="13" t="str">
        <x:v>https://global.oup.com/academic/product/rationality-and-the-reflective-mind-9780195341140</x:v>
      </x:c>
      <x:c r="Z1070" s="13" t="str">
        <x:v>Review before enabling. This workbook is a living taxonomy scaffold, not a validated scientific benchmark.</x:v>
      </x:c>
      <x:c r="AA1070" s="13" t="str">
        <x:v>0.1.0-draft</x:v>
      </x:c>
      <x:c r="AB1070" s="12" t="str">
        <x:f>IF(ISNUMBER(SEARCH("healthy",F1070)),"healthy_reasoning_patterns",IF(ISNUMBER(SEARCH("statistical",F1070)),"statistical_reasoning",IF(ISNUMBER(SEARCH("causal",F1070)),"causal_reasoning",IF(ISNUMBER(SEARCH("social",F1070)),"social_influence",IF(ISNUMBER(SEARCH("rhetoric",F1070)),"rhetoric_discourse",IF(ISNUMBER(SEARCH("behavior",F1070)),"behavioural_economics",IF(ISNUMBER(SEARCH("cognitive",F1070)),"cognitive_biases",IF(J1070="protective_pattern","healthy_reasoning_patterns",IF(L1070="P0","core_mvp","extended_fallacies")))))))))</x:f>
        <x:v>healthy_reasoning_patterns</x:v>
      </x:c>
      <x:c r="AC1070" s="12" t="str">
        <x:f>IF(ISNUMBER(SEARCH("operational",J1070)),"operational",IF(ISNUMBER(SEARCH("deprecated",J1070)),"deprecated",IF(L1070="P0","canonical","recognized_subtype")))</x:f>
        <x:v>recognized_subtype</x:v>
      </x:c>
      <x:c r="AD1070" s="12" t="str">
        <x:f>IF(AC1070="canonical","high",IF(AC1070="recognized_subtype","medium",IF(AC1070="operational","operational_only","debated")))</x:f>
        <x:v>medium</x:v>
      </x:c>
      <x:c r="AE1070" s="12" t="str">
        <x:f>IF(AC1070="deprecated","deprecated",IF(M1070="yes","active",IF(M1070="review","review_required","backlog")))</x:f>
        <x:v>review_required</x:v>
      </x:c>
      <x:c r="AF1070" s="12" t="str">
        <x:f>IF(OR(AE1070="active",AE1070="review_required"),"yes","no")</x:f>
        <x:v>yes</x:v>
      </x:c>
      <x:c r="AG1070" s="12" t="str">
        <x:f>IF(AND(AE1070="active",M1070="yes",NOT(ISNUMBER(SEARCH("healthy",AB1070)))),"yes","no")</x:f>
        <x:v>no</x:v>
      </x:c>
      <x:c r="AH1070" s="12" t="str">
        <x:f>IF(OR(H1070="contextual",H1070="dialogue",H1070="discourse",I1070="claim+context",I1070="discourse_segment"),"yes","no")</x:f>
        <x:v>yes</x:v>
      </x:c>
      <x:c r="AI1070" s="12" t="str">
        <x:f>IF(OR(AH1070="yes",AD1070="debated",AC1070="operational"),"yes","no")</x:f>
        <x:v>yes</x:v>
      </x:c>
      <x:c r="AJ1070" s="12" t="str">
        <x:f>IF(OR(AH1070="yes",AC1070="operational",AD1070="debated"),"high",IF(AND(AG1070="yes",L1070="P0"),"medium","low"))</x:f>
        <x:v>high</x:v>
      </x:c>
      <x:c r="AK1070" s="12" t="str">
        <x:f>IF(ISNUMBER(SEARCH("healthy",AB1070)),"yes","no")</x:f>
        <x:v>yes</x:v>
      </x:c>
      <x:c r="AL1070" s="12" t="str">
        <x:f>IF(AG1070="yes","yes","candidate_only")</x:f>
        <x:v>candidate_only</x:v>
      </x:c>
      <x:c r="AM1070" s="12" t="str">
        <x:f>IF(OR(AC1070="canonical",AG1070="yes"),"yes","recommended")</x:f>
        <x:v>recommended</x:v>
      </x:c>
      <x:c r="AN1070" s="12" t="str">
        <x:f>IF(AC1070="deprecated","exclude",IF(AND(AG1070="yes",AJ1070="high"),"import_but_human_review_required",IF(AG1070="yes","import_as_active","import_as_backlog")))</x:f>
        <x:v>import_as_backlog</x:v>
      </x:c>
      <x:c r="AO1070" s="12" t="str">
        <x:f>IF(AND(AG1070="yes",OR(P1070="",Q1070="",R1070="",S1070="")),"missing_required_mvp_fields",IF(AND(AC1070="canonical",Y1070=""),"missing_source_ref","ok"))</x:f>
        <x:v>ok</x:v>
      </x:c>
      <x:c r="AP1070" s="12" t="str">
        <x:f>IF(AO1070="ok","ready_for_codex_import","needs_review")</x:f>
        <x:v>ready_for_codex_import</x:v>
      </x:c>
      <x:c r="AQ1070" s="12"/>
      <x:c r="AR1070" s="12" t="str">
        <x:v>Added v2 operational fields. Review before classification activation.</x:v>
      </x:c>
    </x:row>
    <x:row r="1071">
      <x:c r="A1071" s="13" t="str">
        <x:v>causal_caveat_counterargument_variant</x:v>
      </x:c>
      <x:c r="B1071" s="13" t="str">
        <x:v>causal_caveat</x:v>
      </x:c>
      <x:c r="C1071" s="13" t="str">
        <x:v>Causal caveat</x:v>
      </x:c>
      <x:c r="D1071" s="13" t="str">
        <x:v>احتیاط در علیت</x:v>
      </x:c>
      <x:c r="E1071" s="13" t="str">
        <x:v>Counterargument variant</x:v>
      </x:c>
      <x:c r="F1071" s="13" t="str">
        <x:v>healthy_reasoning_patterns</x:v>
      </x:c>
      <x:c r="G1071" s="13" t="str">
        <x:v>operational_variant</x:v>
      </x:c>
      <x:c r="H1071" s="13" t="str">
        <x:v>lexical</x:v>
      </x:c>
      <x:c r="I1071" s="13" t="str">
        <x:v>claim</x:v>
      </x:c>
      <x:c r="J1071" s="13" t="str">
        <x:v>protective_pattern</x:v>
      </x:c>
      <x:c r="K1071" s="13" t="str">
        <x:v>operational_pattern_needs_review</x:v>
      </x:c>
      <x:c r="L1071" s="13" t="str">
        <x:v>P2</x:v>
      </x:c>
      <x:c r="M1071" s="13" t="str">
        <x:v>review</x:v>
      </x:c>
      <x:c r="N1071" s="13" t="str">
        <x:v>Protective reasoning pattern under Causal caveat: the text considers alternatives or objections. It should reduce risk scores when supported by evidence.</x:v>
      </x:c>
      <x:c r="O1071" s="13" t="str">
        <x:v>Look for: explicit claim-level evidence; parent-family cues for Causal caveat; variant cue: the text considers alternatives or objections; avoid author-level inference.</x:v>
      </x:c>
      <x:c r="P1071" s="13" t="str">
        <x:v>Exact evidence span in text plus claim-level reasoning link; for contextual/discourse entries, require surrounding context.</x:v>
      </x:c>
      <x:c r="Q1071" s="13" t="str">
        <x:v>Do not label merely because topic is controversial, emotional, or wrong. Do not judge intent or personality. Require textual evidence and consider healthy-reasoning cues.</x:v>
      </x:c>
      <x:c r="R1071" s="13" t="str">
        <x:v>Stub: A claim relies on the text considers alternatives or objections to support a conclusion without adequate qualification.</x:v>
      </x:c>
      <x:c r="S1071" s="13" t="str">
        <x:v>Stub: A claim discusses causal caveat with caveats, balanced evidence, or no argumentative use of the pattern.</x:v>
      </x:c>
      <x:c r="T1071" s="13" t="str">
        <x:v>Weak protective cue; keep normal review.</x:v>
      </x:c>
      <x:c r="U1071" s="13" t="str">
        <x:v>Clear protective cue; reduce false-positive risk.</x:v>
      </x:c>
      <x:c r="V1071" s="13" t="str">
        <x:v>Strong protective cue; require stronger evidence before assigning risk labels.</x:v>
      </x:c>
      <x:c r="W1071" s="13" t="str">
        <x:v>post_hoc; cum_hoc; alternative_explanation_neglect</x:v>
      </x:c>
      <x:c r="X1071" s="13" t="str">
        <x:v>toulmin_uses_argument</x:v>
      </x:c>
      <x:c r="Y1071" s="13" t="str">
        <x:v>https://doi.org/10.1017/CBO9780511840005</x:v>
      </x:c>
      <x:c r="Z1071" s="13" t="str">
        <x:v>Review before enabling. This workbook is a living taxonomy scaffold, not a validated scientific benchmark.</x:v>
      </x:c>
      <x:c r="AA1071" s="13" t="str">
        <x:v>0.1.0-draft</x:v>
      </x:c>
      <x:c r="AB1071" s="12" t="str">
        <x:f>IF(ISNUMBER(SEARCH("healthy",F1071)),"healthy_reasoning_patterns",IF(ISNUMBER(SEARCH("statistical",F1071)),"statistical_reasoning",IF(ISNUMBER(SEARCH("causal",F1071)),"causal_reasoning",IF(ISNUMBER(SEARCH("social",F1071)),"social_influence",IF(ISNUMBER(SEARCH("rhetoric",F1071)),"rhetoric_discourse",IF(ISNUMBER(SEARCH("behavior",F1071)),"behavioural_economics",IF(ISNUMBER(SEARCH("cognitive",F1071)),"cognitive_biases",IF(J1071="protective_pattern","healthy_reasoning_patterns",IF(L1071="P0","core_mvp","extended_fallacies")))))))))</x:f>
        <x:v>healthy_reasoning_patterns</x:v>
      </x:c>
      <x:c r="AC1071" s="12" t="str">
        <x:f>IF(ISNUMBER(SEARCH("operational",J1071)),"operational",IF(ISNUMBER(SEARCH("deprecated",J1071)),"deprecated",IF(L1071="P0","canonical","recognized_subtype")))</x:f>
        <x:v>recognized_subtype</x:v>
      </x:c>
      <x:c r="AD1071" s="12" t="str">
        <x:f>IF(AC1071="canonical","high",IF(AC1071="recognized_subtype","medium",IF(AC1071="operational","operational_only","debated")))</x:f>
        <x:v>medium</x:v>
      </x:c>
      <x:c r="AE1071" s="12" t="str">
        <x:f>IF(AC1071="deprecated","deprecated",IF(M1071="yes","active",IF(M1071="review","review_required","backlog")))</x:f>
        <x:v>review_required</x:v>
      </x:c>
      <x:c r="AF1071" s="12" t="str">
        <x:f>IF(OR(AE1071="active",AE1071="review_required"),"yes","no")</x:f>
        <x:v>yes</x:v>
      </x:c>
      <x:c r="AG1071" s="12" t="str">
        <x:f>IF(AND(AE1071="active",M1071="yes",NOT(ISNUMBER(SEARCH("healthy",AB1071)))),"yes","no")</x:f>
        <x:v>no</x:v>
      </x:c>
      <x:c r="AH1071" s="12" t="str">
        <x:f>IF(OR(H1071="contextual",H1071="dialogue",H1071="discourse",I1071="claim+context",I1071="discourse_segment"),"yes","no")</x:f>
        <x:v>no</x:v>
      </x:c>
      <x:c r="AI1071" s="12" t="str">
        <x:f>IF(OR(AH1071="yes",AD1071="debated",AC1071="operational"),"yes","no")</x:f>
        <x:v>no</x:v>
      </x:c>
      <x:c r="AJ1071" s="12" t="str">
        <x:f>IF(OR(AH1071="yes",AC1071="operational",AD1071="debated"),"high",IF(AND(AG1071="yes",L1071="P0"),"medium","low"))</x:f>
        <x:v>low</x:v>
      </x:c>
      <x:c r="AK1071" s="12" t="str">
        <x:f>IF(ISNUMBER(SEARCH("healthy",AB1071)),"yes","no")</x:f>
        <x:v>yes</x:v>
      </x:c>
      <x:c r="AL1071" s="12" t="str">
        <x:f>IF(AG1071="yes","yes","candidate_only")</x:f>
        <x:v>candidate_only</x:v>
      </x:c>
      <x:c r="AM1071" s="12" t="str">
        <x:f>IF(OR(AC1071="canonical",AG1071="yes"),"yes","recommended")</x:f>
        <x:v>recommended</x:v>
      </x:c>
      <x:c r="AN1071" s="12" t="str">
        <x:f>IF(AC1071="deprecated","exclude",IF(AND(AG1071="yes",AJ1071="high"),"import_but_human_review_required",IF(AG1071="yes","import_as_active","import_as_backlog")))</x:f>
        <x:v>import_as_backlog</x:v>
      </x:c>
      <x:c r="AO1071" s="12" t="str">
        <x:f>IF(AND(AG1071="yes",OR(P1071="",Q1071="",R1071="",S1071="")),"missing_required_mvp_fields",IF(AND(AC1071="canonical",Y1071=""),"missing_source_ref","ok"))</x:f>
        <x:v>ok</x:v>
      </x:c>
      <x:c r="AP1071" s="12" t="str">
        <x:f>IF(AO1071="ok","ready_for_codex_import","needs_review")</x:f>
        <x:v>ready_for_codex_import</x:v>
      </x:c>
      <x:c r="AQ1071" s="12"/>
      <x:c r="AR1071" s="12" t="str">
        <x:v>Added v2 operational fields. Review before classification activation.</x:v>
      </x:c>
    </x:row>
    <x:row r="1072">
      <x:c r="A1072" s="13" t="str">
        <x:v>sample_limitation_statement_counterargument_variant</x:v>
      </x:c>
      <x:c r="B1072" s="13" t="str">
        <x:v>sample_limitation_statement</x:v>
      </x:c>
      <x:c r="C1072" s="13" t="str">
        <x:v>Sample limitation statement</x:v>
      </x:c>
      <x:c r="D1072" s="13" t="str">
        <x:v>بیان محدودیت نمونه</x:v>
      </x:c>
      <x:c r="E1072" s="13" t="str">
        <x:v>Counterargument variant</x:v>
      </x:c>
      <x:c r="F1072" s="13" t="str">
        <x:v>healthy_reasoning_patterns</x:v>
      </x:c>
      <x:c r="G1072" s="13" t="str">
        <x:v>operational_variant</x:v>
      </x:c>
      <x:c r="H1072" s="13" t="str">
        <x:v>contextual</x:v>
      </x:c>
      <x:c r="I1072" s="13" t="str">
        <x:v>claim+context</x:v>
      </x:c>
      <x:c r="J1072" s="13" t="str">
        <x:v>protective_pattern</x:v>
      </x:c>
      <x:c r="K1072" s="13" t="str">
        <x:v>operational_pattern_needs_review</x:v>
      </x:c>
      <x:c r="L1072" s="13" t="str">
        <x:v>P2</x:v>
      </x:c>
      <x:c r="M1072" s="13" t="str">
        <x:v>review</x:v>
      </x:c>
      <x:c r="N1072" s="13" t="str">
        <x:v>Protective reasoning pattern under Sample limitation statement: the text considers alternatives or objections. It should reduce risk scores when supported by evidence.</x:v>
      </x:c>
      <x:c r="O1072" s="13" t="str">
        <x:v>Look for: explicit claim-level evidence; parent-family cues for Sample limitation statement; variant cue: the text considers alternatives or objections; avoid author-level inference.</x:v>
      </x:c>
      <x:c r="P1072" s="13" t="str">
        <x:v>Exact evidence span in text plus claim-level reasoning link; for contextual/discourse entries, require surrounding context.</x:v>
      </x:c>
      <x:c r="Q1072" s="13" t="str">
        <x:v>Do not label merely because topic is controversial, emotional, or wrong. Do not judge intent or personality. Require textual evidence and consider healthy-reasoning cues.</x:v>
      </x:c>
      <x:c r="R1072" s="13" t="str">
        <x:v>Stub: A claim relies on the text considers alternatives or objections to support a conclusion without adequate qualification.</x:v>
      </x:c>
      <x:c r="S1072" s="13" t="str">
        <x:v>Stub: A claim discusses sample limitation statement with caveats, balanced evidence, or no argumentative use of the pattern.</x:v>
      </x:c>
      <x:c r="T1072" s="13" t="str">
        <x:v>Weak protective cue; keep normal review.</x:v>
      </x:c>
      <x:c r="U1072" s="13" t="str">
        <x:v>Clear protective cue; reduce false-positive risk.</x:v>
      </x:c>
      <x:c r="V1072" s="13" t="str">
        <x:v>Strong protective cue; require stronger evidence before assigning risk labels.</x:v>
      </x:c>
      <x:c r="W1072" s="13" t="str"/>
      <x:c r="X1072" s="13" t="str">
        <x:v>toulmin_uses_argument</x:v>
      </x:c>
      <x:c r="Y1072" s="13" t="str">
        <x:v>https://doi.org/10.1017/CBO9780511840005</x:v>
      </x:c>
      <x:c r="Z1072" s="13" t="str">
        <x:v>Review before enabling. This workbook is a living taxonomy scaffold, not a validated scientific benchmark.</x:v>
      </x:c>
      <x:c r="AA1072" s="13" t="str">
        <x:v>0.1.0-draft</x:v>
      </x:c>
      <x:c r="AB1072" s="12" t="str">
        <x:f>IF(ISNUMBER(SEARCH("healthy",F1072)),"healthy_reasoning_patterns",IF(ISNUMBER(SEARCH("statistical",F1072)),"statistical_reasoning",IF(ISNUMBER(SEARCH("causal",F1072)),"causal_reasoning",IF(ISNUMBER(SEARCH("social",F1072)),"social_influence",IF(ISNUMBER(SEARCH("rhetoric",F1072)),"rhetoric_discourse",IF(ISNUMBER(SEARCH("behavior",F1072)),"behavioural_economics",IF(ISNUMBER(SEARCH("cognitive",F1072)),"cognitive_biases",IF(J1072="protective_pattern","healthy_reasoning_patterns",IF(L1072="P0","core_mvp","extended_fallacies")))))))))</x:f>
        <x:v>healthy_reasoning_patterns</x:v>
      </x:c>
      <x:c r="AC1072" s="12" t="str">
        <x:f>IF(ISNUMBER(SEARCH("operational",J1072)),"operational",IF(ISNUMBER(SEARCH("deprecated",J1072)),"deprecated",IF(L1072="P0","canonical","recognized_subtype")))</x:f>
        <x:v>recognized_subtype</x:v>
      </x:c>
      <x:c r="AD1072" s="12" t="str">
        <x:f>IF(AC1072="canonical","high",IF(AC1072="recognized_subtype","medium",IF(AC1072="operational","operational_only","debated")))</x:f>
        <x:v>medium</x:v>
      </x:c>
      <x:c r="AE1072" s="12" t="str">
        <x:f>IF(AC1072="deprecated","deprecated",IF(M1072="yes","active",IF(M1072="review","review_required","backlog")))</x:f>
        <x:v>review_required</x:v>
      </x:c>
      <x:c r="AF1072" s="12" t="str">
        <x:f>IF(OR(AE1072="active",AE1072="review_required"),"yes","no")</x:f>
        <x:v>yes</x:v>
      </x:c>
      <x:c r="AG1072" s="12" t="str">
        <x:f>IF(AND(AE1072="active",M1072="yes",NOT(ISNUMBER(SEARCH("healthy",AB1072)))),"yes","no")</x:f>
        <x:v>no</x:v>
      </x:c>
      <x:c r="AH1072" s="12" t="str">
        <x:f>IF(OR(H1072="contextual",H1072="dialogue",H1072="discourse",I1072="claim+context",I1072="discourse_segment"),"yes","no")</x:f>
        <x:v>yes</x:v>
      </x:c>
      <x:c r="AI1072" s="12" t="str">
        <x:f>IF(OR(AH1072="yes",AD1072="debated",AC1072="operational"),"yes","no")</x:f>
        <x:v>yes</x:v>
      </x:c>
      <x:c r="AJ1072" s="12" t="str">
        <x:f>IF(OR(AH1072="yes",AC1072="operational",AD1072="debated"),"high",IF(AND(AG1072="yes",L1072="P0"),"medium","low"))</x:f>
        <x:v>high</x:v>
      </x:c>
      <x:c r="AK1072" s="12" t="str">
        <x:f>IF(ISNUMBER(SEARCH("healthy",AB1072)),"yes","no")</x:f>
        <x:v>yes</x:v>
      </x:c>
      <x:c r="AL1072" s="12" t="str">
        <x:f>IF(AG1072="yes","yes","candidate_only")</x:f>
        <x:v>candidate_only</x:v>
      </x:c>
      <x:c r="AM1072" s="12" t="str">
        <x:f>IF(OR(AC1072="canonical",AG1072="yes"),"yes","recommended")</x:f>
        <x:v>recommended</x:v>
      </x:c>
      <x:c r="AN1072" s="12" t="str">
        <x:f>IF(AC1072="deprecated","exclude",IF(AND(AG1072="yes",AJ1072="high"),"import_but_human_review_required",IF(AG1072="yes","import_as_active","import_as_backlog")))</x:f>
        <x:v>import_as_backlog</x:v>
      </x:c>
      <x:c r="AO1072" s="12" t="str">
        <x:f>IF(AND(AG1072="yes",OR(P1072="",Q1072="",R1072="",S1072="")),"missing_required_mvp_fields",IF(AND(AC1072="canonical",Y1072=""),"missing_source_ref","ok"))</x:f>
        <x:v>ok</x:v>
      </x:c>
      <x:c r="AP1072" s="12" t="str">
        <x:f>IF(AO1072="ok","ready_for_codex_import","needs_review")</x:f>
        <x:v>ready_for_codex_import</x:v>
      </x:c>
      <x:c r="AQ1072" s="12"/>
      <x:c r="AR1072" s="12" t="str">
        <x:v>Added v2 operational fields. Review before classification activation.</x:v>
      </x:c>
    </x:row>
    <x:row r="1073">
      <x:c r="A1073" s="13" t="str">
        <x:v>method_limitation_statement_counterargument_variant</x:v>
      </x:c>
      <x:c r="B1073" s="13" t="str">
        <x:v>method_limitation_statement</x:v>
      </x:c>
      <x:c r="C1073" s="13" t="str">
        <x:v>Method limitation statement</x:v>
      </x:c>
      <x:c r="D1073" s="13" t="str">
        <x:v>بیان محدودیت روش</x:v>
      </x:c>
      <x:c r="E1073" s="13" t="str">
        <x:v>Counterargument variant</x:v>
      </x:c>
      <x:c r="F1073" s="13" t="str">
        <x:v>healthy_reasoning_patterns</x:v>
      </x:c>
      <x:c r="G1073" s="13" t="str">
        <x:v>operational_variant</x:v>
      </x:c>
      <x:c r="H1073" s="13" t="str">
        <x:v>contextual</x:v>
      </x:c>
      <x:c r="I1073" s="13" t="str">
        <x:v>claim+context</x:v>
      </x:c>
      <x:c r="J1073" s="13" t="str">
        <x:v>protective_pattern</x:v>
      </x:c>
      <x:c r="K1073" s="13" t="str">
        <x:v>operational_pattern_needs_review</x:v>
      </x:c>
      <x:c r="L1073" s="13" t="str">
        <x:v>P2</x:v>
      </x:c>
      <x:c r="M1073" s="13" t="str">
        <x:v>review</x:v>
      </x:c>
      <x:c r="N1073" s="13" t="str">
        <x:v>Protective reasoning pattern under Method limitation statement: the text considers alternatives or objections. It should reduce risk scores when supported by evidence.</x:v>
      </x:c>
      <x:c r="O1073" s="13" t="str">
        <x:v>Look for: explicit claim-level evidence; parent-family cues for Method limitation statement; variant cue: the text considers alternatives or objections; avoid author-level inference.</x:v>
      </x:c>
      <x:c r="P1073" s="13" t="str">
        <x:v>Exact evidence span in text plus claim-level reasoning link; for contextual/discourse entries, require surrounding context.</x:v>
      </x:c>
      <x:c r="Q1073" s="13" t="str">
        <x:v>Do not label merely because topic is controversial, emotional, or wrong. Do not judge intent or personality. Require textual evidence and consider healthy-reasoning cues.</x:v>
      </x:c>
      <x:c r="R1073" s="13" t="str">
        <x:v>Stub: A claim relies on the text considers alternatives or objections to support a conclusion without adequate qualification.</x:v>
      </x:c>
      <x:c r="S1073" s="13" t="str">
        <x:v>Stub: A claim discusses method limitation statement with caveats, balanced evidence, or no argumentative use of the pattern.</x:v>
      </x:c>
      <x:c r="T1073" s="13" t="str">
        <x:v>Weak protective cue; keep normal review.</x:v>
      </x:c>
      <x:c r="U1073" s="13" t="str">
        <x:v>Clear protective cue; reduce false-positive risk.</x:v>
      </x:c>
      <x:c r="V1073" s="13" t="str">
        <x:v>Strong protective cue; require stronger evidence before assigning risk labels.</x:v>
      </x:c>
      <x:c r="W1073" s="13" t="str"/>
      <x:c r="X1073" s="13" t="str">
        <x:v>toulmin_uses_argument</x:v>
      </x:c>
      <x:c r="Y1073" s="13" t="str">
        <x:v>https://doi.org/10.1017/CBO9780511840005</x:v>
      </x:c>
      <x:c r="Z1073" s="13" t="str">
        <x:v>Review before enabling. This workbook is a living taxonomy scaffold, not a validated scientific benchmark.</x:v>
      </x:c>
      <x:c r="AA1073" s="13" t="str">
        <x:v>0.1.0-draft</x:v>
      </x:c>
      <x:c r="AB1073" s="12" t="str">
        <x:f>IF(ISNUMBER(SEARCH("healthy",F1073)),"healthy_reasoning_patterns",IF(ISNUMBER(SEARCH("statistical",F1073)),"statistical_reasoning",IF(ISNUMBER(SEARCH("causal",F1073)),"causal_reasoning",IF(ISNUMBER(SEARCH("social",F1073)),"social_influence",IF(ISNUMBER(SEARCH("rhetoric",F1073)),"rhetoric_discourse",IF(ISNUMBER(SEARCH("behavior",F1073)),"behavioural_economics",IF(ISNUMBER(SEARCH("cognitive",F1073)),"cognitive_biases",IF(J1073="protective_pattern","healthy_reasoning_patterns",IF(L1073="P0","core_mvp","extended_fallacies")))))))))</x:f>
        <x:v>healthy_reasoning_patterns</x:v>
      </x:c>
      <x:c r="AC1073" s="12" t="str">
        <x:f>IF(ISNUMBER(SEARCH("operational",J1073)),"operational",IF(ISNUMBER(SEARCH("deprecated",J1073)),"deprecated",IF(L1073="P0","canonical","recognized_subtype")))</x:f>
        <x:v>recognized_subtype</x:v>
      </x:c>
      <x:c r="AD1073" s="12" t="str">
        <x:f>IF(AC1073="canonical","high",IF(AC1073="recognized_subtype","medium",IF(AC1073="operational","operational_only","debated")))</x:f>
        <x:v>medium</x:v>
      </x:c>
      <x:c r="AE1073" s="12" t="str">
        <x:f>IF(AC1073="deprecated","deprecated",IF(M1073="yes","active",IF(M1073="review","review_required","backlog")))</x:f>
        <x:v>review_required</x:v>
      </x:c>
      <x:c r="AF1073" s="12" t="str">
        <x:f>IF(OR(AE1073="active",AE1073="review_required"),"yes","no")</x:f>
        <x:v>yes</x:v>
      </x:c>
      <x:c r="AG1073" s="12" t="str">
        <x:f>IF(AND(AE1073="active",M1073="yes",NOT(ISNUMBER(SEARCH("healthy",AB1073)))),"yes","no")</x:f>
        <x:v>no</x:v>
      </x:c>
      <x:c r="AH1073" s="12" t="str">
        <x:f>IF(OR(H1073="contextual",H1073="dialogue",H1073="discourse",I1073="claim+context",I1073="discourse_segment"),"yes","no")</x:f>
        <x:v>yes</x:v>
      </x:c>
      <x:c r="AI1073" s="12" t="str">
        <x:f>IF(OR(AH1073="yes",AD1073="debated",AC1073="operational"),"yes","no")</x:f>
        <x:v>yes</x:v>
      </x:c>
      <x:c r="AJ1073" s="12" t="str">
        <x:f>IF(OR(AH1073="yes",AC1073="operational",AD1073="debated"),"high",IF(AND(AG1073="yes",L1073="P0"),"medium","low"))</x:f>
        <x:v>high</x:v>
      </x:c>
      <x:c r="AK1073" s="12" t="str">
        <x:f>IF(ISNUMBER(SEARCH("healthy",AB1073)),"yes","no")</x:f>
        <x:v>yes</x:v>
      </x:c>
      <x:c r="AL1073" s="12" t="str">
        <x:f>IF(AG1073="yes","yes","candidate_only")</x:f>
        <x:v>candidate_only</x:v>
      </x:c>
      <x:c r="AM1073" s="12" t="str">
        <x:f>IF(OR(AC1073="canonical",AG1073="yes"),"yes","recommended")</x:f>
        <x:v>recommended</x:v>
      </x:c>
      <x:c r="AN1073" s="12" t="str">
        <x:f>IF(AC1073="deprecated","exclude",IF(AND(AG1073="yes",AJ1073="high"),"import_but_human_review_required",IF(AG1073="yes","import_as_active","import_as_backlog")))</x:f>
        <x:v>import_as_backlog</x:v>
      </x:c>
      <x:c r="AO1073" s="12" t="str">
        <x:f>IF(AND(AG1073="yes",OR(P1073="",Q1073="",R1073="",S1073="")),"missing_required_mvp_fields",IF(AND(AC1073="canonical",Y1073=""),"missing_source_ref","ok"))</x:f>
        <x:v>ok</x:v>
      </x:c>
      <x:c r="AP1073" s="12" t="str">
        <x:f>IF(AO1073="ok","ready_for_codex_import","needs_review")</x:f>
        <x:v>ready_for_codex_import</x:v>
      </x:c>
      <x:c r="AQ1073" s="12"/>
      <x:c r="AR1073" s="12" t="str">
        <x:v>Added v2 operational fields. Review before classification activation.</x:v>
      </x:c>
    </x:row>
    <x:row r="1074">
      <x:c r="A1074" s="13" t="str">
        <x:v>rebuttal_inclusion_counterargument_variant</x:v>
      </x:c>
      <x:c r="B1074" s="13" t="str">
        <x:v>rebuttal_inclusion</x:v>
      </x:c>
      <x:c r="C1074" s="13" t="str">
        <x:v>Rebuttal inclusion</x:v>
      </x:c>
      <x:c r="D1074" s="13" t="str">
        <x:v>درج ردیه یا استثنا</x:v>
      </x:c>
      <x:c r="E1074" s="13" t="str">
        <x:v>Counterargument variant</x:v>
      </x:c>
      <x:c r="F1074" s="13" t="str">
        <x:v>healthy_reasoning_patterns</x:v>
      </x:c>
      <x:c r="G1074" s="13" t="str">
        <x:v>operational_variant</x:v>
      </x:c>
      <x:c r="H1074" s="13" t="str">
        <x:v>structural</x:v>
      </x:c>
      <x:c r="I1074" s="13" t="str">
        <x:v>claim</x:v>
      </x:c>
      <x:c r="J1074" s="13" t="str">
        <x:v>protective_pattern</x:v>
      </x:c>
      <x:c r="K1074" s="13" t="str">
        <x:v>operational_pattern_needs_review</x:v>
      </x:c>
      <x:c r="L1074" s="13" t="str">
        <x:v>P2</x:v>
      </x:c>
      <x:c r="M1074" s="13" t="str">
        <x:v>review</x:v>
      </x:c>
      <x:c r="N1074" s="13" t="str">
        <x:v>Protective reasoning pattern under Rebuttal inclusion: the text considers alternatives or objections. It should reduce risk scores when supported by evidence.</x:v>
      </x:c>
      <x:c r="O1074" s="13" t="str">
        <x:v>Look for: explicit claim-level evidence; parent-family cues for Rebuttal inclusion; variant cue: the text considers alternatives or objections; avoid author-level inference.</x:v>
      </x:c>
      <x:c r="P1074" s="13" t="str">
        <x:v>Exact evidence span in text plus claim-level reasoning link; for contextual/discourse entries, require surrounding context.</x:v>
      </x:c>
      <x:c r="Q1074" s="13" t="str">
        <x:v>Do not label merely because topic is controversial, emotional, or wrong. Do not judge intent or personality. Require textual evidence and consider healthy-reasoning cues.</x:v>
      </x:c>
      <x:c r="R1074" s="13" t="str">
        <x:v>Stub: A claim relies on the text considers alternatives or objections to support a conclusion without adequate qualification.</x:v>
      </x:c>
      <x:c r="S1074" s="13" t="str">
        <x:v>Stub: A claim discusses rebuttal inclusion with caveats, balanced evidence, or no argumentative use of the pattern.</x:v>
      </x:c>
      <x:c r="T1074" s="13" t="str">
        <x:v>Weak protective cue; keep normal review.</x:v>
      </x:c>
      <x:c r="U1074" s="13" t="str">
        <x:v>Clear protective cue; reduce false-positive risk.</x:v>
      </x:c>
      <x:c r="V1074" s="13" t="str">
        <x:v>Strong protective cue; require stronger evidence before assigning risk labels.</x:v>
      </x:c>
      <x:c r="W1074" s="13" t="str"/>
      <x:c r="X1074" s="13" t="str">
        <x:v>toulmin_uses_argument</x:v>
      </x:c>
      <x:c r="Y1074" s="13" t="str">
        <x:v>https://doi.org/10.1017/CBO9780511840005</x:v>
      </x:c>
      <x:c r="Z1074" s="13" t="str">
        <x:v>Review before enabling. This workbook is a living taxonomy scaffold, not a validated scientific benchmark.</x:v>
      </x:c>
      <x:c r="AA1074" s="13" t="str">
        <x:v>0.1.0-draft</x:v>
      </x:c>
      <x:c r="AB1074" s="12" t="str">
        <x:f>IF(ISNUMBER(SEARCH("healthy",F1074)),"healthy_reasoning_patterns",IF(ISNUMBER(SEARCH("statistical",F1074)),"statistical_reasoning",IF(ISNUMBER(SEARCH("causal",F1074)),"causal_reasoning",IF(ISNUMBER(SEARCH("social",F1074)),"social_influence",IF(ISNUMBER(SEARCH("rhetoric",F1074)),"rhetoric_discourse",IF(ISNUMBER(SEARCH("behavior",F1074)),"behavioural_economics",IF(ISNUMBER(SEARCH("cognitive",F1074)),"cognitive_biases",IF(J1074="protective_pattern","healthy_reasoning_patterns",IF(L1074="P0","core_mvp","extended_fallacies")))))))))</x:f>
        <x:v>healthy_reasoning_patterns</x:v>
      </x:c>
      <x:c r="AC1074" s="12" t="str">
        <x:f>IF(ISNUMBER(SEARCH("operational",J1074)),"operational",IF(ISNUMBER(SEARCH("deprecated",J1074)),"deprecated",IF(L1074="P0","canonical","recognized_subtype")))</x:f>
        <x:v>recognized_subtype</x:v>
      </x:c>
      <x:c r="AD1074" s="12" t="str">
        <x:f>IF(AC1074="canonical","high",IF(AC1074="recognized_subtype","medium",IF(AC1074="operational","operational_only","debated")))</x:f>
        <x:v>medium</x:v>
      </x:c>
      <x:c r="AE1074" s="12" t="str">
        <x:f>IF(AC1074="deprecated","deprecated",IF(M1074="yes","active",IF(M1074="review","review_required","backlog")))</x:f>
        <x:v>review_required</x:v>
      </x:c>
      <x:c r="AF1074" s="12" t="str">
        <x:f>IF(OR(AE1074="active",AE1074="review_required"),"yes","no")</x:f>
        <x:v>yes</x:v>
      </x:c>
      <x:c r="AG1074" s="12" t="str">
        <x:f>IF(AND(AE1074="active",M1074="yes",NOT(ISNUMBER(SEARCH("healthy",AB1074)))),"yes","no")</x:f>
        <x:v>no</x:v>
      </x:c>
      <x:c r="AH1074" s="12" t="str">
        <x:f>IF(OR(H1074="contextual",H1074="dialogue",H1074="discourse",I1074="claim+context",I1074="discourse_segment"),"yes","no")</x:f>
        <x:v>no</x:v>
      </x:c>
      <x:c r="AI1074" s="12" t="str">
        <x:f>IF(OR(AH1074="yes",AD1074="debated",AC1074="operational"),"yes","no")</x:f>
        <x:v>no</x:v>
      </x:c>
      <x:c r="AJ1074" s="12" t="str">
        <x:f>IF(OR(AH1074="yes",AC1074="operational",AD1074="debated"),"high",IF(AND(AG1074="yes",L1074="P0"),"medium","low"))</x:f>
        <x:v>low</x:v>
      </x:c>
      <x:c r="AK1074" s="12" t="str">
        <x:f>IF(ISNUMBER(SEARCH("healthy",AB1074)),"yes","no")</x:f>
        <x:v>yes</x:v>
      </x:c>
      <x:c r="AL1074" s="12" t="str">
        <x:f>IF(AG1074="yes","yes","candidate_only")</x:f>
        <x:v>candidate_only</x:v>
      </x:c>
      <x:c r="AM1074" s="12" t="str">
        <x:f>IF(OR(AC1074="canonical",AG1074="yes"),"yes","recommended")</x:f>
        <x:v>recommended</x:v>
      </x:c>
      <x:c r="AN1074" s="12" t="str">
        <x:f>IF(AC1074="deprecated","exclude",IF(AND(AG1074="yes",AJ1074="high"),"import_but_human_review_required",IF(AG1074="yes","import_as_active","import_as_backlog")))</x:f>
        <x:v>import_as_backlog</x:v>
      </x:c>
      <x:c r="AO1074" s="12" t="str">
        <x:f>IF(AND(AG1074="yes",OR(P1074="",Q1074="",R1074="",S1074="")),"missing_required_mvp_fields",IF(AND(AC1074="canonical",Y1074=""),"missing_source_ref","ok"))</x:f>
        <x:v>ok</x:v>
      </x:c>
      <x:c r="AP1074" s="12" t="str">
        <x:f>IF(AO1074="ok","ready_for_codex_import","needs_review")</x:f>
        <x:v>ready_for_codex_import</x:v>
      </x:c>
      <x:c r="AQ1074" s="12"/>
      <x:c r="AR1074" s="12" t="str">
        <x:v>Added v2 operational fields. Review before classification activation.</x:v>
      </x:c>
    </x:row>
    <x:row r="1075">
      <x:c r="A1075" s="13" t="str">
        <x:v>warrant_explication_counterargument_variant</x:v>
      </x:c>
      <x:c r="B1075" s="13" t="str">
        <x:v>warrant_explication</x:v>
      </x:c>
      <x:c r="C1075" s="13" t="str">
        <x:v>Warrant explication</x:v>
      </x:c>
      <x:c r="D1075" s="13" t="str">
        <x:v>تصریح پیوند استدلالی</x:v>
      </x:c>
      <x:c r="E1075" s="13" t="str">
        <x:v>Counterargument variant</x:v>
      </x:c>
      <x:c r="F1075" s="13" t="str">
        <x:v>healthy_reasoning_patterns</x:v>
      </x:c>
      <x:c r="G1075" s="13" t="str">
        <x:v>operational_variant</x:v>
      </x:c>
      <x:c r="H1075" s="13" t="str">
        <x:v>structural</x:v>
      </x:c>
      <x:c r="I1075" s="13" t="str">
        <x:v>claim</x:v>
      </x:c>
      <x:c r="J1075" s="13" t="str">
        <x:v>protective_pattern</x:v>
      </x:c>
      <x:c r="K1075" s="13" t="str">
        <x:v>operational_pattern_needs_review</x:v>
      </x:c>
      <x:c r="L1075" s="13" t="str">
        <x:v>P2</x:v>
      </x:c>
      <x:c r="M1075" s="13" t="str">
        <x:v>review</x:v>
      </x:c>
      <x:c r="N1075" s="13" t="str">
        <x:v>Protective reasoning pattern under Warrant explication: the text considers alternatives or objections. It should reduce risk scores when supported by evidence.</x:v>
      </x:c>
      <x:c r="O1075" s="13" t="str">
        <x:v>Look for: explicit claim-level evidence; parent-family cues for Warrant explication; variant cue: the text considers alternatives or objections; avoid author-level inference.</x:v>
      </x:c>
      <x:c r="P1075" s="13" t="str">
        <x:v>Exact evidence span in text plus claim-level reasoning link; for contextual/discourse entries, require surrounding context.</x:v>
      </x:c>
      <x:c r="Q1075" s="13" t="str">
        <x:v>Do not label merely because topic is controversial, emotional, or wrong. Do not judge intent or personality. Require textual evidence and consider healthy-reasoning cues.</x:v>
      </x:c>
      <x:c r="R1075" s="13" t="str">
        <x:v>Stub: A claim relies on the text considers alternatives or objections to support a conclusion without adequate qualification.</x:v>
      </x:c>
      <x:c r="S1075" s="13" t="str">
        <x:v>Stub: A claim discusses warrant explication with caveats, balanced evidence, or no argumentative use of the pattern.</x:v>
      </x:c>
      <x:c r="T1075" s="13" t="str">
        <x:v>Weak protective cue; keep normal review.</x:v>
      </x:c>
      <x:c r="U1075" s="13" t="str">
        <x:v>Clear protective cue; reduce false-positive risk.</x:v>
      </x:c>
      <x:c r="V1075" s="13" t="str">
        <x:v>Strong protective cue; require stronger evidence before assigning risk labels.</x:v>
      </x:c>
      <x:c r="W1075" s="13" t="str">
        <x:v>cherry_picking; missing_counterevidence; evidence_grading</x:v>
      </x:c>
      <x:c r="X1075" s="13" t="str">
        <x:v>toulmin_uses_argument</x:v>
      </x:c>
      <x:c r="Y1075" s="13" t="str">
        <x:v>https://doi.org/10.1017/CBO9780511840005</x:v>
      </x:c>
      <x:c r="Z1075" s="13" t="str">
        <x:v>Review before enabling. This workbook is a living taxonomy scaffold, not a validated scientific benchmark.</x:v>
      </x:c>
      <x:c r="AA1075" s="13" t="str">
        <x:v>0.1.0-draft</x:v>
      </x:c>
      <x:c r="AB1075" s="12" t="str">
        <x:f>IF(ISNUMBER(SEARCH("healthy",F1075)),"healthy_reasoning_patterns",IF(ISNUMBER(SEARCH("statistical",F1075)),"statistical_reasoning",IF(ISNUMBER(SEARCH("causal",F1075)),"causal_reasoning",IF(ISNUMBER(SEARCH("social",F1075)),"social_influence",IF(ISNUMBER(SEARCH("rhetoric",F1075)),"rhetoric_discourse",IF(ISNUMBER(SEARCH("behavior",F1075)),"behavioural_economics",IF(ISNUMBER(SEARCH("cognitive",F1075)),"cognitive_biases",IF(J1075="protective_pattern","healthy_reasoning_patterns",IF(L1075="P0","core_mvp","extended_fallacies")))))))))</x:f>
        <x:v>healthy_reasoning_patterns</x:v>
      </x:c>
      <x:c r="AC1075" s="12" t="str">
        <x:f>IF(ISNUMBER(SEARCH("operational",J1075)),"operational",IF(ISNUMBER(SEARCH("deprecated",J1075)),"deprecated",IF(L1075="P0","canonical","recognized_subtype")))</x:f>
        <x:v>recognized_subtype</x:v>
      </x:c>
      <x:c r="AD1075" s="12" t="str">
        <x:f>IF(AC1075="canonical","high",IF(AC1075="recognized_subtype","medium",IF(AC1075="operational","operational_only","debated")))</x:f>
        <x:v>medium</x:v>
      </x:c>
      <x:c r="AE1075" s="12" t="str">
        <x:f>IF(AC1075="deprecated","deprecated",IF(M1075="yes","active",IF(M1075="review","review_required","backlog")))</x:f>
        <x:v>review_required</x:v>
      </x:c>
      <x:c r="AF1075" s="12" t="str">
        <x:f>IF(OR(AE1075="active",AE1075="review_required"),"yes","no")</x:f>
        <x:v>yes</x:v>
      </x:c>
      <x:c r="AG1075" s="12" t="str">
        <x:f>IF(AND(AE1075="active",M1075="yes",NOT(ISNUMBER(SEARCH("healthy",AB1075)))),"yes","no")</x:f>
        <x:v>no</x:v>
      </x:c>
      <x:c r="AH1075" s="12" t="str">
        <x:f>IF(OR(H1075="contextual",H1075="dialogue",H1075="discourse",I1075="claim+context",I1075="discourse_segment"),"yes","no")</x:f>
        <x:v>no</x:v>
      </x:c>
      <x:c r="AI1075" s="12" t="str">
        <x:f>IF(OR(AH1075="yes",AD1075="debated",AC1075="operational"),"yes","no")</x:f>
        <x:v>no</x:v>
      </x:c>
      <x:c r="AJ1075" s="12" t="str">
        <x:f>IF(OR(AH1075="yes",AC1075="operational",AD1075="debated"),"high",IF(AND(AG1075="yes",L1075="P0"),"medium","low"))</x:f>
        <x:v>low</x:v>
      </x:c>
      <x:c r="AK1075" s="12" t="str">
        <x:f>IF(ISNUMBER(SEARCH("healthy",AB1075)),"yes","no")</x:f>
        <x:v>yes</x:v>
      </x:c>
      <x:c r="AL1075" s="12" t="str">
        <x:f>IF(AG1075="yes","yes","candidate_only")</x:f>
        <x:v>candidate_only</x:v>
      </x:c>
      <x:c r="AM1075" s="12" t="str">
        <x:f>IF(OR(AC1075="canonical",AG1075="yes"),"yes","recommended")</x:f>
        <x:v>recommended</x:v>
      </x:c>
      <x:c r="AN1075" s="12" t="str">
        <x:f>IF(AC1075="deprecated","exclude",IF(AND(AG1075="yes",AJ1075="high"),"import_but_human_review_required",IF(AG1075="yes","import_as_active","import_as_backlog")))</x:f>
        <x:v>import_as_backlog</x:v>
      </x:c>
      <x:c r="AO1075" s="12" t="str">
        <x:f>IF(AND(AG1075="yes",OR(P1075="",Q1075="",R1075="",S1075="")),"missing_required_mvp_fields",IF(AND(AC1075="canonical",Y1075=""),"missing_source_ref","ok"))</x:f>
        <x:v>ok</x:v>
      </x:c>
      <x:c r="AP1075" s="12" t="str">
        <x:f>IF(AO1075="ok","ready_for_codex_import","needs_review")</x:f>
        <x:v>ready_for_codex_import</x:v>
      </x:c>
      <x:c r="AQ1075" s="12"/>
      <x:c r="AR1075" s="12" t="str">
        <x:v>Added v2 operational fields. Review before classification activation.</x:v>
      </x:c>
    </x:row>
    <x:row r="1076">
      <x:c r="A1076" s="13" t="str">
        <x:v>steelman_interpretation_counterargument_variant</x:v>
      </x:c>
      <x:c r="B1076" s="13" t="str">
        <x:v>steelman_interpretation</x:v>
      </x:c>
      <x:c r="C1076" s="13" t="str">
        <x:v>Steelman interpretation</x:v>
      </x:c>
      <x:c r="D1076" s="13" t="str">
        <x:v>تقویت منصفانه موضع مقابل</x:v>
      </x:c>
      <x:c r="E1076" s="13" t="str">
        <x:v>Counterargument variant</x:v>
      </x:c>
      <x:c r="F1076" s="13" t="str">
        <x:v>healthy_reasoning_patterns</x:v>
      </x:c>
      <x:c r="G1076" s="13" t="str">
        <x:v>operational_variant</x:v>
      </x:c>
      <x:c r="H1076" s="13" t="str">
        <x:v>dialogue</x:v>
      </x:c>
      <x:c r="I1076" s="13" t="str">
        <x:v>discourse_segment</x:v>
      </x:c>
      <x:c r="J1076" s="13" t="str">
        <x:v>protective_pattern</x:v>
      </x:c>
      <x:c r="K1076" s="13" t="str">
        <x:v>operational_pattern_needs_review</x:v>
      </x:c>
      <x:c r="L1076" s="13" t="str">
        <x:v>P2</x:v>
      </x:c>
      <x:c r="M1076" s="13" t="str">
        <x:v>review</x:v>
      </x:c>
      <x:c r="N1076" s="13" t="str">
        <x:v>Protective reasoning pattern under Steelman interpretation: the text considers alternatives or objections. It should reduce risk scores when supported by evidence.</x:v>
      </x:c>
      <x:c r="O1076" s="13" t="str">
        <x:v>Look for: explicit claim-level evidence; parent-family cues for Steelman interpretation; variant cue: the text considers alternatives or objections; avoid author-level inference.</x:v>
      </x:c>
      <x:c r="P1076" s="13" t="str">
        <x:v>Exact evidence span in text plus claim-level reasoning link; for contextual/discourse entries, require surrounding context.</x:v>
      </x:c>
      <x:c r="Q1076" s="13" t="str">
        <x:v>Do not label merely because topic is controversial, emotional, or wrong. Do not judge intent or personality. Require textual evidence and consider healthy-reasoning cues.</x:v>
      </x:c>
      <x:c r="R1076" s="13" t="str">
        <x:v>Stub: A claim relies on the text considers alternatives or objections to support a conclusion without adequate qualification.</x:v>
      </x:c>
      <x:c r="S1076" s="13" t="str">
        <x:v>Stub: A claim discusses steelman interpretation with caveats, balanced evidence, or no argumentative use of the pattern.</x:v>
      </x:c>
      <x:c r="T1076" s="13" t="str">
        <x:v>Weak protective cue; keep normal review.</x:v>
      </x:c>
      <x:c r="U1076" s="13" t="str">
        <x:v>Clear protective cue; reduce false-positive risk.</x:v>
      </x:c>
      <x:c r="V1076" s="13" t="str">
        <x:v>Strong protective cue; require stronger evidence before assigning risk labels.</x:v>
      </x:c>
      <x:c r="W1076" s="13" t="str"/>
      <x:c r="X1076" s="13" t="str">
        <x:v>toulmin_uses_argument</x:v>
      </x:c>
      <x:c r="Y1076" s="13" t="str">
        <x:v>https://doi.org/10.1017/CBO9780511840005</x:v>
      </x:c>
      <x:c r="Z1076" s="13" t="str">
        <x:v>Review before enabling. This workbook is a living taxonomy scaffold, not a validated scientific benchmark.</x:v>
      </x:c>
      <x:c r="AA1076" s="13" t="str">
        <x:v>0.1.0-draft</x:v>
      </x:c>
      <x:c r="AB1076" s="12" t="str">
        <x:f>IF(ISNUMBER(SEARCH("healthy",F1076)),"healthy_reasoning_patterns",IF(ISNUMBER(SEARCH("statistical",F1076)),"statistical_reasoning",IF(ISNUMBER(SEARCH("causal",F1076)),"causal_reasoning",IF(ISNUMBER(SEARCH("social",F1076)),"social_influence",IF(ISNUMBER(SEARCH("rhetoric",F1076)),"rhetoric_discourse",IF(ISNUMBER(SEARCH("behavior",F1076)),"behavioural_economics",IF(ISNUMBER(SEARCH("cognitive",F1076)),"cognitive_biases",IF(J1076="protective_pattern","healthy_reasoning_patterns",IF(L1076="P0","core_mvp","extended_fallacies")))))))))</x:f>
        <x:v>healthy_reasoning_patterns</x:v>
      </x:c>
      <x:c r="AC1076" s="12" t="str">
        <x:f>IF(ISNUMBER(SEARCH("operational",J1076)),"operational",IF(ISNUMBER(SEARCH("deprecated",J1076)),"deprecated",IF(L1076="P0","canonical","recognized_subtype")))</x:f>
        <x:v>recognized_subtype</x:v>
      </x:c>
      <x:c r="AD1076" s="12" t="str">
        <x:f>IF(AC1076="canonical","high",IF(AC1076="recognized_subtype","medium",IF(AC1076="operational","operational_only","debated")))</x:f>
        <x:v>medium</x:v>
      </x:c>
      <x:c r="AE1076" s="12" t="str">
        <x:f>IF(AC1076="deprecated","deprecated",IF(M1076="yes","active",IF(M1076="review","review_required","backlog")))</x:f>
        <x:v>review_required</x:v>
      </x:c>
      <x:c r="AF1076" s="12" t="str">
        <x:f>IF(OR(AE1076="active",AE1076="review_required"),"yes","no")</x:f>
        <x:v>yes</x:v>
      </x:c>
      <x:c r="AG1076" s="12" t="str">
        <x:f>IF(AND(AE1076="active",M1076="yes",NOT(ISNUMBER(SEARCH("healthy",AB1076)))),"yes","no")</x:f>
        <x:v>no</x:v>
      </x:c>
      <x:c r="AH1076" s="12" t="str">
        <x:f>IF(OR(H1076="contextual",H1076="dialogue",H1076="discourse",I1076="claim+context",I1076="discourse_segment"),"yes","no")</x:f>
        <x:v>yes</x:v>
      </x:c>
      <x:c r="AI1076" s="12" t="str">
        <x:f>IF(OR(AH1076="yes",AD1076="debated",AC1076="operational"),"yes","no")</x:f>
        <x:v>yes</x:v>
      </x:c>
      <x:c r="AJ1076" s="12" t="str">
        <x:f>IF(OR(AH1076="yes",AC1076="operational",AD1076="debated"),"high",IF(AND(AG1076="yes",L1076="P0"),"medium","low"))</x:f>
        <x:v>high</x:v>
      </x:c>
      <x:c r="AK1076" s="12" t="str">
        <x:f>IF(ISNUMBER(SEARCH("healthy",AB1076)),"yes","no")</x:f>
        <x:v>yes</x:v>
      </x:c>
      <x:c r="AL1076" s="12" t="str">
        <x:f>IF(AG1076="yes","yes","candidate_only")</x:f>
        <x:v>candidate_only</x:v>
      </x:c>
      <x:c r="AM1076" s="12" t="str">
        <x:f>IF(OR(AC1076="canonical",AG1076="yes"),"yes","recommended")</x:f>
        <x:v>recommended</x:v>
      </x:c>
      <x:c r="AN1076" s="12" t="str">
        <x:f>IF(AC1076="deprecated","exclude",IF(AND(AG1076="yes",AJ1076="high"),"import_but_human_review_required",IF(AG1076="yes","import_as_active","import_as_backlog")))</x:f>
        <x:v>import_as_backlog</x:v>
      </x:c>
      <x:c r="AO1076" s="12" t="str">
        <x:f>IF(AND(AG1076="yes",OR(P1076="",Q1076="",R1076="",S1076="")),"missing_required_mvp_fields",IF(AND(AC1076="canonical",Y1076=""),"missing_source_ref","ok"))</x:f>
        <x:v>ok</x:v>
      </x:c>
      <x:c r="AP1076" s="12" t="str">
        <x:f>IF(AO1076="ok","ready_for_codex_import","needs_review")</x:f>
        <x:v>ready_for_codex_import</x:v>
      </x:c>
      <x:c r="AQ1076" s="12"/>
      <x:c r="AR1076" s="12" t="str">
        <x:v>Added v2 operational fields. Review before classification activation.</x:v>
      </x:c>
    </x:row>
    <x:row r="1077">
      <x:c r="A1077" s="13" t="str">
        <x:v>decision_threshold_statement_counterargument_variant</x:v>
      </x:c>
      <x:c r="B1077" s="13" t="str">
        <x:v>decision_threshold_statement</x:v>
      </x:c>
      <x:c r="C1077" s="13" t="str">
        <x:v>Decision threshold statement</x:v>
      </x:c>
      <x:c r="D1077" s="13" t="str">
        <x:v>بیان آستانه تصمیم</x:v>
      </x:c>
      <x:c r="E1077" s="13" t="str">
        <x:v>Counterargument variant</x:v>
      </x:c>
      <x:c r="F1077" s="13" t="str">
        <x:v>healthy_reasoning_patterns</x:v>
      </x:c>
      <x:c r="G1077" s="13" t="str">
        <x:v>operational_variant</x:v>
      </x:c>
      <x:c r="H1077" s="13" t="str">
        <x:v>contextual</x:v>
      </x:c>
      <x:c r="I1077" s="13" t="str">
        <x:v>claim+context</x:v>
      </x:c>
      <x:c r="J1077" s="13" t="str">
        <x:v>protective_pattern</x:v>
      </x:c>
      <x:c r="K1077" s="13" t="str">
        <x:v>operational_pattern_needs_review</x:v>
      </x:c>
      <x:c r="L1077" s="13" t="str">
        <x:v>P2</x:v>
      </x:c>
      <x:c r="M1077" s="13" t="str">
        <x:v>review</x:v>
      </x:c>
      <x:c r="N1077" s="13" t="str">
        <x:v>Protective reasoning pattern under Decision threshold statement: the text considers alternatives or objections. It should reduce risk scores when supported by evidence.</x:v>
      </x:c>
      <x:c r="O1077" s="13" t="str">
        <x:v>Look for: explicit claim-level evidence; parent-family cues for Decision threshold statement; variant cue: the text considers alternatives or objections; avoid author-level inference.</x:v>
      </x:c>
      <x:c r="P1077" s="13" t="str">
        <x:v>Exact evidence span in text plus claim-level reasoning link; for contextual/discourse entries, require surrounding context.</x:v>
      </x:c>
      <x:c r="Q1077" s="13" t="str">
        <x:v>Do not label merely because topic is controversial, emotional, or wrong. Do not judge intent or personality. Require textual evidence and consider healthy-reasoning cues.</x:v>
      </x:c>
      <x:c r="R1077" s="13" t="str">
        <x:v>Stub: A claim relies on the text considers alternatives or objections to support a conclusion without adequate qualification.</x:v>
      </x:c>
      <x:c r="S1077" s="13" t="str">
        <x:v>Stub: A claim discusses decision threshold statement with caveats, balanced evidence, or no argumentative use of the pattern.</x:v>
      </x:c>
      <x:c r="T1077" s="13" t="str">
        <x:v>Weak protective cue; keep normal review.</x:v>
      </x:c>
      <x:c r="U1077" s="13" t="str">
        <x:v>Clear protective cue; reduce false-positive risk.</x:v>
      </x:c>
      <x:c r="V1077" s="13" t="str">
        <x:v>Strong protective cue; require stronger evidence before assigning risk labels.</x:v>
      </x:c>
      <x:c r="W1077" s="13" t="str">
        <x:v>cherry_picking; missing_counterevidence; evidence_grading</x:v>
      </x:c>
      <x:c r="X1077" s="13" t="str">
        <x:v>stanovich_dual_process</x:v>
      </x:c>
      <x:c r="Y1077" s="13" t="str">
        <x:v>https://global.oup.com/academic/product/rationality-and-the-reflective-mind-9780195341140</x:v>
      </x:c>
      <x:c r="Z1077" s="13" t="str">
        <x:v>Review before enabling. This workbook is a living taxonomy scaffold, not a validated scientific benchmark.</x:v>
      </x:c>
      <x:c r="AA1077" s="13" t="str">
        <x:v>0.1.0-draft</x:v>
      </x:c>
      <x:c r="AB1077" s="12" t="str">
        <x:f>IF(ISNUMBER(SEARCH("healthy",F1077)),"healthy_reasoning_patterns",IF(ISNUMBER(SEARCH("statistical",F1077)),"statistical_reasoning",IF(ISNUMBER(SEARCH("causal",F1077)),"causal_reasoning",IF(ISNUMBER(SEARCH("social",F1077)),"social_influence",IF(ISNUMBER(SEARCH("rhetoric",F1077)),"rhetoric_discourse",IF(ISNUMBER(SEARCH("behavior",F1077)),"behavioural_economics",IF(ISNUMBER(SEARCH("cognitive",F1077)),"cognitive_biases",IF(J1077="protective_pattern","healthy_reasoning_patterns",IF(L1077="P0","core_mvp","extended_fallacies")))))))))</x:f>
        <x:v>healthy_reasoning_patterns</x:v>
      </x:c>
      <x:c r="AC1077" s="12" t="str">
        <x:f>IF(ISNUMBER(SEARCH("operational",J1077)),"operational",IF(ISNUMBER(SEARCH("deprecated",J1077)),"deprecated",IF(L1077="P0","canonical","recognized_subtype")))</x:f>
        <x:v>recognized_subtype</x:v>
      </x:c>
      <x:c r="AD1077" s="12" t="str">
        <x:f>IF(AC1077="canonical","high",IF(AC1077="recognized_subtype","medium",IF(AC1077="operational","operational_only","debated")))</x:f>
        <x:v>medium</x:v>
      </x:c>
      <x:c r="AE1077" s="12" t="str">
        <x:f>IF(AC1077="deprecated","deprecated",IF(M1077="yes","active",IF(M1077="review","review_required","backlog")))</x:f>
        <x:v>review_required</x:v>
      </x:c>
      <x:c r="AF1077" s="12" t="str">
        <x:f>IF(OR(AE1077="active",AE1077="review_required"),"yes","no")</x:f>
        <x:v>yes</x:v>
      </x:c>
      <x:c r="AG1077" s="12" t="str">
        <x:f>IF(AND(AE1077="active",M1077="yes",NOT(ISNUMBER(SEARCH("healthy",AB1077)))),"yes","no")</x:f>
        <x:v>no</x:v>
      </x:c>
      <x:c r="AH1077" s="12" t="str">
        <x:f>IF(OR(H1077="contextual",H1077="dialogue",H1077="discourse",I1077="claim+context",I1077="discourse_segment"),"yes","no")</x:f>
        <x:v>yes</x:v>
      </x:c>
      <x:c r="AI1077" s="12" t="str">
        <x:f>IF(OR(AH1077="yes",AD1077="debated",AC1077="operational"),"yes","no")</x:f>
        <x:v>yes</x:v>
      </x:c>
      <x:c r="AJ1077" s="12" t="str">
        <x:f>IF(OR(AH1077="yes",AC1077="operational",AD1077="debated"),"high",IF(AND(AG1077="yes",L1077="P0"),"medium","low"))</x:f>
        <x:v>high</x:v>
      </x:c>
      <x:c r="AK1077" s="12" t="str">
        <x:f>IF(ISNUMBER(SEARCH("healthy",AB1077)),"yes","no")</x:f>
        <x:v>yes</x:v>
      </x:c>
      <x:c r="AL1077" s="12" t="str">
        <x:f>IF(AG1077="yes","yes","candidate_only")</x:f>
        <x:v>candidate_only</x:v>
      </x:c>
      <x:c r="AM1077" s="12" t="str">
        <x:f>IF(OR(AC1077="canonical",AG1077="yes"),"yes","recommended")</x:f>
        <x:v>recommended</x:v>
      </x:c>
      <x:c r="AN1077" s="12" t="str">
        <x:f>IF(AC1077="deprecated","exclude",IF(AND(AG1077="yes",AJ1077="high"),"import_but_human_review_required",IF(AG1077="yes","import_as_active","import_as_backlog")))</x:f>
        <x:v>import_as_backlog</x:v>
      </x:c>
      <x:c r="AO1077" s="12" t="str">
        <x:f>IF(AND(AG1077="yes",OR(P1077="",Q1077="",R1077="",S1077="")),"missing_required_mvp_fields",IF(AND(AC1077="canonical",Y1077=""),"missing_source_ref","ok"))</x:f>
        <x:v>ok</x:v>
      </x:c>
      <x:c r="AP1077" s="12" t="str">
        <x:f>IF(AO1077="ok","ready_for_codex_import","needs_review")</x:f>
        <x:v>ready_for_codex_import</x:v>
      </x:c>
      <x:c r="AQ1077" s="12"/>
      <x:c r="AR1077" s="12" t="str">
        <x:v>Added v2 operational fields. Review before classification activation.</x:v>
      </x:c>
    </x:row>
    <x:row r="1078">
      <x:c r="A1078" s="13" t="str">
        <x:v>pre_registered_criterion_counterargument_variant</x:v>
      </x:c>
      <x:c r="B1078" s="13" t="str">
        <x:v>pre_registered_criterion</x:v>
      </x:c>
      <x:c r="C1078" s="13" t="str">
        <x:v>Pre-specified criterion</x:v>
      </x:c>
      <x:c r="D1078" s="13" t="str">
        <x:v>معیار از پیش تعیین‌شده</x:v>
      </x:c>
      <x:c r="E1078" s="13" t="str">
        <x:v>Counterargument variant</x:v>
      </x:c>
      <x:c r="F1078" s="13" t="str">
        <x:v>healthy_reasoning_patterns</x:v>
      </x:c>
      <x:c r="G1078" s="13" t="str">
        <x:v>operational_variant</x:v>
      </x:c>
      <x:c r="H1078" s="13" t="str">
        <x:v>contextual</x:v>
      </x:c>
      <x:c r="I1078" s="13" t="str">
        <x:v>claim+context</x:v>
      </x:c>
      <x:c r="J1078" s="13" t="str">
        <x:v>protective_pattern</x:v>
      </x:c>
      <x:c r="K1078" s="13" t="str">
        <x:v>operational_pattern_needs_review</x:v>
      </x:c>
      <x:c r="L1078" s="13" t="str">
        <x:v>P2</x:v>
      </x:c>
      <x:c r="M1078" s="13" t="str">
        <x:v>review</x:v>
      </x:c>
      <x:c r="N1078" s="13" t="str">
        <x:v>Protective reasoning pattern under Pre-specified criterion: the text considers alternatives or objections. It should reduce risk scores when supported by evidence.</x:v>
      </x:c>
      <x:c r="O1078" s="13" t="str">
        <x:v>Look for: explicit claim-level evidence; parent-family cues for Pre-specified criterion; variant cue: the text considers alternatives or objections; avoid author-level inference.</x:v>
      </x:c>
      <x:c r="P1078" s="13" t="str">
        <x:v>Exact evidence span in text plus claim-level reasoning link; for contextual/discourse entries, require surrounding context.</x:v>
      </x:c>
      <x:c r="Q1078" s="13" t="str">
        <x:v>Do not label merely because topic is controversial, emotional, or wrong. Do not judge intent or personality. Require textual evidence and consider healthy-reasoning cues.</x:v>
      </x:c>
      <x:c r="R1078" s="13" t="str">
        <x:v>Stub: A claim relies on the text considers alternatives or objections to support a conclusion without adequate qualification.</x:v>
      </x:c>
      <x:c r="S1078" s="13" t="str">
        <x:v>Stub: A claim discusses pre-specified criterion with caveats, balanced evidence, or no argumentative use of the pattern.</x:v>
      </x:c>
      <x:c r="T1078" s="13" t="str">
        <x:v>Weak protective cue; keep normal review.</x:v>
      </x:c>
      <x:c r="U1078" s="13" t="str">
        <x:v>Clear protective cue; reduce false-positive risk.</x:v>
      </x:c>
      <x:c r="V1078" s="13" t="str">
        <x:v>Strong protective cue; require stronger evidence before assigning risk labels.</x:v>
      </x:c>
      <x:c r="W1078" s="13" t="str"/>
      <x:c r="X1078" s="13" t="str">
        <x:v>stanovich_dual_process</x:v>
      </x:c>
      <x:c r="Y1078" s="13" t="str">
        <x:v>https://global.oup.com/academic/product/rationality-and-the-reflective-mind-9780195341140</x:v>
      </x:c>
      <x:c r="Z1078" s="13" t="str">
        <x:v>Review before enabling. This workbook is a living taxonomy scaffold, not a validated scientific benchmark.</x:v>
      </x:c>
      <x:c r="AA1078" s="13" t="str">
        <x:v>0.1.0-draft</x:v>
      </x:c>
      <x:c r="AB1078" s="12" t="str">
        <x:f>IF(ISNUMBER(SEARCH("healthy",F1078)),"healthy_reasoning_patterns",IF(ISNUMBER(SEARCH("statistical",F1078)),"statistical_reasoning",IF(ISNUMBER(SEARCH("causal",F1078)),"causal_reasoning",IF(ISNUMBER(SEARCH("social",F1078)),"social_influence",IF(ISNUMBER(SEARCH("rhetoric",F1078)),"rhetoric_discourse",IF(ISNUMBER(SEARCH("behavior",F1078)),"behavioural_economics",IF(ISNUMBER(SEARCH("cognitive",F1078)),"cognitive_biases",IF(J1078="protective_pattern","healthy_reasoning_patterns",IF(L1078="P0","core_mvp","extended_fallacies")))))))))</x:f>
        <x:v>healthy_reasoning_patterns</x:v>
      </x:c>
      <x:c r="AC1078" s="12" t="str">
        <x:f>IF(ISNUMBER(SEARCH("operational",J1078)),"operational",IF(ISNUMBER(SEARCH("deprecated",J1078)),"deprecated",IF(L1078="P0","canonical","recognized_subtype")))</x:f>
        <x:v>recognized_subtype</x:v>
      </x:c>
      <x:c r="AD1078" s="12" t="str">
        <x:f>IF(AC1078="canonical","high",IF(AC1078="recognized_subtype","medium",IF(AC1078="operational","operational_only","debated")))</x:f>
        <x:v>medium</x:v>
      </x:c>
      <x:c r="AE1078" s="12" t="str">
        <x:f>IF(AC1078="deprecated","deprecated",IF(M1078="yes","active",IF(M1078="review","review_required","backlog")))</x:f>
        <x:v>review_required</x:v>
      </x:c>
      <x:c r="AF1078" s="12" t="str">
        <x:f>IF(OR(AE1078="active",AE1078="review_required"),"yes","no")</x:f>
        <x:v>yes</x:v>
      </x:c>
      <x:c r="AG1078" s="12" t="str">
        <x:f>IF(AND(AE1078="active",M1078="yes",NOT(ISNUMBER(SEARCH("healthy",AB1078)))),"yes","no")</x:f>
        <x:v>no</x:v>
      </x:c>
      <x:c r="AH1078" s="12" t="str">
        <x:f>IF(OR(H1078="contextual",H1078="dialogue",H1078="discourse",I1078="claim+context",I1078="discourse_segment"),"yes","no")</x:f>
        <x:v>yes</x:v>
      </x:c>
      <x:c r="AI1078" s="12" t="str">
        <x:f>IF(OR(AH1078="yes",AD1078="debated",AC1078="operational"),"yes","no")</x:f>
        <x:v>yes</x:v>
      </x:c>
      <x:c r="AJ1078" s="12" t="str">
        <x:f>IF(OR(AH1078="yes",AC1078="operational",AD1078="debated"),"high",IF(AND(AG1078="yes",L1078="P0"),"medium","low"))</x:f>
        <x:v>high</x:v>
      </x:c>
      <x:c r="AK1078" s="12" t="str">
        <x:f>IF(ISNUMBER(SEARCH("healthy",AB1078)),"yes","no")</x:f>
        <x:v>yes</x:v>
      </x:c>
      <x:c r="AL1078" s="12" t="str">
        <x:f>IF(AG1078="yes","yes","candidate_only")</x:f>
        <x:v>candidate_only</x:v>
      </x:c>
      <x:c r="AM1078" s="12" t="str">
        <x:f>IF(OR(AC1078="canonical",AG1078="yes"),"yes","recommended")</x:f>
        <x:v>recommended</x:v>
      </x:c>
      <x:c r="AN1078" s="12" t="str">
        <x:f>IF(AC1078="deprecated","exclude",IF(AND(AG1078="yes",AJ1078="high"),"import_but_human_review_required",IF(AG1078="yes","import_as_active","import_as_backlog")))</x:f>
        <x:v>import_as_backlog</x:v>
      </x:c>
      <x:c r="AO1078" s="12" t="str">
        <x:f>IF(AND(AG1078="yes",OR(P1078="",Q1078="",R1078="",S1078="")),"missing_required_mvp_fields",IF(AND(AC1078="canonical",Y1078=""),"missing_source_ref","ok"))</x:f>
        <x:v>ok</x:v>
      </x:c>
      <x:c r="AP1078" s="12" t="str">
        <x:f>IF(AO1078="ok","ready_for_codex_import","needs_review")</x:f>
        <x:v>ready_for_codex_import</x:v>
      </x:c>
      <x:c r="AQ1078" s="12"/>
      <x:c r="AR1078" s="12" t="str">
        <x:v>Added v2 operational fields. Review before classification activation.</x:v>
      </x:c>
    </x:row>
    <x:row r="1079">
      <x:c r="A1079" s="13" t="str">
        <x:v>uncertainty_interval_reported_counterargument_variant</x:v>
      </x:c>
      <x:c r="B1079" s="13" t="str">
        <x:v>uncertainty_interval_reported</x:v>
      </x:c>
      <x:c r="C1079" s="13" t="str">
        <x:v>Uncertainty interval reported</x:v>
      </x:c>
      <x:c r="D1079" s="13" t="str">
        <x:v>گزارش بازه عدم قطعیت</x:v>
      </x:c>
      <x:c r="E1079" s="13" t="str">
        <x:v>Counterargument variant</x:v>
      </x:c>
      <x:c r="F1079" s="13" t="str">
        <x:v>healthy_reasoning_patterns</x:v>
      </x:c>
      <x:c r="G1079" s="13" t="str">
        <x:v>operational_variant</x:v>
      </x:c>
      <x:c r="H1079" s="13" t="str">
        <x:v>lexical</x:v>
      </x:c>
      <x:c r="I1079" s="13" t="str">
        <x:v>claim</x:v>
      </x:c>
      <x:c r="J1079" s="13" t="str">
        <x:v>protective_pattern</x:v>
      </x:c>
      <x:c r="K1079" s="13" t="str">
        <x:v>operational_pattern_needs_review</x:v>
      </x:c>
      <x:c r="L1079" s="13" t="str">
        <x:v>P2</x:v>
      </x:c>
      <x:c r="M1079" s="13" t="str">
        <x:v>review</x:v>
      </x:c>
      <x:c r="N1079" s="13" t="str">
        <x:v>Protective reasoning pattern under Uncertainty interval reported: the text considers alternatives or objections. It should reduce risk scores when supported by evidence.</x:v>
      </x:c>
      <x:c r="O1079" s="13" t="str">
        <x:v>Look for: explicit claim-level evidence; parent-family cues for Uncertainty interval reported; variant cue: the text considers alternatives or objections; avoid author-level inference.</x:v>
      </x:c>
      <x:c r="P1079" s="13" t="str">
        <x:v>Exact evidence span in text plus claim-level reasoning link; for contextual/discourse entries, require surrounding context.</x:v>
      </x:c>
      <x:c r="Q1079" s="13" t="str">
        <x:v>Do not label merely because topic is controversial, emotional, or wrong. Do not judge intent or personality. Require textual evidence and consider healthy-reasoning cues.</x:v>
      </x:c>
      <x:c r="R1079" s="13" t="str">
        <x:v>Stub: A claim relies on the text considers alternatives or objections to support a conclusion without adequate qualification.</x:v>
      </x:c>
      <x:c r="S1079" s="13" t="str">
        <x:v>Stub: A claim discusses uncertainty interval reported with caveats, balanced evidence, or no argumentative use of the pattern.</x:v>
      </x:c>
      <x:c r="T1079" s="13" t="str">
        <x:v>Weak protective cue; keep normal review.</x:v>
      </x:c>
      <x:c r="U1079" s="13" t="str">
        <x:v>Clear protective cue; reduce false-positive risk.</x:v>
      </x:c>
      <x:c r="V1079" s="13" t="str">
        <x:v>Strong protective cue; require stronger evidence before assigning risk labels.</x:v>
      </x:c>
      <x:c r="W1079" s="13" t="str"/>
      <x:c r="X1079" s="13" t="str">
        <x:v>stanovich_dual_process</x:v>
      </x:c>
      <x:c r="Y1079" s="13" t="str">
        <x:v>https://global.oup.com/academic/product/rationality-and-the-reflective-mind-9780195341140</x:v>
      </x:c>
      <x:c r="Z1079" s="13" t="str">
        <x:v>Review before enabling. This workbook is a living taxonomy scaffold, not a validated scientific benchmark.</x:v>
      </x:c>
      <x:c r="AA1079" s="13" t="str">
        <x:v>0.1.0-draft</x:v>
      </x:c>
      <x:c r="AB1079" s="12" t="str">
        <x:f>IF(ISNUMBER(SEARCH("healthy",F1079)),"healthy_reasoning_patterns",IF(ISNUMBER(SEARCH("statistical",F1079)),"statistical_reasoning",IF(ISNUMBER(SEARCH("causal",F1079)),"causal_reasoning",IF(ISNUMBER(SEARCH("social",F1079)),"social_influence",IF(ISNUMBER(SEARCH("rhetoric",F1079)),"rhetoric_discourse",IF(ISNUMBER(SEARCH("behavior",F1079)),"behavioural_economics",IF(ISNUMBER(SEARCH("cognitive",F1079)),"cognitive_biases",IF(J1079="protective_pattern","healthy_reasoning_patterns",IF(L1079="P0","core_mvp","extended_fallacies")))))))))</x:f>
        <x:v>healthy_reasoning_patterns</x:v>
      </x:c>
      <x:c r="AC1079" s="12" t="str">
        <x:f>IF(ISNUMBER(SEARCH("operational",J1079)),"operational",IF(ISNUMBER(SEARCH("deprecated",J1079)),"deprecated",IF(L1079="P0","canonical","recognized_subtype")))</x:f>
        <x:v>recognized_subtype</x:v>
      </x:c>
      <x:c r="AD1079" s="12" t="str">
        <x:f>IF(AC1079="canonical","high",IF(AC1079="recognized_subtype","medium",IF(AC1079="operational","operational_only","debated")))</x:f>
        <x:v>medium</x:v>
      </x:c>
      <x:c r="AE1079" s="12" t="str">
        <x:f>IF(AC1079="deprecated","deprecated",IF(M1079="yes","active",IF(M1079="review","review_required","backlog")))</x:f>
        <x:v>review_required</x:v>
      </x:c>
      <x:c r="AF1079" s="12" t="str">
        <x:f>IF(OR(AE1079="active",AE1079="review_required"),"yes","no")</x:f>
        <x:v>yes</x:v>
      </x:c>
      <x:c r="AG1079" s="12" t="str">
        <x:f>IF(AND(AE1079="active",M1079="yes",NOT(ISNUMBER(SEARCH("healthy",AB1079)))),"yes","no")</x:f>
        <x:v>no</x:v>
      </x:c>
      <x:c r="AH1079" s="12" t="str">
        <x:f>IF(OR(H1079="contextual",H1079="dialogue",H1079="discourse",I1079="claim+context",I1079="discourse_segment"),"yes","no")</x:f>
        <x:v>no</x:v>
      </x:c>
      <x:c r="AI1079" s="12" t="str">
        <x:f>IF(OR(AH1079="yes",AD1079="debated",AC1079="operational"),"yes","no")</x:f>
        <x:v>no</x:v>
      </x:c>
      <x:c r="AJ1079" s="12" t="str">
        <x:f>IF(OR(AH1079="yes",AC1079="operational",AD1079="debated"),"high",IF(AND(AG1079="yes",L1079="P0"),"medium","low"))</x:f>
        <x:v>low</x:v>
      </x:c>
      <x:c r="AK1079" s="12" t="str">
        <x:f>IF(ISNUMBER(SEARCH("healthy",AB1079)),"yes","no")</x:f>
        <x:v>yes</x:v>
      </x:c>
      <x:c r="AL1079" s="12" t="str">
        <x:f>IF(AG1079="yes","yes","candidate_only")</x:f>
        <x:v>candidate_only</x:v>
      </x:c>
      <x:c r="AM1079" s="12" t="str">
        <x:f>IF(OR(AC1079="canonical",AG1079="yes"),"yes","recommended")</x:f>
        <x:v>recommended</x:v>
      </x:c>
      <x:c r="AN1079" s="12" t="str">
        <x:f>IF(AC1079="deprecated","exclude",IF(AND(AG1079="yes",AJ1079="high"),"import_but_human_review_required",IF(AG1079="yes","import_as_active","import_as_backlog")))</x:f>
        <x:v>import_as_backlog</x:v>
      </x:c>
      <x:c r="AO1079" s="12" t="str">
        <x:f>IF(AND(AG1079="yes",OR(P1079="",Q1079="",R1079="",S1079="")),"missing_required_mvp_fields",IF(AND(AC1079="canonical",Y1079=""),"missing_source_ref","ok"))</x:f>
        <x:v>ok</x:v>
      </x:c>
      <x:c r="AP1079" s="12" t="str">
        <x:f>IF(AO1079="ok","ready_for_codex_import","needs_review")</x:f>
        <x:v>ready_for_codex_import</x:v>
      </x:c>
      <x:c r="AQ1079" s="12"/>
      <x:c r="AR1079" s="12" t="str">
        <x:v>Added v2 operational fields. Review before classification activation.</x:v>
      </x:c>
    </x:row>
    <x:row r="1080">
      <x:c r="A1080" s="13" t="str">
        <x:v>balanced_evidence_summary_counterargument_variant</x:v>
      </x:c>
      <x:c r="B1080" s="13" t="str">
        <x:v>balanced_evidence_summary</x:v>
      </x:c>
      <x:c r="C1080" s="13" t="str">
        <x:v>Balanced evidence summary</x:v>
      </x:c>
      <x:c r="D1080" s="13" t="str">
        <x:v>خلاصه متوازن شواهد</x:v>
      </x:c>
      <x:c r="E1080" s="13" t="str">
        <x:v>Counterargument variant</x:v>
      </x:c>
      <x:c r="F1080" s="13" t="str">
        <x:v>healthy_reasoning_patterns</x:v>
      </x:c>
      <x:c r="G1080" s="13" t="str">
        <x:v>operational_variant</x:v>
      </x:c>
      <x:c r="H1080" s="13" t="str">
        <x:v>contextual</x:v>
      </x:c>
      <x:c r="I1080" s="13" t="str">
        <x:v>claim+context</x:v>
      </x:c>
      <x:c r="J1080" s="13" t="str">
        <x:v>protective_pattern</x:v>
      </x:c>
      <x:c r="K1080" s="13" t="str">
        <x:v>operational_pattern_needs_review</x:v>
      </x:c>
      <x:c r="L1080" s="13" t="str">
        <x:v>P2</x:v>
      </x:c>
      <x:c r="M1080" s="13" t="str">
        <x:v>review</x:v>
      </x:c>
      <x:c r="N1080" s="13" t="str">
        <x:v>Protective reasoning pattern under Balanced evidence summary: the text considers alternatives or objections. It should reduce risk scores when supported by evidence.</x:v>
      </x:c>
      <x:c r="O1080" s="13" t="str">
        <x:v>Look for: explicit claim-level evidence; parent-family cues for Balanced evidence summary; variant cue: the text considers alternatives or objections; avoid author-level inference.</x:v>
      </x:c>
      <x:c r="P1080" s="13" t="str">
        <x:v>Exact evidence span in text plus claim-level reasoning link; for contextual/discourse entries, require surrounding context.</x:v>
      </x:c>
      <x:c r="Q1080" s="13" t="str">
        <x:v>Do not label merely because topic is controversial, emotional, or wrong. Do not judge intent or personality. Require textual evidence and consider healthy-reasoning cues.</x:v>
      </x:c>
      <x:c r="R1080" s="13" t="str">
        <x:v>Stub: A claim relies on the text considers alternatives or objections to support a conclusion without adequate qualification.</x:v>
      </x:c>
      <x:c r="S1080" s="13" t="str">
        <x:v>Stub: A claim discusses balanced evidence summary with caveats, balanced evidence, or no argumentative use of the pattern.</x:v>
      </x:c>
      <x:c r="T1080" s="13" t="str">
        <x:v>Weak protective cue; keep normal review.</x:v>
      </x:c>
      <x:c r="U1080" s="13" t="str">
        <x:v>Clear protective cue; reduce false-positive risk.</x:v>
      </x:c>
      <x:c r="V1080" s="13" t="str">
        <x:v>Strong protective cue; require stronger evidence before assigning risk labels.</x:v>
      </x:c>
      <x:c r="W1080" s="13" t="str">
        <x:v>cherry_picking; missing_counterevidence; evidence_grading</x:v>
      </x:c>
      <x:c r="X1080" s="13" t="str">
        <x:v>sep_informal_logic</x:v>
      </x:c>
      <x:c r="Y1080" s="13" t="str">
        <x:v>https://plato.stanford.edu/entries/logic-informal/</x:v>
      </x:c>
      <x:c r="Z1080" s="13" t="str">
        <x:v>Review before enabling. This workbook is a living taxonomy scaffold, not a validated scientific benchmark.</x:v>
      </x:c>
      <x:c r="AA1080" s="13" t="str">
        <x:v>0.1.0-draft</x:v>
      </x:c>
      <x:c r="AB1080" s="12" t="str">
        <x:f>IF(ISNUMBER(SEARCH("healthy",F1080)),"healthy_reasoning_patterns",IF(ISNUMBER(SEARCH("statistical",F1080)),"statistical_reasoning",IF(ISNUMBER(SEARCH("causal",F1080)),"causal_reasoning",IF(ISNUMBER(SEARCH("social",F1080)),"social_influence",IF(ISNUMBER(SEARCH("rhetoric",F1080)),"rhetoric_discourse",IF(ISNUMBER(SEARCH("behavior",F1080)),"behavioural_economics",IF(ISNUMBER(SEARCH("cognitive",F1080)),"cognitive_biases",IF(J1080="protective_pattern","healthy_reasoning_patterns",IF(L1080="P0","core_mvp","extended_fallacies")))))))))</x:f>
        <x:v>healthy_reasoning_patterns</x:v>
      </x:c>
      <x:c r="AC1080" s="12" t="str">
        <x:f>IF(ISNUMBER(SEARCH("operational",J1080)),"operational",IF(ISNUMBER(SEARCH("deprecated",J1080)),"deprecated",IF(L1080="P0","canonical","recognized_subtype")))</x:f>
        <x:v>recognized_subtype</x:v>
      </x:c>
      <x:c r="AD1080" s="12" t="str">
        <x:f>IF(AC1080="canonical","high",IF(AC1080="recognized_subtype","medium",IF(AC1080="operational","operational_only","debated")))</x:f>
        <x:v>medium</x:v>
      </x:c>
      <x:c r="AE1080" s="12" t="str">
        <x:f>IF(AC1080="deprecated","deprecated",IF(M1080="yes","active",IF(M1080="review","review_required","backlog")))</x:f>
        <x:v>review_required</x:v>
      </x:c>
      <x:c r="AF1080" s="12" t="str">
        <x:f>IF(OR(AE1080="active",AE1080="review_required"),"yes","no")</x:f>
        <x:v>yes</x:v>
      </x:c>
      <x:c r="AG1080" s="12" t="str">
        <x:f>IF(AND(AE1080="active",M1080="yes",NOT(ISNUMBER(SEARCH("healthy",AB1080)))),"yes","no")</x:f>
        <x:v>no</x:v>
      </x:c>
      <x:c r="AH1080" s="12" t="str">
        <x:f>IF(OR(H1080="contextual",H1080="dialogue",H1080="discourse",I1080="claim+context",I1080="discourse_segment"),"yes","no")</x:f>
        <x:v>yes</x:v>
      </x:c>
      <x:c r="AI1080" s="12" t="str">
        <x:f>IF(OR(AH1080="yes",AD1080="debated",AC1080="operational"),"yes","no")</x:f>
        <x:v>yes</x:v>
      </x:c>
      <x:c r="AJ1080" s="12" t="str">
        <x:f>IF(OR(AH1080="yes",AC1080="operational",AD1080="debated"),"high",IF(AND(AG1080="yes",L1080="P0"),"medium","low"))</x:f>
        <x:v>high</x:v>
      </x:c>
      <x:c r="AK1080" s="12" t="str">
        <x:f>IF(ISNUMBER(SEARCH("healthy",AB1080)),"yes","no")</x:f>
        <x:v>yes</x:v>
      </x:c>
      <x:c r="AL1080" s="12" t="str">
        <x:f>IF(AG1080="yes","yes","candidate_only")</x:f>
        <x:v>candidate_only</x:v>
      </x:c>
      <x:c r="AM1080" s="12" t="str">
        <x:f>IF(OR(AC1080="canonical",AG1080="yes"),"yes","recommended")</x:f>
        <x:v>recommended</x:v>
      </x:c>
      <x:c r="AN1080" s="12" t="str">
        <x:f>IF(AC1080="deprecated","exclude",IF(AND(AG1080="yes",AJ1080="high"),"import_but_human_review_required",IF(AG1080="yes","import_as_active","import_as_backlog")))</x:f>
        <x:v>import_as_backlog</x:v>
      </x:c>
      <x:c r="AO1080" s="12" t="str">
        <x:f>IF(AND(AG1080="yes",OR(P1080="",Q1080="",R1080="",S1080="")),"missing_required_mvp_fields",IF(AND(AC1080="canonical",Y1080=""),"missing_source_ref","ok"))</x:f>
        <x:v>ok</x:v>
      </x:c>
      <x:c r="AP1080" s="12" t="str">
        <x:f>IF(AO1080="ok","ready_for_codex_import","needs_review")</x:f>
        <x:v>ready_for_codex_import</x:v>
      </x:c>
      <x:c r="AQ1080" s="12"/>
      <x:c r="AR1080" s="12" t="str">
        <x:v>Added v2 operational fields. Review before classification activation.</x:v>
      </x:c>
    </x:row>
    <x:row r="1081">
      <x:c r="A1081" s="13" t="str">
        <x:v>human_review_trigger_counterargument_variant</x:v>
      </x:c>
      <x:c r="B1081" s="13" t="str">
        <x:v>human_review_trigger</x:v>
      </x:c>
      <x:c r="C1081" s="13" t="str">
        <x:v>Human-review trigger</x:v>
      </x:c>
      <x:c r="D1081" s="13" t="str">
        <x:v>ارجاع به بازبینی انسانی</x:v>
      </x:c>
      <x:c r="E1081" s="13" t="str">
        <x:v>Counterargument variant</x:v>
      </x:c>
      <x:c r="F1081" s="13" t="str">
        <x:v>healthy_reasoning_patterns</x:v>
      </x:c>
      <x:c r="G1081" s="13" t="str">
        <x:v>operational_variant</x:v>
      </x:c>
      <x:c r="H1081" s="13" t="str">
        <x:v>dialogue</x:v>
      </x:c>
      <x:c r="I1081" s="13" t="str">
        <x:v>discourse_segment</x:v>
      </x:c>
      <x:c r="J1081" s="13" t="str">
        <x:v>protective_pattern</x:v>
      </x:c>
      <x:c r="K1081" s="13" t="str">
        <x:v>operational_pattern_needs_review</x:v>
      </x:c>
      <x:c r="L1081" s="13" t="str">
        <x:v>P2</x:v>
      </x:c>
      <x:c r="M1081" s="13" t="str">
        <x:v>review</x:v>
      </x:c>
      <x:c r="N1081" s="13" t="str">
        <x:v>Protective reasoning pattern under Human-review trigger: the text considers alternatives or objections. It should reduce risk scores when supported by evidence.</x:v>
      </x:c>
      <x:c r="O1081" s="13" t="str">
        <x:v>Look for: explicit claim-level evidence; parent-family cues for Human-review trigger; variant cue: the text considers alternatives or objections; avoid author-level inference.</x:v>
      </x:c>
      <x:c r="P1081" s="13" t="str">
        <x:v>Exact evidence span in text plus claim-level reasoning link; for contextual/discourse entries, require surrounding context.</x:v>
      </x:c>
      <x:c r="Q1081" s="13" t="str">
        <x:v>Do not label merely because topic is controversial, emotional, or wrong. Do not judge intent or personality. Require textual evidence and consider healthy-reasoning cues.</x:v>
      </x:c>
      <x:c r="R1081" s="13" t="str">
        <x:v>Stub: A claim relies on the text considers alternatives or objections to support a conclusion without adequate qualification.</x:v>
      </x:c>
      <x:c r="S1081" s="13" t="str">
        <x:v>Stub: A claim discusses human-review trigger with caveats, balanced evidence, or no argumentative use of the pattern.</x:v>
      </x:c>
      <x:c r="T1081" s="13" t="str">
        <x:v>Weak protective cue; keep normal review.</x:v>
      </x:c>
      <x:c r="U1081" s="13" t="str">
        <x:v>Clear protective cue; reduce false-positive risk.</x:v>
      </x:c>
      <x:c r="V1081" s="13" t="str">
        <x:v>Strong protective cue; require stronger evidence before assigning risk labels.</x:v>
      </x:c>
      <x:c r="W1081" s="13" t="str"/>
      <x:c r="X1081" s="13" t="str">
        <x:v>pragmadialectics</x:v>
      </x:c>
      <x:c r="Y1081" s="13" t="str">
        <x:v>https://doi.org/10.1017/CBO9780511616389</x:v>
      </x:c>
      <x:c r="Z1081" s="13" t="str">
        <x:v>Review before enabling. This workbook is a living taxonomy scaffold, not a validated scientific benchmark.</x:v>
      </x:c>
      <x:c r="AA1081" s="13" t="str">
        <x:v>0.1.0-draft</x:v>
      </x:c>
      <x:c r="AB1081" s="12" t="str">
        <x:f>IF(ISNUMBER(SEARCH("healthy",F1081)),"healthy_reasoning_patterns",IF(ISNUMBER(SEARCH("statistical",F1081)),"statistical_reasoning",IF(ISNUMBER(SEARCH("causal",F1081)),"causal_reasoning",IF(ISNUMBER(SEARCH("social",F1081)),"social_influence",IF(ISNUMBER(SEARCH("rhetoric",F1081)),"rhetoric_discourse",IF(ISNUMBER(SEARCH("behavior",F1081)),"behavioural_economics",IF(ISNUMBER(SEARCH("cognitive",F1081)),"cognitive_biases",IF(J1081="protective_pattern","healthy_reasoning_patterns",IF(L1081="P0","core_mvp","extended_fallacies")))))))))</x:f>
        <x:v>healthy_reasoning_patterns</x:v>
      </x:c>
      <x:c r="AC1081" s="12" t="str">
        <x:f>IF(ISNUMBER(SEARCH("operational",J1081)),"operational",IF(ISNUMBER(SEARCH("deprecated",J1081)),"deprecated",IF(L1081="P0","canonical","recognized_subtype")))</x:f>
        <x:v>recognized_subtype</x:v>
      </x:c>
      <x:c r="AD1081" s="12" t="str">
        <x:f>IF(AC1081="canonical","high",IF(AC1081="recognized_subtype","medium",IF(AC1081="operational","operational_only","debated")))</x:f>
        <x:v>medium</x:v>
      </x:c>
      <x:c r="AE1081" s="12" t="str">
        <x:f>IF(AC1081="deprecated","deprecated",IF(M1081="yes","active",IF(M1081="review","review_required","backlog")))</x:f>
        <x:v>review_required</x:v>
      </x:c>
      <x:c r="AF1081" s="12" t="str">
        <x:f>IF(OR(AE1081="active",AE1081="review_required"),"yes","no")</x:f>
        <x:v>yes</x:v>
      </x:c>
      <x:c r="AG1081" s="12" t="str">
        <x:f>IF(AND(AE1081="active",M1081="yes",NOT(ISNUMBER(SEARCH("healthy",AB1081)))),"yes","no")</x:f>
        <x:v>no</x:v>
      </x:c>
      <x:c r="AH1081" s="12" t="str">
        <x:f>IF(OR(H1081="contextual",H1081="dialogue",H1081="discourse",I1081="claim+context",I1081="discourse_segment"),"yes","no")</x:f>
        <x:v>yes</x:v>
      </x:c>
      <x:c r="AI1081" s="12" t="str">
        <x:f>IF(OR(AH1081="yes",AD1081="debated",AC1081="operational"),"yes","no")</x:f>
        <x:v>yes</x:v>
      </x:c>
      <x:c r="AJ1081" s="12" t="str">
        <x:f>IF(OR(AH1081="yes",AC1081="operational",AD1081="debated"),"high",IF(AND(AG1081="yes",L1081="P0"),"medium","low"))</x:f>
        <x:v>high</x:v>
      </x:c>
      <x:c r="AK1081" s="12" t="str">
        <x:f>IF(ISNUMBER(SEARCH("healthy",AB1081)),"yes","no")</x:f>
        <x:v>yes</x:v>
      </x:c>
      <x:c r="AL1081" s="12" t="str">
        <x:f>IF(AG1081="yes","yes","candidate_only")</x:f>
        <x:v>candidate_only</x:v>
      </x:c>
      <x:c r="AM1081" s="12" t="str">
        <x:f>IF(OR(AC1081="canonical",AG1081="yes"),"yes","recommended")</x:f>
        <x:v>recommended</x:v>
      </x:c>
      <x:c r="AN1081" s="12" t="str">
        <x:f>IF(AC1081="deprecated","exclude",IF(AND(AG1081="yes",AJ1081="high"),"import_but_human_review_required",IF(AG1081="yes","import_as_active","import_as_backlog")))</x:f>
        <x:v>import_as_backlog</x:v>
      </x:c>
      <x:c r="AO1081" s="12" t="str">
        <x:f>IF(AND(AG1081="yes",OR(P1081="",Q1081="",R1081="",S1081="")),"missing_required_mvp_fields",IF(AND(AC1081="canonical",Y1081=""),"missing_source_ref","ok"))</x:f>
        <x:v>ok</x:v>
      </x:c>
      <x:c r="AP1081" s="12" t="str">
        <x:f>IF(AO1081="ok","ready_for_codex_import","needs_review")</x:f>
        <x:v>ready_for_codex_import</x:v>
      </x:c>
      <x:c r="AQ1081" s="12"/>
      <x:c r="AR1081" s="12" t="str">
        <x:v>Added v2 operational fields. Review before classification activation.</x:v>
      </x:c>
    </x:row>
    <x:row r="1082">
      <x:c r="A1082" s="13" t="str">
        <x:v>uncertainty_acknowledgement_review_threshold_variant</x:v>
      </x:c>
      <x:c r="B1082" s="13" t="str">
        <x:v>uncertainty_acknowledgement</x:v>
      </x:c>
      <x:c r="C1082" s="13" t="str">
        <x:v>Uncertainty acknowledgement</x:v>
      </x:c>
      <x:c r="D1082" s="13" t="str">
        <x:v>اذعان به عدم قطعیت</x:v>
      </x:c>
      <x:c r="E1082" s="13" t="str">
        <x:v>Review-threshold variant</x:v>
      </x:c>
      <x:c r="F1082" s="13" t="str">
        <x:v>healthy_reasoning_patterns</x:v>
      </x:c>
      <x:c r="G1082" s="13" t="str">
        <x:v>operational_variant</x:v>
      </x:c>
      <x:c r="H1082" s="13" t="str">
        <x:v>lexical</x:v>
      </x:c>
      <x:c r="I1082" s="13" t="str">
        <x:v>claim</x:v>
      </x:c>
      <x:c r="J1082" s="13" t="str">
        <x:v>protective_pattern</x:v>
      </x:c>
      <x:c r="K1082" s="13" t="str">
        <x:v>operational_pattern_needs_review</x:v>
      </x:c>
      <x:c r="L1082" s="13" t="str">
        <x:v>P2</x:v>
      </x:c>
      <x:c r="M1082" s="13" t="str">
        <x:v>review</x:v>
      </x:c>
      <x:c r="N1082" s="13" t="str">
        <x:v>Protective reasoning pattern under Uncertainty acknowledgement: the text states when human review or stronger evidence is needed. It should reduce risk scores when supported by evidence.</x:v>
      </x:c>
      <x:c r="O1082" s="13" t="str">
        <x:v>Look for: explicit claim-level evidence; parent-family cues for Uncertainty acknowledgement; variant cue: the text states when human review or stronger evidence is needed; avoid author-level inference.</x:v>
      </x:c>
      <x:c r="P1082" s="13" t="str">
        <x:v>Exact evidence span in text plus claim-level reasoning link; for contextual/discourse entries, require surrounding context.</x:v>
      </x:c>
      <x:c r="Q1082" s="13" t="str">
        <x:v>Do not label merely because topic is controversial, emotional, or wrong. Do not judge intent or personality. Require textual evidence and consider healthy-reasoning cues.</x:v>
      </x:c>
      <x:c r="R1082" s="13" t="str">
        <x:v>Stub: A claim relies on the text states when human review or stronger evidence is needed to support a conclusion without adequate qualification.</x:v>
      </x:c>
      <x:c r="S1082" s="13" t="str">
        <x:v>Stub: A claim discusses uncertainty acknowledgement with caveats, balanced evidence, or no argumentative use of the pattern.</x:v>
      </x:c>
      <x:c r="T1082" s="13" t="str">
        <x:v>Weak protective cue; keep normal review.</x:v>
      </x:c>
      <x:c r="U1082" s="13" t="str">
        <x:v>Clear protective cue; reduce false-positive risk.</x:v>
      </x:c>
      <x:c r="V1082" s="13" t="str">
        <x:v>Strong protective cue; require stronger evidence before assigning risk labels.</x:v>
      </x:c>
      <x:c r="W1082" s="13" t="str"/>
      <x:c r="X1082" s="13" t="str">
        <x:v>stanovich_dual_process</x:v>
      </x:c>
      <x:c r="Y1082" s="13" t="str">
        <x:v>https://global.oup.com/academic/product/rationality-and-the-reflective-mind-9780195341140</x:v>
      </x:c>
      <x:c r="Z1082" s="13" t="str">
        <x:v>Review before enabling. This workbook is a living taxonomy scaffold, not a validated scientific benchmark.</x:v>
      </x:c>
      <x:c r="AA1082" s="13" t="str">
        <x:v>0.1.0-draft</x:v>
      </x:c>
      <x:c r="AB1082" s="12" t="str">
        <x:f>IF(ISNUMBER(SEARCH("healthy",F1082)),"healthy_reasoning_patterns",IF(ISNUMBER(SEARCH("statistical",F1082)),"statistical_reasoning",IF(ISNUMBER(SEARCH("causal",F1082)),"causal_reasoning",IF(ISNUMBER(SEARCH("social",F1082)),"social_influence",IF(ISNUMBER(SEARCH("rhetoric",F1082)),"rhetoric_discourse",IF(ISNUMBER(SEARCH("behavior",F1082)),"behavioural_economics",IF(ISNUMBER(SEARCH("cognitive",F1082)),"cognitive_biases",IF(J1082="protective_pattern","healthy_reasoning_patterns",IF(L1082="P0","core_mvp","extended_fallacies")))))))))</x:f>
        <x:v>healthy_reasoning_patterns</x:v>
      </x:c>
      <x:c r="AC1082" s="12" t="str">
        <x:f>IF(ISNUMBER(SEARCH("operational",J1082)),"operational",IF(ISNUMBER(SEARCH("deprecated",J1082)),"deprecated",IF(L1082="P0","canonical","recognized_subtype")))</x:f>
        <x:v>recognized_subtype</x:v>
      </x:c>
      <x:c r="AD1082" s="12" t="str">
        <x:f>IF(AC1082="canonical","high",IF(AC1082="recognized_subtype","medium",IF(AC1082="operational","operational_only","debated")))</x:f>
        <x:v>medium</x:v>
      </x:c>
      <x:c r="AE1082" s="12" t="str">
        <x:f>IF(AC1082="deprecated","deprecated",IF(M1082="yes","active",IF(M1082="review","review_required","backlog")))</x:f>
        <x:v>review_required</x:v>
      </x:c>
      <x:c r="AF1082" s="12" t="str">
        <x:f>IF(OR(AE1082="active",AE1082="review_required"),"yes","no")</x:f>
        <x:v>yes</x:v>
      </x:c>
      <x:c r="AG1082" s="12" t="str">
        <x:f>IF(AND(AE1082="active",M1082="yes",NOT(ISNUMBER(SEARCH("healthy",AB1082)))),"yes","no")</x:f>
        <x:v>no</x:v>
      </x:c>
      <x:c r="AH1082" s="12" t="str">
        <x:f>IF(OR(H1082="contextual",H1082="dialogue",H1082="discourse",I1082="claim+context",I1082="discourse_segment"),"yes","no")</x:f>
        <x:v>no</x:v>
      </x:c>
      <x:c r="AI1082" s="12" t="str">
        <x:f>IF(OR(AH1082="yes",AD1082="debated",AC1082="operational"),"yes","no")</x:f>
        <x:v>no</x:v>
      </x:c>
      <x:c r="AJ1082" s="12" t="str">
        <x:f>IF(OR(AH1082="yes",AC1082="operational",AD1082="debated"),"high",IF(AND(AG1082="yes",L1082="P0"),"medium","low"))</x:f>
        <x:v>low</x:v>
      </x:c>
      <x:c r="AK1082" s="12" t="str">
        <x:f>IF(ISNUMBER(SEARCH("healthy",AB1082)),"yes","no")</x:f>
        <x:v>yes</x:v>
      </x:c>
      <x:c r="AL1082" s="12" t="str">
        <x:f>IF(AG1082="yes","yes","candidate_only")</x:f>
        <x:v>candidate_only</x:v>
      </x:c>
      <x:c r="AM1082" s="12" t="str">
        <x:f>IF(OR(AC1082="canonical",AG1082="yes"),"yes","recommended")</x:f>
        <x:v>recommended</x:v>
      </x:c>
      <x:c r="AN1082" s="12" t="str">
        <x:f>IF(AC1082="deprecated","exclude",IF(AND(AG1082="yes",AJ1082="high"),"import_but_human_review_required",IF(AG1082="yes","import_as_active","import_as_backlog")))</x:f>
        <x:v>import_as_backlog</x:v>
      </x:c>
      <x:c r="AO1082" s="12" t="str">
        <x:f>IF(AND(AG1082="yes",OR(P1082="",Q1082="",R1082="",S1082="")),"missing_required_mvp_fields",IF(AND(AC1082="canonical",Y1082=""),"missing_source_ref","ok"))</x:f>
        <x:v>ok</x:v>
      </x:c>
      <x:c r="AP1082" s="12" t="str">
        <x:f>IF(AO1082="ok","ready_for_codex_import","needs_review")</x:f>
        <x:v>ready_for_codex_import</x:v>
      </x:c>
      <x:c r="AQ1082" s="12"/>
      <x:c r="AR1082" s="12" t="str">
        <x:v>Added v2 operational fields. Review before classification activation.</x:v>
      </x:c>
    </x:row>
    <x:row r="1083">
      <x:c r="A1083" s="13" t="str">
        <x:v>scope_limitation_review_threshold_variant</x:v>
      </x:c>
      <x:c r="B1083" s="13" t="str">
        <x:v>scope_limitation</x:v>
      </x:c>
      <x:c r="C1083" s="13" t="str">
        <x:v>Scope limitation</x:v>
      </x:c>
      <x:c r="D1083" s="13" t="str">
        <x:v>محدودسازی دامنه ادعا</x:v>
      </x:c>
      <x:c r="E1083" s="13" t="str">
        <x:v>Review-threshold variant</x:v>
      </x:c>
      <x:c r="F1083" s="13" t="str">
        <x:v>healthy_reasoning_patterns</x:v>
      </x:c>
      <x:c r="G1083" s="13" t="str">
        <x:v>operational_variant</x:v>
      </x:c>
      <x:c r="H1083" s="13" t="str">
        <x:v>lexical</x:v>
      </x:c>
      <x:c r="I1083" s="13" t="str">
        <x:v>claim</x:v>
      </x:c>
      <x:c r="J1083" s="13" t="str">
        <x:v>protective_pattern</x:v>
      </x:c>
      <x:c r="K1083" s="13" t="str">
        <x:v>operational_pattern_needs_review</x:v>
      </x:c>
      <x:c r="L1083" s="13" t="str">
        <x:v>P2</x:v>
      </x:c>
      <x:c r="M1083" s="13" t="str">
        <x:v>review</x:v>
      </x:c>
      <x:c r="N1083" s="13" t="str">
        <x:v>Protective reasoning pattern under Scope limitation: the text states when human review or stronger evidence is needed. It should reduce risk scores when supported by evidence.</x:v>
      </x:c>
      <x:c r="O1083" s="13" t="str">
        <x:v>Look for: explicit claim-level evidence; parent-family cues for Scope limitation; variant cue: the text states when human review or stronger evidence is needed; avoid author-level inference.</x:v>
      </x:c>
      <x:c r="P1083" s="13" t="str">
        <x:v>Exact evidence span in text plus claim-level reasoning link; for contextual/discourse entries, require surrounding context.</x:v>
      </x:c>
      <x:c r="Q1083" s="13" t="str">
        <x:v>Do not label merely because topic is controversial, emotional, or wrong. Do not judge intent or personality. Require textual evidence and consider healthy-reasoning cues.</x:v>
      </x:c>
      <x:c r="R1083" s="13" t="str">
        <x:v>Stub: A claim relies on the text states when human review or stronger evidence is needed to support a conclusion without adequate qualification.</x:v>
      </x:c>
      <x:c r="S1083" s="13" t="str">
        <x:v>Stub: A claim discusses scope limitation with caveats, balanced evidence, or no argumentative use of the pattern.</x:v>
      </x:c>
      <x:c r="T1083" s="13" t="str">
        <x:v>Weak protective cue; keep normal review.</x:v>
      </x:c>
      <x:c r="U1083" s="13" t="str">
        <x:v>Clear protective cue; reduce false-positive risk.</x:v>
      </x:c>
      <x:c r="V1083" s="13" t="str">
        <x:v>Strong protective cue; require stronger evidence before assigning risk labels.</x:v>
      </x:c>
      <x:c r="W1083" s="13" t="str"/>
      <x:c r="X1083" s="13" t="str">
        <x:v>toulmin_uses_argument</x:v>
      </x:c>
      <x:c r="Y1083" s="13" t="str">
        <x:v>https://doi.org/10.1017/CBO9780511840005</x:v>
      </x:c>
      <x:c r="Z1083" s="13" t="str">
        <x:v>Review before enabling. This workbook is a living taxonomy scaffold, not a validated scientific benchmark.</x:v>
      </x:c>
      <x:c r="AA1083" s="13" t="str">
        <x:v>0.1.0-draft</x:v>
      </x:c>
      <x:c r="AB1083" s="12" t="str">
        <x:f>IF(ISNUMBER(SEARCH("healthy",F1083)),"healthy_reasoning_patterns",IF(ISNUMBER(SEARCH("statistical",F1083)),"statistical_reasoning",IF(ISNUMBER(SEARCH("causal",F1083)),"causal_reasoning",IF(ISNUMBER(SEARCH("social",F1083)),"social_influence",IF(ISNUMBER(SEARCH("rhetoric",F1083)),"rhetoric_discourse",IF(ISNUMBER(SEARCH("behavior",F1083)),"behavioural_economics",IF(ISNUMBER(SEARCH("cognitive",F1083)),"cognitive_biases",IF(J1083="protective_pattern","healthy_reasoning_patterns",IF(L1083="P0","core_mvp","extended_fallacies")))))))))</x:f>
        <x:v>healthy_reasoning_patterns</x:v>
      </x:c>
      <x:c r="AC1083" s="12" t="str">
        <x:f>IF(ISNUMBER(SEARCH("operational",J1083)),"operational",IF(ISNUMBER(SEARCH("deprecated",J1083)),"deprecated",IF(L1083="P0","canonical","recognized_subtype")))</x:f>
        <x:v>recognized_subtype</x:v>
      </x:c>
      <x:c r="AD1083" s="12" t="str">
        <x:f>IF(AC1083="canonical","high",IF(AC1083="recognized_subtype","medium",IF(AC1083="operational","operational_only","debated")))</x:f>
        <x:v>medium</x:v>
      </x:c>
      <x:c r="AE1083" s="12" t="str">
        <x:f>IF(AC1083="deprecated","deprecated",IF(M1083="yes","active",IF(M1083="review","review_required","backlog")))</x:f>
        <x:v>review_required</x:v>
      </x:c>
      <x:c r="AF1083" s="12" t="str">
        <x:f>IF(OR(AE1083="active",AE1083="review_required"),"yes","no")</x:f>
        <x:v>yes</x:v>
      </x:c>
      <x:c r="AG1083" s="12" t="str">
        <x:f>IF(AND(AE1083="active",M1083="yes",NOT(ISNUMBER(SEARCH("healthy",AB1083)))),"yes","no")</x:f>
        <x:v>no</x:v>
      </x:c>
      <x:c r="AH1083" s="12" t="str">
        <x:f>IF(OR(H1083="contextual",H1083="dialogue",H1083="discourse",I1083="claim+context",I1083="discourse_segment"),"yes","no")</x:f>
        <x:v>no</x:v>
      </x:c>
      <x:c r="AI1083" s="12" t="str">
        <x:f>IF(OR(AH1083="yes",AD1083="debated",AC1083="operational"),"yes","no")</x:f>
        <x:v>no</x:v>
      </x:c>
      <x:c r="AJ1083" s="12" t="str">
        <x:f>IF(OR(AH1083="yes",AC1083="operational",AD1083="debated"),"high",IF(AND(AG1083="yes",L1083="P0"),"medium","low"))</x:f>
        <x:v>low</x:v>
      </x:c>
      <x:c r="AK1083" s="12" t="str">
        <x:f>IF(ISNUMBER(SEARCH("healthy",AB1083)),"yes","no")</x:f>
        <x:v>yes</x:v>
      </x:c>
      <x:c r="AL1083" s="12" t="str">
        <x:f>IF(AG1083="yes","yes","candidate_only")</x:f>
        <x:v>candidate_only</x:v>
      </x:c>
      <x:c r="AM1083" s="12" t="str">
        <x:f>IF(OR(AC1083="canonical",AG1083="yes"),"yes","recommended")</x:f>
        <x:v>recommended</x:v>
      </x:c>
      <x:c r="AN1083" s="12" t="str">
        <x:f>IF(AC1083="deprecated","exclude",IF(AND(AG1083="yes",AJ1083="high"),"import_but_human_review_required",IF(AG1083="yes","import_as_active","import_as_backlog")))</x:f>
        <x:v>import_as_backlog</x:v>
      </x:c>
      <x:c r="AO1083" s="12" t="str">
        <x:f>IF(AND(AG1083="yes",OR(P1083="",Q1083="",R1083="",S1083="")),"missing_required_mvp_fields",IF(AND(AC1083="canonical",Y1083=""),"missing_source_ref","ok"))</x:f>
        <x:v>ok</x:v>
      </x:c>
      <x:c r="AP1083" s="12" t="str">
        <x:f>IF(AO1083="ok","ready_for_codex_import","needs_review")</x:f>
        <x:v>ready_for_codex_import</x:v>
      </x:c>
      <x:c r="AQ1083" s="12"/>
      <x:c r="AR1083" s="12" t="str">
        <x:v>Added v2 operational fields. Review before classification activation.</x:v>
      </x:c>
    </x:row>
    <x:row r="1084">
      <x:c r="A1084" s="13" t="str">
        <x:v>base_rate_use_review_threshold_variant</x:v>
      </x:c>
      <x:c r="B1084" s="13" t="str">
        <x:v>base_rate_use</x:v>
      </x:c>
      <x:c r="C1084" s="13" t="str">
        <x:v>Base-rate use</x:v>
      </x:c>
      <x:c r="D1084" s="13" t="str">
        <x:v>استفاده از نرخ پایه</x:v>
      </x:c>
      <x:c r="E1084" s="13" t="str">
        <x:v>Review-threshold variant</x:v>
      </x:c>
      <x:c r="F1084" s="13" t="str">
        <x:v>healthy_reasoning_patterns</x:v>
      </x:c>
      <x:c r="G1084" s="13" t="str">
        <x:v>operational_variant</x:v>
      </x:c>
      <x:c r="H1084" s="13" t="str">
        <x:v>contextual</x:v>
      </x:c>
      <x:c r="I1084" s="13" t="str">
        <x:v>claim+context</x:v>
      </x:c>
      <x:c r="J1084" s="13" t="str">
        <x:v>protective_pattern</x:v>
      </x:c>
      <x:c r="K1084" s="13" t="str">
        <x:v>operational_pattern_needs_review</x:v>
      </x:c>
      <x:c r="L1084" s="13" t="str">
        <x:v>P2</x:v>
      </x:c>
      <x:c r="M1084" s="13" t="str">
        <x:v>review</x:v>
      </x:c>
      <x:c r="N1084" s="13" t="str">
        <x:v>Protective reasoning pattern under Base-rate use: the text states when human review or stronger evidence is needed. It should reduce risk scores when supported by evidence.</x:v>
      </x:c>
      <x:c r="O1084" s="13" t="str">
        <x:v>Look for: explicit claim-level evidence; parent-family cues for Base-rate use; variant cue: the text states when human review or stronger evidence is needed; avoid author-level inference.</x:v>
      </x:c>
      <x:c r="P1084" s="13" t="str">
        <x:v>Exact evidence span in text plus claim-level reasoning link; for contextual/discourse entries, require surrounding context.</x:v>
      </x:c>
      <x:c r="Q1084" s="13" t="str">
        <x:v>Do not label merely because topic is controversial, emotional, or wrong. Do not judge intent or personality. Require textual evidence and consider healthy-reasoning cues.</x:v>
      </x:c>
      <x:c r="R1084" s="13" t="str">
        <x:v>Stub: A claim relies on the text states when human review or stronger evidence is needed to support a conclusion without adequate qualification.</x:v>
      </x:c>
      <x:c r="S1084" s="13" t="str">
        <x:v>Stub: A claim discusses base-rate use with caveats, balanced evidence, or no argumentative use of the pattern.</x:v>
      </x:c>
      <x:c r="T1084" s="13" t="str">
        <x:v>Weak protective cue; keep normal review.</x:v>
      </x:c>
      <x:c r="U1084" s="13" t="str">
        <x:v>Clear protective cue; reduce false-positive risk.</x:v>
      </x:c>
      <x:c r="V1084" s="13" t="str">
        <x:v>Strong protective cue; require stronger evidence before assigning risk labels.</x:v>
      </x:c>
      <x:c r="W1084" s="13" t="str"/>
      <x:c r="X1084" s="13" t="str">
        <x:v>kahneman_tversky_heuristics_1974</x:v>
      </x:c>
      <x:c r="Y1084" s="13" t="str">
        <x:v>https://doi.org/10.1126/science.185.4157.1124</x:v>
      </x:c>
      <x:c r="Z1084" s="13" t="str">
        <x:v>Review before enabling. This workbook is a living taxonomy scaffold, not a validated scientific benchmark.</x:v>
      </x:c>
      <x:c r="AA1084" s="13" t="str">
        <x:v>0.1.0-draft</x:v>
      </x:c>
      <x:c r="AB1084" s="12" t="str">
        <x:f>IF(ISNUMBER(SEARCH("healthy",F1084)),"healthy_reasoning_patterns",IF(ISNUMBER(SEARCH("statistical",F1084)),"statistical_reasoning",IF(ISNUMBER(SEARCH("causal",F1084)),"causal_reasoning",IF(ISNUMBER(SEARCH("social",F1084)),"social_influence",IF(ISNUMBER(SEARCH("rhetoric",F1084)),"rhetoric_discourse",IF(ISNUMBER(SEARCH("behavior",F1084)),"behavioural_economics",IF(ISNUMBER(SEARCH("cognitive",F1084)),"cognitive_biases",IF(J1084="protective_pattern","healthy_reasoning_patterns",IF(L1084="P0","core_mvp","extended_fallacies")))))))))</x:f>
        <x:v>healthy_reasoning_patterns</x:v>
      </x:c>
      <x:c r="AC1084" s="12" t="str">
        <x:f>IF(ISNUMBER(SEARCH("operational",J1084)),"operational",IF(ISNUMBER(SEARCH("deprecated",J1084)),"deprecated",IF(L1084="P0","canonical","recognized_subtype")))</x:f>
        <x:v>recognized_subtype</x:v>
      </x:c>
      <x:c r="AD1084" s="12" t="str">
        <x:f>IF(AC1084="canonical","high",IF(AC1084="recognized_subtype","medium",IF(AC1084="operational","operational_only","debated")))</x:f>
        <x:v>medium</x:v>
      </x:c>
      <x:c r="AE1084" s="12" t="str">
        <x:f>IF(AC1084="deprecated","deprecated",IF(M1084="yes","active",IF(M1084="review","review_required","backlog")))</x:f>
        <x:v>review_required</x:v>
      </x:c>
      <x:c r="AF1084" s="12" t="str">
        <x:f>IF(OR(AE1084="active",AE1084="review_required"),"yes","no")</x:f>
        <x:v>yes</x:v>
      </x:c>
      <x:c r="AG1084" s="12" t="str">
        <x:f>IF(AND(AE1084="active",M1084="yes",NOT(ISNUMBER(SEARCH("healthy",AB1084)))),"yes","no")</x:f>
        <x:v>no</x:v>
      </x:c>
      <x:c r="AH1084" s="12" t="str">
        <x:f>IF(OR(H1084="contextual",H1084="dialogue",H1084="discourse",I1084="claim+context",I1084="discourse_segment"),"yes","no")</x:f>
        <x:v>yes</x:v>
      </x:c>
      <x:c r="AI1084" s="12" t="str">
        <x:f>IF(OR(AH1084="yes",AD1084="debated",AC1084="operational"),"yes","no")</x:f>
        <x:v>yes</x:v>
      </x:c>
      <x:c r="AJ1084" s="12" t="str">
        <x:f>IF(OR(AH1084="yes",AC1084="operational",AD1084="debated"),"high",IF(AND(AG1084="yes",L1084="P0"),"medium","low"))</x:f>
        <x:v>high</x:v>
      </x:c>
      <x:c r="AK1084" s="12" t="str">
        <x:f>IF(ISNUMBER(SEARCH("healthy",AB1084)),"yes","no")</x:f>
        <x:v>yes</x:v>
      </x:c>
      <x:c r="AL1084" s="12" t="str">
        <x:f>IF(AG1084="yes","yes","candidate_only")</x:f>
        <x:v>candidate_only</x:v>
      </x:c>
      <x:c r="AM1084" s="12" t="str">
        <x:f>IF(OR(AC1084="canonical",AG1084="yes"),"yes","recommended")</x:f>
        <x:v>recommended</x:v>
      </x:c>
      <x:c r="AN1084" s="12" t="str">
        <x:f>IF(AC1084="deprecated","exclude",IF(AND(AG1084="yes",AJ1084="high"),"import_but_human_review_required",IF(AG1084="yes","import_as_active","import_as_backlog")))</x:f>
        <x:v>import_as_backlog</x:v>
      </x:c>
      <x:c r="AO1084" s="12" t="str">
        <x:f>IF(AND(AG1084="yes",OR(P1084="",Q1084="",R1084="",S1084="")),"missing_required_mvp_fields",IF(AND(AC1084="canonical",Y1084=""),"missing_source_ref","ok"))</x:f>
        <x:v>ok</x:v>
      </x:c>
      <x:c r="AP1084" s="12" t="str">
        <x:f>IF(AO1084="ok","ready_for_codex_import","needs_review")</x:f>
        <x:v>ready_for_codex_import</x:v>
      </x:c>
      <x:c r="AQ1084" s="12"/>
      <x:c r="AR1084" s="12" t="str">
        <x:v>Added v2 operational fields. Review before classification activation.</x:v>
      </x:c>
    </x:row>
    <x:row r="1085">
      <x:c r="A1085" s="13" t="str">
        <x:v>counterexample_consideration_review_threshold_variant</x:v>
      </x:c>
      <x:c r="B1085" s="13" t="str">
        <x:v>counterexample_consideration</x:v>
      </x:c>
      <x:c r="C1085" s="13" t="str">
        <x:v>Counterexample consideration</x:v>
      </x:c>
      <x:c r="D1085" s="13" t="str">
        <x:v>توجه به نمونه نقض</x:v>
      </x:c>
      <x:c r="E1085" s="13" t="str">
        <x:v>Review-threshold variant</x:v>
      </x:c>
      <x:c r="F1085" s="13" t="str">
        <x:v>healthy_reasoning_patterns</x:v>
      </x:c>
      <x:c r="G1085" s="13" t="str">
        <x:v>operational_variant</x:v>
      </x:c>
      <x:c r="H1085" s="13" t="str">
        <x:v>contextual</x:v>
      </x:c>
      <x:c r="I1085" s="13" t="str">
        <x:v>claim+context</x:v>
      </x:c>
      <x:c r="J1085" s="13" t="str">
        <x:v>protective_pattern</x:v>
      </x:c>
      <x:c r="K1085" s="13" t="str">
        <x:v>operational_pattern_needs_review</x:v>
      </x:c>
      <x:c r="L1085" s="13" t="str">
        <x:v>P2</x:v>
      </x:c>
      <x:c r="M1085" s="13" t="str">
        <x:v>review</x:v>
      </x:c>
      <x:c r="N1085" s="13" t="str">
        <x:v>Protective reasoning pattern under Counterexample consideration: the text states when human review or stronger evidence is needed. It should reduce risk scores when supported by evidence.</x:v>
      </x:c>
      <x:c r="O1085" s="13" t="str">
        <x:v>Look for: explicit claim-level evidence; parent-family cues for Counterexample consideration; variant cue: the text states when human review or stronger evidence is needed; avoid author-level inference.</x:v>
      </x:c>
      <x:c r="P1085" s="13" t="str">
        <x:v>Exact evidence span in text plus claim-level reasoning link; for contextual/discourse entries, require surrounding context.</x:v>
      </x:c>
      <x:c r="Q1085" s="13" t="str">
        <x:v>Do not label merely because topic is controversial, emotional, or wrong. Do not judge intent or personality. Require textual evidence and consider healthy-reasoning cues.</x:v>
      </x:c>
      <x:c r="R1085" s="13" t="str">
        <x:v>Stub: A claim relies on the text states when human review or stronger evidence is needed to support a conclusion without adequate qualification.</x:v>
      </x:c>
      <x:c r="S1085" s="13" t="str">
        <x:v>Stub: A claim discusses counterexample consideration with caveats, balanced evidence, or no argumentative use of the pattern.</x:v>
      </x:c>
      <x:c r="T1085" s="13" t="str">
        <x:v>Weak protective cue; keep normal review.</x:v>
      </x:c>
      <x:c r="U1085" s="13" t="str">
        <x:v>Clear protective cue; reduce false-positive risk.</x:v>
      </x:c>
      <x:c r="V1085" s="13" t="str">
        <x:v>Strong protective cue; require stronger evidence before assigning risk labels.</x:v>
      </x:c>
      <x:c r="W1085" s="13" t="str">
        <x:v>cherry_picking; missing_counterevidence; evidence_grading</x:v>
      </x:c>
      <x:c r="X1085" s="13" t="str">
        <x:v>toulmin_uses_argument</x:v>
      </x:c>
      <x:c r="Y1085" s="13" t="str">
        <x:v>https://doi.org/10.1017/CBO9780511840005</x:v>
      </x:c>
      <x:c r="Z1085" s="13" t="str">
        <x:v>Review before enabling. This workbook is a living taxonomy scaffold, not a validated scientific benchmark.</x:v>
      </x:c>
      <x:c r="AA1085" s="13" t="str">
        <x:v>0.1.0-draft</x:v>
      </x:c>
      <x:c r="AB1085" s="12" t="str">
        <x:f>IF(ISNUMBER(SEARCH("healthy",F1085)),"healthy_reasoning_patterns",IF(ISNUMBER(SEARCH("statistical",F1085)),"statistical_reasoning",IF(ISNUMBER(SEARCH("causal",F1085)),"causal_reasoning",IF(ISNUMBER(SEARCH("social",F1085)),"social_influence",IF(ISNUMBER(SEARCH("rhetoric",F1085)),"rhetoric_discourse",IF(ISNUMBER(SEARCH("behavior",F1085)),"behavioural_economics",IF(ISNUMBER(SEARCH("cognitive",F1085)),"cognitive_biases",IF(J1085="protective_pattern","healthy_reasoning_patterns",IF(L1085="P0","core_mvp","extended_fallacies")))))))))</x:f>
        <x:v>healthy_reasoning_patterns</x:v>
      </x:c>
      <x:c r="AC1085" s="12" t="str">
        <x:f>IF(ISNUMBER(SEARCH("operational",J1085)),"operational",IF(ISNUMBER(SEARCH("deprecated",J1085)),"deprecated",IF(L1085="P0","canonical","recognized_subtype")))</x:f>
        <x:v>recognized_subtype</x:v>
      </x:c>
      <x:c r="AD1085" s="12" t="str">
        <x:f>IF(AC1085="canonical","high",IF(AC1085="recognized_subtype","medium",IF(AC1085="operational","operational_only","debated")))</x:f>
        <x:v>medium</x:v>
      </x:c>
      <x:c r="AE1085" s="12" t="str">
        <x:f>IF(AC1085="deprecated","deprecated",IF(M1085="yes","active",IF(M1085="review","review_required","backlog")))</x:f>
        <x:v>review_required</x:v>
      </x:c>
      <x:c r="AF1085" s="12" t="str">
        <x:f>IF(OR(AE1085="active",AE1085="review_required"),"yes","no")</x:f>
        <x:v>yes</x:v>
      </x:c>
      <x:c r="AG1085" s="12" t="str">
        <x:f>IF(AND(AE1085="active",M1085="yes",NOT(ISNUMBER(SEARCH("healthy",AB1085)))),"yes","no")</x:f>
        <x:v>no</x:v>
      </x:c>
      <x:c r="AH1085" s="12" t="str">
        <x:f>IF(OR(H1085="contextual",H1085="dialogue",H1085="discourse",I1085="claim+context",I1085="discourse_segment"),"yes","no")</x:f>
        <x:v>yes</x:v>
      </x:c>
      <x:c r="AI1085" s="12" t="str">
        <x:f>IF(OR(AH1085="yes",AD1085="debated",AC1085="operational"),"yes","no")</x:f>
        <x:v>yes</x:v>
      </x:c>
      <x:c r="AJ1085" s="12" t="str">
        <x:f>IF(OR(AH1085="yes",AC1085="operational",AD1085="debated"),"high",IF(AND(AG1085="yes",L1085="P0"),"medium","low"))</x:f>
        <x:v>high</x:v>
      </x:c>
      <x:c r="AK1085" s="12" t="str">
        <x:f>IF(ISNUMBER(SEARCH("healthy",AB1085)),"yes","no")</x:f>
        <x:v>yes</x:v>
      </x:c>
      <x:c r="AL1085" s="12" t="str">
        <x:f>IF(AG1085="yes","yes","candidate_only")</x:f>
        <x:v>candidate_only</x:v>
      </x:c>
      <x:c r="AM1085" s="12" t="str">
        <x:f>IF(OR(AC1085="canonical",AG1085="yes"),"yes","recommended")</x:f>
        <x:v>recommended</x:v>
      </x:c>
      <x:c r="AN1085" s="12" t="str">
        <x:f>IF(AC1085="deprecated","exclude",IF(AND(AG1085="yes",AJ1085="high"),"import_but_human_review_required",IF(AG1085="yes","import_as_active","import_as_backlog")))</x:f>
        <x:v>import_as_backlog</x:v>
      </x:c>
      <x:c r="AO1085" s="12" t="str">
        <x:f>IF(AND(AG1085="yes",OR(P1085="",Q1085="",R1085="",S1085="")),"missing_required_mvp_fields",IF(AND(AC1085="canonical",Y1085=""),"missing_source_ref","ok"))</x:f>
        <x:v>ok</x:v>
      </x:c>
      <x:c r="AP1085" s="12" t="str">
        <x:f>IF(AO1085="ok","ready_for_codex_import","needs_review")</x:f>
        <x:v>ready_for_codex_import</x:v>
      </x:c>
      <x:c r="AQ1085" s="12"/>
      <x:c r="AR1085" s="12" t="str">
        <x:v>Added v2 operational fields. Review before classification activation.</x:v>
      </x:c>
    </x:row>
    <x:row r="1086">
      <x:c r="A1086" s="13" t="str">
        <x:v>alternative_explanation_consideration_review_threshold_variant</x:v>
      </x:c>
      <x:c r="B1086" s="13" t="str">
        <x:v>alternative_explanation_consideration</x:v>
      </x:c>
      <x:c r="C1086" s="13" t="str">
        <x:v>Alternative explanations considered</x:v>
      </x:c>
      <x:c r="D1086" s="13" t="str">
        <x:v>توجه به توضیح‌های بدیل</x:v>
      </x:c>
      <x:c r="E1086" s="13" t="str">
        <x:v>Review-threshold variant</x:v>
      </x:c>
      <x:c r="F1086" s="13" t="str">
        <x:v>healthy_reasoning_patterns</x:v>
      </x:c>
      <x:c r="G1086" s="13" t="str">
        <x:v>operational_variant</x:v>
      </x:c>
      <x:c r="H1086" s="13" t="str">
        <x:v>contextual</x:v>
      </x:c>
      <x:c r="I1086" s="13" t="str">
        <x:v>claim+context</x:v>
      </x:c>
      <x:c r="J1086" s="13" t="str">
        <x:v>protective_pattern</x:v>
      </x:c>
      <x:c r="K1086" s="13" t="str">
        <x:v>operational_pattern_needs_review</x:v>
      </x:c>
      <x:c r="L1086" s="13" t="str">
        <x:v>P2</x:v>
      </x:c>
      <x:c r="M1086" s="13" t="str">
        <x:v>review</x:v>
      </x:c>
      <x:c r="N1086" s="13" t="str">
        <x:v>Protective reasoning pattern under Alternative explanations considered: the text states when human review or stronger evidence is needed. It should reduce risk scores when supported by evidence.</x:v>
      </x:c>
      <x:c r="O1086" s="13" t="str">
        <x:v>Look for: explicit claim-level evidence; parent-family cues for Alternative explanations considered; variant cue: the text states when human review or stronger evidence is needed; avoid author-level inference.</x:v>
      </x:c>
      <x:c r="P1086" s="13" t="str">
        <x:v>Exact evidence span in text plus claim-level reasoning link; for contextual/discourse entries, require surrounding context.</x:v>
      </x:c>
      <x:c r="Q1086" s="13" t="str">
        <x:v>Do not label merely because topic is controversial, emotional, or wrong. Do not judge intent or personality. Require textual evidence and consider healthy-reasoning cues.</x:v>
      </x:c>
      <x:c r="R1086" s="13" t="str">
        <x:v>Stub: A claim relies on the text states when human review or stronger evidence is needed to support a conclusion without adequate qualification.</x:v>
      </x:c>
      <x:c r="S1086" s="13" t="str">
        <x:v>Stub: A claim discusses alternative explanations considered with caveats, balanced evidence, or no argumentative use of the pattern.</x:v>
      </x:c>
      <x:c r="T1086" s="13" t="str">
        <x:v>Weak protective cue; keep normal review.</x:v>
      </x:c>
      <x:c r="U1086" s="13" t="str">
        <x:v>Clear protective cue; reduce false-positive risk.</x:v>
      </x:c>
      <x:c r="V1086" s="13" t="str">
        <x:v>Strong protective cue; require stronger evidence before assigning risk labels.</x:v>
      </x:c>
      <x:c r="W1086" s="13" t="str"/>
      <x:c r="X1086" s="13" t="str">
        <x:v>toulmin_uses_argument</x:v>
      </x:c>
      <x:c r="Y1086" s="13" t="str">
        <x:v>https://doi.org/10.1017/CBO9780511840005</x:v>
      </x:c>
      <x:c r="Z1086" s="13" t="str">
        <x:v>Review before enabling. This workbook is a living taxonomy scaffold, not a validated scientific benchmark.</x:v>
      </x:c>
      <x:c r="AA1086" s="13" t="str">
        <x:v>0.1.0-draft</x:v>
      </x:c>
      <x:c r="AB1086" s="12" t="str">
        <x:f>IF(ISNUMBER(SEARCH("healthy",F1086)),"healthy_reasoning_patterns",IF(ISNUMBER(SEARCH("statistical",F1086)),"statistical_reasoning",IF(ISNUMBER(SEARCH("causal",F1086)),"causal_reasoning",IF(ISNUMBER(SEARCH("social",F1086)),"social_influence",IF(ISNUMBER(SEARCH("rhetoric",F1086)),"rhetoric_discourse",IF(ISNUMBER(SEARCH("behavior",F1086)),"behavioural_economics",IF(ISNUMBER(SEARCH("cognitive",F1086)),"cognitive_biases",IF(J1086="protective_pattern","healthy_reasoning_patterns",IF(L1086="P0","core_mvp","extended_fallacies")))))))))</x:f>
        <x:v>healthy_reasoning_patterns</x:v>
      </x:c>
      <x:c r="AC1086" s="12" t="str">
        <x:f>IF(ISNUMBER(SEARCH("operational",J1086)),"operational",IF(ISNUMBER(SEARCH("deprecated",J1086)),"deprecated",IF(L1086="P0","canonical","recognized_subtype")))</x:f>
        <x:v>recognized_subtype</x:v>
      </x:c>
      <x:c r="AD1086" s="12" t="str">
        <x:f>IF(AC1086="canonical","high",IF(AC1086="recognized_subtype","medium",IF(AC1086="operational","operational_only","debated")))</x:f>
        <x:v>medium</x:v>
      </x:c>
      <x:c r="AE1086" s="12" t="str">
        <x:f>IF(AC1086="deprecated","deprecated",IF(M1086="yes","active",IF(M1086="review","review_required","backlog")))</x:f>
        <x:v>review_required</x:v>
      </x:c>
      <x:c r="AF1086" s="12" t="str">
        <x:f>IF(OR(AE1086="active",AE1086="review_required"),"yes","no")</x:f>
        <x:v>yes</x:v>
      </x:c>
      <x:c r="AG1086" s="12" t="str">
        <x:f>IF(AND(AE1086="active",M1086="yes",NOT(ISNUMBER(SEARCH("healthy",AB1086)))),"yes","no")</x:f>
        <x:v>no</x:v>
      </x:c>
      <x:c r="AH1086" s="12" t="str">
        <x:f>IF(OR(H1086="contextual",H1086="dialogue",H1086="discourse",I1086="claim+context",I1086="discourse_segment"),"yes","no")</x:f>
        <x:v>yes</x:v>
      </x:c>
      <x:c r="AI1086" s="12" t="str">
        <x:f>IF(OR(AH1086="yes",AD1086="debated",AC1086="operational"),"yes","no")</x:f>
        <x:v>yes</x:v>
      </x:c>
      <x:c r="AJ1086" s="12" t="str">
        <x:f>IF(OR(AH1086="yes",AC1086="operational",AD1086="debated"),"high",IF(AND(AG1086="yes",L1086="P0"),"medium","low"))</x:f>
        <x:v>high</x:v>
      </x:c>
      <x:c r="AK1086" s="12" t="str">
        <x:f>IF(ISNUMBER(SEARCH("healthy",AB1086)),"yes","no")</x:f>
        <x:v>yes</x:v>
      </x:c>
      <x:c r="AL1086" s="12" t="str">
        <x:f>IF(AG1086="yes","yes","candidate_only")</x:f>
        <x:v>candidate_only</x:v>
      </x:c>
      <x:c r="AM1086" s="12" t="str">
        <x:f>IF(OR(AC1086="canonical",AG1086="yes"),"yes","recommended")</x:f>
        <x:v>recommended</x:v>
      </x:c>
      <x:c r="AN1086" s="12" t="str">
        <x:f>IF(AC1086="deprecated","exclude",IF(AND(AG1086="yes",AJ1086="high"),"import_but_human_review_required",IF(AG1086="yes","import_as_active","import_as_backlog")))</x:f>
        <x:v>import_as_backlog</x:v>
      </x:c>
      <x:c r="AO1086" s="12" t="str">
        <x:f>IF(AND(AG1086="yes",OR(P1086="",Q1086="",R1086="",S1086="")),"missing_required_mvp_fields",IF(AND(AC1086="canonical",Y1086=""),"missing_source_ref","ok"))</x:f>
        <x:v>ok</x:v>
      </x:c>
      <x:c r="AP1086" s="12" t="str">
        <x:f>IF(AO1086="ok","ready_for_codex_import","needs_review")</x:f>
        <x:v>ready_for_codex_import</x:v>
      </x:c>
      <x:c r="AQ1086" s="12"/>
      <x:c r="AR1086" s="12" t="str">
        <x:v>Added v2 operational fields. Review before classification activation.</x:v>
      </x:c>
    </x:row>
    <x:row r="1087">
      <x:c r="A1087" s="13" t="str">
        <x:v>evidence_grading_review_threshold_variant</x:v>
      </x:c>
      <x:c r="B1087" s="13" t="str">
        <x:v>evidence_grading</x:v>
      </x:c>
      <x:c r="C1087" s="13" t="str">
        <x:v>Evidence grading</x:v>
      </x:c>
      <x:c r="D1087" s="13" t="str">
        <x:v>درجه‌بندی کیفیت شواهد</x:v>
      </x:c>
      <x:c r="E1087" s="13" t="str">
        <x:v>Review-threshold variant</x:v>
      </x:c>
      <x:c r="F1087" s="13" t="str">
        <x:v>healthy_reasoning_patterns</x:v>
      </x:c>
      <x:c r="G1087" s="13" t="str">
        <x:v>operational_variant</x:v>
      </x:c>
      <x:c r="H1087" s="13" t="str">
        <x:v>contextual</x:v>
      </x:c>
      <x:c r="I1087" s="13" t="str">
        <x:v>claim+context</x:v>
      </x:c>
      <x:c r="J1087" s="13" t="str">
        <x:v>protective_pattern</x:v>
      </x:c>
      <x:c r="K1087" s="13" t="str">
        <x:v>operational_pattern_needs_review</x:v>
      </x:c>
      <x:c r="L1087" s="13" t="str">
        <x:v>P2</x:v>
      </x:c>
      <x:c r="M1087" s="13" t="str">
        <x:v>review</x:v>
      </x:c>
      <x:c r="N1087" s="13" t="str">
        <x:v>Protective reasoning pattern under Evidence grading: the text states when human review or stronger evidence is needed. It should reduce risk scores when supported by evidence.</x:v>
      </x:c>
      <x:c r="O1087" s="13" t="str">
        <x:v>Look for: explicit claim-level evidence; parent-family cues for Evidence grading; variant cue: the text states when human review or stronger evidence is needed; avoid author-level inference.</x:v>
      </x:c>
      <x:c r="P1087" s="13" t="str">
        <x:v>Exact evidence span in text plus claim-level reasoning link; for contextual/discourse entries, require surrounding context.</x:v>
      </x:c>
      <x:c r="Q1087" s="13" t="str">
        <x:v>Do not label merely because topic is controversial, emotional, or wrong. Do not judge intent or personality. Require textual evidence and consider healthy-reasoning cues.</x:v>
      </x:c>
      <x:c r="R1087" s="13" t="str">
        <x:v>Stub: A claim relies on the text states when human review or stronger evidence is needed to support a conclusion without adequate qualification.</x:v>
      </x:c>
      <x:c r="S1087" s="13" t="str">
        <x:v>Stub: A claim discusses evidence grading with caveats, balanced evidence, or no argumentative use of the pattern.</x:v>
      </x:c>
      <x:c r="T1087" s="13" t="str">
        <x:v>Weak protective cue; keep normal review.</x:v>
      </x:c>
      <x:c r="U1087" s="13" t="str">
        <x:v>Clear protective cue; reduce false-positive risk.</x:v>
      </x:c>
      <x:c r="V1087" s="13" t="str">
        <x:v>Strong protective cue; require stronger evidence before assigning risk labels.</x:v>
      </x:c>
      <x:c r="W1087" s="13" t="str">
        <x:v>cherry_picking; missing_counterevidence; evidence_grading</x:v>
      </x:c>
      <x:c r="X1087" s="13" t="str">
        <x:v>toulmin_uses_argument</x:v>
      </x:c>
      <x:c r="Y1087" s="13" t="str">
        <x:v>https://doi.org/10.1017/CBO9780511840005</x:v>
      </x:c>
      <x:c r="Z1087" s="13" t="str">
        <x:v>Review before enabling. This workbook is a living taxonomy scaffold, not a validated scientific benchmark.</x:v>
      </x:c>
      <x:c r="AA1087" s="13" t="str">
        <x:v>0.1.0-draft</x:v>
      </x:c>
      <x:c r="AB1087" s="12" t="str">
        <x:f>IF(ISNUMBER(SEARCH("healthy",F1087)),"healthy_reasoning_patterns",IF(ISNUMBER(SEARCH("statistical",F1087)),"statistical_reasoning",IF(ISNUMBER(SEARCH("causal",F1087)),"causal_reasoning",IF(ISNUMBER(SEARCH("social",F1087)),"social_influence",IF(ISNUMBER(SEARCH("rhetoric",F1087)),"rhetoric_discourse",IF(ISNUMBER(SEARCH("behavior",F1087)),"behavioural_economics",IF(ISNUMBER(SEARCH("cognitive",F1087)),"cognitive_biases",IF(J1087="protective_pattern","healthy_reasoning_patterns",IF(L1087="P0","core_mvp","extended_fallacies")))))))))</x:f>
        <x:v>healthy_reasoning_patterns</x:v>
      </x:c>
      <x:c r="AC1087" s="12" t="str">
        <x:f>IF(ISNUMBER(SEARCH("operational",J1087)),"operational",IF(ISNUMBER(SEARCH("deprecated",J1087)),"deprecated",IF(L1087="P0","canonical","recognized_subtype")))</x:f>
        <x:v>recognized_subtype</x:v>
      </x:c>
      <x:c r="AD1087" s="12" t="str">
        <x:f>IF(AC1087="canonical","high",IF(AC1087="recognized_subtype","medium",IF(AC1087="operational","operational_only","debated")))</x:f>
        <x:v>medium</x:v>
      </x:c>
      <x:c r="AE1087" s="12" t="str">
        <x:f>IF(AC1087="deprecated","deprecated",IF(M1087="yes","active",IF(M1087="review","review_required","backlog")))</x:f>
        <x:v>review_required</x:v>
      </x:c>
      <x:c r="AF1087" s="12" t="str">
        <x:f>IF(OR(AE1087="active",AE1087="review_required"),"yes","no")</x:f>
        <x:v>yes</x:v>
      </x:c>
      <x:c r="AG1087" s="12" t="str">
        <x:f>IF(AND(AE1087="active",M1087="yes",NOT(ISNUMBER(SEARCH("healthy",AB1087)))),"yes","no")</x:f>
        <x:v>no</x:v>
      </x:c>
      <x:c r="AH1087" s="12" t="str">
        <x:f>IF(OR(H1087="contextual",H1087="dialogue",H1087="discourse",I1087="claim+context",I1087="discourse_segment"),"yes","no")</x:f>
        <x:v>yes</x:v>
      </x:c>
      <x:c r="AI1087" s="12" t="str">
        <x:f>IF(OR(AH1087="yes",AD1087="debated",AC1087="operational"),"yes","no")</x:f>
        <x:v>yes</x:v>
      </x:c>
      <x:c r="AJ1087" s="12" t="str">
        <x:f>IF(OR(AH1087="yes",AC1087="operational",AD1087="debated"),"high",IF(AND(AG1087="yes",L1087="P0"),"medium","low"))</x:f>
        <x:v>high</x:v>
      </x:c>
      <x:c r="AK1087" s="12" t="str">
        <x:f>IF(ISNUMBER(SEARCH("healthy",AB1087)),"yes","no")</x:f>
        <x:v>yes</x:v>
      </x:c>
      <x:c r="AL1087" s="12" t="str">
        <x:f>IF(AG1087="yes","yes","candidate_only")</x:f>
        <x:v>candidate_only</x:v>
      </x:c>
      <x:c r="AM1087" s="12" t="str">
        <x:f>IF(OR(AC1087="canonical",AG1087="yes"),"yes","recommended")</x:f>
        <x:v>recommended</x:v>
      </x:c>
      <x:c r="AN1087" s="12" t="str">
        <x:f>IF(AC1087="deprecated","exclude",IF(AND(AG1087="yes",AJ1087="high"),"import_but_human_review_required",IF(AG1087="yes","import_as_active","import_as_backlog")))</x:f>
        <x:v>import_as_backlog</x:v>
      </x:c>
      <x:c r="AO1087" s="12" t="str">
        <x:f>IF(AND(AG1087="yes",OR(P1087="",Q1087="",R1087="",S1087="")),"missing_required_mvp_fields",IF(AND(AC1087="canonical",Y1087=""),"missing_source_ref","ok"))</x:f>
        <x:v>ok</x:v>
      </x:c>
      <x:c r="AP1087" s="12" t="str">
        <x:f>IF(AO1087="ok","ready_for_codex_import","needs_review")</x:f>
        <x:v>ready_for_codex_import</x:v>
      </x:c>
      <x:c r="AQ1087" s="12"/>
      <x:c r="AR1087" s="12" t="str">
        <x:v>Added v2 operational fields. Review before classification activation.</x:v>
      </x:c>
    </x:row>
    <x:row r="1088">
      <x:c r="A1088" s="13" t="str">
        <x:v>source_triangulation_review_threshold_variant</x:v>
      </x:c>
      <x:c r="B1088" s="13" t="str">
        <x:v>source_triangulation</x:v>
      </x:c>
      <x:c r="C1088" s="13" t="str">
        <x:v>Source triangulation</x:v>
      </x:c>
      <x:c r="D1088" s="13" t="str">
        <x:v>مثلث‌سازی منابع</x:v>
      </x:c>
      <x:c r="E1088" s="13" t="str">
        <x:v>Review-threshold variant</x:v>
      </x:c>
      <x:c r="F1088" s="13" t="str">
        <x:v>healthy_reasoning_patterns</x:v>
      </x:c>
      <x:c r="G1088" s="13" t="str">
        <x:v>operational_variant</x:v>
      </x:c>
      <x:c r="H1088" s="13" t="str">
        <x:v>contextual</x:v>
      </x:c>
      <x:c r="I1088" s="13" t="str">
        <x:v>claim+context</x:v>
      </x:c>
      <x:c r="J1088" s="13" t="str">
        <x:v>protective_pattern</x:v>
      </x:c>
      <x:c r="K1088" s="13" t="str">
        <x:v>operational_pattern_needs_review</x:v>
      </x:c>
      <x:c r="L1088" s="13" t="str">
        <x:v>P2</x:v>
      </x:c>
      <x:c r="M1088" s="13" t="str">
        <x:v>review</x:v>
      </x:c>
      <x:c r="N1088" s="13" t="str">
        <x:v>Protective reasoning pattern under Source triangulation: the text states when human review or stronger evidence is needed. It should reduce risk scores when supported by evidence.</x:v>
      </x:c>
      <x:c r="O1088" s="13" t="str">
        <x:v>Look for: explicit claim-level evidence; parent-family cues for Source triangulation; variant cue: the text states when human review or stronger evidence is needed; avoid author-level inference.</x:v>
      </x:c>
      <x:c r="P1088" s="13" t="str">
        <x:v>Exact evidence span in text plus claim-level reasoning link; for contextual/discourse entries, require surrounding context.</x:v>
      </x:c>
      <x:c r="Q1088" s="13" t="str">
        <x:v>Do not label merely because topic is controversial, emotional, or wrong. Do not judge intent or personality. Require textual evidence and consider healthy-reasoning cues.</x:v>
      </x:c>
      <x:c r="R1088" s="13" t="str">
        <x:v>Stub: A claim relies on the text states when human review or stronger evidence is needed to support a conclusion without adequate qualification.</x:v>
      </x:c>
      <x:c r="S1088" s="13" t="str">
        <x:v>Stub: A claim discusses source triangulation with caveats, balanced evidence, or no argumentative use of the pattern.</x:v>
      </x:c>
      <x:c r="T1088" s="13" t="str">
        <x:v>Weak protective cue; keep normal review.</x:v>
      </x:c>
      <x:c r="U1088" s="13" t="str">
        <x:v>Clear protective cue; reduce false-positive risk.</x:v>
      </x:c>
      <x:c r="V1088" s="13" t="str">
        <x:v>Strong protective cue; require stronger evidence before assigning risk labels.</x:v>
      </x:c>
      <x:c r="W1088" s="13" t="str"/>
      <x:c r="X1088" s="13" t="str">
        <x:v>sep_informal_logic</x:v>
      </x:c>
      <x:c r="Y1088" s="13" t="str">
        <x:v>https://plato.stanford.edu/entries/logic-informal/</x:v>
      </x:c>
      <x:c r="Z1088" s="13" t="str">
        <x:v>Review before enabling. This workbook is a living taxonomy scaffold, not a validated scientific benchmark.</x:v>
      </x:c>
      <x:c r="AA1088" s="13" t="str">
        <x:v>0.1.0-draft</x:v>
      </x:c>
      <x:c r="AB1088" s="12" t="str">
        <x:f>IF(ISNUMBER(SEARCH("healthy",F1088)),"healthy_reasoning_patterns",IF(ISNUMBER(SEARCH("statistical",F1088)),"statistical_reasoning",IF(ISNUMBER(SEARCH("causal",F1088)),"causal_reasoning",IF(ISNUMBER(SEARCH("social",F1088)),"social_influence",IF(ISNUMBER(SEARCH("rhetoric",F1088)),"rhetoric_discourse",IF(ISNUMBER(SEARCH("behavior",F1088)),"behavioural_economics",IF(ISNUMBER(SEARCH("cognitive",F1088)),"cognitive_biases",IF(J1088="protective_pattern","healthy_reasoning_patterns",IF(L1088="P0","core_mvp","extended_fallacies")))))))))</x:f>
        <x:v>healthy_reasoning_patterns</x:v>
      </x:c>
      <x:c r="AC1088" s="12" t="str">
        <x:f>IF(ISNUMBER(SEARCH("operational",J1088)),"operational",IF(ISNUMBER(SEARCH("deprecated",J1088)),"deprecated",IF(L1088="P0","canonical","recognized_subtype")))</x:f>
        <x:v>recognized_subtype</x:v>
      </x:c>
      <x:c r="AD1088" s="12" t="str">
        <x:f>IF(AC1088="canonical","high",IF(AC1088="recognized_subtype","medium",IF(AC1088="operational","operational_only","debated")))</x:f>
        <x:v>medium</x:v>
      </x:c>
      <x:c r="AE1088" s="12" t="str">
        <x:f>IF(AC1088="deprecated","deprecated",IF(M1088="yes","active",IF(M1088="review","review_required","backlog")))</x:f>
        <x:v>review_required</x:v>
      </x:c>
      <x:c r="AF1088" s="12" t="str">
        <x:f>IF(OR(AE1088="active",AE1088="review_required"),"yes","no")</x:f>
        <x:v>yes</x:v>
      </x:c>
      <x:c r="AG1088" s="12" t="str">
        <x:f>IF(AND(AE1088="active",M1088="yes",NOT(ISNUMBER(SEARCH("healthy",AB1088)))),"yes","no")</x:f>
        <x:v>no</x:v>
      </x:c>
      <x:c r="AH1088" s="12" t="str">
        <x:f>IF(OR(H1088="contextual",H1088="dialogue",H1088="discourse",I1088="claim+context",I1088="discourse_segment"),"yes","no")</x:f>
        <x:v>yes</x:v>
      </x:c>
      <x:c r="AI1088" s="12" t="str">
        <x:f>IF(OR(AH1088="yes",AD1088="debated",AC1088="operational"),"yes","no")</x:f>
        <x:v>yes</x:v>
      </x:c>
      <x:c r="AJ1088" s="12" t="str">
        <x:f>IF(OR(AH1088="yes",AC1088="operational",AD1088="debated"),"high",IF(AND(AG1088="yes",L1088="P0"),"medium","low"))</x:f>
        <x:v>high</x:v>
      </x:c>
      <x:c r="AK1088" s="12" t="str">
        <x:f>IF(ISNUMBER(SEARCH("healthy",AB1088)),"yes","no")</x:f>
        <x:v>yes</x:v>
      </x:c>
      <x:c r="AL1088" s="12" t="str">
        <x:f>IF(AG1088="yes","yes","candidate_only")</x:f>
        <x:v>candidate_only</x:v>
      </x:c>
      <x:c r="AM1088" s="12" t="str">
        <x:f>IF(OR(AC1088="canonical",AG1088="yes"),"yes","recommended")</x:f>
        <x:v>recommended</x:v>
      </x:c>
      <x:c r="AN1088" s="12" t="str">
        <x:f>IF(AC1088="deprecated","exclude",IF(AND(AG1088="yes",AJ1088="high"),"import_but_human_review_required",IF(AG1088="yes","import_as_active","import_as_backlog")))</x:f>
        <x:v>import_as_backlog</x:v>
      </x:c>
      <x:c r="AO1088" s="12" t="str">
        <x:f>IF(AND(AG1088="yes",OR(P1088="",Q1088="",R1088="",S1088="")),"missing_required_mvp_fields",IF(AND(AC1088="canonical",Y1088=""),"missing_source_ref","ok"))</x:f>
        <x:v>ok</x:v>
      </x:c>
      <x:c r="AP1088" s="12" t="str">
        <x:f>IF(AO1088="ok","ready_for_codex_import","needs_review")</x:f>
        <x:v>ready_for_codex_import</x:v>
      </x:c>
      <x:c r="AQ1088" s="12"/>
      <x:c r="AR1088" s="12" t="str">
        <x:v>Added v2 operational fields. Review before classification activation.</x:v>
      </x:c>
    </x:row>
    <x:row r="1089">
      <x:c r="A1089" s="13" t="str">
        <x:v>probabilistic_language_review_threshold_variant</x:v>
      </x:c>
      <x:c r="B1089" s="13" t="str">
        <x:v>probabilistic_language</x:v>
      </x:c>
      <x:c r="C1089" s="13" t="str">
        <x:v>Probabilistic language</x:v>
      </x:c>
      <x:c r="D1089" s="13" t="str">
        <x:v>زبان احتمالاتی</x:v>
      </x:c>
      <x:c r="E1089" s="13" t="str">
        <x:v>Review-threshold variant</x:v>
      </x:c>
      <x:c r="F1089" s="13" t="str">
        <x:v>healthy_reasoning_patterns</x:v>
      </x:c>
      <x:c r="G1089" s="13" t="str">
        <x:v>operational_variant</x:v>
      </x:c>
      <x:c r="H1089" s="13" t="str">
        <x:v>lexical</x:v>
      </x:c>
      <x:c r="I1089" s="13" t="str">
        <x:v>claim</x:v>
      </x:c>
      <x:c r="J1089" s="13" t="str">
        <x:v>protective_pattern</x:v>
      </x:c>
      <x:c r="K1089" s="13" t="str">
        <x:v>operational_pattern_needs_review</x:v>
      </x:c>
      <x:c r="L1089" s="13" t="str">
        <x:v>P2</x:v>
      </x:c>
      <x:c r="M1089" s="13" t="str">
        <x:v>review</x:v>
      </x:c>
      <x:c r="N1089" s="13" t="str">
        <x:v>Protective reasoning pattern under Probabilistic language: the text states when human review or stronger evidence is needed. It should reduce risk scores when supported by evidence.</x:v>
      </x:c>
      <x:c r="O1089" s="13" t="str">
        <x:v>Look for: explicit claim-level evidence; parent-family cues for Probabilistic language; variant cue: the text states when human review or stronger evidence is needed; avoid author-level inference.</x:v>
      </x:c>
      <x:c r="P1089" s="13" t="str">
        <x:v>Exact evidence span in text plus claim-level reasoning link; for contextual/discourse entries, require surrounding context.</x:v>
      </x:c>
      <x:c r="Q1089" s="13" t="str">
        <x:v>Do not label merely because topic is controversial, emotional, or wrong. Do not judge intent or personality. Require textual evidence and consider healthy-reasoning cues.</x:v>
      </x:c>
      <x:c r="R1089" s="13" t="str">
        <x:v>Stub: A claim relies on the text states when human review or stronger evidence is needed to support a conclusion without adequate qualification.</x:v>
      </x:c>
      <x:c r="S1089" s="13" t="str">
        <x:v>Stub: A claim discusses probabilistic language with caveats, balanced evidence, or no argumentative use of the pattern.</x:v>
      </x:c>
      <x:c r="T1089" s="13" t="str">
        <x:v>Weak protective cue; keep normal review.</x:v>
      </x:c>
      <x:c r="U1089" s="13" t="str">
        <x:v>Clear protective cue; reduce false-positive risk.</x:v>
      </x:c>
      <x:c r="V1089" s="13" t="str">
        <x:v>Strong protective cue; require stronger evidence before assigning risk labels.</x:v>
      </x:c>
      <x:c r="W1089" s="13" t="str"/>
      <x:c r="X1089" s="13" t="str">
        <x:v>stanovich_dual_process</x:v>
      </x:c>
      <x:c r="Y1089" s="13" t="str">
        <x:v>https://global.oup.com/academic/product/rationality-and-the-reflective-mind-9780195341140</x:v>
      </x:c>
      <x:c r="Z1089" s="13" t="str">
        <x:v>Review before enabling. This workbook is a living taxonomy scaffold, not a validated scientific benchmark.</x:v>
      </x:c>
      <x:c r="AA1089" s="13" t="str">
        <x:v>0.1.0-draft</x:v>
      </x:c>
      <x:c r="AB1089" s="12" t="str">
        <x:f>IF(ISNUMBER(SEARCH("healthy",F1089)),"healthy_reasoning_patterns",IF(ISNUMBER(SEARCH("statistical",F1089)),"statistical_reasoning",IF(ISNUMBER(SEARCH("causal",F1089)),"causal_reasoning",IF(ISNUMBER(SEARCH("social",F1089)),"social_influence",IF(ISNUMBER(SEARCH("rhetoric",F1089)),"rhetoric_discourse",IF(ISNUMBER(SEARCH("behavior",F1089)),"behavioural_economics",IF(ISNUMBER(SEARCH("cognitive",F1089)),"cognitive_biases",IF(J1089="protective_pattern","healthy_reasoning_patterns",IF(L1089="P0","core_mvp","extended_fallacies")))))))))</x:f>
        <x:v>healthy_reasoning_patterns</x:v>
      </x:c>
      <x:c r="AC1089" s="12" t="str">
        <x:f>IF(ISNUMBER(SEARCH("operational",J1089)),"operational",IF(ISNUMBER(SEARCH("deprecated",J1089)),"deprecated",IF(L1089="P0","canonical","recognized_subtype")))</x:f>
        <x:v>recognized_subtype</x:v>
      </x:c>
      <x:c r="AD1089" s="12" t="str">
        <x:f>IF(AC1089="canonical","high",IF(AC1089="recognized_subtype","medium",IF(AC1089="operational","operational_only","debated")))</x:f>
        <x:v>medium</x:v>
      </x:c>
      <x:c r="AE1089" s="12" t="str">
        <x:f>IF(AC1089="deprecated","deprecated",IF(M1089="yes","active",IF(M1089="review","review_required","backlog")))</x:f>
        <x:v>review_required</x:v>
      </x:c>
      <x:c r="AF1089" s="12" t="str">
        <x:f>IF(OR(AE1089="active",AE1089="review_required"),"yes","no")</x:f>
        <x:v>yes</x:v>
      </x:c>
      <x:c r="AG1089" s="12" t="str">
        <x:f>IF(AND(AE1089="active",M1089="yes",NOT(ISNUMBER(SEARCH("healthy",AB1089)))),"yes","no")</x:f>
        <x:v>no</x:v>
      </x:c>
      <x:c r="AH1089" s="12" t="str">
        <x:f>IF(OR(H1089="contextual",H1089="dialogue",H1089="discourse",I1089="claim+context",I1089="discourse_segment"),"yes","no")</x:f>
        <x:v>no</x:v>
      </x:c>
      <x:c r="AI1089" s="12" t="str">
        <x:f>IF(OR(AH1089="yes",AD1089="debated",AC1089="operational"),"yes","no")</x:f>
        <x:v>no</x:v>
      </x:c>
      <x:c r="AJ1089" s="12" t="str">
        <x:f>IF(OR(AH1089="yes",AC1089="operational",AD1089="debated"),"high",IF(AND(AG1089="yes",L1089="P0"),"medium","low"))</x:f>
        <x:v>low</x:v>
      </x:c>
      <x:c r="AK1089" s="12" t="str">
        <x:f>IF(ISNUMBER(SEARCH("healthy",AB1089)),"yes","no")</x:f>
        <x:v>yes</x:v>
      </x:c>
      <x:c r="AL1089" s="12" t="str">
        <x:f>IF(AG1089="yes","yes","candidate_only")</x:f>
        <x:v>candidate_only</x:v>
      </x:c>
      <x:c r="AM1089" s="12" t="str">
        <x:f>IF(OR(AC1089="canonical",AG1089="yes"),"yes","recommended")</x:f>
        <x:v>recommended</x:v>
      </x:c>
      <x:c r="AN1089" s="12" t="str">
        <x:f>IF(AC1089="deprecated","exclude",IF(AND(AG1089="yes",AJ1089="high"),"import_but_human_review_required",IF(AG1089="yes","import_as_active","import_as_backlog")))</x:f>
        <x:v>import_as_backlog</x:v>
      </x:c>
      <x:c r="AO1089" s="12" t="str">
        <x:f>IF(AND(AG1089="yes",OR(P1089="",Q1089="",R1089="",S1089="")),"missing_required_mvp_fields",IF(AND(AC1089="canonical",Y1089=""),"missing_source_ref","ok"))</x:f>
        <x:v>ok</x:v>
      </x:c>
      <x:c r="AP1089" s="12" t="str">
        <x:f>IF(AO1089="ok","ready_for_codex_import","needs_review")</x:f>
        <x:v>ready_for_codex_import</x:v>
      </x:c>
      <x:c r="AQ1089" s="12"/>
      <x:c r="AR1089" s="12" t="str">
        <x:v>Added v2 operational fields. Review before classification activation.</x:v>
      </x:c>
    </x:row>
    <x:row r="1090">
      <x:c r="A1090" s="13" t="str">
        <x:v>confidence_calibration_review_threshold_variant</x:v>
      </x:c>
      <x:c r="B1090" s="13" t="str">
        <x:v>confidence_calibration</x:v>
      </x:c>
      <x:c r="C1090" s="13" t="str">
        <x:v>Confidence calibration</x:v>
      </x:c>
      <x:c r="D1090" s="13" t="str">
        <x:v>کالیبراسیون اطمینان</x:v>
      </x:c>
      <x:c r="E1090" s="13" t="str">
        <x:v>Review-threshold variant</x:v>
      </x:c>
      <x:c r="F1090" s="13" t="str">
        <x:v>healthy_reasoning_patterns</x:v>
      </x:c>
      <x:c r="G1090" s="13" t="str">
        <x:v>operational_variant</x:v>
      </x:c>
      <x:c r="H1090" s="13" t="str">
        <x:v>contextual</x:v>
      </x:c>
      <x:c r="I1090" s="13" t="str">
        <x:v>claim+context</x:v>
      </x:c>
      <x:c r="J1090" s="13" t="str">
        <x:v>protective_pattern</x:v>
      </x:c>
      <x:c r="K1090" s="13" t="str">
        <x:v>operational_pattern_needs_review</x:v>
      </x:c>
      <x:c r="L1090" s="13" t="str">
        <x:v>P2</x:v>
      </x:c>
      <x:c r="M1090" s="13" t="str">
        <x:v>review</x:v>
      </x:c>
      <x:c r="N1090" s="13" t="str">
        <x:v>Protective reasoning pattern under Confidence calibration: the text states when human review or stronger evidence is needed. It should reduce risk scores when supported by evidence.</x:v>
      </x:c>
      <x:c r="O1090" s="13" t="str">
        <x:v>Look for: explicit claim-level evidence; parent-family cues for Confidence calibration; variant cue: the text states when human review or stronger evidence is needed; avoid author-level inference.</x:v>
      </x:c>
      <x:c r="P1090" s="13" t="str">
        <x:v>Exact evidence span in text plus claim-level reasoning link; for contextual/discourse entries, require surrounding context.</x:v>
      </x:c>
      <x:c r="Q1090" s="13" t="str">
        <x:v>Do not label merely because topic is controversial, emotional, or wrong. Do not judge intent or personality. Require textual evidence and consider healthy-reasoning cues.</x:v>
      </x:c>
      <x:c r="R1090" s="13" t="str">
        <x:v>Stub: A claim relies on the text states when human review or stronger evidence is needed to support a conclusion without adequate qualification.</x:v>
      </x:c>
      <x:c r="S1090" s="13" t="str">
        <x:v>Stub: A claim discusses confidence calibration with caveats, balanced evidence, or no argumentative use of the pattern.</x:v>
      </x:c>
      <x:c r="T1090" s="13" t="str">
        <x:v>Weak protective cue; keep normal review.</x:v>
      </x:c>
      <x:c r="U1090" s="13" t="str">
        <x:v>Clear protective cue; reduce false-positive risk.</x:v>
      </x:c>
      <x:c r="V1090" s="13" t="str">
        <x:v>Strong protective cue; require stronger evidence before assigning risk labels.</x:v>
      </x:c>
      <x:c r="W1090" s="13" t="str">
        <x:v>cherry_picking; missing_counterevidence; evidence_grading</x:v>
      </x:c>
      <x:c r="X1090" s="13" t="str">
        <x:v>stanovich_dual_process</x:v>
      </x:c>
      <x:c r="Y1090" s="13" t="str">
        <x:v>https://global.oup.com/academic/product/rationality-and-the-reflective-mind-9780195341140</x:v>
      </x:c>
      <x:c r="Z1090" s="13" t="str">
        <x:v>Review before enabling. This workbook is a living taxonomy scaffold, not a validated scientific benchmark.</x:v>
      </x:c>
      <x:c r="AA1090" s="13" t="str">
        <x:v>0.1.0-draft</x:v>
      </x:c>
      <x:c r="AB1090" s="12" t="str">
        <x:f>IF(ISNUMBER(SEARCH("healthy",F1090)),"healthy_reasoning_patterns",IF(ISNUMBER(SEARCH("statistical",F1090)),"statistical_reasoning",IF(ISNUMBER(SEARCH("causal",F1090)),"causal_reasoning",IF(ISNUMBER(SEARCH("social",F1090)),"social_influence",IF(ISNUMBER(SEARCH("rhetoric",F1090)),"rhetoric_discourse",IF(ISNUMBER(SEARCH("behavior",F1090)),"behavioural_economics",IF(ISNUMBER(SEARCH("cognitive",F1090)),"cognitive_biases",IF(J1090="protective_pattern","healthy_reasoning_patterns",IF(L1090="P0","core_mvp","extended_fallacies")))))))))</x:f>
        <x:v>healthy_reasoning_patterns</x:v>
      </x:c>
      <x:c r="AC1090" s="12" t="str">
        <x:f>IF(ISNUMBER(SEARCH("operational",J1090)),"operational",IF(ISNUMBER(SEARCH("deprecated",J1090)),"deprecated",IF(L1090="P0","canonical","recognized_subtype")))</x:f>
        <x:v>recognized_subtype</x:v>
      </x:c>
      <x:c r="AD1090" s="12" t="str">
        <x:f>IF(AC1090="canonical","high",IF(AC1090="recognized_subtype","medium",IF(AC1090="operational","operational_only","debated")))</x:f>
        <x:v>medium</x:v>
      </x:c>
      <x:c r="AE1090" s="12" t="str">
        <x:f>IF(AC1090="deprecated","deprecated",IF(M1090="yes","active",IF(M1090="review","review_required","backlog")))</x:f>
        <x:v>review_required</x:v>
      </x:c>
      <x:c r="AF1090" s="12" t="str">
        <x:f>IF(OR(AE1090="active",AE1090="review_required"),"yes","no")</x:f>
        <x:v>yes</x:v>
      </x:c>
      <x:c r="AG1090" s="12" t="str">
        <x:f>IF(AND(AE1090="active",M1090="yes",NOT(ISNUMBER(SEARCH("healthy",AB1090)))),"yes","no")</x:f>
        <x:v>no</x:v>
      </x:c>
      <x:c r="AH1090" s="12" t="str">
        <x:f>IF(OR(H1090="contextual",H1090="dialogue",H1090="discourse",I1090="claim+context",I1090="discourse_segment"),"yes","no")</x:f>
        <x:v>yes</x:v>
      </x:c>
      <x:c r="AI1090" s="12" t="str">
        <x:f>IF(OR(AH1090="yes",AD1090="debated",AC1090="operational"),"yes","no")</x:f>
        <x:v>yes</x:v>
      </x:c>
      <x:c r="AJ1090" s="12" t="str">
        <x:f>IF(OR(AH1090="yes",AC1090="operational",AD1090="debated"),"high",IF(AND(AG1090="yes",L1090="P0"),"medium","low"))</x:f>
        <x:v>high</x:v>
      </x:c>
      <x:c r="AK1090" s="12" t="str">
        <x:f>IF(ISNUMBER(SEARCH("healthy",AB1090)),"yes","no")</x:f>
        <x:v>yes</x:v>
      </x:c>
      <x:c r="AL1090" s="12" t="str">
        <x:f>IF(AG1090="yes","yes","candidate_only")</x:f>
        <x:v>candidate_only</x:v>
      </x:c>
      <x:c r="AM1090" s="12" t="str">
        <x:f>IF(OR(AC1090="canonical",AG1090="yes"),"yes","recommended")</x:f>
        <x:v>recommended</x:v>
      </x:c>
      <x:c r="AN1090" s="12" t="str">
        <x:f>IF(AC1090="deprecated","exclude",IF(AND(AG1090="yes",AJ1090="high"),"import_but_human_review_required",IF(AG1090="yes","import_as_active","import_as_backlog")))</x:f>
        <x:v>import_as_backlog</x:v>
      </x:c>
      <x:c r="AO1090" s="12" t="str">
        <x:f>IF(AND(AG1090="yes",OR(P1090="",Q1090="",R1090="",S1090="")),"missing_required_mvp_fields",IF(AND(AC1090="canonical",Y1090=""),"missing_source_ref","ok"))</x:f>
        <x:v>ok</x:v>
      </x:c>
      <x:c r="AP1090" s="12" t="str">
        <x:f>IF(AO1090="ok","ready_for_codex_import","needs_review")</x:f>
        <x:v>ready_for_codex_import</x:v>
      </x:c>
      <x:c r="AQ1090" s="12"/>
      <x:c r="AR1090" s="12" t="str">
        <x:v>Added v2 operational fields. Review before classification activation.</x:v>
      </x:c>
    </x:row>
    <x:row r="1091">
      <x:c r="A1091" s="13" t="str">
        <x:v>causal_caveat_review_threshold_variant</x:v>
      </x:c>
      <x:c r="B1091" s="13" t="str">
        <x:v>causal_caveat</x:v>
      </x:c>
      <x:c r="C1091" s="13" t="str">
        <x:v>Causal caveat</x:v>
      </x:c>
      <x:c r="D1091" s="13" t="str">
        <x:v>احتیاط در علیت</x:v>
      </x:c>
      <x:c r="E1091" s="13" t="str">
        <x:v>Review-threshold variant</x:v>
      </x:c>
      <x:c r="F1091" s="13" t="str">
        <x:v>healthy_reasoning_patterns</x:v>
      </x:c>
      <x:c r="G1091" s="13" t="str">
        <x:v>operational_variant</x:v>
      </x:c>
      <x:c r="H1091" s="13" t="str">
        <x:v>lexical</x:v>
      </x:c>
      <x:c r="I1091" s="13" t="str">
        <x:v>claim</x:v>
      </x:c>
      <x:c r="J1091" s="13" t="str">
        <x:v>protective_pattern</x:v>
      </x:c>
      <x:c r="K1091" s="13" t="str">
        <x:v>operational_pattern_needs_review</x:v>
      </x:c>
      <x:c r="L1091" s="13" t="str">
        <x:v>P2</x:v>
      </x:c>
      <x:c r="M1091" s="13" t="str">
        <x:v>review</x:v>
      </x:c>
      <x:c r="N1091" s="13" t="str">
        <x:v>Protective reasoning pattern under Causal caveat: the text states when human review or stronger evidence is needed. It should reduce risk scores when supported by evidence.</x:v>
      </x:c>
      <x:c r="O1091" s="13" t="str">
        <x:v>Look for: explicit claim-level evidence; parent-family cues for Causal caveat; variant cue: the text states when human review or stronger evidence is needed; avoid author-level inference.</x:v>
      </x:c>
      <x:c r="P1091" s="13" t="str">
        <x:v>Exact evidence span in text plus claim-level reasoning link; for contextual/discourse entries, require surrounding context.</x:v>
      </x:c>
      <x:c r="Q1091" s="13" t="str">
        <x:v>Do not label merely because topic is controversial, emotional, or wrong. Do not judge intent or personality. Require textual evidence and consider healthy-reasoning cues.</x:v>
      </x:c>
      <x:c r="R1091" s="13" t="str">
        <x:v>Stub: A claim relies on the text states when human review or stronger evidence is needed to support a conclusion without adequate qualification.</x:v>
      </x:c>
      <x:c r="S1091" s="13" t="str">
        <x:v>Stub: A claim discusses causal caveat with caveats, balanced evidence, or no argumentative use of the pattern.</x:v>
      </x:c>
      <x:c r="T1091" s="13" t="str">
        <x:v>Weak protective cue; keep normal review.</x:v>
      </x:c>
      <x:c r="U1091" s="13" t="str">
        <x:v>Clear protective cue; reduce false-positive risk.</x:v>
      </x:c>
      <x:c r="V1091" s="13" t="str">
        <x:v>Strong protective cue; require stronger evidence before assigning risk labels.</x:v>
      </x:c>
      <x:c r="W1091" s="13" t="str">
        <x:v>post_hoc; cum_hoc; alternative_explanation_neglect</x:v>
      </x:c>
      <x:c r="X1091" s="13" t="str">
        <x:v>toulmin_uses_argument</x:v>
      </x:c>
      <x:c r="Y1091" s="13" t="str">
        <x:v>https://doi.org/10.1017/CBO9780511840005</x:v>
      </x:c>
      <x:c r="Z1091" s="13" t="str">
        <x:v>Review before enabling. This workbook is a living taxonomy scaffold, not a validated scientific benchmark.</x:v>
      </x:c>
      <x:c r="AA1091" s="13" t="str">
        <x:v>0.1.0-draft</x:v>
      </x:c>
      <x:c r="AB1091" s="12" t="str">
        <x:f>IF(ISNUMBER(SEARCH("healthy",F1091)),"healthy_reasoning_patterns",IF(ISNUMBER(SEARCH("statistical",F1091)),"statistical_reasoning",IF(ISNUMBER(SEARCH("causal",F1091)),"causal_reasoning",IF(ISNUMBER(SEARCH("social",F1091)),"social_influence",IF(ISNUMBER(SEARCH("rhetoric",F1091)),"rhetoric_discourse",IF(ISNUMBER(SEARCH("behavior",F1091)),"behavioural_economics",IF(ISNUMBER(SEARCH("cognitive",F1091)),"cognitive_biases",IF(J1091="protective_pattern","healthy_reasoning_patterns",IF(L1091="P0","core_mvp","extended_fallacies")))))))))</x:f>
        <x:v>healthy_reasoning_patterns</x:v>
      </x:c>
      <x:c r="AC1091" s="12" t="str">
        <x:f>IF(ISNUMBER(SEARCH("operational",J1091)),"operational",IF(ISNUMBER(SEARCH("deprecated",J1091)),"deprecated",IF(L1091="P0","canonical","recognized_subtype")))</x:f>
        <x:v>recognized_subtype</x:v>
      </x:c>
      <x:c r="AD1091" s="12" t="str">
        <x:f>IF(AC1091="canonical","high",IF(AC1091="recognized_subtype","medium",IF(AC1091="operational","operational_only","debated")))</x:f>
        <x:v>medium</x:v>
      </x:c>
      <x:c r="AE1091" s="12" t="str">
        <x:f>IF(AC1091="deprecated","deprecated",IF(M1091="yes","active",IF(M1091="review","review_required","backlog")))</x:f>
        <x:v>review_required</x:v>
      </x:c>
      <x:c r="AF1091" s="12" t="str">
        <x:f>IF(OR(AE1091="active",AE1091="review_required"),"yes","no")</x:f>
        <x:v>yes</x:v>
      </x:c>
      <x:c r="AG1091" s="12" t="str">
        <x:f>IF(AND(AE1091="active",M1091="yes",NOT(ISNUMBER(SEARCH("healthy",AB1091)))),"yes","no")</x:f>
        <x:v>no</x:v>
      </x:c>
      <x:c r="AH1091" s="12" t="str">
        <x:f>IF(OR(H1091="contextual",H1091="dialogue",H1091="discourse",I1091="claim+context",I1091="discourse_segment"),"yes","no")</x:f>
        <x:v>no</x:v>
      </x:c>
      <x:c r="AI1091" s="12" t="str">
        <x:f>IF(OR(AH1091="yes",AD1091="debated",AC1091="operational"),"yes","no")</x:f>
        <x:v>no</x:v>
      </x:c>
      <x:c r="AJ1091" s="12" t="str">
        <x:f>IF(OR(AH1091="yes",AC1091="operational",AD1091="debated"),"high",IF(AND(AG1091="yes",L1091="P0"),"medium","low"))</x:f>
        <x:v>low</x:v>
      </x:c>
      <x:c r="AK1091" s="12" t="str">
        <x:f>IF(ISNUMBER(SEARCH("healthy",AB1091)),"yes","no")</x:f>
        <x:v>yes</x:v>
      </x:c>
      <x:c r="AL1091" s="12" t="str">
        <x:f>IF(AG1091="yes","yes","candidate_only")</x:f>
        <x:v>candidate_only</x:v>
      </x:c>
      <x:c r="AM1091" s="12" t="str">
        <x:f>IF(OR(AC1091="canonical",AG1091="yes"),"yes","recommended")</x:f>
        <x:v>recommended</x:v>
      </x:c>
      <x:c r="AN1091" s="12" t="str">
        <x:f>IF(AC1091="deprecated","exclude",IF(AND(AG1091="yes",AJ1091="high"),"import_but_human_review_required",IF(AG1091="yes","import_as_active","import_as_backlog")))</x:f>
        <x:v>import_as_backlog</x:v>
      </x:c>
      <x:c r="AO1091" s="12" t="str">
        <x:f>IF(AND(AG1091="yes",OR(P1091="",Q1091="",R1091="",S1091="")),"missing_required_mvp_fields",IF(AND(AC1091="canonical",Y1091=""),"missing_source_ref","ok"))</x:f>
        <x:v>ok</x:v>
      </x:c>
      <x:c r="AP1091" s="12" t="str">
        <x:f>IF(AO1091="ok","ready_for_codex_import","needs_review")</x:f>
        <x:v>ready_for_codex_import</x:v>
      </x:c>
      <x:c r="AQ1091" s="12"/>
      <x:c r="AR1091" s="12" t="str">
        <x:v>Added v2 operational fields. Review before classification activation.</x:v>
      </x:c>
    </x:row>
    <x:row r="1092">
      <x:c r="A1092" s="13" t="str">
        <x:v>sample_limitation_statement_review_threshold_variant</x:v>
      </x:c>
      <x:c r="B1092" s="13" t="str">
        <x:v>sample_limitation_statement</x:v>
      </x:c>
      <x:c r="C1092" s="13" t="str">
        <x:v>Sample limitation statement</x:v>
      </x:c>
      <x:c r="D1092" s="13" t="str">
        <x:v>بیان محدودیت نمونه</x:v>
      </x:c>
      <x:c r="E1092" s="13" t="str">
        <x:v>Review-threshold variant</x:v>
      </x:c>
      <x:c r="F1092" s="13" t="str">
        <x:v>healthy_reasoning_patterns</x:v>
      </x:c>
      <x:c r="G1092" s="13" t="str">
        <x:v>operational_variant</x:v>
      </x:c>
      <x:c r="H1092" s="13" t="str">
        <x:v>contextual</x:v>
      </x:c>
      <x:c r="I1092" s="13" t="str">
        <x:v>claim+context</x:v>
      </x:c>
      <x:c r="J1092" s="13" t="str">
        <x:v>protective_pattern</x:v>
      </x:c>
      <x:c r="K1092" s="13" t="str">
        <x:v>operational_pattern_needs_review</x:v>
      </x:c>
      <x:c r="L1092" s="13" t="str">
        <x:v>P2</x:v>
      </x:c>
      <x:c r="M1092" s="13" t="str">
        <x:v>review</x:v>
      </x:c>
      <x:c r="N1092" s="13" t="str">
        <x:v>Protective reasoning pattern under Sample limitation statement: the text states when human review or stronger evidence is needed. It should reduce risk scores when supported by evidence.</x:v>
      </x:c>
      <x:c r="O1092" s="13" t="str">
        <x:v>Look for: explicit claim-level evidence; parent-family cues for Sample limitation statement; variant cue: the text states when human review or stronger evidence is needed; avoid author-level inference.</x:v>
      </x:c>
      <x:c r="P1092" s="13" t="str">
        <x:v>Exact evidence span in text plus claim-level reasoning link; for contextual/discourse entries, require surrounding context.</x:v>
      </x:c>
      <x:c r="Q1092" s="13" t="str">
        <x:v>Do not label merely because topic is controversial, emotional, or wrong. Do not judge intent or personality. Require textual evidence and consider healthy-reasoning cues.</x:v>
      </x:c>
      <x:c r="R1092" s="13" t="str">
        <x:v>Stub: A claim relies on the text states when human review or stronger evidence is needed to support a conclusion without adequate qualification.</x:v>
      </x:c>
      <x:c r="S1092" s="13" t="str">
        <x:v>Stub: A claim discusses sample limitation statement with caveats, balanced evidence, or no argumentative use of the pattern.</x:v>
      </x:c>
      <x:c r="T1092" s="13" t="str">
        <x:v>Weak protective cue; keep normal review.</x:v>
      </x:c>
      <x:c r="U1092" s="13" t="str">
        <x:v>Clear protective cue; reduce false-positive risk.</x:v>
      </x:c>
      <x:c r="V1092" s="13" t="str">
        <x:v>Strong protective cue; require stronger evidence before assigning risk labels.</x:v>
      </x:c>
      <x:c r="W1092" s="13" t="str"/>
      <x:c r="X1092" s="13" t="str">
        <x:v>toulmin_uses_argument</x:v>
      </x:c>
      <x:c r="Y1092" s="13" t="str">
        <x:v>https://doi.org/10.1017/CBO9780511840005</x:v>
      </x:c>
      <x:c r="Z1092" s="13" t="str">
        <x:v>Review before enabling. This workbook is a living taxonomy scaffold, not a validated scientific benchmark.</x:v>
      </x:c>
      <x:c r="AA1092" s="13" t="str">
        <x:v>0.1.0-draft</x:v>
      </x:c>
      <x:c r="AB1092" s="12" t="str">
        <x:f>IF(ISNUMBER(SEARCH("healthy",F1092)),"healthy_reasoning_patterns",IF(ISNUMBER(SEARCH("statistical",F1092)),"statistical_reasoning",IF(ISNUMBER(SEARCH("causal",F1092)),"causal_reasoning",IF(ISNUMBER(SEARCH("social",F1092)),"social_influence",IF(ISNUMBER(SEARCH("rhetoric",F1092)),"rhetoric_discourse",IF(ISNUMBER(SEARCH("behavior",F1092)),"behavioural_economics",IF(ISNUMBER(SEARCH("cognitive",F1092)),"cognitive_biases",IF(J1092="protective_pattern","healthy_reasoning_patterns",IF(L1092="P0","core_mvp","extended_fallacies")))))))))</x:f>
        <x:v>healthy_reasoning_patterns</x:v>
      </x:c>
      <x:c r="AC1092" s="12" t="str">
        <x:f>IF(ISNUMBER(SEARCH("operational",J1092)),"operational",IF(ISNUMBER(SEARCH("deprecated",J1092)),"deprecated",IF(L1092="P0","canonical","recognized_subtype")))</x:f>
        <x:v>recognized_subtype</x:v>
      </x:c>
      <x:c r="AD1092" s="12" t="str">
        <x:f>IF(AC1092="canonical","high",IF(AC1092="recognized_subtype","medium",IF(AC1092="operational","operational_only","debated")))</x:f>
        <x:v>medium</x:v>
      </x:c>
      <x:c r="AE1092" s="12" t="str">
        <x:f>IF(AC1092="deprecated","deprecated",IF(M1092="yes","active",IF(M1092="review","review_required","backlog")))</x:f>
        <x:v>review_required</x:v>
      </x:c>
      <x:c r="AF1092" s="12" t="str">
        <x:f>IF(OR(AE1092="active",AE1092="review_required"),"yes","no")</x:f>
        <x:v>yes</x:v>
      </x:c>
      <x:c r="AG1092" s="12" t="str">
        <x:f>IF(AND(AE1092="active",M1092="yes",NOT(ISNUMBER(SEARCH("healthy",AB1092)))),"yes","no")</x:f>
        <x:v>no</x:v>
      </x:c>
      <x:c r="AH1092" s="12" t="str">
        <x:f>IF(OR(H1092="contextual",H1092="dialogue",H1092="discourse",I1092="claim+context",I1092="discourse_segment"),"yes","no")</x:f>
        <x:v>yes</x:v>
      </x:c>
      <x:c r="AI1092" s="12" t="str">
        <x:f>IF(OR(AH1092="yes",AD1092="debated",AC1092="operational"),"yes","no")</x:f>
        <x:v>yes</x:v>
      </x:c>
      <x:c r="AJ1092" s="12" t="str">
        <x:f>IF(OR(AH1092="yes",AC1092="operational",AD1092="debated"),"high",IF(AND(AG1092="yes",L1092="P0"),"medium","low"))</x:f>
        <x:v>high</x:v>
      </x:c>
      <x:c r="AK1092" s="12" t="str">
        <x:f>IF(ISNUMBER(SEARCH("healthy",AB1092)),"yes","no")</x:f>
        <x:v>yes</x:v>
      </x:c>
      <x:c r="AL1092" s="12" t="str">
        <x:f>IF(AG1092="yes","yes","candidate_only")</x:f>
        <x:v>candidate_only</x:v>
      </x:c>
      <x:c r="AM1092" s="12" t="str">
        <x:f>IF(OR(AC1092="canonical",AG1092="yes"),"yes","recommended")</x:f>
        <x:v>recommended</x:v>
      </x:c>
      <x:c r="AN1092" s="12" t="str">
        <x:f>IF(AC1092="deprecated","exclude",IF(AND(AG1092="yes",AJ1092="high"),"import_but_human_review_required",IF(AG1092="yes","import_as_active","import_as_backlog")))</x:f>
        <x:v>import_as_backlog</x:v>
      </x:c>
      <x:c r="AO1092" s="12" t="str">
        <x:f>IF(AND(AG1092="yes",OR(P1092="",Q1092="",R1092="",S1092="")),"missing_required_mvp_fields",IF(AND(AC1092="canonical",Y1092=""),"missing_source_ref","ok"))</x:f>
        <x:v>ok</x:v>
      </x:c>
      <x:c r="AP1092" s="12" t="str">
        <x:f>IF(AO1092="ok","ready_for_codex_import","needs_review")</x:f>
        <x:v>ready_for_codex_import</x:v>
      </x:c>
      <x:c r="AQ1092" s="12"/>
      <x:c r="AR1092" s="12" t="str">
        <x:v>Added v2 operational fields. Review before classification activation.</x:v>
      </x:c>
    </x:row>
    <x:row r="1093">
      <x:c r="A1093" s="13" t="str">
        <x:v>method_limitation_statement_review_threshold_variant</x:v>
      </x:c>
      <x:c r="B1093" s="13" t="str">
        <x:v>method_limitation_statement</x:v>
      </x:c>
      <x:c r="C1093" s="13" t="str">
        <x:v>Method limitation statement</x:v>
      </x:c>
      <x:c r="D1093" s="13" t="str">
        <x:v>بیان محدودیت روش</x:v>
      </x:c>
      <x:c r="E1093" s="13" t="str">
        <x:v>Review-threshold variant</x:v>
      </x:c>
      <x:c r="F1093" s="13" t="str">
        <x:v>healthy_reasoning_patterns</x:v>
      </x:c>
      <x:c r="G1093" s="13" t="str">
        <x:v>operational_variant</x:v>
      </x:c>
      <x:c r="H1093" s="13" t="str">
        <x:v>contextual</x:v>
      </x:c>
      <x:c r="I1093" s="13" t="str">
        <x:v>claim+context</x:v>
      </x:c>
      <x:c r="J1093" s="13" t="str">
        <x:v>protective_pattern</x:v>
      </x:c>
      <x:c r="K1093" s="13" t="str">
        <x:v>operational_pattern_needs_review</x:v>
      </x:c>
      <x:c r="L1093" s="13" t="str">
        <x:v>P2</x:v>
      </x:c>
      <x:c r="M1093" s="13" t="str">
        <x:v>review</x:v>
      </x:c>
      <x:c r="N1093" s="13" t="str">
        <x:v>Protective reasoning pattern under Method limitation statement: the text states when human review or stronger evidence is needed. It should reduce risk scores when supported by evidence.</x:v>
      </x:c>
      <x:c r="O1093" s="13" t="str">
        <x:v>Look for: explicit claim-level evidence; parent-family cues for Method limitation statement; variant cue: the text states when human review or stronger evidence is needed; avoid author-level inference.</x:v>
      </x:c>
      <x:c r="P1093" s="13" t="str">
        <x:v>Exact evidence span in text plus claim-level reasoning link; for contextual/discourse entries, require surrounding context.</x:v>
      </x:c>
      <x:c r="Q1093" s="13" t="str">
        <x:v>Do not label merely because topic is controversial, emotional, or wrong. Do not judge intent or personality. Require textual evidence and consider healthy-reasoning cues.</x:v>
      </x:c>
      <x:c r="R1093" s="13" t="str">
        <x:v>Stub: A claim relies on the text states when human review or stronger evidence is needed to support a conclusion without adequate qualification.</x:v>
      </x:c>
      <x:c r="S1093" s="13" t="str">
        <x:v>Stub: A claim discusses method limitation statement with caveats, balanced evidence, or no argumentative use of the pattern.</x:v>
      </x:c>
      <x:c r="T1093" s="13" t="str">
        <x:v>Weak protective cue; keep normal review.</x:v>
      </x:c>
      <x:c r="U1093" s="13" t="str">
        <x:v>Clear protective cue; reduce false-positive risk.</x:v>
      </x:c>
      <x:c r="V1093" s="13" t="str">
        <x:v>Strong protective cue; require stronger evidence before assigning risk labels.</x:v>
      </x:c>
      <x:c r="W1093" s="13" t="str"/>
      <x:c r="X1093" s="13" t="str">
        <x:v>toulmin_uses_argument</x:v>
      </x:c>
      <x:c r="Y1093" s="13" t="str">
        <x:v>https://doi.org/10.1017/CBO9780511840005</x:v>
      </x:c>
      <x:c r="Z1093" s="13" t="str">
        <x:v>Review before enabling. This workbook is a living taxonomy scaffold, not a validated scientific benchmark.</x:v>
      </x:c>
      <x:c r="AA1093" s="13" t="str">
        <x:v>0.1.0-draft</x:v>
      </x:c>
      <x:c r="AB1093" s="12" t="str">
        <x:f>IF(ISNUMBER(SEARCH("healthy",F1093)),"healthy_reasoning_patterns",IF(ISNUMBER(SEARCH("statistical",F1093)),"statistical_reasoning",IF(ISNUMBER(SEARCH("causal",F1093)),"causal_reasoning",IF(ISNUMBER(SEARCH("social",F1093)),"social_influence",IF(ISNUMBER(SEARCH("rhetoric",F1093)),"rhetoric_discourse",IF(ISNUMBER(SEARCH("behavior",F1093)),"behavioural_economics",IF(ISNUMBER(SEARCH("cognitive",F1093)),"cognitive_biases",IF(J1093="protective_pattern","healthy_reasoning_patterns",IF(L1093="P0","core_mvp","extended_fallacies")))))))))</x:f>
        <x:v>healthy_reasoning_patterns</x:v>
      </x:c>
      <x:c r="AC1093" s="12" t="str">
        <x:f>IF(ISNUMBER(SEARCH("operational",J1093)),"operational",IF(ISNUMBER(SEARCH("deprecated",J1093)),"deprecated",IF(L1093="P0","canonical","recognized_subtype")))</x:f>
        <x:v>recognized_subtype</x:v>
      </x:c>
      <x:c r="AD1093" s="12" t="str">
        <x:f>IF(AC1093="canonical","high",IF(AC1093="recognized_subtype","medium",IF(AC1093="operational","operational_only","debated")))</x:f>
        <x:v>medium</x:v>
      </x:c>
      <x:c r="AE1093" s="12" t="str">
        <x:f>IF(AC1093="deprecated","deprecated",IF(M1093="yes","active",IF(M1093="review","review_required","backlog")))</x:f>
        <x:v>review_required</x:v>
      </x:c>
      <x:c r="AF1093" s="12" t="str">
        <x:f>IF(OR(AE1093="active",AE1093="review_required"),"yes","no")</x:f>
        <x:v>yes</x:v>
      </x:c>
      <x:c r="AG1093" s="12" t="str">
        <x:f>IF(AND(AE1093="active",M1093="yes",NOT(ISNUMBER(SEARCH("healthy",AB1093)))),"yes","no")</x:f>
        <x:v>no</x:v>
      </x:c>
      <x:c r="AH1093" s="12" t="str">
        <x:f>IF(OR(H1093="contextual",H1093="dialogue",H1093="discourse",I1093="claim+context",I1093="discourse_segment"),"yes","no")</x:f>
        <x:v>yes</x:v>
      </x:c>
      <x:c r="AI1093" s="12" t="str">
        <x:f>IF(OR(AH1093="yes",AD1093="debated",AC1093="operational"),"yes","no")</x:f>
        <x:v>yes</x:v>
      </x:c>
      <x:c r="AJ1093" s="12" t="str">
        <x:f>IF(OR(AH1093="yes",AC1093="operational",AD1093="debated"),"high",IF(AND(AG1093="yes",L1093="P0"),"medium","low"))</x:f>
        <x:v>high</x:v>
      </x:c>
      <x:c r="AK1093" s="12" t="str">
        <x:f>IF(ISNUMBER(SEARCH("healthy",AB1093)),"yes","no")</x:f>
        <x:v>yes</x:v>
      </x:c>
      <x:c r="AL1093" s="12" t="str">
        <x:f>IF(AG1093="yes","yes","candidate_only")</x:f>
        <x:v>candidate_only</x:v>
      </x:c>
      <x:c r="AM1093" s="12" t="str">
        <x:f>IF(OR(AC1093="canonical",AG1093="yes"),"yes","recommended")</x:f>
        <x:v>recommended</x:v>
      </x:c>
      <x:c r="AN1093" s="12" t="str">
        <x:f>IF(AC1093="deprecated","exclude",IF(AND(AG1093="yes",AJ1093="high"),"import_but_human_review_required",IF(AG1093="yes","import_as_active","import_as_backlog")))</x:f>
        <x:v>import_as_backlog</x:v>
      </x:c>
      <x:c r="AO1093" s="12" t="str">
        <x:f>IF(AND(AG1093="yes",OR(P1093="",Q1093="",R1093="",S1093="")),"missing_required_mvp_fields",IF(AND(AC1093="canonical",Y1093=""),"missing_source_ref","ok"))</x:f>
        <x:v>ok</x:v>
      </x:c>
      <x:c r="AP1093" s="12" t="str">
        <x:f>IF(AO1093="ok","ready_for_codex_import","needs_review")</x:f>
        <x:v>ready_for_codex_import</x:v>
      </x:c>
      <x:c r="AQ1093" s="12"/>
      <x:c r="AR1093" s="12" t="str">
        <x:v>Added v2 operational fields. Review before classification activation.</x:v>
      </x:c>
    </x:row>
    <x:row r="1094">
      <x:c r="A1094" s="13" t="str">
        <x:v>rebuttal_inclusion_review_threshold_variant</x:v>
      </x:c>
      <x:c r="B1094" s="13" t="str">
        <x:v>rebuttal_inclusion</x:v>
      </x:c>
      <x:c r="C1094" s="13" t="str">
        <x:v>Rebuttal inclusion</x:v>
      </x:c>
      <x:c r="D1094" s="13" t="str">
        <x:v>درج ردیه یا استثنا</x:v>
      </x:c>
      <x:c r="E1094" s="13" t="str">
        <x:v>Review-threshold variant</x:v>
      </x:c>
      <x:c r="F1094" s="13" t="str">
        <x:v>healthy_reasoning_patterns</x:v>
      </x:c>
      <x:c r="G1094" s="13" t="str">
        <x:v>operational_variant</x:v>
      </x:c>
      <x:c r="H1094" s="13" t="str">
        <x:v>structural</x:v>
      </x:c>
      <x:c r="I1094" s="13" t="str">
        <x:v>claim</x:v>
      </x:c>
      <x:c r="J1094" s="13" t="str">
        <x:v>protective_pattern</x:v>
      </x:c>
      <x:c r="K1094" s="13" t="str">
        <x:v>operational_pattern_needs_review</x:v>
      </x:c>
      <x:c r="L1094" s="13" t="str">
        <x:v>P2</x:v>
      </x:c>
      <x:c r="M1094" s="13" t="str">
        <x:v>review</x:v>
      </x:c>
      <x:c r="N1094" s="13" t="str">
        <x:v>Protective reasoning pattern under Rebuttal inclusion: the text states when human review or stronger evidence is needed. It should reduce risk scores when supported by evidence.</x:v>
      </x:c>
      <x:c r="O1094" s="13" t="str">
        <x:v>Look for: explicit claim-level evidence; parent-family cues for Rebuttal inclusion; variant cue: the text states when human review or stronger evidence is needed; avoid author-level inference.</x:v>
      </x:c>
      <x:c r="P1094" s="13" t="str">
        <x:v>Exact evidence span in text plus claim-level reasoning link; for contextual/discourse entries, require surrounding context.</x:v>
      </x:c>
      <x:c r="Q1094" s="13" t="str">
        <x:v>Do not label merely because topic is controversial, emotional, or wrong. Do not judge intent or personality. Require textual evidence and consider healthy-reasoning cues.</x:v>
      </x:c>
      <x:c r="R1094" s="13" t="str">
        <x:v>Stub: A claim relies on the text states when human review or stronger evidence is needed to support a conclusion without adequate qualification.</x:v>
      </x:c>
      <x:c r="S1094" s="13" t="str">
        <x:v>Stub: A claim discusses rebuttal inclusion with caveats, balanced evidence, or no argumentative use of the pattern.</x:v>
      </x:c>
      <x:c r="T1094" s="13" t="str">
        <x:v>Weak protective cue; keep normal review.</x:v>
      </x:c>
      <x:c r="U1094" s="13" t="str">
        <x:v>Clear protective cue; reduce false-positive risk.</x:v>
      </x:c>
      <x:c r="V1094" s="13" t="str">
        <x:v>Strong protective cue; require stronger evidence before assigning risk labels.</x:v>
      </x:c>
      <x:c r="W1094" s="13" t="str"/>
      <x:c r="X1094" s="13" t="str">
        <x:v>toulmin_uses_argument</x:v>
      </x:c>
      <x:c r="Y1094" s="13" t="str">
        <x:v>https://doi.org/10.1017/CBO9780511840005</x:v>
      </x:c>
      <x:c r="Z1094" s="13" t="str">
        <x:v>Review before enabling. This workbook is a living taxonomy scaffold, not a validated scientific benchmark.</x:v>
      </x:c>
      <x:c r="AA1094" s="13" t="str">
        <x:v>0.1.0-draft</x:v>
      </x:c>
      <x:c r="AB1094" s="12" t="str">
        <x:f>IF(ISNUMBER(SEARCH("healthy",F1094)),"healthy_reasoning_patterns",IF(ISNUMBER(SEARCH("statistical",F1094)),"statistical_reasoning",IF(ISNUMBER(SEARCH("causal",F1094)),"causal_reasoning",IF(ISNUMBER(SEARCH("social",F1094)),"social_influence",IF(ISNUMBER(SEARCH("rhetoric",F1094)),"rhetoric_discourse",IF(ISNUMBER(SEARCH("behavior",F1094)),"behavioural_economics",IF(ISNUMBER(SEARCH("cognitive",F1094)),"cognitive_biases",IF(J1094="protective_pattern","healthy_reasoning_patterns",IF(L1094="P0","core_mvp","extended_fallacies")))))))))</x:f>
        <x:v>healthy_reasoning_patterns</x:v>
      </x:c>
      <x:c r="AC1094" s="12" t="str">
        <x:f>IF(ISNUMBER(SEARCH("operational",J1094)),"operational",IF(ISNUMBER(SEARCH("deprecated",J1094)),"deprecated",IF(L1094="P0","canonical","recognized_subtype")))</x:f>
        <x:v>recognized_subtype</x:v>
      </x:c>
      <x:c r="AD1094" s="12" t="str">
        <x:f>IF(AC1094="canonical","high",IF(AC1094="recognized_subtype","medium",IF(AC1094="operational","operational_only","debated")))</x:f>
        <x:v>medium</x:v>
      </x:c>
      <x:c r="AE1094" s="12" t="str">
        <x:f>IF(AC1094="deprecated","deprecated",IF(M1094="yes","active",IF(M1094="review","review_required","backlog")))</x:f>
        <x:v>review_required</x:v>
      </x:c>
      <x:c r="AF1094" s="12" t="str">
        <x:f>IF(OR(AE1094="active",AE1094="review_required"),"yes","no")</x:f>
        <x:v>yes</x:v>
      </x:c>
      <x:c r="AG1094" s="12" t="str">
        <x:f>IF(AND(AE1094="active",M1094="yes",NOT(ISNUMBER(SEARCH("healthy",AB1094)))),"yes","no")</x:f>
        <x:v>no</x:v>
      </x:c>
      <x:c r="AH1094" s="12" t="str">
        <x:f>IF(OR(H1094="contextual",H1094="dialogue",H1094="discourse",I1094="claim+context",I1094="discourse_segment"),"yes","no")</x:f>
        <x:v>no</x:v>
      </x:c>
      <x:c r="AI1094" s="12" t="str">
        <x:f>IF(OR(AH1094="yes",AD1094="debated",AC1094="operational"),"yes","no")</x:f>
        <x:v>no</x:v>
      </x:c>
      <x:c r="AJ1094" s="12" t="str">
        <x:f>IF(OR(AH1094="yes",AC1094="operational",AD1094="debated"),"high",IF(AND(AG1094="yes",L1094="P0"),"medium","low"))</x:f>
        <x:v>low</x:v>
      </x:c>
      <x:c r="AK1094" s="12" t="str">
        <x:f>IF(ISNUMBER(SEARCH("healthy",AB1094)),"yes","no")</x:f>
        <x:v>yes</x:v>
      </x:c>
      <x:c r="AL1094" s="12" t="str">
        <x:f>IF(AG1094="yes","yes","candidate_only")</x:f>
        <x:v>candidate_only</x:v>
      </x:c>
      <x:c r="AM1094" s="12" t="str">
        <x:f>IF(OR(AC1094="canonical",AG1094="yes"),"yes","recommended")</x:f>
        <x:v>recommended</x:v>
      </x:c>
      <x:c r="AN1094" s="12" t="str">
        <x:f>IF(AC1094="deprecated","exclude",IF(AND(AG1094="yes",AJ1094="high"),"import_but_human_review_required",IF(AG1094="yes","import_as_active","import_as_backlog")))</x:f>
        <x:v>import_as_backlog</x:v>
      </x:c>
      <x:c r="AO1094" s="12" t="str">
        <x:f>IF(AND(AG1094="yes",OR(P1094="",Q1094="",R1094="",S1094="")),"missing_required_mvp_fields",IF(AND(AC1094="canonical",Y1094=""),"missing_source_ref","ok"))</x:f>
        <x:v>ok</x:v>
      </x:c>
      <x:c r="AP1094" s="12" t="str">
        <x:f>IF(AO1094="ok","ready_for_codex_import","needs_review")</x:f>
        <x:v>ready_for_codex_import</x:v>
      </x:c>
      <x:c r="AQ1094" s="12"/>
      <x:c r="AR1094" s="12" t="str">
        <x:v>Added v2 operational fields. Review before classification activation.</x:v>
      </x:c>
    </x:row>
    <x:row r="1095">
      <x:c r="A1095" s="13" t="str">
        <x:v>warrant_explication_review_threshold_variant</x:v>
      </x:c>
      <x:c r="B1095" s="13" t="str">
        <x:v>warrant_explication</x:v>
      </x:c>
      <x:c r="C1095" s="13" t="str">
        <x:v>Warrant explication</x:v>
      </x:c>
      <x:c r="D1095" s="13" t="str">
        <x:v>تصریح پیوند استدلالی</x:v>
      </x:c>
      <x:c r="E1095" s="13" t="str">
        <x:v>Review-threshold variant</x:v>
      </x:c>
      <x:c r="F1095" s="13" t="str">
        <x:v>healthy_reasoning_patterns</x:v>
      </x:c>
      <x:c r="G1095" s="13" t="str">
        <x:v>operational_variant</x:v>
      </x:c>
      <x:c r="H1095" s="13" t="str">
        <x:v>structural</x:v>
      </x:c>
      <x:c r="I1095" s="13" t="str">
        <x:v>claim</x:v>
      </x:c>
      <x:c r="J1095" s="13" t="str">
        <x:v>protective_pattern</x:v>
      </x:c>
      <x:c r="K1095" s="13" t="str">
        <x:v>operational_pattern_needs_review</x:v>
      </x:c>
      <x:c r="L1095" s="13" t="str">
        <x:v>P2</x:v>
      </x:c>
      <x:c r="M1095" s="13" t="str">
        <x:v>review</x:v>
      </x:c>
      <x:c r="N1095" s="13" t="str">
        <x:v>Protective reasoning pattern under Warrant explication: the text states when human review or stronger evidence is needed. It should reduce risk scores when supported by evidence.</x:v>
      </x:c>
      <x:c r="O1095" s="13" t="str">
        <x:v>Look for: explicit claim-level evidence; parent-family cues for Warrant explication; variant cue: the text states when human review or stronger evidence is needed; avoid author-level inference.</x:v>
      </x:c>
      <x:c r="P1095" s="13" t="str">
        <x:v>Exact evidence span in text plus claim-level reasoning link; for contextual/discourse entries, require surrounding context.</x:v>
      </x:c>
      <x:c r="Q1095" s="13" t="str">
        <x:v>Do not label merely because topic is controversial, emotional, or wrong. Do not judge intent or personality. Require textual evidence and consider healthy-reasoning cues.</x:v>
      </x:c>
      <x:c r="R1095" s="13" t="str">
        <x:v>Stub: A claim relies on the text states when human review or stronger evidence is needed to support a conclusion without adequate qualification.</x:v>
      </x:c>
      <x:c r="S1095" s="13" t="str">
        <x:v>Stub: A claim discusses warrant explication with caveats, balanced evidence, or no argumentative use of the pattern.</x:v>
      </x:c>
      <x:c r="T1095" s="13" t="str">
        <x:v>Weak protective cue; keep normal review.</x:v>
      </x:c>
      <x:c r="U1095" s="13" t="str">
        <x:v>Clear protective cue; reduce false-positive risk.</x:v>
      </x:c>
      <x:c r="V1095" s="13" t="str">
        <x:v>Strong protective cue; require stronger evidence before assigning risk labels.</x:v>
      </x:c>
      <x:c r="W1095" s="13" t="str">
        <x:v>cherry_picking; missing_counterevidence; evidence_grading</x:v>
      </x:c>
      <x:c r="X1095" s="13" t="str">
        <x:v>toulmin_uses_argument</x:v>
      </x:c>
      <x:c r="Y1095" s="13" t="str">
        <x:v>https://doi.org/10.1017/CBO9780511840005</x:v>
      </x:c>
      <x:c r="Z1095" s="13" t="str">
        <x:v>Review before enabling. This workbook is a living taxonomy scaffold, not a validated scientific benchmark.</x:v>
      </x:c>
      <x:c r="AA1095" s="13" t="str">
        <x:v>0.1.0-draft</x:v>
      </x:c>
      <x:c r="AB1095" s="12" t="str">
        <x:f>IF(ISNUMBER(SEARCH("healthy",F1095)),"healthy_reasoning_patterns",IF(ISNUMBER(SEARCH("statistical",F1095)),"statistical_reasoning",IF(ISNUMBER(SEARCH("causal",F1095)),"causal_reasoning",IF(ISNUMBER(SEARCH("social",F1095)),"social_influence",IF(ISNUMBER(SEARCH("rhetoric",F1095)),"rhetoric_discourse",IF(ISNUMBER(SEARCH("behavior",F1095)),"behavioural_economics",IF(ISNUMBER(SEARCH("cognitive",F1095)),"cognitive_biases",IF(J1095="protective_pattern","healthy_reasoning_patterns",IF(L1095="P0","core_mvp","extended_fallacies")))))))))</x:f>
        <x:v>healthy_reasoning_patterns</x:v>
      </x:c>
      <x:c r="AC1095" s="12" t="str">
        <x:f>IF(ISNUMBER(SEARCH("operational",J1095)),"operational",IF(ISNUMBER(SEARCH("deprecated",J1095)),"deprecated",IF(L1095="P0","canonical","recognized_subtype")))</x:f>
        <x:v>recognized_subtype</x:v>
      </x:c>
      <x:c r="AD1095" s="12" t="str">
        <x:f>IF(AC1095="canonical","high",IF(AC1095="recognized_subtype","medium",IF(AC1095="operational","operational_only","debated")))</x:f>
        <x:v>medium</x:v>
      </x:c>
      <x:c r="AE1095" s="12" t="str">
        <x:f>IF(AC1095="deprecated","deprecated",IF(M1095="yes","active",IF(M1095="review","review_required","backlog")))</x:f>
        <x:v>review_required</x:v>
      </x:c>
      <x:c r="AF1095" s="12" t="str">
        <x:f>IF(OR(AE1095="active",AE1095="review_required"),"yes","no")</x:f>
        <x:v>yes</x:v>
      </x:c>
      <x:c r="AG1095" s="12" t="str">
        <x:f>IF(AND(AE1095="active",M1095="yes",NOT(ISNUMBER(SEARCH("healthy",AB1095)))),"yes","no")</x:f>
        <x:v>no</x:v>
      </x:c>
      <x:c r="AH1095" s="12" t="str">
        <x:f>IF(OR(H1095="contextual",H1095="dialogue",H1095="discourse",I1095="claim+context",I1095="discourse_segment"),"yes","no")</x:f>
        <x:v>no</x:v>
      </x:c>
      <x:c r="AI1095" s="12" t="str">
        <x:f>IF(OR(AH1095="yes",AD1095="debated",AC1095="operational"),"yes","no")</x:f>
        <x:v>no</x:v>
      </x:c>
      <x:c r="AJ1095" s="12" t="str">
        <x:f>IF(OR(AH1095="yes",AC1095="operational",AD1095="debated"),"high",IF(AND(AG1095="yes",L1095="P0"),"medium","low"))</x:f>
        <x:v>low</x:v>
      </x:c>
      <x:c r="AK1095" s="12" t="str">
        <x:f>IF(ISNUMBER(SEARCH("healthy",AB1095)),"yes","no")</x:f>
        <x:v>yes</x:v>
      </x:c>
      <x:c r="AL1095" s="12" t="str">
        <x:f>IF(AG1095="yes","yes","candidate_only")</x:f>
        <x:v>candidate_only</x:v>
      </x:c>
      <x:c r="AM1095" s="12" t="str">
        <x:f>IF(OR(AC1095="canonical",AG1095="yes"),"yes","recommended")</x:f>
        <x:v>recommended</x:v>
      </x:c>
      <x:c r="AN1095" s="12" t="str">
        <x:f>IF(AC1095="deprecated","exclude",IF(AND(AG1095="yes",AJ1095="high"),"import_but_human_review_required",IF(AG1095="yes","import_as_active","import_as_backlog")))</x:f>
        <x:v>import_as_backlog</x:v>
      </x:c>
      <x:c r="AO1095" s="12" t="str">
        <x:f>IF(AND(AG1095="yes",OR(P1095="",Q1095="",R1095="",S1095="")),"missing_required_mvp_fields",IF(AND(AC1095="canonical",Y1095=""),"missing_source_ref","ok"))</x:f>
        <x:v>ok</x:v>
      </x:c>
      <x:c r="AP1095" s="12" t="str">
        <x:f>IF(AO1095="ok","ready_for_codex_import","needs_review")</x:f>
        <x:v>ready_for_codex_import</x:v>
      </x:c>
      <x:c r="AQ1095" s="12"/>
      <x:c r="AR1095" s="12" t="str">
        <x:v>Added v2 operational fields. Review before classification activation.</x:v>
      </x:c>
    </x:row>
    <x:row r="1096">
      <x:c r="A1096" s="13" t="str">
        <x:v>steelman_interpretation_review_threshold_variant</x:v>
      </x:c>
      <x:c r="B1096" s="13" t="str">
        <x:v>steelman_interpretation</x:v>
      </x:c>
      <x:c r="C1096" s="13" t="str">
        <x:v>Steelman interpretation</x:v>
      </x:c>
      <x:c r="D1096" s="13" t="str">
        <x:v>تقویت منصفانه موضع مقابل</x:v>
      </x:c>
      <x:c r="E1096" s="13" t="str">
        <x:v>Review-threshold variant</x:v>
      </x:c>
      <x:c r="F1096" s="13" t="str">
        <x:v>healthy_reasoning_patterns</x:v>
      </x:c>
      <x:c r="G1096" s="13" t="str">
        <x:v>operational_variant</x:v>
      </x:c>
      <x:c r="H1096" s="13" t="str">
        <x:v>dialogue</x:v>
      </x:c>
      <x:c r="I1096" s="13" t="str">
        <x:v>discourse_segment</x:v>
      </x:c>
      <x:c r="J1096" s="13" t="str">
        <x:v>protective_pattern</x:v>
      </x:c>
      <x:c r="K1096" s="13" t="str">
        <x:v>operational_pattern_needs_review</x:v>
      </x:c>
      <x:c r="L1096" s="13" t="str">
        <x:v>P2</x:v>
      </x:c>
      <x:c r="M1096" s="13" t="str">
        <x:v>review</x:v>
      </x:c>
      <x:c r="N1096" s="13" t="str">
        <x:v>Protective reasoning pattern under Steelman interpretation: the text states when human review or stronger evidence is needed. It should reduce risk scores when supported by evidence.</x:v>
      </x:c>
      <x:c r="O1096" s="13" t="str">
        <x:v>Look for: explicit claim-level evidence; parent-family cues for Steelman interpretation; variant cue: the text states when human review or stronger evidence is needed; avoid author-level inference.</x:v>
      </x:c>
      <x:c r="P1096" s="13" t="str">
        <x:v>Exact evidence span in text plus claim-level reasoning link; for contextual/discourse entries, require surrounding context.</x:v>
      </x:c>
      <x:c r="Q1096" s="13" t="str">
        <x:v>Do not label merely because topic is controversial, emotional, or wrong. Do not judge intent or personality. Require textual evidence and consider healthy-reasoning cues.</x:v>
      </x:c>
      <x:c r="R1096" s="13" t="str">
        <x:v>Stub: A claim relies on the text states when human review or stronger evidence is needed to support a conclusion without adequate qualification.</x:v>
      </x:c>
      <x:c r="S1096" s="13" t="str">
        <x:v>Stub: A claim discusses steelman interpretation with caveats, balanced evidence, or no argumentative use of the pattern.</x:v>
      </x:c>
      <x:c r="T1096" s="13" t="str">
        <x:v>Weak protective cue; keep normal review.</x:v>
      </x:c>
      <x:c r="U1096" s="13" t="str">
        <x:v>Clear protective cue; reduce false-positive risk.</x:v>
      </x:c>
      <x:c r="V1096" s="13" t="str">
        <x:v>Strong protective cue; require stronger evidence before assigning risk labels.</x:v>
      </x:c>
      <x:c r="W1096" s="13" t="str"/>
      <x:c r="X1096" s="13" t="str">
        <x:v>toulmin_uses_argument</x:v>
      </x:c>
      <x:c r="Y1096" s="13" t="str">
        <x:v>https://doi.org/10.1017/CBO9780511840005</x:v>
      </x:c>
      <x:c r="Z1096" s="13" t="str">
        <x:v>Review before enabling. This workbook is a living taxonomy scaffold, not a validated scientific benchmark.</x:v>
      </x:c>
      <x:c r="AA1096" s="13" t="str">
        <x:v>0.1.0-draft</x:v>
      </x:c>
      <x:c r="AB1096" s="12" t="str">
        <x:f>IF(ISNUMBER(SEARCH("healthy",F1096)),"healthy_reasoning_patterns",IF(ISNUMBER(SEARCH("statistical",F1096)),"statistical_reasoning",IF(ISNUMBER(SEARCH("causal",F1096)),"causal_reasoning",IF(ISNUMBER(SEARCH("social",F1096)),"social_influence",IF(ISNUMBER(SEARCH("rhetoric",F1096)),"rhetoric_discourse",IF(ISNUMBER(SEARCH("behavior",F1096)),"behavioural_economics",IF(ISNUMBER(SEARCH("cognitive",F1096)),"cognitive_biases",IF(J1096="protective_pattern","healthy_reasoning_patterns",IF(L1096="P0","core_mvp","extended_fallacies")))))))))</x:f>
        <x:v>healthy_reasoning_patterns</x:v>
      </x:c>
      <x:c r="AC1096" s="12" t="str">
        <x:f>IF(ISNUMBER(SEARCH("operational",J1096)),"operational",IF(ISNUMBER(SEARCH("deprecated",J1096)),"deprecated",IF(L1096="P0","canonical","recognized_subtype")))</x:f>
        <x:v>recognized_subtype</x:v>
      </x:c>
      <x:c r="AD1096" s="12" t="str">
        <x:f>IF(AC1096="canonical","high",IF(AC1096="recognized_subtype","medium",IF(AC1096="operational","operational_only","debated")))</x:f>
        <x:v>medium</x:v>
      </x:c>
      <x:c r="AE1096" s="12" t="str">
        <x:f>IF(AC1096="deprecated","deprecated",IF(M1096="yes","active",IF(M1096="review","review_required","backlog")))</x:f>
        <x:v>review_required</x:v>
      </x:c>
      <x:c r="AF1096" s="12" t="str">
        <x:f>IF(OR(AE1096="active",AE1096="review_required"),"yes","no")</x:f>
        <x:v>yes</x:v>
      </x:c>
      <x:c r="AG1096" s="12" t="str">
        <x:f>IF(AND(AE1096="active",M1096="yes",NOT(ISNUMBER(SEARCH("healthy",AB1096)))),"yes","no")</x:f>
        <x:v>no</x:v>
      </x:c>
      <x:c r="AH1096" s="12" t="str">
        <x:f>IF(OR(H1096="contextual",H1096="dialogue",H1096="discourse",I1096="claim+context",I1096="discourse_segment"),"yes","no")</x:f>
        <x:v>yes</x:v>
      </x:c>
      <x:c r="AI1096" s="12" t="str">
        <x:f>IF(OR(AH1096="yes",AD1096="debated",AC1096="operational"),"yes","no")</x:f>
        <x:v>yes</x:v>
      </x:c>
      <x:c r="AJ1096" s="12" t="str">
        <x:f>IF(OR(AH1096="yes",AC1096="operational",AD1096="debated"),"high",IF(AND(AG1096="yes",L1096="P0"),"medium","low"))</x:f>
        <x:v>high</x:v>
      </x:c>
      <x:c r="AK1096" s="12" t="str">
        <x:f>IF(ISNUMBER(SEARCH("healthy",AB1096)),"yes","no")</x:f>
        <x:v>yes</x:v>
      </x:c>
      <x:c r="AL1096" s="12" t="str">
        <x:f>IF(AG1096="yes","yes","candidate_only")</x:f>
        <x:v>candidate_only</x:v>
      </x:c>
      <x:c r="AM1096" s="12" t="str">
        <x:f>IF(OR(AC1096="canonical",AG1096="yes"),"yes","recommended")</x:f>
        <x:v>recommended</x:v>
      </x:c>
      <x:c r="AN1096" s="12" t="str">
        <x:f>IF(AC1096="deprecated","exclude",IF(AND(AG1096="yes",AJ1096="high"),"import_but_human_review_required",IF(AG1096="yes","import_as_active","import_as_backlog")))</x:f>
        <x:v>import_as_backlog</x:v>
      </x:c>
      <x:c r="AO1096" s="12" t="str">
        <x:f>IF(AND(AG1096="yes",OR(P1096="",Q1096="",R1096="",S1096="")),"missing_required_mvp_fields",IF(AND(AC1096="canonical",Y1096=""),"missing_source_ref","ok"))</x:f>
        <x:v>ok</x:v>
      </x:c>
      <x:c r="AP1096" s="12" t="str">
        <x:f>IF(AO1096="ok","ready_for_codex_import","needs_review")</x:f>
        <x:v>ready_for_codex_import</x:v>
      </x:c>
      <x:c r="AQ1096" s="12"/>
      <x:c r="AR1096" s="12" t="str">
        <x:v>Added v2 operational fields. Review before classification activation.</x:v>
      </x:c>
    </x:row>
    <x:row r="1097">
      <x:c r="A1097" s="13" t="str">
        <x:v>decision_threshold_statement_review_threshold_variant</x:v>
      </x:c>
      <x:c r="B1097" s="13" t="str">
        <x:v>decision_threshold_statement</x:v>
      </x:c>
      <x:c r="C1097" s="13" t="str">
        <x:v>Decision threshold statement</x:v>
      </x:c>
      <x:c r="D1097" s="13" t="str">
        <x:v>بیان آستانه تصمیم</x:v>
      </x:c>
      <x:c r="E1097" s="13" t="str">
        <x:v>Review-threshold variant</x:v>
      </x:c>
      <x:c r="F1097" s="13" t="str">
        <x:v>healthy_reasoning_patterns</x:v>
      </x:c>
      <x:c r="G1097" s="13" t="str">
        <x:v>operational_variant</x:v>
      </x:c>
      <x:c r="H1097" s="13" t="str">
        <x:v>contextual</x:v>
      </x:c>
      <x:c r="I1097" s="13" t="str">
        <x:v>claim+context</x:v>
      </x:c>
      <x:c r="J1097" s="13" t="str">
        <x:v>protective_pattern</x:v>
      </x:c>
      <x:c r="K1097" s="13" t="str">
        <x:v>operational_pattern_needs_review</x:v>
      </x:c>
      <x:c r="L1097" s="13" t="str">
        <x:v>P2</x:v>
      </x:c>
      <x:c r="M1097" s="13" t="str">
        <x:v>review</x:v>
      </x:c>
      <x:c r="N1097" s="13" t="str">
        <x:v>Protective reasoning pattern under Decision threshold statement: the text states when human review or stronger evidence is needed. It should reduce risk scores when supported by evidence.</x:v>
      </x:c>
      <x:c r="O1097" s="13" t="str">
        <x:v>Look for: explicit claim-level evidence; parent-family cues for Decision threshold statement; variant cue: the text states when human review or stronger evidence is needed; avoid author-level inference.</x:v>
      </x:c>
      <x:c r="P1097" s="13" t="str">
        <x:v>Exact evidence span in text plus claim-level reasoning link; for contextual/discourse entries, require surrounding context.</x:v>
      </x:c>
      <x:c r="Q1097" s="13" t="str">
        <x:v>Do not label merely because topic is controversial, emotional, or wrong. Do not judge intent or personality. Require textual evidence and consider healthy-reasoning cues.</x:v>
      </x:c>
      <x:c r="R1097" s="13" t="str">
        <x:v>Stub: A claim relies on the text states when human review or stronger evidence is needed to support a conclusion without adequate qualification.</x:v>
      </x:c>
      <x:c r="S1097" s="13" t="str">
        <x:v>Stub: A claim discusses decision threshold statement with caveats, balanced evidence, or no argumentative use of the pattern.</x:v>
      </x:c>
      <x:c r="T1097" s="13" t="str">
        <x:v>Weak protective cue; keep normal review.</x:v>
      </x:c>
      <x:c r="U1097" s="13" t="str">
        <x:v>Clear protective cue; reduce false-positive risk.</x:v>
      </x:c>
      <x:c r="V1097" s="13" t="str">
        <x:v>Strong protective cue; require stronger evidence before assigning risk labels.</x:v>
      </x:c>
      <x:c r="W1097" s="13" t="str">
        <x:v>cherry_picking; missing_counterevidence; evidence_grading</x:v>
      </x:c>
      <x:c r="X1097" s="13" t="str">
        <x:v>stanovich_dual_process</x:v>
      </x:c>
      <x:c r="Y1097" s="13" t="str">
        <x:v>https://global.oup.com/academic/product/rationality-and-the-reflective-mind-9780195341140</x:v>
      </x:c>
      <x:c r="Z1097" s="13" t="str">
        <x:v>Review before enabling. This workbook is a living taxonomy scaffold, not a validated scientific benchmark.</x:v>
      </x:c>
      <x:c r="AA1097" s="13" t="str">
        <x:v>0.1.0-draft</x:v>
      </x:c>
      <x:c r="AB1097" s="12" t="str">
        <x:f>IF(ISNUMBER(SEARCH("healthy",F1097)),"healthy_reasoning_patterns",IF(ISNUMBER(SEARCH("statistical",F1097)),"statistical_reasoning",IF(ISNUMBER(SEARCH("causal",F1097)),"causal_reasoning",IF(ISNUMBER(SEARCH("social",F1097)),"social_influence",IF(ISNUMBER(SEARCH("rhetoric",F1097)),"rhetoric_discourse",IF(ISNUMBER(SEARCH("behavior",F1097)),"behavioural_economics",IF(ISNUMBER(SEARCH("cognitive",F1097)),"cognitive_biases",IF(J1097="protective_pattern","healthy_reasoning_patterns",IF(L1097="P0","core_mvp","extended_fallacies")))))))))</x:f>
        <x:v>healthy_reasoning_patterns</x:v>
      </x:c>
      <x:c r="AC1097" s="12" t="str">
        <x:f>IF(ISNUMBER(SEARCH("operational",J1097)),"operational",IF(ISNUMBER(SEARCH("deprecated",J1097)),"deprecated",IF(L1097="P0","canonical","recognized_subtype")))</x:f>
        <x:v>recognized_subtype</x:v>
      </x:c>
      <x:c r="AD1097" s="12" t="str">
        <x:f>IF(AC1097="canonical","high",IF(AC1097="recognized_subtype","medium",IF(AC1097="operational","operational_only","debated")))</x:f>
        <x:v>medium</x:v>
      </x:c>
      <x:c r="AE1097" s="12" t="str">
        <x:f>IF(AC1097="deprecated","deprecated",IF(M1097="yes","active",IF(M1097="review","review_required","backlog")))</x:f>
        <x:v>review_required</x:v>
      </x:c>
      <x:c r="AF1097" s="12" t="str">
        <x:f>IF(OR(AE1097="active",AE1097="review_required"),"yes","no")</x:f>
        <x:v>yes</x:v>
      </x:c>
      <x:c r="AG1097" s="12" t="str">
        <x:f>IF(AND(AE1097="active",M1097="yes",NOT(ISNUMBER(SEARCH("healthy",AB1097)))),"yes","no")</x:f>
        <x:v>no</x:v>
      </x:c>
      <x:c r="AH1097" s="12" t="str">
        <x:f>IF(OR(H1097="contextual",H1097="dialogue",H1097="discourse",I1097="claim+context",I1097="discourse_segment"),"yes","no")</x:f>
        <x:v>yes</x:v>
      </x:c>
      <x:c r="AI1097" s="12" t="str">
        <x:f>IF(OR(AH1097="yes",AD1097="debated",AC1097="operational"),"yes","no")</x:f>
        <x:v>yes</x:v>
      </x:c>
      <x:c r="AJ1097" s="12" t="str">
        <x:f>IF(OR(AH1097="yes",AC1097="operational",AD1097="debated"),"high",IF(AND(AG1097="yes",L1097="P0"),"medium","low"))</x:f>
        <x:v>high</x:v>
      </x:c>
      <x:c r="AK1097" s="12" t="str">
        <x:f>IF(ISNUMBER(SEARCH("healthy",AB1097)),"yes","no")</x:f>
        <x:v>yes</x:v>
      </x:c>
      <x:c r="AL1097" s="12" t="str">
        <x:f>IF(AG1097="yes","yes","candidate_only")</x:f>
        <x:v>candidate_only</x:v>
      </x:c>
      <x:c r="AM1097" s="12" t="str">
        <x:f>IF(OR(AC1097="canonical",AG1097="yes"),"yes","recommended")</x:f>
        <x:v>recommended</x:v>
      </x:c>
      <x:c r="AN1097" s="12" t="str">
        <x:f>IF(AC1097="deprecated","exclude",IF(AND(AG1097="yes",AJ1097="high"),"import_but_human_review_required",IF(AG1097="yes","import_as_active","import_as_backlog")))</x:f>
        <x:v>import_as_backlog</x:v>
      </x:c>
      <x:c r="AO1097" s="12" t="str">
        <x:f>IF(AND(AG1097="yes",OR(P1097="",Q1097="",R1097="",S1097="")),"missing_required_mvp_fields",IF(AND(AC1097="canonical",Y1097=""),"missing_source_ref","ok"))</x:f>
        <x:v>ok</x:v>
      </x:c>
      <x:c r="AP1097" s="12" t="str">
        <x:f>IF(AO1097="ok","ready_for_codex_import","needs_review")</x:f>
        <x:v>ready_for_codex_import</x:v>
      </x:c>
      <x:c r="AQ1097" s="12"/>
      <x:c r="AR1097" s="12" t="str">
        <x:v>Added v2 operational fields. Review before classification activation.</x:v>
      </x:c>
    </x:row>
    <x:row r="1098">
      <x:c r="A1098" s="13" t="str">
        <x:v>pre_registered_criterion_review_threshold_variant</x:v>
      </x:c>
      <x:c r="B1098" s="13" t="str">
        <x:v>pre_registered_criterion</x:v>
      </x:c>
      <x:c r="C1098" s="13" t="str">
        <x:v>Pre-specified criterion</x:v>
      </x:c>
      <x:c r="D1098" s="13" t="str">
        <x:v>معیار از پیش تعیین‌شده</x:v>
      </x:c>
      <x:c r="E1098" s="13" t="str">
        <x:v>Review-threshold variant</x:v>
      </x:c>
      <x:c r="F1098" s="13" t="str">
        <x:v>healthy_reasoning_patterns</x:v>
      </x:c>
      <x:c r="G1098" s="13" t="str">
        <x:v>operational_variant</x:v>
      </x:c>
      <x:c r="H1098" s="13" t="str">
        <x:v>contextual</x:v>
      </x:c>
      <x:c r="I1098" s="13" t="str">
        <x:v>claim+context</x:v>
      </x:c>
      <x:c r="J1098" s="13" t="str">
        <x:v>protective_pattern</x:v>
      </x:c>
      <x:c r="K1098" s="13" t="str">
        <x:v>operational_pattern_needs_review</x:v>
      </x:c>
      <x:c r="L1098" s="13" t="str">
        <x:v>P2</x:v>
      </x:c>
      <x:c r="M1098" s="13" t="str">
        <x:v>review</x:v>
      </x:c>
      <x:c r="N1098" s="13" t="str">
        <x:v>Protective reasoning pattern under Pre-specified criterion: the text states when human review or stronger evidence is needed. It should reduce risk scores when supported by evidence.</x:v>
      </x:c>
      <x:c r="O1098" s="13" t="str">
        <x:v>Look for: explicit claim-level evidence; parent-family cues for Pre-specified criterion; variant cue: the text states when human review or stronger evidence is needed; avoid author-level inference.</x:v>
      </x:c>
      <x:c r="P1098" s="13" t="str">
        <x:v>Exact evidence span in text plus claim-level reasoning link; for contextual/discourse entries, require surrounding context.</x:v>
      </x:c>
      <x:c r="Q1098" s="13" t="str">
        <x:v>Do not label merely because topic is controversial, emotional, or wrong. Do not judge intent or personality. Require textual evidence and consider healthy-reasoning cues.</x:v>
      </x:c>
      <x:c r="R1098" s="13" t="str">
        <x:v>Stub: A claim relies on the text states when human review or stronger evidence is needed to support a conclusion without adequate qualification.</x:v>
      </x:c>
      <x:c r="S1098" s="13" t="str">
        <x:v>Stub: A claim discusses pre-specified criterion with caveats, balanced evidence, or no argumentative use of the pattern.</x:v>
      </x:c>
      <x:c r="T1098" s="13" t="str">
        <x:v>Weak protective cue; keep normal review.</x:v>
      </x:c>
      <x:c r="U1098" s="13" t="str">
        <x:v>Clear protective cue; reduce false-positive risk.</x:v>
      </x:c>
      <x:c r="V1098" s="13" t="str">
        <x:v>Strong protective cue; require stronger evidence before assigning risk labels.</x:v>
      </x:c>
      <x:c r="W1098" s="13" t="str"/>
      <x:c r="X1098" s="13" t="str">
        <x:v>stanovich_dual_process</x:v>
      </x:c>
      <x:c r="Y1098" s="13" t="str">
        <x:v>https://global.oup.com/academic/product/rationality-and-the-reflective-mind-9780195341140</x:v>
      </x:c>
      <x:c r="Z1098" s="13" t="str">
        <x:v>Review before enabling. This workbook is a living taxonomy scaffold, not a validated scientific benchmark.</x:v>
      </x:c>
      <x:c r="AA1098" s="13" t="str">
        <x:v>0.1.0-draft</x:v>
      </x:c>
      <x:c r="AB1098" s="12" t="str">
        <x:f>IF(ISNUMBER(SEARCH("healthy",F1098)),"healthy_reasoning_patterns",IF(ISNUMBER(SEARCH("statistical",F1098)),"statistical_reasoning",IF(ISNUMBER(SEARCH("causal",F1098)),"causal_reasoning",IF(ISNUMBER(SEARCH("social",F1098)),"social_influence",IF(ISNUMBER(SEARCH("rhetoric",F1098)),"rhetoric_discourse",IF(ISNUMBER(SEARCH("behavior",F1098)),"behavioural_economics",IF(ISNUMBER(SEARCH("cognitive",F1098)),"cognitive_biases",IF(J1098="protective_pattern","healthy_reasoning_patterns",IF(L1098="P0","core_mvp","extended_fallacies")))))))))</x:f>
        <x:v>healthy_reasoning_patterns</x:v>
      </x:c>
      <x:c r="AC1098" s="12" t="str">
        <x:f>IF(ISNUMBER(SEARCH("operational",J1098)),"operational",IF(ISNUMBER(SEARCH("deprecated",J1098)),"deprecated",IF(L1098="P0","canonical","recognized_subtype")))</x:f>
        <x:v>recognized_subtype</x:v>
      </x:c>
      <x:c r="AD1098" s="12" t="str">
        <x:f>IF(AC1098="canonical","high",IF(AC1098="recognized_subtype","medium",IF(AC1098="operational","operational_only","debated")))</x:f>
        <x:v>medium</x:v>
      </x:c>
      <x:c r="AE1098" s="12" t="str">
        <x:f>IF(AC1098="deprecated","deprecated",IF(M1098="yes","active",IF(M1098="review","review_required","backlog")))</x:f>
        <x:v>review_required</x:v>
      </x:c>
      <x:c r="AF1098" s="12" t="str">
        <x:f>IF(OR(AE1098="active",AE1098="review_required"),"yes","no")</x:f>
        <x:v>yes</x:v>
      </x:c>
      <x:c r="AG1098" s="12" t="str">
        <x:f>IF(AND(AE1098="active",M1098="yes",NOT(ISNUMBER(SEARCH("healthy",AB1098)))),"yes","no")</x:f>
        <x:v>no</x:v>
      </x:c>
      <x:c r="AH1098" s="12" t="str">
        <x:f>IF(OR(H1098="contextual",H1098="dialogue",H1098="discourse",I1098="claim+context",I1098="discourse_segment"),"yes","no")</x:f>
        <x:v>yes</x:v>
      </x:c>
      <x:c r="AI1098" s="12" t="str">
        <x:f>IF(OR(AH1098="yes",AD1098="debated",AC1098="operational"),"yes","no")</x:f>
        <x:v>yes</x:v>
      </x:c>
      <x:c r="AJ1098" s="12" t="str">
        <x:f>IF(OR(AH1098="yes",AC1098="operational",AD1098="debated"),"high",IF(AND(AG1098="yes",L1098="P0"),"medium","low"))</x:f>
        <x:v>high</x:v>
      </x:c>
      <x:c r="AK1098" s="12" t="str">
        <x:f>IF(ISNUMBER(SEARCH("healthy",AB1098)),"yes","no")</x:f>
        <x:v>yes</x:v>
      </x:c>
      <x:c r="AL1098" s="12" t="str">
        <x:f>IF(AG1098="yes","yes","candidate_only")</x:f>
        <x:v>candidate_only</x:v>
      </x:c>
      <x:c r="AM1098" s="12" t="str">
        <x:f>IF(OR(AC1098="canonical",AG1098="yes"),"yes","recommended")</x:f>
        <x:v>recommended</x:v>
      </x:c>
      <x:c r="AN1098" s="12" t="str">
        <x:f>IF(AC1098="deprecated","exclude",IF(AND(AG1098="yes",AJ1098="high"),"import_but_human_review_required",IF(AG1098="yes","import_as_active","import_as_backlog")))</x:f>
        <x:v>import_as_backlog</x:v>
      </x:c>
      <x:c r="AO1098" s="12" t="str">
        <x:f>IF(AND(AG1098="yes",OR(P1098="",Q1098="",R1098="",S1098="")),"missing_required_mvp_fields",IF(AND(AC1098="canonical",Y1098=""),"missing_source_ref","ok"))</x:f>
        <x:v>ok</x:v>
      </x:c>
      <x:c r="AP1098" s="12" t="str">
        <x:f>IF(AO1098="ok","ready_for_codex_import","needs_review")</x:f>
        <x:v>ready_for_codex_import</x:v>
      </x:c>
      <x:c r="AQ1098" s="12"/>
      <x:c r="AR1098" s="12" t="str">
        <x:v>Added v2 operational fields. Review before classification activation.</x:v>
      </x:c>
    </x:row>
    <x:row r="1099">
      <x:c r="A1099" s="13" t="str">
        <x:v>uncertainty_interval_reported_review_threshold_variant</x:v>
      </x:c>
      <x:c r="B1099" s="13" t="str">
        <x:v>uncertainty_interval_reported</x:v>
      </x:c>
      <x:c r="C1099" s="13" t="str">
        <x:v>Uncertainty interval reported</x:v>
      </x:c>
      <x:c r="D1099" s="13" t="str">
        <x:v>گزارش بازه عدم قطعیت</x:v>
      </x:c>
      <x:c r="E1099" s="13" t="str">
        <x:v>Review-threshold variant</x:v>
      </x:c>
      <x:c r="F1099" s="13" t="str">
        <x:v>healthy_reasoning_patterns</x:v>
      </x:c>
      <x:c r="G1099" s="13" t="str">
        <x:v>operational_variant</x:v>
      </x:c>
      <x:c r="H1099" s="13" t="str">
        <x:v>lexical</x:v>
      </x:c>
      <x:c r="I1099" s="13" t="str">
        <x:v>claim</x:v>
      </x:c>
      <x:c r="J1099" s="13" t="str">
        <x:v>protective_pattern</x:v>
      </x:c>
      <x:c r="K1099" s="13" t="str">
        <x:v>operational_pattern_needs_review</x:v>
      </x:c>
      <x:c r="L1099" s="13" t="str">
        <x:v>P2</x:v>
      </x:c>
      <x:c r="M1099" s="13" t="str">
        <x:v>review</x:v>
      </x:c>
      <x:c r="N1099" s="13" t="str">
        <x:v>Protective reasoning pattern under Uncertainty interval reported: the text states when human review or stronger evidence is needed. It should reduce risk scores when supported by evidence.</x:v>
      </x:c>
      <x:c r="O1099" s="13" t="str">
        <x:v>Look for: explicit claim-level evidence; parent-family cues for Uncertainty interval reported; variant cue: the text states when human review or stronger evidence is needed; avoid author-level inference.</x:v>
      </x:c>
      <x:c r="P1099" s="13" t="str">
        <x:v>Exact evidence span in text plus claim-level reasoning link; for contextual/discourse entries, require surrounding context.</x:v>
      </x:c>
      <x:c r="Q1099" s="13" t="str">
        <x:v>Do not label merely because topic is controversial, emotional, or wrong. Do not judge intent or personality. Require textual evidence and consider healthy-reasoning cues.</x:v>
      </x:c>
      <x:c r="R1099" s="13" t="str">
        <x:v>Stub: A claim relies on the text states when human review or stronger evidence is needed to support a conclusion without adequate qualification.</x:v>
      </x:c>
      <x:c r="S1099" s="13" t="str">
        <x:v>Stub: A claim discusses uncertainty interval reported with caveats, balanced evidence, or no argumentative use of the pattern.</x:v>
      </x:c>
      <x:c r="T1099" s="13" t="str">
        <x:v>Weak protective cue; keep normal review.</x:v>
      </x:c>
      <x:c r="U1099" s="13" t="str">
        <x:v>Clear protective cue; reduce false-positive risk.</x:v>
      </x:c>
      <x:c r="V1099" s="13" t="str">
        <x:v>Strong protective cue; require stronger evidence before assigning risk labels.</x:v>
      </x:c>
      <x:c r="W1099" s="13" t="str"/>
      <x:c r="X1099" s="13" t="str">
        <x:v>stanovich_dual_process</x:v>
      </x:c>
      <x:c r="Y1099" s="13" t="str">
        <x:v>https://global.oup.com/academic/product/rationality-and-the-reflective-mind-9780195341140</x:v>
      </x:c>
      <x:c r="Z1099" s="13" t="str">
        <x:v>Review before enabling. This workbook is a living taxonomy scaffold, not a validated scientific benchmark.</x:v>
      </x:c>
      <x:c r="AA1099" s="13" t="str">
        <x:v>0.1.0-draft</x:v>
      </x:c>
      <x:c r="AB1099" s="12" t="str">
        <x:f>IF(ISNUMBER(SEARCH("healthy",F1099)),"healthy_reasoning_patterns",IF(ISNUMBER(SEARCH("statistical",F1099)),"statistical_reasoning",IF(ISNUMBER(SEARCH("causal",F1099)),"causal_reasoning",IF(ISNUMBER(SEARCH("social",F1099)),"social_influence",IF(ISNUMBER(SEARCH("rhetoric",F1099)),"rhetoric_discourse",IF(ISNUMBER(SEARCH("behavior",F1099)),"behavioural_economics",IF(ISNUMBER(SEARCH("cognitive",F1099)),"cognitive_biases",IF(J1099="protective_pattern","healthy_reasoning_patterns",IF(L1099="P0","core_mvp","extended_fallacies")))))))))</x:f>
        <x:v>healthy_reasoning_patterns</x:v>
      </x:c>
      <x:c r="AC1099" s="12" t="str">
        <x:f>IF(ISNUMBER(SEARCH("operational",J1099)),"operational",IF(ISNUMBER(SEARCH("deprecated",J1099)),"deprecated",IF(L1099="P0","canonical","recognized_subtype")))</x:f>
        <x:v>recognized_subtype</x:v>
      </x:c>
      <x:c r="AD1099" s="12" t="str">
        <x:f>IF(AC1099="canonical","high",IF(AC1099="recognized_subtype","medium",IF(AC1099="operational","operational_only","debated")))</x:f>
        <x:v>medium</x:v>
      </x:c>
      <x:c r="AE1099" s="12" t="str">
        <x:f>IF(AC1099="deprecated","deprecated",IF(M1099="yes","active",IF(M1099="review","review_required","backlog")))</x:f>
        <x:v>review_required</x:v>
      </x:c>
      <x:c r="AF1099" s="12" t="str">
        <x:f>IF(OR(AE1099="active",AE1099="review_required"),"yes","no")</x:f>
        <x:v>yes</x:v>
      </x:c>
      <x:c r="AG1099" s="12" t="str">
        <x:f>IF(AND(AE1099="active",M1099="yes",NOT(ISNUMBER(SEARCH("healthy",AB1099)))),"yes","no")</x:f>
        <x:v>no</x:v>
      </x:c>
      <x:c r="AH1099" s="12" t="str">
        <x:f>IF(OR(H1099="contextual",H1099="dialogue",H1099="discourse",I1099="claim+context",I1099="discourse_segment"),"yes","no")</x:f>
        <x:v>no</x:v>
      </x:c>
      <x:c r="AI1099" s="12" t="str">
        <x:f>IF(OR(AH1099="yes",AD1099="debated",AC1099="operational"),"yes","no")</x:f>
        <x:v>no</x:v>
      </x:c>
      <x:c r="AJ1099" s="12" t="str">
        <x:f>IF(OR(AH1099="yes",AC1099="operational",AD1099="debated"),"high",IF(AND(AG1099="yes",L1099="P0"),"medium","low"))</x:f>
        <x:v>low</x:v>
      </x:c>
      <x:c r="AK1099" s="12" t="str">
        <x:f>IF(ISNUMBER(SEARCH("healthy",AB1099)),"yes","no")</x:f>
        <x:v>yes</x:v>
      </x:c>
      <x:c r="AL1099" s="12" t="str">
        <x:f>IF(AG1099="yes","yes","candidate_only")</x:f>
        <x:v>candidate_only</x:v>
      </x:c>
      <x:c r="AM1099" s="12" t="str">
        <x:f>IF(OR(AC1099="canonical",AG1099="yes"),"yes","recommended")</x:f>
        <x:v>recommended</x:v>
      </x:c>
      <x:c r="AN1099" s="12" t="str">
        <x:f>IF(AC1099="deprecated","exclude",IF(AND(AG1099="yes",AJ1099="high"),"import_but_human_review_required",IF(AG1099="yes","import_as_active","import_as_backlog")))</x:f>
        <x:v>import_as_backlog</x:v>
      </x:c>
      <x:c r="AO1099" s="12" t="str">
        <x:f>IF(AND(AG1099="yes",OR(P1099="",Q1099="",R1099="",S1099="")),"missing_required_mvp_fields",IF(AND(AC1099="canonical",Y1099=""),"missing_source_ref","ok"))</x:f>
        <x:v>ok</x:v>
      </x:c>
      <x:c r="AP1099" s="12" t="str">
        <x:f>IF(AO1099="ok","ready_for_codex_import","needs_review")</x:f>
        <x:v>ready_for_codex_import</x:v>
      </x:c>
      <x:c r="AQ1099" s="12"/>
      <x:c r="AR1099" s="12" t="str">
        <x:v>Added v2 operational fields. Review before classification activation.</x:v>
      </x:c>
    </x:row>
    <x:row r="1100">
      <x:c r="A1100" s="13" t="str">
        <x:v>balanced_evidence_summary_review_threshold_variant</x:v>
      </x:c>
      <x:c r="B1100" s="13" t="str">
        <x:v>balanced_evidence_summary</x:v>
      </x:c>
      <x:c r="C1100" s="13" t="str">
        <x:v>Balanced evidence summary</x:v>
      </x:c>
      <x:c r="D1100" s="13" t="str">
        <x:v>خلاصه متوازن شواهد</x:v>
      </x:c>
      <x:c r="E1100" s="13" t="str">
        <x:v>Review-threshold variant</x:v>
      </x:c>
      <x:c r="F1100" s="13" t="str">
        <x:v>healthy_reasoning_patterns</x:v>
      </x:c>
      <x:c r="G1100" s="13" t="str">
        <x:v>operational_variant</x:v>
      </x:c>
      <x:c r="H1100" s="13" t="str">
        <x:v>contextual</x:v>
      </x:c>
      <x:c r="I1100" s="13" t="str">
        <x:v>claim+context</x:v>
      </x:c>
      <x:c r="J1100" s="13" t="str">
        <x:v>protective_pattern</x:v>
      </x:c>
      <x:c r="K1100" s="13" t="str">
        <x:v>operational_pattern_needs_review</x:v>
      </x:c>
      <x:c r="L1100" s="13" t="str">
        <x:v>P2</x:v>
      </x:c>
      <x:c r="M1100" s="13" t="str">
        <x:v>review</x:v>
      </x:c>
      <x:c r="N1100" s="13" t="str">
        <x:v>Protective reasoning pattern under Balanced evidence summary: the text states when human review or stronger evidence is needed. It should reduce risk scores when supported by evidence.</x:v>
      </x:c>
      <x:c r="O1100" s="13" t="str">
        <x:v>Look for: explicit claim-level evidence; parent-family cues for Balanced evidence summary; variant cue: the text states when human review or stronger evidence is needed; avoid author-level inference.</x:v>
      </x:c>
      <x:c r="P1100" s="13" t="str">
        <x:v>Exact evidence span in text plus claim-level reasoning link; for contextual/discourse entries, require surrounding context.</x:v>
      </x:c>
      <x:c r="Q1100" s="13" t="str">
        <x:v>Do not label merely because topic is controversial, emotional, or wrong. Do not judge intent or personality. Require textual evidence and consider healthy-reasoning cues.</x:v>
      </x:c>
      <x:c r="R1100" s="13" t="str">
        <x:v>Stub: A claim relies on the text states when human review or stronger evidence is needed to support a conclusion without adequate qualification.</x:v>
      </x:c>
      <x:c r="S1100" s="13" t="str">
        <x:v>Stub: A claim discusses balanced evidence summary with caveats, balanced evidence, or no argumentative use of the pattern.</x:v>
      </x:c>
      <x:c r="T1100" s="13" t="str">
        <x:v>Weak protective cue; keep normal review.</x:v>
      </x:c>
      <x:c r="U1100" s="13" t="str">
        <x:v>Clear protective cue; reduce false-positive risk.</x:v>
      </x:c>
      <x:c r="V1100" s="13" t="str">
        <x:v>Strong protective cue; require stronger evidence before assigning risk labels.</x:v>
      </x:c>
      <x:c r="W1100" s="13" t="str">
        <x:v>cherry_picking; missing_counterevidence; evidence_grading</x:v>
      </x:c>
      <x:c r="X1100" s="13" t="str">
        <x:v>sep_informal_logic</x:v>
      </x:c>
      <x:c r="Y1100" s="13" t="str">
        <x:v>https://plato.stanford.edu/entries/logic-informal/</x:v>
      </x:c>
      <x:c r="Z1100" s="13" t="str">
        <x:v>Review before enabling. This workbook is a living taxonomy scaffold, not a validated scientific benchmark.</x:v>
      </x:c>
      <x:c r="AA1100" s="13" t="str">
        <x:v>0.1.0-draft</x:v>
      </x:c>
      <x:c r="AB1100" s="12" t="str">
        <x:f>IF(ISNUMBER(SEARCH("healthy",F1100)),"healthy_reasoning_patterns",IF(ISNUMBER(SEARCH("statistical",F1100)),"statistical_reasoning",IF(ISNUMBER(SEARCH("causal",F1100)),"causal_reasoning",IF(ISNUMBER(SEARCH("social",F1100)),"social_influence",IF(ISNUMBER(SEARCH("rhetoric",F1100)),"rhetoric_discourse",IF(ISNUMBER(SEARCH("behavior",F1100)),"behavioural_economics",IF(ISNUMBER(SEARCH("cognitive",F1100)),"cognitive_biases",IF(J1100="protective_pattern","healthy_reasoning_patterns",IF(L1100="P0","core_mvp","extended_fallacies")))))))))</x:f>
        <x:v>healthy_reasoning_patterns</x:v>
      </x:c>
      <x:c r="AC1100" s="12" t="str">
        <x:f>IF(ISNUMBER(SEARCH("operational",J1100)),"operational",IF(ISNUMBER(SEARCH("deprecated",J1100)),"deprecated",IF(L1100="P0","canonical","recognized_subtype")))</x:f>
        <x:v>recognized_subtype</x:v>
      </x:c>
      <x:c r="AD1100" s="12" t="str">
        <x:f>IF(AC1100="canonical","high",IF(AC1100="recognized_subtype","medium",IF(AC1100="operational","operational_only","debated")))</x:f>
        <x:v>medium</x:v>
      </x:c>
      <x:c r="AE1100" s="12" t="str">
        <x:f>IF(AC1100="deprecated","deprecated",IF(M1100="yes","active",IF(M1100="review","review_required","backlog")))</x:f>
        <x:v>review_required</x:v>
      </x:c>
      <x:c r="AF1100" s="12" t="str">
        <x:f>IF(OR(AE1100="active",AE1100="review_required"),"yes","no")</x:f>
        <x:v>yes</x:v>
      </x:c>
      <x:c r="AG1100" s="12" t="str">
        <x:f>IF(AND(AE1100="active",M1100="yes",NOT(ISNUMBER(SEARCH("healthy",AB1100)))),"yes","no")</x:f>
        <x:v>no</x:v>
      </x:c>
      <x:c r="AH1100" s="12" t="str">
        <x:f>IF(OR(H1100="contextual",H1100="dialogue",H1100="discourse",I1100="claim+context",I1100="discourse_segment"),"yes","no")</x:f>
        <x:v>yes</x:v>
      </x:c>
      <x:c r="AI1100" s="12" t="str">
        <x:f>IF(OR(AH1100="yes",AD1100="debated",AC1100="operational"),"yes","no")</x:f>
        <x:v>yes</x:v>
      </x:c>
      <x:c r="AJ1100" s="12" t="str">
        <x:f>IF(OR(AH1100="yes",AC1100="operational",AD1100="debated"),"high",IF(AND(AG1100="yes",L1100="P0"),"medium","low"))</x:f>
        <x:v>high</x:v>
      </x:c>
      <x:c r="AK1100" s="12" t="str">
        <x:f>IF(ISNUMBER(SEARCH("healthy",AB1100)),"yes","no")</x:f>
        <x:v>yes</x:v>
      </x:c>
      <x:c r="AL1100" s="12" t="str">
        <x:f>IF(AG1100="yes","yes","candidate_only")</x:f>
        <x:v>candidate_only</x:v>
      </x:c>
      <x:c r="AM1100" s="12" t="str">
        <x:f>IF(OR(AC1100="canonical",AG1100="yes"),"yes","recommended")</x:f>
        <x:v>recommended</x:v>
      </x:c>
      <x:c r="AN1100" s="12" t="str">
        <x:f>IF(AC1100="deprecated","exclude",IF(AND(AG1100="yes",AJ1100="high"),"import_but_human_review_required",IF(AG1100="yes","import_as_active","import_as_backlog")))</x:f>
        <x:v>import_as_backlog</x:v>
      </x:c>
      <x:c r="AO1100" s="12" t="str">
        <x:f>IF(AND(AG1100="yes",OR(P1100="",Q1100="",R1100="",S1100="")),"missing_required_mvp_fields",IF(AND(AC1100="canonical",Y1100=""),"missing_source_ref","ok"))</x:f>
        <x:v>ok</x:v>
      </x:c>
      <x:c r="AP1100" s="12" t="str">
        <x:f>IF(AO1100="ok","ready_for_codex_import","needs_review")</x:f>
        <x:v>ready_for_codex_import</x:v>
      </x:c>
      <x:c r="AQ1100" s="12"/>
      <x:c r="AR1100" s="12" t="str">
        <x:v>Added v2 operational fields. Review before classification activation.</x:v>
      </x:c>
    </x:row>
    <x:row r="1101">
      <x:c r="A1101" s="13" t="str">
        <x:v>human_review_trigger_review_threshold_variant</x:v>
      </x:c>
      <x:c r="B1101" s="13" t="str">
        <x:v>human_review_trigger</x:v>
      </x:c>
      <x:c r="C1101" s="13" t="str">
        <x:v>Human-review trigger</x:v>
      </x:c>
      <x:c r="D1101" s="13" t="str">
        <x:v>ارجاع به بازبینی انسانی</x:v>
      </x:c>
      <x:c r="E1101" s="13" t="str">
        <x:v>Review-threshold variant</x:v>
      </x:c>
      <x:c r="F1101" s="13" t="str">
        <x:v>healthy_reasoning_patterns</x:v>
      </x:c>
      <x:c r="G1101" s="13" t="str">
        <x:v>operational_variant</x:v>
      </x:c>
      <x:c r="H1101" s="13" t="str">
        <x:v>dialogue</x:v>
      </x:c>
      <x:c r="I1101" s="13" t="str">
        <x:v>discourse_segment</x:v>
      </x:c>
      <x:c r="J1101" s="13" t="str">
        <x:v>protective_pattern</x:v>
      </x:c>
      <x:c r="K1101" s="13" t="str">
        <x:v>operational_pattern_needs_review</x:v>
      </x:c>
      <x:c r="L1101" s="13" t="str">
        <x:v>P2</x:v>
      </x:c>
      <x:c r="M1101" s="13" t="str">
        <x:v>review</x:v>
      </x:c>
      <x:c r="N1101" s="13" t="str">
        <x:v>Protective reasoning pattern under Human-review trigger: the text states when human review or stronger evidence is needed. It should reduce risk scores when supported by evidence.</x:v>
      </x:c>
      <x:c r="O1101" s="13" t="str">
        <x:v>Look for: explicit claim-level evidence; parent-family cues for Human-review trigger; variant cue: the text states when human review or stronger evidence is needed; avoid author-level inference.</x:v>
      </x:c>
      <x:c r="P1101" s="13" t="str">
        <x:v>Exact evidence span in text plus claim-level reasoning link; for contextual/discourse entries, require surrounding context.</x:v>
      </x:c>
      <x:c r="Q1101" s="13" t="str">
        <x:v>Do not label merely because topic is controversial, emotional, or wrong. Do not judge intent or personality. Require textual evidence and consider healthy-reasoning cues.</x:v>
      </x:c>
      <x:c r="R1101" s="13" t="str">
        <x:v>Stub: A claim relies on the text states when human review or stronger evidence is needed to support a conclusion without adequate qualification.</x:v>
      </x:c>
      <x:c r="S1101" s="13" t="str">
        <x:v>Stub: A claim discusses human-review trigger with caveats, balanced evidence, or no argumentative use of the pattern.</x:v>
      </x:c>
      <x:c r="T1101" s="13" t="str">
        <x:v>Weak protective cue; keep normal review.</x:v>
      </x:c>
      <x:c r="U1101" s="13" t="str">
        <x:v>Clear protective cue; reduce false-positive risk.</x:v>
      </x:c>
      <x:c r="V1101" s="13" t="str">
        <x:v>Strong protective cue; require stronger evidence before assigning risk labels.</x:v>
      </x:c>
      <x:c r="W1101" s="13" t="str"/>
      <x:c r="X1101" s="13" t="str">
        <x:v>pragmadialectics</x:v>
      </x:c>
      <x:c r="Y1101" s="13" t="str">
        <x:v>https://doi.org/10.1017/CBO9780511616389</x:v>
      </x:c>
      <x:c r="Z1101" s="13" t="str">
        <x:v>Review before enabling. This workbook is a living taxonomy scaffold, not a validated scientific benchmark.</x:v>
      </x:c>
      <x:c r="AA1101" s="13" t="str">
        <x:v>0.1.0-draft</x:v>
      </x:c>
      <x:c r="AB1101" s="12" t="str">
        <x:f>IF(ISNUMBER(SEARCH("healthy",F1101)),"healthy_reasoning_patterns",IF(ISNUMBER(SEARCH("statistical",F1101)),"statistical_reasoning",IF(ISNUMBER(SEARCH("causal",F1101)),"causal_reasoning",IF(ISNUMBER(SEARCH("social",F1101)),"social_influence",IF(ISNUMBER(SEARCH("rhetoric",F1101)),"rhetoric_discourse",IF(ISNUMBER(SEARCH("behavior",F1101)),"behavioural_economics",IF(ISNUMBER(SEARCH("cognitive",F1101)),"cognitive_biases",IF(J1101="protective_pattern","healthy_reasoning_patterns",IF(L1101="P0","core_mvp","extended_fallacies")))))))))</x:f>
        <x:v>healthy_reasoning_patterns</x:v>
      </x:c>
      <x:c r="AC1101" s="12" t="str">
        <x:f>IF(ISNUMBER(SEARCH("operational",J1101)),"operational",IF(ISNUMBER(SEARCH("deprecated",J1101)),"deprecated",IF(L1101="P0","canonical","recognized_subtype")))</x:f>
        <x:v>recognized_subtype</x:v>
      </x:c>
      <x:c r="AD1101" s="12" t="str">
        <x:f>IF(AC1101="canonical","high",IF(AC1101="recognized_subtype","medium",IF(AC1101="operational","operational_only","debated")))</x:f>
        <x:v>medium</x:v>
      </x:c>
      <x:c r="AE1101" s="12" t="str">
        <x:f>IF(AC1101="deprecated","deprecated",IF(M1101="yes","active",IF(M1101="review","review_required","backlog")))</x:f>
        <x:v>review_required</x:v>
      </x:c>
      <x:c r="AF1101" s="12" t="str">
        <x:f>IF(OR(AE1101="active",AE1101="review_required"),"yes","no")</x:f>
        <x:v>yes</x:v>
      </x:c>
      <x:c r="AG1101" s="12" t="str">
        <x:f>IF(AND(AE1101="active",M1101="yes",NOT(ISNUMBER(SEARCH("healthy",AB1101)))),"yes","no")</x:f>
        <x:v>no</x:v>
      </x:c>
      <x:c r="AH1101" s="12" t="str">
        <x:f>IF(OR(H1101="contextual",H1101="dialogue",H1101="discourse",I1101="claim+context",I1101="discourse_segment"),"yes","no")</x:f>
        <x:v>yes</x:v>
      </x:c>
      <x:c r="AI1101" s="12" t="str">
        <x:f>IF(OR(AH1101="yes",AD1101="debated",AC1101="operational"),"yes","no")</x:f>
        <x:v>yes</x:v>
      </x:c>
      <x:c r="AJ1101" s="12" t="str">
        <x:f>IF(OR(AH1101="yes",AC1101="operational",AD1101="debated"),"high",IF(AND(AG1101="yes",L1101="P0"),"medium","low"))</x:f>
        <x:v>high</x:v>
      </x:c>
      <x:c r="AK1101" s="12" t="str">
        <x:f>IF(ISNUMBER(SEARCH("healthy",AB1101)),"yes","no")</x:f>
        <x:v>yes</x:v>
      </x:c>
      <x:c r="AL1101" s="12" t="str">
        <x:f>IF(AG1101="yes","yes","candidate_only")</x:f>
        <x:v>candidate_only</x:v>
      </x:c>
      <x:c r="AM1101" s="12" t="str">
        <x:f>IF(OR(AC1101="canonical",AG1101="yes"),"yes","recommended")</x:f>
        <x:v>recommended</x:v>
      </x:c>
      <x:c r="AN1101" s="12" t="str">
        <x:f>IF(AC1101="deprecated","exclude",IF(AND(AG1101="yes",AJ1101="high"),"import_but_human_review_required",IF(AG1101="yes","import_as_active","import_as_backlog")))</x:f>
        <x:v>import_as_backlog</x:v>
      </x:c>
      <x:c r="AO1101" s="12" t="str">
        <x:f>IF(AND(AG1101="yes",OR(P1101="",Q1101="",R1101="",S1101="")),"missing_required_mvp_fields",IF(AND(AC1101="canonical",Y1101=""),"missing_source_ref","ok"))</x:f>
        <x:v>ok</x:v>
      </x:c>
      <x:c r="AP1101" s="12" t="str">
        <x:f>IF(AO1101="ok","ready_for_codex_import","needs_review")</x:f>
        <x:v>ready_for_codex_import</x:v>
      </x:c>
      <x:c r="AQ1101" s="12"/>
      <x:c r="AR1101" s="12" t="str">
        <x:v>Added v2 operational fields. Review before classification activation.</x:v>
      </x:c>
    </x:row>
  </x:sheetData>
  <x:conditionalFormatting sqref="M2:M1101">
    <x:cfRule type="expression" dxfId="0" priority="1">
      <x:formula>$M2="yes"</x:formula>
    </x:cfRule>
    <x:cfRule type="expression" dxfId="1" priority="2">
      <x:formula>$M2="review"</x:formula>
    </x:cfRule>
    <x:cfRule type="expression" dxfId="2" priority="3">
      <x:formula>$M2="no"</x:formula>
    </x:cfRule>
  </x:conditionalFormatting>
  <x:conditionalFormatting sqref="L2:L1101">
    <x:cfRule type="expression" dxfId="3" priority="4">
      <x:formula>$L2="P0"</x:formula>
    </x:cfRule>
    <x:cfRule type="expression" dxfId="4" priority="5">
      <x:formula>$L2="P3"</x:formula>
    </x:cfRule>
  </x:conditionalFormatting>
  <x:conditionalFormatting sqref="AO2:AO1101">
    <x:cfRule type="expression" dxfId="5" priority="6">
      <x:formula>AO2&lt;&gt;"ok"</x:formula>
    </x:cfRule>
  </x:conditionalFormatting>
  <x:conditionalFormatting sqref="AG2:AG1101">
    <x:cfRule type="expression" dxfId="6" priority="7">
      <x:formula>AG2="yes"</x:formula>
    </x:cfRule>
  </x:conditionalFormatting>
  <x:conditionalFormatting sqref="AJ2:AJ1101">
    <x:cfRule type="expression" dxfId="7" priority="8">
      <x:formula>AJ2="high"</x:formula>
    </x:cfRule>
  </x:conditionalFormatting>
  <x:dataValidations count="11">
    <x:dataValidation type="list" sqref="L2:L1101">
      <x:formula1>Picklists!$A$2:$A$5</x:formula1>
    </x:dataValidation>
    <x:dataValidation type="list" sqref="J2:J1101">
      <x:formula1>Picklists!$B$2:$B$5</x:formula1>
    </x:dataValidation>
    <x:dataValidation type="list" sqref="K2:K1101">
      <x:formula1>Picklists!$C$2:$C$6</x:formula1>
    </x:dataValidation>
    <x:dataValidation type="list" sqref="M2:M1101">
      <x:formula1>Picklists!$D$2:$D$4</x:formula1>
    </x:dataValidation>
    <x:dataValidation type="list" sqref="H2:H1101">
      <x:formula1>Picklists!$E$2:$E$6</x:formula1>
    </x:dataValidation>
    <x:dataValidation type="list" sqref="I2:I1101">
      <x:formula1>Picklists!$F$2:$F$4</x:formula1>
    </x:dataValidation>
    <x:dataValidation type="list" sqref="AC2:AC1101">
      <x:formula1>"canonical,recognized_subtype,debated,operational,deprecated"</x:formula1>
    </x:dataValidation>
    <x:dataValidation type="list" sqref="AD2:AD1101">
      <x:formula1>"high,medium,debated,operational_only"</x:formula1>
    </x:dataValidation>
    <x:dataValidation type="list" sqref="AE2:AE1101">
      <x:formula1>"active,review_required,backlog,deprecated"</x:formula1>
    </x:dataValidation>
    <x:dataValidation type="list" sqref="AF2:AL1101">
      <x:formula1>"yes,no,candidate_only"</x:formula1>
    </x:dataValidation>
    <x:dataValidation type="list" sqref="AJ2:AJ110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36972a348046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18" hidden="0" customWidth="1"/>
    <x:col min="4" max="4" width="30" hidden="0" customWidth="1"/>
    <x:col min="5" max="5" width="34" hidden="0" customWidth="1"/>
  </x:cols>
  <x:sheetData>
    <x:row r="1">
      <x:c r="A1" s="6" t="str">
        <x:v>macro_category</x:v>
      </x:c>
      <x:c r="B1" s="6" t="str">
        <x:v>description</x:v>
      </x:c>
      <x:c r="C1" s="6" t="str">
        <x:v>target_count</x:v>
      </x:c>
      <x:c r="D1" s="6" t="str">
        <x:v>default_source_family</x:v>
      </x:c>
      <x:c r="E1" s="6" t="str">
        <x:v>recommended_initial_use</x:v>
      </x:c>
    </x:row>
    <x:row r="2">
      <x:c r="A2" s="13" t="str">
        <x:v>reasoning_failures</x:v>
      </x:c>
      <x:c r="B2" s="13" t="str">
        <x:v>argument-structure and inferential errors</x:v>
      </x:c>
      <x:c r="C2" s="13" t="n">
        <x:v>150</x:v>
      </x:c>
      <x:c r="D2" s="13" t="str">
        <x:v>sep_fallacies</x:v>
      </x:c>
      <x:c r="E2" s="13" t="str">
        <x:v>MVP core</x:v>
      </x:c>
    </x:row>
    <x:row r="3">
      <x:c r="A3" s="13" t="str">
        <x:v>evidence_failures</x:v>
      </x:c>
      <x:c r="B3" s="13" t="str">
        <x:v>evidence selection, quality, comparability, and measurement problems</x:v>
      </x:c>
      <x:c r="C3" s="13" t="n">
        <x:v>120</x:v>
      </x:c>
      <x:c r="D3" s="13" t="str">
        <x:v>sep_informal_logic</x:v>
      </x:c>
      <x:c r="E3" s="13" t="str">
        <x:v>MVP core</x:v>
      </x:c>
    </x:row>
    <x:row r="4">
      <x:c r="A4" s="13" t="str">
        <x:v>probabilistic_failures</x:v>
      </x:c>
      <x:c r="B4" s="13" t="str">
        <x:v>statistical, probabilistic, and base-rate reasoning problems</x:v>
      </x:c>
      <x:c r="C4" s="13" t="n">
        <x:v>110</x:v>
      </x:c>
      <x:c r="D4" s="13" t="str">
        <x:v>kahneman_tversky_heuristics_1974</x:v>
      </x:c>
      <x:c r="E4" s="13" t="str">
        <x:v>MVP core</x:v>
      </x:c>
    </x:row>
    <x:row r="5">
      <x:c r="A5" s="13" t="str">
        <x:v>cognitive_biases_information_processing</x:v>
      </x:c>
      <x:c r="B5" s="13" t="str">
        <x:v>attention, memory, interpretation, and belief-updating biases</x:v>
      </x:c>
      <x:c r="C5" s="13" t="n">
        <x:v>140</x:v>
      </x:c>
      <x:c r="D5" s="13" t="str">
        <x:v>gilovich_heuristics_biases</x:v>
      </x:c>
      <x:c r="E5" s="13" t="str">
        <x:v>review/backlog</x:v>
      </x:c>
    </x:row>
    <x:row r="6">
      <x:c r="A6" s="13" t="str">
        <x:v>decision_biases_behavioural_economics</x:v>
      </x:c>
      <x:c r="B6" s="13" t="str">
        <x:v>choice architecture, risk, time, loss, and value-related biases</x:v>
      </x:c>
      <x:c r="C6" s="13" t="n">
        <x:v>140</x:v>
      </x:c>
      <x:c r="D6" s="13" t="str">
        <x:v>kahneman_tversky_prospect_1979</x:v>
      </x:c>
      <x:c r="E6" s="13" t="str">
        <x:v>review/backlog</x:v>
      </x:c>
    </x:row>
    <x:row r="7">
      <x:c r="A7" s="13" t="str">
        <x:v>social_influence_patterns</x:v>
      </x:c>
      <x:c r="B7" s="13" t="str">
        <x:v>social proof, authority, conformity, group dynamics, and identity-linked influence</x:v>
      </x:c>
      <x:c r="C7" s="13" t="n">
        <x:v>90</x:v>
      </x:c>
      <x:c r="D7" s="13" t="str">
        <x:v>cialdini_influence</x:v>
      </x:c>
      <x:c r="E7" s="13" t="str">
        <x:v>review/backlog</x:v>
      </x:c>
    </x:row>
    <x:row r="8">
      <x:c r="A8" s="13" t="str">
        <x:v>rhetorical_manipulation_patterns</x:v>
      </x:c>
      <x:c r="B8" s="13" t="str">
        <x:v>rhetorical pressure, framing, loaded language, and persuasive distortion</x:v>
      </x:c>
      <x:c r="C8" s="13" t="n">
        <x:v>100</x:v>
      </x:c>
      <x:c r="D8" s="13" t="str">
        <x:v>sep_fallacies</x:v>
      </x:c>
      <x:c r="E8" s="13" t="str">
        <x:v>review/backlog</x:v>
      </x:c>
    </x:row>
    <x:row r="9">
      <x:c r="A9" s="13" t="str">
        <x:v>uncertainty_calibration_failures</x:v>
      </x:c>
      <x:c r="B9" s="13" t="str">
        <x:v>overclaiming, false certainty, weak forecasting, and missing uncertainty bounds</x:v>
      </x:c>
      <x:c r="C9" s="13" t="n">
        <x:v>80</x:v>
      </x:c>
      <x:c r="D9" s="13" t="str">
        <x:v>stanovich_dual_process</x:v>
      </x:c>
      <x:c r="E9" s="13" t="str">
        <x:v>review/backlog</x:v>
      </x:c>
    </x:row>
    <x:row r="10">
      <x:c r="A10" s="13" t="str">
        <x:v>discourse_pragmatic_failures</x:v>
      </x:c>
      <x:c r="B10" s="13" t="str">
        <x:v>dialogue, burden-of-proof, relevance, commitment, and pragmatic-rule failures</x:v>
      </x:c>
      <x:c r="C10" s="13" t="n">
        <x:v>70</x:v>
      </x:c>
      <x:c r="D10" s="13" t="str">
        <x:v>pragmadialectics</x:v>
      </x:c>
      <x:c r="E10" s="13" t="str">
        <x:v>review/backlog</x:v>
      </x:c>
    </x:row>
    <x:row r="11">
      <x:c r="A11" s="13" t="str">
        <x:v>healthy_reasoning_patterns</x:v>
      </x:c>
      <x:c r="B11" s="13" t="str">
        <x:v>protective patterns that reduce false positives and support calibrated reasoning</x:v>
      </x:c>
      <x:c r="C11" s="13" t="n">
        <x:v>100</x:v>
      </x:c>
      <x:c r="D11" s="13" t="str">
        <x:v>toulmin_uses_argument</x:v>
      </x:c>
      <x:c r="E11" s="13" t="str">
        <x:v>false-positive reducer</x:v>
      </x:c>
    </x:row>
  </x:sheetData>
  <x:pageMargins left="0.7" right="0.7" top="0.75" bottom="0.75" header="0.3" footer="0.3"/>
  <x:tableParts count="1">
    <x:tablePart xmlns:r="http://schemas.openxmlformats.org/officeDocument/2006/relationships" r:id="Rd21d0144251f41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5" hidden="0" customWidth="1"/>
    <x:col min="4" max="4" width="55" hidden="0" customWidth="1"/>
    <x:col min="5" max="5" width="60" hidden="0" customWidth="1"/>
    <x:col min="6" max="6" width="55" hidden="0" customWidth="1"/>
  </x:cols>
  <x:sheetData>
    <x:row r="1">
      <x:c r="A1" s="6" t="str">
        <x:v>source_key</x:v>
      </x:c>
      <x:c r="B1" s="6" t="str">
        <x:v>source_type</x:v>
      </x:c>
      <x:c r="C1" s="6" t="str">
        <x:v>scope_supported</x:v>
      </x:c>
      <x:c r="D1" s="6" t="str">
        <x:v>bibliographic_note</x:v>
      </x:c>
      <x:c r="E1" s="6" t="str">
        <x:v>url</x:v>
      </x:c>
      <x:c r="F1" s="6" t="str">
        <x:v>reliability_note</x:v>
      </x:c>
    </x:row>
    <x:row r="2">
      <x:c r="A2" s="13" t="str">
        <x:v>sep_fallacies</x:v>
      </x:c>
      <x:c r="B2" s="13" t="str">
        <x:v>encyclopedia</x:v>
      </x:c>
      <x:c r="C2" s="13" t="str">
        <x:v>informal fallacies, context-sensitive fallacy analysis</x:v>
      </x:c>
      <x:c r="D2" s="13" t="str">
        <x:v>Hansen/Groarke, Fallacies, Stanford Encyclopedia of Philosophy</x:v>
      </x:c>
      <x:c r="E2" s="13" t="str">
        <x:v>https://plato.stanford.edu/entries/fallacies/</x:v>
      </x:c>
      <x:c r="F2" s="13" t="str">
        <x:v>High-quality philosophy reference; use for fallacy families and caution about context.</x:v>
      </x:c>
    </x:row>
    <x:row r="3">
      <x:c r="A3" s="13" t="str">
        <x:v>sep_informal_logic</x:v>
      </x:c>
      <x:c r="B3" s="13" t="str">
        <x:v>encyclopedia</x:v>
      </x:c>
      <x:c r="C3" s="13" t="str">
        <x:v>informal logic, argument assessment, ordinary-language argument</x:v>
      </x:c>
      <x:c r="D3" s="13" t="str">
        <x:v>Groarke, Informal Logic, Stanford Encyclopedia of Philosophy</x:v>
      </x:c>
      <x:c r="E3" s="13" t="str">
        <x:v>https://plato.stanford.edu/entries/logic-informal/</x:v>
      </x:c>
      <x:c r="F3" s="13" t="str">
        <x:v>High-quality background for argument assessment.</x:v>
      </x:c>
    </x:row>
    <x:row r="4">
      <x:c r="A4" s="13" t="str">
        <x:v>walton_argumentation_schemes</x:v>
      </x:c>
      <x:c r="B4" s="13" t="str">
        <x:v>book</x:v>
      </x:c>
      <x:c r="C4" s="13" t="str">
        <x:v>argumentation schemes, critical questions, defeasible argument patterns</x:v>
      </x:c>
      <x:c r="D4" s="13" t="str">
        <x:v>Walton, Reed &amp; Macagno, Argumentation Schemes, Cambridge University Press</x:v>
      </x:c>
      <x:c r="E4" s="13" t="str">
        <x:v>https://www.cambridge.org/core/books/argumentation-schemes/1D013BFA2695C72B14134F2C38B17B85</x:v>
      </x:c>
      <x:c r="F4" s="13" t="str">
        <x:v>Use for schemes and critical questions; many schemes are reasonable unless misused.</x:v>
      </x:c>
    </x:row>
    <x:row r="5">
      <x:c r="A5" s="13" t="str">
        <x:v>hamblin_fallacies</x:v>
      </x:c>
      <x:c r="B5" s="13" t="str">
        <x:v>book</x:v>
      </x:c>
      <x:c r="C5" s="13" t="str">
        <x:v>modern critique of traditional fallacy lists</x:v>
      </x:c>
      <x:c r="D5" s="13" t="str">
        <x:v>C. L. Hamblin, Fallacies</x:v>
      </x:c>
      <x:c r="E5" s="13" t="str">
        <x:v>https://archive.org/details/fallacies0000hamb</x:v>
      </x:c>
      <x:c r="F5" s="13" t="str">
        <x:v>Use as caution against naive fallacy lists.</x:v>
      </x:c>
    </x:row>
    <x:row r="6">
      <x:c r="A6" s="13" t="str">
        <x:v>kahneman_tversky_heuristics_1974</x:v>
      </x:c>
      <x:c r="B6" s="13" t="str">
        <x:v>article</x:v>
      </x:c>
      <x:c r="C6" s="13" t="str">
        <x:v>heuristics and biases under uncertainty: representativeness, availability, anchoring</x:v>
      </x:c>
      <x:c r="D6" s="13" t="str">
        <x:v>Tversky &amp; Kahneman, Judgment under Uncertainty: Heuristics and Biases, Science, 1974</x:v>
      </x:c>
      <x:c r="E6" s="13" t="str">
        <x:v>https://doi.org/10.1126/science.185.4157.1124</x:v>
      </x:c>
      <x:c r="F6" s="13" t="str">
        <x:v>Foundational paper; supports core heuristic families.</x:v>
      </x:c>
    </x:row>
    <x:row r="7">
      <x:c r="A7" s="13" t="str">
        <x:v>kahneman_tversky_prospect_1979</x:v>
      </x:c>
      <x:c r="B7" s="13" t="str">
        <x:v>article</x:v>
      </x:c>
      <x:c r="C7" s="13" t="str">
        <x:v>prospect theory, reference dependence, loss aversion</x:v>
      </x:c>
      <x:c r="D7" s="13" t="str">
        <x:v>Kahneman &amp; Tversky, Prospect Theory, Econometrica, 1979</x:v>
      </x:c>
      <x:c r="E7" s="13" t="str">
        <x:v>https://doi.org/10.2307/1914185</x:v>
      </x:c>
      <x:c r="F7" s="13" t="str">
        <x:v>Foundational behavioral economics source.</x:v>
      </x:c>
    </x:row>
    <x:row r="8">
      <x:c r="A8" s="13" t="str">
        <x:v>tversky_kahneman_framing_1981</x:v>
      </x:c>
      <x:c r="B8" s="13" t="str">
        <x:v>article</x:v>
      </x:c>
      <x:c r="C8" s="13" t="str">
        <x:v>framing effects and choice under risk</x:v>
      </x:c>
      <x:c r="D8" s="13" t="str">
        <x:v>Tversky &amp; Kahneman, The Framing of Decisions and the Psychology of Choice, Science, 1981</x:v>
      </x:c>
      <x:c r="E8" s="13" t="str">
        <x:v>https://doi.org/10.1126/science.7455683</x:v>
      </x:c>
      <x:c r="F8" s="13" t="str">
        <x:v>Use for framing and risk-choice language.</x:v>
      </x:c>
    </x:row>
    <x:row r="9">
      <x:c r="A9" s="13" t="str">
        <x:v>nickerson_confirmation_1998</x:v>
      </x:c>
      <x:c r="B9" s="13" t="str">
        <x:v>article</x:v>
      </x:c>
      <x:c r="C9" s="13" t="str">
        <x:v>confirmation bias and selective information processing</x:v>
      </x:c>
      <x:c r="D9" s="13" t="str">
        <x:v>Nickerson, Confirmation Bias: A Ubiquitous Phenomenon, Review of General Psychology, 1998</x:v>
      </x:c>
      <x:c r="E9" s="13" t="str">
        <x:v>https://doi.org/10.1037/1089-2680.2.2.175</x:v>
      </x:c>
      <x:c r="F9" s="13" t="str">
        <x:v>Core review for confirmation bias; use carefully.</x:v>
      </x:c>
    </x:row>
    <x:row r="10">
      <x:c r="A10" s="13" t="str">
        <x:v>stanovich_dual_process</x:v>
      </x:c>
      <x:c r="B10" s="13" t="str">
        <x:v>book</x:v>
      </x:c>
      <x:c r="C10" s="13" t="str">
        <x:v>rationality, reasoning biases, reflective cognition</x:v>
      </x:c>
      <x:c r="D10" s="13" t="str">
        <x:v>Stanovich, Rationality and the Reflective Mind</x:v>
      </x:c>
      <x:c r="E10" s="13" t="str">
        <x:v>https://global.oup.com/academic/product/rationality-and-the-reflective-mind-9780195341140</x:v>
      </x:c>
      <x:c r="F10" s="13" t="str">
        <x:v>Use as higher-level reasoning framework.</x:v>
      </x:c>
    </x:row>
    <x:row r="11">
      <x:c r="A11" s="13" t="str">
        <x:v>gilovich_heuristics_biases</x:v>
      </x:c>
      <x:c r="B11" s="13" t="str">
        <x:v>book</x:v>
      </x:c>
      <x:c r="C11" s="13" t="str">
        <x:v>heuristics and biases collection</x:v>
      </x:c>
      <x:c r="D11" s="13" t="str">
        <x:v>Gilovich, Griffin &amp; Kahneman, Heuristics and Biases</x:v>
      </x:c>
      <x:c r="E11" s="13" t="str">
        <x:v>https://www.cambridge.org/core/books/heuristics-and-biases/3C30D3B05D2F190C3B8BE5E2531EFD24</x:v>
      </x:c>
      <x:c r="F11" s="13" t="str">
        <x:v>Edited academic volume; supports cognitive-bias families.</x:v>
      </x:c>
    </x:row>
    <x:row r="12">
      <x:c r="A12" s="13" t="str">
        <x:v>cialdini_influence</x:v>
      </x:c>
      <x:c r="B12" s="13" t="str">
        <x:v>book</x:v>
      </x:c>
      <x:c r="C12" s="13" t="str">
        <x:v>social influence patterns: social proof, scarcity, authority, liking</x:v>
      </x:c>
      <x:c r="D12" s="13" t="str">
        <x:v>Cialdini, Influence: Science and Practice</x:v>
      </x:c>
      <x:c r="E12" s="13" t="str">
        <x:v>https://www.pearson.com/en-us/subject-catalog/p/influence-science-and-practice/P200000003004</x:v>
      </x:c>
      <x:c r="F12" s="13" t="str">
        <x:v>Use for social influence signals; avoid moralized labels.</x:v>
      </x:c>
    </x:row>
    <x:row r="13">
      <x:c r="A13" s="13" t="str">
        <x:v>pragmadialectics</x:v>
      </x:c>
      <x:c r="B13" s="13" t="str">
        <x:v>book</x:v>
      </x:c>
      <x:c r="C13" s="13" t="str">
        <x:v>dialogue rules, argumentative discourse, derailment</x:v>
      </x:c>
      <x:c r="D13" s="13" t="str">
        <x:v>van Eemeren &amp; Grootendorst, A Systematic Theory of Argumentation</x:v>
      </x:c>
      <x:c r="E13" s="13" t="str">
        <x:v>https://doi.org/10.1017/CBO9780511616389</x:v>
      </x:c>
      <x:c r="F13" s="13" t="str">
        <x:v>Useful for discourse-level argumentative obligations.</x:v>
      </x:c>
    </x:row>
    <x:row r="14">
      <x:c r="A14" s="13" t="str">
        <x:v>toulmin_uses_argument</x:v>
      </x:c>
      <x:c r="B14" s="13" t="str">
        <x:v>book</x:v>
      </x:c>
      <x:c r="C14" s="13" t="str">
        <x:v>claim, data, warrant, backing, qualifier, rebuttal</x:v>
      </x:c>
      <x:c r="D14" s="13" t="str">
        <x:v>Toulmin, The Uses of Argument</x:v>
      </x:c>
      <x:c r="E14" s="13" t="str">
        <x:v>https://doi.org/10.1017/CBO9780511840005</x:v>
      </x:c>
      <x:c r="F14" s="13" t="str">
        <x:v>Use for claim-evidence-warrant schema.</x:v>
      </x:c>
    </x:row>
    <x:row r="15">
      <x:c r="A15" s="13" t="str">
        <x:v>grice_logic_conversation</x:v>
      </x:c>
      <x:c r="B15" s="13" t="str">
        <x:v>chapter</x:v>
      </x:c>
      <x:c r="C15" s="13" t="str">
        <x:v>conversational maxims and pragmatic implicature</x:v>
      </x:c>
      <x:c r="D15" s="13" t="str">
        <x:v>Grice, Logic and Conversation</x:v>
      </x:c>
      <x:c r="E15" s="13" t="str">
        <x:v>https://doi.org/10.1163/9789004368811_003</x:v>
      </x:c>
      <x:c r="F15" s="13" t="str">
        <x:v>Useful for pragmatic/discourse failures.</x:v>
      </x:c>
    </x:row>
    <x:row r="16">
      <x:c r="A16" s="13" t="str">
        <x:v>thaler_sunstein_nudge</x:v>
      </x:c>
      <x:c r="B16" s="13" t="str">
        <x:v>book</x:v>
      </x:c>
      <x:c r="C16" s="13" t="str">
        <x:v>choice architecture, defaults, behavioral economics</x:v>
      </x:c>
      <x:c r="D16" s="13" t="str">
        <x:v>Thaler &amp; Sunstein, Nudge</x:v>
      </x:c>
      <x:c r="E16" s="13" t="str">
        <x:v>https://yalebooks.yale.edu/book/9780300262285/nudge/</x:v>
      </x:c>
      <x:c r="F16" s="13" t="str">
        <x:v>Use for defaults and decision architecture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d7621c686e9548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50" hidden="0" customWidth="1"/>
    <x:col min="5" max="5" width="50" hidden="0" customWidth="1"/>
  </x:cols>
  <x:sheetData>
    <x:row r="1">
      <x:c r="A1" s="6" t="str">
        <x:v>rule_id</x:v>
      </x:c>
      <x:c r="B1" s="6" t="str">
        <x:v>rule_type</x:v>
      </x:c>
      <x:c r="C1" s="6" t="str">
        <x:v>rule</x:v>
      </x:c>
      <x:c r="D1" s="6" t="str">
        <x:v>why_it_matters</x:v>
      </x:c>
      <x:c r="E1" s="6" t="str">
        <x:v>implementation_hint</x:v>
      </x:c>
    </x:row>
    <x:row r="2">
      <x:c r="A2" s="13" t="str">
        <x:v>VAL-001</x:v>
      </x:c>
      <x:c r="B2" s="13" t="str">
        <x:v>evidence_span</x:v>
      </x:c>
      <x:c r="C2" s="13" t="str">
        <x:v>Every risk label must have an exact evidence span in the claim or immediate context.</x:v>
      </x:c>
      <x:c r="D2" s="13" t="str">
        <x:v>Prevents free-floating labels and hallucinated rationale.</x:v>
      </x:c>
      <x:c r="E2" s="13" t="str">
        <x:v>Reject or downgrade assessments without evidence_span.</x:v>
      </x:c>
    </x:row>
    <x:row r="3">
      <x:c r="A3" s="13" t="str">
        <x:v>VAL-002</x:v>
      </x:c>
      <x:c r="B3" s="13" t="str">
        <x:v>claim_level_only</x:v>
      </x:c>
      <x:c r="C3" s="13" t="str">
        <x:v>Analyze claim patterns, not whether a person is biased.</x:v>
      </x:c>
      <x:c r="D3" s="13" t="str">
        <x:v>Avoids psychological diagnosis and moral judgement.</x:v>
      </x:c>
      <x:c r="E3" s="13" t="str">
        <x:v>Prompt and schemas should forbid author-level inference.</x:v>
      </x:c>
    </x:row>
    <x:row r="4">
      <x:c r="A4" s="13" t="str">
        <x:v>VAL-003</x:v>
      </x:c>
      <x:c r="B4" s="13" t="str">
        <x:v>no_truth_detection</x:v>
      </x:c>
      <x:c r="C4" s="13" t="str">
        <x:v>Do not decide whether the claim is factually true.</x:v>
      </x:c>
      <x:c r="D4" s="13" t="str">
        <x:v>The engine evaluates argument-risk patterns, not truth.</x:v>
      </x:c>
      <x:c r="E4" s="13" t="str">
        <x:v>Keep factual verification outside MVP scope.</x:v>
      </x:c>
    </x:row>
    <x:row r="5">
      <x:c r="A5" s="13" t="str">
        <x:v>VAL-004</x:v>
      </x:c>
      <x:c r="B5" s="13" t="str">
        <x:v>false_positive_guard</x:v>
      </x:c>
      <x:c r="C5" s="13" t="str">
        <x:v>If a healthy reasoning pattern is present, require stronger evidence before assigning a risk.</x:v>
      </x:c>
      <x:c r="D5" s="13" t="str">
        <x:v>Reduces over-labeling collapse.</x:v>
      </x:c>
      <x:c r="E5" s="13" t="str">
        <x:v>Use healthy_reasoning_patterns as dampeners in scorer.</x:v>
      </x:c>
    </x:row>
    <x:row r="6">
      <x:c r="A6" s="13" t="str">
        <x:v>VAL-005</x:v>
      </x:c>
      <x:c r="B6" s="13" t="str">
        <x:v>context_required</x:v>
      </x:c>
      <x:c r="C6" s="13" t="str">
        <x:v>Contextual and discourse-level rows must not be applied from isolated keywords alone.</x:v>
      </x:c>
      <x:c r="D6" s="13" t="str">
        <x:v>Many fallacies are context-dependent.</x:v>
      </x:c>
      <x:c r="E6" s="13" t="str">
        <x:v>Require claim+context input or human review.</x:v>
      </x:c>
    </x:row>
    <x:row r="7">
      <x:c r="A7" s="13" t="str">
        <x:v>VAL-006</x:v>
      </x:c>
      <x:c r="B7" s="13" t="str">
        <x:v>severity_semantics</x:v>
      </x:c>
      <x:c r="C7" s="13" t="str">
        <x:v>Severity means argumentative impact, not moral severity.</x:v>
      </x:c>
      <x:c r="D7" s="13" t="str">
        <x:v>Prevents exaggerated or punitive interpretation.</x:v>
      </x:c>
      <x:c r="E7" s="13" t="str">
        <x:v>Use low/medium/high guidance consistently.</x:v>
      </x:c>
    </x:row>
    <x:row r="8">
      <x:c r="A8" s="13" t="str">
        <x:v>VAL-007</x:v>
      </x:c>
      <x:c r="B8" s="13" t="str">
        <x:v>candidate_status</x:v>
      </x:c>
      <x:c r="C8" s="13" t="str">
        <x:v>Derived operational subtypes are not established standalone scientific constructs.</x:v>
      </x:c>
      <x:c r="D8" s="13" t="str">
        <x:v>Keeps the taxonomy honest and reviewable.</x:v>
      </x:c>
      <x:c r="E8" s="13" t="str">
        <x:v>Mark evidence_status clearly and keep disabled until reviewed.</x:v>
      </x:c>
    </x:row>
    <x:row r="9">
      <x:c r="A9" s="13" t="str">
        <x:v>VAL-008</x:v>
      </x:c>
      <x:c r="B9" s="13" t="str">
        <x:v>balanced_benchmark</x:v>
      </x:c>
      <x:c r="C9" s="13" t="str">
        <x:v>Benchmark must include hard negatives, neutral claims, and healthy reasoning examples.</x:v>
      </x:c>
      <x:c r="D9" s="13" t="str">
        <x:v>Prevents inflated performance.</x:v>
      </x:c>
      <x:c r="E9" s="13" t="str">
        <x:v>At least 30–40% negative/hard-negative examples.</x:v>
      </x:c>
    </x:row>
    <x:row r="10">
      <x:c r="A10" s="13" t="str">
        <x:v>VAL-009</x:v>
      </x:c>
      <x:c r="B10" s="13" t="str">
        <x:v>taxonomy_overlap</x:v>
      </x:c>
      <x:c r="C10" s="13" t="str">
        <x:v>Overlapping families should be linked rather than duplicated as independent findings.</x:v>
      </x:c>
      <x:c r="D10" s="13" t="str">
        <x:v>Avoids excessive labels for one claim.</x:v>
      </x:c>
      <x:c r="E10" s="13" t="str">
        <x:v>Collapse highly similar matches into parent-family group.</x:v>
      </x:c>
    </x:row>
    <x:row r="11">
      <x:c r="A11" s="13" t="str">
        <x:v>VAL-010</x:v>
      </x:c>
      <x:c r="B11" s="13" t="str">
        <x:v>human_review</x:v>
      </x:c>
      <x:c r="C11" s="13" t="str">
        <x:v>High-stakes, ambiguous, or discourse-level findings require human review.</x:v>
      </x:c>
      <x:c r="D11" s="13" t="str">
        <x:v>Protects against automated moderation misuse.</x:v>
      </x:c>
      <x:c r="E11" s="13" t="str">
        <x:v>needs_human_review = true for weak/complex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c4b783249f6a40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4" hidden="0" customWidth="1"/>
    <x:col min="4" max="4" width="18" hidden="0" customWidth="1"/>
    <x:col min="5" max="5" width="18" hidden="0" customWidth="1"/>
    <x:col min="6" max="6" width="2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6" t="str">
        <x:v>priority</x:v>
      </x:c>
      <x:c r="B1" s="6" t="str">
        <x:v>taxonomy_status</x:v>
      </x:c>
      <x:c r="C1" s="6" t="str">
        <x:v>evidence_status</x:v>
      </x:c>
      <x:c r="D1" s="6" t="str">
        <x:v>enabled_for_mvp</x:v>
      </x:c>
      <x:c r="E1" s="6" t="str">
        <x:v>detection_level</x:v>
      </x:c>
      <x:c r="F1" s="6" t="str">
        <x:v>unit_of_analysis</x:v>
      </x:c>
      <x:c r="H1" s="28" t="str">
        <x:v>pack_v2</x:v>
      </x:c>
      <x:c r="I1" s="28" t="str">
        <x:v>academic_status_v2</x:v>
      </x:c>
      <x:c r="J1" s="28" t="str">
        <x:v>academic_consensus</x:v>
      </x:c>
      <x:c r="K1" s="28" t="str">
        <x:v>activation_status</x:v>
      </x:c>
      <x:c r="L1" s="28" t="str">
        <x:v>false_positive_sensitivity</x:v>
      </x:c>
      <x:c r="M1" s="28" t="str">
        <x:v>provider_type</x:v>
      </x:c>
      <x:c r="N1" s="28" t="str">
        <x:v>provider_status</x:v>
      </x:c>
      <x:c r="O1" s="28" t="str">
        <x:v>reviewer_decision</x:v>
      </x:c>
    </x:row>
    <x:row r="2">
      <x:c r="A2" s="13" t="str">
        <x:v>P0</x:v>
      </x:c>
      <x:c r="B2" s="13" t="str">
        <x:v>core_named_candidate</x:v>
      </x:c>
      <x:c r="C2" s="13" t="str">
        <x:v>established_parent_needs_row_review</x:v>
      </x:c>
      <x:c r="D2" s="13" t="str">
        <x:v>yes</x:v>
      </x:c>
      <x:c r="E2" s="13" t="str">
        <x:v>lexical</x:v>
      </x:c>
      <x:c r="F2" s="13" t="str">
        <x:v>claim</x:v>
      </x:c>
      <x:c r="H2" t="str">
        <x:v>core_mvp</x:v>
      </x:c>
      <x:c r="I2" t="str">
        <x:v>canonical</x:v>
      </x:c>
      <x:c r="J2" t="str">
        <x:v>high</x:v>
      </x:c>
      <x:c r="K2" t="str">
        <x:v>active</x:v>
      </x:c>
      <x:c r="L2" t="str">
        <x:v>low</x:v>
      </x:c>
      <x:c r="M2" t="str">
        <x:v>deterministic</x:v>
      </x:c>
      <x:c r="N2" t="str">
        <x:v>connected</x:v>
      </x:c>
      <x:c r="O2" t="str">
        <x:v>correct</x:v>
      </x:c>
    </x:row>
    <x:row r="3">
      <x:c r="A3" s="13" t="str">
        <x:v>P1</x:v>
      </x:c>
      <x:c r="B3" s="13" t="str">
        <x:v>derived_operational_subtype</x:v>
      </x:c>
      <x:c r="C3" s="13" t="str">
        <x:v>derived_from_established_parent_review_required</x:v>
      </x:c>
      <x:c r="D3" s="13" t="str">
        <x:v>review</x:v>
      </x:c>
      <x:c r="E3" s="13" t="str">
        <x:v>structural</x:v>
      </x:c>
      <x:c r="F3" s="13" t="str">
        <x:v>claim+context</x:v>
      </x:c>
      <x:c r="H3" t="str">
        <x:v>extended_fallacies</x:v>
      </x:c>
      <x:c r="I3" t="str">
        <x:v>recognized_subtype</x:v>
      </x:c>
      <x:c r="J3" t="str">
        <x:v>medium</x:v>
      </x:c>
      <x:c r="K3" t="str">
        <x:v>review_required</x:v>
      </x:c>
      <x:c r="L3" t="str">
        <x:v>medium</x:v>
      </x:c>
      <x:c r="M3" t="str">
        <x:v>openai_compatible</x:v>
      </x:c>
      <x:c r="N3" t="str">
        <x:v>failed</x:v>
      </x:c>
      <x:c r="O3" t="str">
        <x:v>incorrect</x:v>
      </x:c>
    </x:row>
    <x:row r="4">
      <x:c r="A4" s="13" t="str">
        <x:v>P2</x:v>
      </x:c>
      <x:c r="B4" s="13" t="str">
        <x:v>protective_pattern</x:v>
      </x:c>
      <x:c r="C4" s="13" t="str">
        <x:v>operational_pattern_needs_review</x:v>
      </x:c>
      <x:c r="D4" s="13" t="str">
        <x:v>no</x:v>
      </x:c>
      <x:c r="E4" s="13" t="str">
        <x:v>contextual</x:v>
      </x:c>
      <x:c r="F4" s="13" t="str">
        <x:v>discourse_segment</x:v>
      </x:c>
      <x:c r="H4" t="str">
        <x:v>cognitive_biases</x:v>
      </x:c>
      <x:c r="I4" t="str">
        <x:v>debated</x:v>
      </x:c>
      <x:c r="J4" t="str">
        <x:v>debated</x:v>
      </x:c>
      <x:c r="K4" t="str">
        <x:v>backlog</x:v>
      </x:c>
      <x:c r="L4" t="str">
        <x:v>high</x:v>
      </x:c>
      <x:c r="M4" t="str">
        <x:v>custom</x:v>
      </x:c>
      <x:c r="N4" t="str">
        <x:v>not_configured</x:v>
      </x:c>
      <x:c r="O4" t="str">
        <x:v>partially_correct</x:v>
      </x:c>
    </x:row>
    <x:row r="5">
      <x:c r="A5" s="13" t="str">
        <x:v>P3</x:v>
      </x:c>
      <x:c r="B5" s="13" t="str">
        <x:v>deprecated_or_merged</x:v>
      </x:c>
      <x:c r="C5" s="13" t="str">
        <x:v>needs_source</x:v>
      </x:c>
      <x:c r="D5" s="13" t="str"/>
      <x:c r="E5" s="13" t="str">
        <x:v>dialogue</x:v>
      </x:c>
      <x:c r="F5" s="13" t="str"/>
      <x:c r="H5" t="str">
        <x:v>behavioural_economics</x:v>
      </x:c>
      <x:c r="I5" t="str">
        <x:v>operational</x:v>
      </x:c>
      <x:c r="J5" t="str">
        <x:v>operational_only</x:v>
      </x:c>
      <x:c r="K5" t="str">
        <x:v>deprecated</x:v>
      </x:c>
      <x:c r="L5"/>
      <x:c r="M5"/>
      <x:c r="N5"/>
      <x:c r="O5" t="str">
        <x:v>insufficient_evidence</x:v>
      </x:c>
    </x:row>
    <x:row r="6">
      <x:c r="A6" s="13" t="str"/>
      <x:c r="B6" s="13" t="str"/>
      <x:c r="C6" s="13" t="str">
        <x:v>source_disputed</x:v>
      </x:c>
      <x:c r="D6" s="13" t="str"/>
      <x:c r="E6" s="13" t="str">
        <x:v>formal</x:v>
      </x:c>
      <x:c r="F6" s="13" t="str"/>
      <x:c r="H6" t="str">
        <x:v>statistical_reasoning</x:v>
      </x:c>
      <x:c r="I6" t="str">
        <x:v>deprecated</x:v>
      </x:c>
      <x:c r="J6"/>
      <x:c r="K6" t="str">
        <x:v>suppression_only</x:v>
      </x:c>
      <x:c r="L6"/>
      <x:c r="M6"/>
      <x:c r="N6"/>
      <x:c r="O6" t="str">
        <x:v>unclear</x:v>
      </x:c>
    </x:row>
    <x:row r="7">
      <x:c r="H7" t="str">
        <x:v>causal_reasoning</x:v>
      </x:c>
      <x:c r="I7"/>
      <x:c r="J7"/>
      <x:c r="K7" t="str">
        <x:v>needs_source</x:v>
      </x:c>
      <x:c r="L7"/>
      <x:c r="M7"/>
      <x:c r="N7"/>
      <x:c r="O7"/>
    </x:row>
    <x:row r="8">
      <x:c r="H8" t="str">
        <x:v>rhetoric_discourse</x:v>
      </x:c>
      <x:c r="I8"/>
      <x:c r="J8"/>
      <x:c r="K8" t="str">
        <x:v>needs_examples</x:v>
      </x:c>
      <x:c r="L8"/>
      <x:c r="M8"/>
      <x:c r="N8"/>
      <x:c r="O8"/>
    </x:row>
    <x:row r="9">
      <x:c r="H9" t="str">
        <x:v>social_influence</x:v>
      </x:c>
      <x:c r="I9"/>
      <x:c r="J9"/>
      <x:c r="K9" t="str">
        <x:v>needs_false_positive_review</x:v>
      </x:c>
      <x:c r="L9"/>
      <x:c r="M9"/>
      <x:c r="N9"/>
      <x:c r="O9"/>
    </x:row>
    <x:row r="10">
      <x:c r="H10" t="str">
        <x:v>healthy_reasoning_patterns</x:v>
      </x:c>
      <x:c r="I10"/>
      <x:c r="J10"/>
      <x:c r="K10"/>
      <x:c r="L10"/>
      <x:c r="M10"/>
      <x:c r="N10"/>
      <x:c r="O10"/>
    </x:row>
    <x:row r="11">
      <x:c r="H11" t="str">
        <x:v>experimental_operational_patterns</x:v>
      </x:c>
      <x:c r="I11"/>
      <x:c r="J11"/>
      <x:c r="K11"/>
      <x:c r="L11"/>
      <x:c r="M11"/>
      <x:c r="N11"/>
      <x:c r="O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6" t="str">
        <x:v>section</x:v>
      </x:c>
      <x:c r="B1" s="6" t="str">
        <x:v>note</x:v>
      </x:c>
    </x:row>
    <x:row r="2">
      <x:c r="A2" s="13" t="str">
        <x:v>Use this workbook as a living artifact</x:v>
      </x:c>
      <x:c r="B2" s="13" t="str">
        <x:v>Do not enable all 1100 rows. Start with P0 core rows, validate with examples and hard negatives, then gradually promote P1/P2 candidates.</x:v>
      </x:c>
    </x:row>
    <x:row r="3">
      <x:c r="A3" s="13" t="str">
        <x:v>Why 1100 rows</x:v>
      </x:c>
      <x:c r="B3" s="13" t="str">
        <x:v>The workbook contains parent concepts and operational subtypes. Many rows are not standalone named biases; they are candidate detection rows derived from established families.</x:v>
      </x:c>
    </x:row>
    <x:row r="4">
      <x:c r="A4" s="13" t="str">
        <x:v>Next manual tasks</x:v>
      </x:c>
      <x:c r="B4" s="13" t="str">
        <x:v>Add two positive examples, two negative examples, and one false-positive guard for each P0/P1 row.</x:v>
      </x:c>
    </x:row>
    <x:row r="5">
      <x:c r="A5" s="13" t="str">
        <x:v>Recommended first implementation</x:v>
      </x:c>
      <x:c r="B5" s="13" t="str">
        <x:v>Implement only canonical rows for straw man, ad hominem, false dilemma, slippery slope, hasty generalization, cherry picking, base-rate neglect, confirmation bias, anchoring, framing, loss aversion, sunk cost, social proof, authority bias, overclaiming certainty, and uncertainty acknowledgement.</x:v>
      </x:c>
    </x:row>
    <x:row r="6">
      <x:c r="A6" s="13" t="str">
        <x:v>Academic caution</x:v>
      </x:c>
      <x:c r="B6" s="13" t="str">
        <x:v>Fallacy and bias labels are context-sensitive. The same argumentation scheme may be reasonable in one context and weak in another.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8" t="str">
        <x:v>Argument-Risk-Engine Workbook Upgrade</x:v>
      </x:c>
      <x:c r="B1" s="28" t="str"/>
      <x:c r="C1" s="28" t="str"/>
      <x:c r="D1" s="28" t="str"/>
      <x:c r="E1" s="28" t="str"/>
      <x:c r="F1" s="28" t="str"/>
    </x:row>
    <x:row r="2">
      <x:c r="A2" s="12" t="str">
        <x:v>Purpose</x:v>
      </x:c>
      <x:c r="B2" s="12" t="str">
        <x:v>Make the workbook suitable for a taxonomy-first, React + FastAPI, configurable-model implementation.</x:v>
      </x:c>
      <x:c r="C2" s="12" t="str"/>
      <x:c r="D2" s="12" t="str"/>
      <x:c r="E2" s="12" t="str"/>
      <x:c r="F2" s="12" t="str"/>
    </x:row>
    <x:row r="3">
      <x:c r="A3" s="12" t="str">
        <x:v>Core principle</x:v>
      </x:c>
      <x:c r="B3" s="12" t="str">
        <x:v>A large taxonomy increases coverage, not automatic certainty. Only reviewed and activated entries should be used for classification.</x:v>
      </x:c>
      <x:c r="C3" s="12" t="str"/>
      <x:c r="D3" s="12" t="str"/>
      <x:c r="E3" s="12" t="str"/>
      <x:c r="F3" s="12" t="str"/>
    </x:row>
    <x:row r="4">
      <x:c r="A4" s="12" t="str">
        <x:v>Safety boundary</x:v>
      </x:c>
      <x:c r="B4" s="12" t="str">
        <x:v>The system must not claim truth detection, moral judgement, personality inference, psychological diagnosis, or author-level bias detection.</x:v>
      </x:c>
      <x:c r="C4" s="12" t="str"/>
      <x:c r="D4" s="12" t="str"/>
      <x:c r="E4" s="12" t="str"/>
      <x:c r="F4" s="12" t="str"/>
    </x:row>
    <x:row r="5">
      <x:c r="A5" s="12" t="str">
        <x:v>Recommended MVP strategy</x:v>
      </x:c>
      <x:c r="B5" s="12" t="str">
        <x:v>Use deterministic_baseline by default; allow optional local/paid OpenAI-compatible providers from Model Settings.</x:v>
      </x:c>
      <x:c r="C5" s="12" t="str"/>
      <x:c r="D5" s="12" t="str"/>
      <x:c r="E5" s="12" t="str"/>
      <x:c r="F5" s="12" t="str"/>
    </x:row>
    <x:row r="6">
      <x:c r="A6" s="12" t="str">
        <x:v>Workbook role in Codex prompts</x:v>
      </x:c>
      <x:c r="B6" s="12" t="str">
        <x:v>Codex should treat this workbook as the taxonomy source-of-truth and implement import/export/validation around it.</x:v>
      </x:c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33" t="str">
        <x:v>What changed</x:v>
      </x:c>
      <x:c r="B8" s="33" t="str">
        <x:v>Details</x:v>
      </x:c>
      <x:c r="C8" s="33" t="str">
        <x:v>Codex impact</x:v>
      </x:c>
      <x:c r="D8" s="33" t="str">
        <x:v>Priority</x:v>
      </x:c>
      <x:c r="E8" s="33" t="str">
        <x:v>Status</x:v>
      </x:c>
      <x:c r="F8" s="33" t="str">
        <x:v>Notes</x:v>
      </x:c>
    </x:row>
    <x:row r="9">
      <x:c r="A9" s="12" t="str">
        <x:v>Added v2 columns to Taxonomy_Master</x:v>
      </x:c>
      <x:c r="B9" s="12" t="str">
        <x:v>pack_v2, academic_status_v2, activation_status, enabled_for_retrieval, enabled_for_classification, false_positive_sensitivity, quality flags</x:v>
      </x:c>
      <x:c r="C9" s="12" t="str">
        <x:v>Importer must map and validate these columns.</x:v>
      </x:c>
      <x:c r="D9" s="12" t="str">
        <x:v>P0</x:v>
      </x:c>
      <x:c r="E9" s="12" t="str">
        <x:v>done</x:v>
      </x:c>
      <x:c r="F9" s="12" t="str">
        <x:v>Formulas generate conservative defaults.</x:v>
      </x:c>
    </x:row>
    <x:row r="10">
      <x:c r="A10" s="12" t="str">
        <x:v>Added Model_Provider_Profiles</x:v>
      </x:c>
      <x:c r="B10" s="12" t="str">
        <x:v>Local and paid provider profiles: deterministic, LM Studio, Ollama, OpenAI-compatible remote, custom</x:v>
      </x:c>
      <x:c r="C10" s="12" t="str">
        <x:v>Backend must read secrets from env; dashboard must not store raw API keys.</x:v>
      </x:c>
      <x:c r="D10" s="12" t="str">
        <x:v>P0</x:v>
      </x:c>
      <x:c r="E10" s="12" t="str">
        <x:v>done</x:v>
      </x:c>
      <x:c r="F10" s="12" t="str">
        <x:v>Use provider registry.</x:v>
      </x:c>
    </x:row>
    <x:row r="11">
      <x:c r="A11" s="12" t="str">
        <x:v>Added Taxonomy_Packs</x:v>
      </x:c>
      <x:c r="B11" s="12" t="str">
        <x:v>Pack-based taxonomy design for large taxonomy management</x:v>
      </x:c>
      <x:c r="C11" s="12" t="str">
        <x:v>Analyzer must load only active classification entries by default.</x:v>
      </x:c>
      <x:c r="D11" s="12" t="str">
        <x:v>P0</x:v>
      </x:c>
      <x:c r="E11" s="12" t="str">
        <x:v>done</x:v>
      </x:c>
      <x:c r="F11" s="12" t="str">
        <x:v>Backlog can be huge without over-classifying.</x:v>
      </x:c>
    </x:row>
    <x:row r="12">
      <x:c r="A12" s="12" t="str">
        <x:v>Added Activation_Workflow</x:v>
      </x:c>
      <x:c r="B12" s="12" t="str">
        <x:v>Candidate to active lifecycle</x:v>
      </x:c>
      <x:c r="C12" s="12" t="str">
        <x:v>Dashboard workbench must support activation review.</x:v>
      </x:c>
      <x:c r="D12" s="12" t="str">
        <x:v>P0</x:v>
      </x:c>
      <x:c r="E12" s="12" t="str">
        <x:v>done</x:v>
      </x:c>
      <x:c r="F12" s="12" t="str">
        <x:v>Avoid enabling high-FP entries by default.</x:v>
      </x:c>
    </x:row>
    <x:row r="13">
      <x:c r="A13" s="12" t="str">
        <x:v>Added API_Settings_Spec</x:v>
      </x:c>
      <x:c r="B13" s="12" t="str">
        <x:v>Settings endpoints and dashboard fields</x:v>
      </x:c>
      <x:c r="C13" s="12" t="str">
        <x:v>Implement /settings/model-providers and active provider selection.</x:v>
      </x:c>
      <x:c r="D13" s="12" t="str">
        <x:v>P1</x:v>
      </x:c>
      <x:c r="E13" s="12" t="str">
        <x:v>done</x:v>
      </x:c>
      <x:c r="F13" s="12" t="str">
        <x:v>Useful for LM Studio/Ollama/paid APIs.</x:v>
      </x:c>
    </x:row>
    <x:row r="14">
      <x:c r="A14" s="12" t="str">
        <x:v>Added Prompt_Addendum</x:v>
      </x:c>
      <x:c r="B14" s="12" t="str">
        <x:v>Ready-to-paste Codex additions</x:v>
      </x:c>
      <x:c r="C14" s="12" t="str">
        <x:v>Integrate with 10-prompt plan.</x:v>
      </x:c>
      <x:c r="D14" s="12" t="str">
        <x:v>P0</x:v>
      </x:c>
      <x:c r="E14" s="12" t="str">
        <x:v>done</x:v>
      </x:c>
      <x:c r="F14" s="12" t="str">
        <x:v>Use after Prompt 2 and before frontend prompts.</x:v>
      </x:c>
    </x:row>
    <x:row r="15">
      <x:c r="A15" s="12" t="str">
        <x:v>Added Quality_Audit</x:v>
      </x:c>
      <x:c r="B15" s="12" t="str">
        <x:v>Workbook-level audit checks</x:v>
      </x:c>
      <x:c r="C15" s="12" t="str">
        <x:v>Implement quality report endpoint and UI.</x:v>
      </x:c>
      <x:c r="D15" s="12" t="str">
        <x:v>P0</x:v>
      </x:c>
      <x:c r="E15" s="12" t="str">
        <x:v>done</x:v>
      </x:c>
      <x:c r="F15" s="12" t="str">
        <x:v>Quality audit drives review process.</x:v>
      </x:c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0" hidden="0" customWidth="1"/>
  </x:cols>
  <x:sheetData>
    <x:row r="1" ht="30" customHeight="1">
      <x:c r="A1" s="28" t="str">
        <x:v>provider_id</x:v>
      </x:c>
      <x:c r="B1" s="28" t="str">
        <x:v>label</x:v>
      </x:c>
      <x:c r="C1" s="28" t="str">
        <x:v>provider_type</x:v>
      </x:c>
      <x:c r="D1" s="28" t="str">
        <x:v>base_url</x:v>
      </x:c>
      <x:c r="E1" s="28" t="str">
        <x:v>api_key_env_var</x:v>
      </x:c>
      <x:c r="F1" s="28" t="str">
        <x:v>default_model</x:v>
      </x:c>
      <x:c r="G1" s="28" t="str">
        <x:v>timeout_seconds</x:v>
      </x:c>
      <x:c r="H1" s="28" t="str">
        <x:v>max_tokens</x:v>
      </x:c>
      <x:c r="I1" s="28" t="str">
        <x:v>temperature</x:v>
      </x:c>
      <x:c r="J1" s="28" t="str">
        <x:v>supports_json_mode</x:v>
      </x:c>
      <x:c r="K1" s="28" t="str">
        <x:v>supports_streaming</x:v>
      </x:c>
      <x:c r="L1" s="28" t="str">
        <x:v>enabled_default</x:v>
      </x:c>
      <x:c r="M1" s="28" t="str">
        <x:v>security_note</x:v>
      </x:c>
    </x:row>
    <x:row r="2">
      <x:c r="A2" s="12" t="str">
        <x:v>deterministic_baseline</x:v>
      </x:c>
      <x:c r="B2" s="12" t="str">
        <x:v>Deterministic Baseline</x:v>
      </x:c>
      <x:c r="C2" s="12" t="str">
        <x:v>deterministic</x:v>
      </x:c>
      <x:c r="D2" s="12" t="str"/>
      <x:c r="E2" s="12" t="str"/>
      <x:c r="F2" s="12" t="str"/>
      <x:c r="G2" s="12" t="n">
        <x:v>30</x:v>
      </x:c>
      <x:c r="H2" s="12" t="n">
        <x:v>0</x:v>
      </x:c>
      <x:c r="I2" s="12" t="n">
        <x:v>0</x:v>
      </x:c>
      <x:c r="J2" s="12" t="str">
        <x:v>n/a</x:v>
      </x:c>
      <x:c r="K2" s="12" t="str">
        <x:v>n/a</x:v>
      </x:c>
      <x:c r="L2" s="12" t="str">
        <x:v>yes</x:v>
      </x:c>
      <x:c r="M2" s="12" t="str">
        <x:v>No API key required; must always work offline.</x:v>
      </x:c>
    </x:row>
    <x:row r="3">
      <x:c r="A3" s="12" t="str">
        <x:v>lm_studio_local</x:v>
      </x:c>
      <x:c r="B3" s="12" t="str">
        <x:v>LM Studio Local</x:v>
      </x:c>
      <x:c r="C3" s="12" t="str">
        <x:v>openai_compatible</x:v>
      </x:c>
      <x:c r="D3" s="12" t="str">
        <x:v>http://localhost:1234/v1</x:v>
      </x:c>
      <x:c r="E3" s="12" t="str">
        <x:v>LM_STUDIO_API_KEY</x:v>
      </x:c>
      <x:c r="F3" s="12" t="str">
        <x:v>local-model</x:v>
      </x:c>
      <x:c r="G3" s="12" t="n">
        <x:v>60</x:v>
      </x:c>
      <x:c r="H3" s="12" t="n">
        <x:v>2048</x:v>
      </x:c>
      <x:c r="I3" s="12" t="n">
        <x:v>0</x:v>
      </x:c>
      <x:c r="J3" s="12" t="str">
        <x:v>unknown</x:v>
      </x:c>
      <x:c r="K3" s="12" t="str">
        <x:v>yes</x:v>
      </x:c>
      <x:c r="L3" s="12" t="str">
        <x:v>no</x:v>
      </x:c>
      <x:c r="M3" s="12" t="str">
        <x:v>Dashboard must not store raw key; local servers may accept dummy key.</x:v>
      </x:c>
    </x:row>
    <x:row r="4">
      <x:c r="A4" s="12" t="str">
        <x:v>ollama_local</x:v>
      </x:c>
      <x:c r="B4" s="12" t="str">
        <x:v>Ollama Local</x:v>
      </x:c>
      <x:c r="C4" s="12" t="str">
        <x:v>openai_compatible</x:v>
      </x:c>
      <x:c r="D4" s="12" t="str">
        <x:v>http://localhost:11434/v1</x:v>
      </x:c>
      <x:c r="E4" s="12" t="str">
        <x:v>OLLAMA_API_KEY</x:v>
      </x:c>
      <x:c r="F4" s="12" t="str">
        <x:v>qwen3:8b</x:v>
      </x:c>
      <x:c r="G4" s="12" t="n">
        <x:v>60</x:v>
      </x:c>
      <x:c r="H4" s="12" t="n">
        <x:v>2048</x:v>
      </x:c>
      <x:c r="I4" s="12" t="n">
        <x:v>0</x:v>
      </x:c>
      <x:c r="J4" s="12" t="str">
        <x:v>unknown</x:v>
      </x:c>
      <x:c r="K4" s="12" t="str">
        <x:v>yes</x:v>
      </x:c>
      <x:c r="L4" s="12" t="str">
        <x:v>no</x:v>
      </x:c>
      <x:c r="M4" s="12" t="str">
        <x:v>Use OpenAI-compatible endpoint; avoid assuming JSON mode.</x:v>
      </x:c>
    </x:row>
    <x:row r="5">
      <x:c r="A5" s="12" t="str">
        <x:v>openai_remote</x:v>
      </x:c>
      <x:c r="B5" s="12" t="str">
        <x:v>OpenAI Remote</x:v>
      </x:c>
      <x:c r="C5" s="12" t="str">
        <x:v>openai_compatible</x:v>
      </x:c>
      <x:c r="D5" s="12" t="str">
        <x:v>https://api.openai.com/v1</x:v>
      </x:c>
      <x:c r="E5" s="12" t="str">
        <x:v>OPENAI_API_KEY</x:v>
      </x:c>
      <x:c r="F5" s="12" t="str">
        <x:v>gpt-4.1-mini</x:v>
      </x:c>
      <x:c r="G5" s="12" t="n">
        <x:v>60</x:v>
      </x:c>
      <x:c r="H5" s="12" t="n">
        <x:v>2048</x:v>
      </x:c>
      <x:c r="I5" s="12" t="n">
        <x:v>0</x:v>
      </x:c>
      <x:c r="J5" s="12" t="str">
        <x:v>yes</x:v>
      </x:c>
      <x:c r="K5" s="12" t="str">
        <x:v>yes</x:v>
      </x:c>
      <x:c r="L5" s="12" t="str">
        <x:v>no</x:v>
      </x:c>
      <x:c r="M5" s="12" t="str">
        <x:v>Backend reads key from environment variable only.</x:v>
      </x:c>
    </x:row>
    <x:row r="6">
      <x:c r="A6" s="12" t="str">
        <x:v>openrouter_remote</x:v>
      </x:c>
      <x:c r="B6" s="12" t="str">
        <x:v>OpenRouter Remote</x:v>
      </x:c>
      <x:c r="C6" s="12" t="str">
        <x:v>openai_compatible</x:v>
      </x:c>
      <x:c r="D6" s="12" t="str">
        <x:v>https://openrouter.ai/api/v1</x:v>
      </x:c>
      <x:c r="E6" s="12" t="str">
        <x:v>OPENROUTER_API_KEY</x:v>
      </x:c>
      <x:c r="F6" s="12" t="str"/>
      <x:c r="G6" s="12" t="n">
        <x:v>60</x:v>
      </x:c>
      <x:c r="H6" s="12" t="n">
        <x:v>2048</x:v>
      </x:c>
      <x:c r="I6" s="12" t="n">
        <x:v>0</x:v>
      </x:c>
      <x:c r="J6" s="12" t="str">
        <x:v>model_dependent</x:v>
      </x:c>
      <x:c r="K6" s="12" t="str">
        <x:v>yes</x:v>
      </x:c>
      <x:c r="L6" s="12" t="str">
        <x:v>no</x:v>
      </x:c>
      <x:c r="M6" s="12" t="str">
        <x:v>Treat as OpenAI-compatible; do not hardcode model names.</x:v>
      </x:c>
    </x:row>
    <x:row r="7">
      <x:c r="A7" s="12" t="str">
        <x:v>custom_openai_compatible</x:v>
      </x:c>
      <x:c r="B7" s="12" t="str">
        <x:v>Custom OpenAI-Compatible</x:v>
      </x:c>
      <x:c r="C7" s="12" t="str">
        <x:v>openai_compatible</x:v>
      </x:c>
      <x:c r="D7" s="12" t="str"/>
      <x:c r="E7" s="12" t="str">
        <x:v>CUSTOM_LLM_API_KEY</x:v>
      </x:c>
      <x:c r="F7" s="12" t="str"/>
      <x:c r="G7" s="12" t="n">
        <x:v>60</x:v>
      </x:c>
      <x:c r="H7" s="12" t="n">
        <x:v>2048</x:v>
      </x:c>
      <x:c r="I7" s="12" t="n">
        <x:v>0</x:v>
      </x:c>
      <x:c r="J7" s="12" t="str">
        <x:v>unknown</x:v>
      </x:c>
      <x:c r="K7" s="12" t="str">
        <x:v>unknown</x:v>
      </x:c>
      <x:c r="L7" s="12" t="str">
        <x:v>no</x:v>
      </x:c>
      <x:c r="M7" s="12" t="str">
        <x:v>User-configurable base_url and model_name; never expose raw key.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28" t="str">
        <x:v>pack_id</x:v>
      </x:c>
      <x:c r="B1" s="28" t="str">
        <x:v>label</x:v>
      </x:c>
      <x:c r="C1" s="28" t="str">
        <x:v>default_loaded</x:v>
      </x:c>
      <x:c r="D1" s="28" t="str">
        <x:v>default_classification_enabled</x:v>
      </x:c>
      <x:c r="E1" s="28" t="str">
        <x:v>purpose</x:v>
      </x:c>
      <x:c r="F1" s="28" t="str">
        <x:v>examples</x:v>
      </x:c>
      <x:c r="G1" s="28" t="str">
        <x:v>false_positive_policy</x:v>
      </x:c>
      <x:c r="H1" s="28" t="str">
        <x:v>recommended_prompt_stage</x:v>
      </x:c>
      <x:c r="I1" s="28" t="str">
        <x:v>notes</x:v>
      </x:c>
      <x:c r="J1" s="28" t="str">
        <x:v>version</x:v>
      </x:c>
    </x:row>
    <x:row r="2">
      <x:c r="A2" s="12" t="str">
        <x:v>core_mvp</x:v>
      </x:c>
      <x:c r="B2" s="12" t="str">
        <x:v>Core MVP</x:v>
      </x:c>
      <x:c r="C2" s="12" t="str">
        <x:v>yes</x:v>
      </x:c>
      <x:c r="D2" s="12" t="str">
        <x:v>yes</x:v>
      </x:c>
      <x:c r="E2" s="12" t="str">
        <x:v>Small conservative set for first runnable analyzer</x:v>
      </x:c>
      <x:c r="F2" s="12" t="str">
        <x:v>straw man, false dilemma, hasty generalization, correlation-causation confusion</x:v>
      </x:c>
      <x:c r="G2" s="12" t="str">
        <x:v>strict evidence span required</x:v>
      </x:c>
      <x:c r="H2" s="12" t="str">
        <x:v>Prompt 2/7</x:v>
      </x:c>
      <x:c r="I2" s="12" t="str">
        <x:v>Keep small enough to test manually.</x:v>
      </x:c>
      <x:c r="J2" s="12" t="str">
        <x:v>0.2.0</x:v>
      </x:c>
    </x:row>
    <x:row r="3">
      <x:c r="A3" s="12" t="str">
        <x:v>extended_fallacies</x:v>
      </x:c>
      <x:c r="B3" s="12" t="str">
        <x:v>Extended Fallacies</x:v>
      </x:c>
      <x:c r="C3" s="12" t="str">
        <x:v>yes</x:v>
      </x:c>
      <x:c r="D3" s="12" t="str">
        <x:v>no</x:v>
      </x:c>
      <x:c r="E3" s="12" t="str">
        <x:v>Broader fallacy catalogue and subtypes</x:v>
      </x:c>
      <x:c r="F3" s="12" t="str">
        <x:v>appeals, ambiguity, relevance, presumption, induction failures</x:v>
      </x:c>
      <x:c r="G3" s="12" t="str">
        <x:v>retrieval-only until reviewed</x:v>
      </x:c>
      <x:c r="H3" s="12" t="str">
        <x:v>Prompt 2/Taxonomy Workbench</x:v>
      </x:c>
      <x:c r="I3" s="12" t="str">
        <x:v>Do not activate all at once.</x:v>
      </x:c>
      <x:c r="J3" s="12" t="str">
        <x:v>0.2.0</x:v>
      </x:c>
    </x:row>
    <x:row r="4">
      <x:c r="A4" s="12" t="str">
        <x:v>cognitive_biases</x:v>
      </x:c>
      <x:c r="B4" s="12" t="str">
        <x:v>Cognitive Biases</x:v>
      </x:c>
      <x:c r="C4" s="12" t="str">
        <x:v>yes</x:v>
      </x:c>
      <x:c r="D4" s="12" t="str">
        <x:v>no</x:v>
      </x:c>
      <x:c r="E4" s="12" t="str">
        <x:v>Heuristics and biases relevant to text-level claims</x:v>
      </x:c>
      <x:c r="F4" s="12" t="str">
        <x:v>confirmation, availability, anchoring, base-rate neglect</x:v>
      </x:c>
      <x:c r="G4" s="12" t="str">
        <x:v>avoid person-level diagnosis</x:v>
      </x:c>
      <x:c r="H4" s="12" t="str">
        <x:v>Prompt 2</x:v>
      </x:c>
      <x:c r="I4" s="12" t="str">
        <x:v>Usually contextual; not all suitable for sentence-level detection.</x:v>
      </x:c>
      <x:c r="J4" s="12" t="str">
        <x:v>0.2.0</x:v>
      </x:c>
    </x:row>
    <x:row r="5">
      <x:c r="A5" s="12" t="str">
        <x:v>behavioural_economics</x:v>
      </x:c>
      <x:c r="B5" s="12" t="str">
        <x:v>Behavioural Economics</x:v>
      </x:c>
      <x:c r="C5" s="12" t="str">
        <x:v>yes</x:v>
      </x:c>
      <x:c r="D5" s="12" t="str">
        <x:v>no</x:v>
      </x:c>
      <x:c r="E5" s="12" t="str">
        <x:v>Choice framing, reference dependence, defaults, loss aversion</x:v>
      </x:c>
      <x:c r="F5" s="12" t="str">
        <x:v>loss aversion framing, status quo, sunk cost</x:v>
      </x:c>
      <x:c r="G5" s="12" t="str">
        <x:v>only detect framing patterns, not actual internal preferences</x:v>
      </x:c>
      <x:c r="H5" s="12" t="str">
        <x:v>Prompt 2</x:v>
      </x:c>
      <x:c r="I5" s="12" t="str">
        <x:v>Useful for decision text and product/policy claims.</x:v>
      </x:c>
      <x:c r="J5" s="12" t="str">
        <x:v>0.2.0</x:v>
      </x:c>
    </x:row>
    <x:row r="6">
      <x:c r="A6" s="12" t="str">
        <x:v>statistical_reasoning</x:v>
      </x:c>
      <x:c r="B6" s="12" t="str">
        <x:v>Statistical Reasoning</x:v>
      </x:c>
      <x:c r="C6" s="12" t="str">
        <x:v>yes</x:v>
      </x:c>
      <x:c r="D6" s="12" t="str">
        <x:v>no</x:v>
      </x:c>
      <x:c r="E6" s="12" t="str">
        <x:v>Common statistical interpretation failures</x:v>
      </x:c>
      <x:c r="F6" s="12" t="str">
        <x:v>base-rate neglect, small sample, regression to mean</x:v>
      </x:c>
      <x:c r="G6" s="12" t="str">
        <x:v>requires explicit statistical or evidence language</x:v>
      </x:c>
      <x:c r="H6" s="12" t="str">
        <x:v>Prompt 4/5</x:v>
      </x:c>
      <x:c r="I6" s="12" t="str">
        <x:v>High educational value for dashboard.</x:v>
      </x:c>
      <x:c r="J6" s="12" t="str">
        <x:v>0.2.0</x:v>
      </x:c>
    </x:row>
    <x:row r="7">
      <x:c r="A7" s="12" t="str">
        <x:v>causal_reasoning</x:v>
      </x:c>
      <x:c r="B7" s="12" t="str">
        <x:v>Causal Reasoning</x:v>
      </x:c>
      <x:c r="C7" s="12" t="str">
        <x:v>yes</x:v>
      </x:c>
      <x:c r="D7" s="12" t="str">
        <x:v>no</x:v>
      </x:c>
      <x:c r="E7" s="12" t="str">
        <x:v>Causal inference and causal language risks</x:v>
      </x:c>
      <x:c r="F7" s="12" t="str">
        <x:v>post hoc, omitted variable, reverse causality</x:v>
      </x:c>
      <x:c r="G7" s="12" t="str">
        <x:v>requires causal markers and evidence gap</x:v>
      </x:c>
      <x:c r="H7" s="12" t="str">
        <x:v>Prompt 4/5</x:v>
      </x:c>
      <x:c r="I7" s="12" t="str">
        <x:v>Good for practical analyzer examples.</x:v>
      </x:c>
      <x:c r="J7" s="12" t="str">
        <x:v>0.2.0</x:v>
      </x:c>
    </x:row>
    <x:row r="8">
      <x:c r="A8" s="12" t="str">
        <x:v>rhetoric_discourse</x:v>
      </x:c>
      <x:c r="B8" s="12" t="str">
        <x:v>Rhetoric and Discourse</x:v>
      </x:c>
      <x:c r="C8" s="12" t="str">
        <x:v>yes</x:v>
      </x:c>
      <x:c r="D8" s="12" t="str">
        <x:v>no</x:v>
      </x:c>
      <x:c r="E8" s="12" t="str">
        <x:v>Dialogue-level and discourse-level patterns</x:v>
      </x:c>
      <x:c r="F8" s="12" t="str">
        <x:v>red herring, loaded question, topic derailment</x:v>
      </x:c>
      <x:c r="G8" s="12" t="str">
        <x:v>usually requires context beyond single sentence</x:v>
      </x:c>
      <x:c r="H8" s="12" t="str">
        <x:v>Prompt 5/7</x:v>
      </x:c>
      <x:c r="I8" s="12" t="str">
        <x:v>Mark needs_human_review by default.</x:v>
      </x:c>
      <x:c r="J8" s="12" t="str">
        <x:v>0.2.0</x:v>
      </x:c>
    </x:row>
    <x:row r="9">
      <x:c r="A9" s="12" t="str">
        <x:v>social_influence</x:v>
      </x:c>
      <x:c r="B9" s="12" t="str">
        <x:v>Social Influence</x:v>
      </x:c>
      <x:c r="C9" s="12" t="str">
        <x:v>yes</x:v>
      </x:c>
      <x:c r="D9" s="12" t="str">
        <x:v>no</x:v>
      </x:c>
      <x:c r="E9" s="12" t="str">
        <x:v>Persuasion and compliance patterns</x:v>
      </x:c>
      <x:c r="F9" s="12" t="str">
        <x:v>authority, scarcity, social proof, liking</x:v>
      </x:c>
      <x:c r="G9" s="12" t="str">
        <x:v>not moralized; classify argument use only</x:v>
      </x:c>
      <x:c r="H9" s="12" t="str">
        <x:v>Model Settings/Analyzer</x:v>
      </x:c>
      <x:c r="I9" s="12" t="str">
        <x:v>Useful for marketing/consumer examples.</x:v>
      </x:c>
      <x:c r="J9" s="12" t="str">
        <x:v>0.2.0</x:v>
      </x:c>
    </x:row>
    <x:row r="10">
      <x:c r="A10" s="12" t="str">
        <x:v>healthy_reasoning_patterns</x:v>
      </x:c>
      <x:c r="B10" s="12" t="str">
        <x:v>Healthy Reasoning Patterns</x:v>
      </x:c>
      <x:c r="C10" s="12" t="str">
        <x:v>yes</x:v>
      </x:c>
      <x:c r="D10" s="12" t="str">
        <x:v>suppression_only</x:v>
      </x:c>
      <x:c r="E10" s="12" t="str">
        <x:v>Patterns that reduce false positives</x:v>
      </x:c>
      <x:c r="F10" s="12" t="str">
        <x:v>uncertainty, scope limitation, counterexample acknowledgement</x:v>
      </x:c>
      <x:c r="G10" s="12" t="str">
        <x:v>never output as risk</x:v>
      </x:c>
      <x:c r="H10" s="12" t="str">
        <x:v>Prompt 5/7</x:v>
      </x:c>
      <x:c r="I10" s="12" t="str">
        <x:v>Use as suppressors/positive evidence.</x:v>
      </x:c>
      <x:c r="J10" s="12" t="str">
        <x:v>0.2.0</x:v>
      </x:c>
    </x:row>
    <x:row r="11">
      <x:c r="A11" s="12" t="str">
        <x:v>experimental_operational_patterns</x:v>
      </x:c>
      <x:c r="B11" s="12" t="str">
        <x:v>Experimental Operational Patterns</x:v>
      </x:c>
      <x:c r="C11" s="12" t="str">
        <x:v>no</x:v>
      </x:c>
      <x:c r="D11" s="12" t="str">
        <x:v>no</x:v>
      </x:c>
      <x:c r="E11" s="12" t="str">
        <x:v>Engine-specific hypotheses or detection aids</x:v>
      </x:c>
      <x:c r="F11" s="12" t="str">
        <x:v>over-claiming, unsupported certainty, vague quantifier stacking</x:v>
      </x:c>
      <x:c r="G11" s="12" t="str">
        <x:v>must be marked operational_only</x:v>
      </x:c>
      <x:c r="H11" s="12" t="str">
        <x:v>Backlog</x:v>
      </x:c>
      <x:c r="I11" s="12" t="str">
        <x:v>Do not present as established academic constructs.</x:v>
      </x:c>
      <x:c r="J11" s="12" t="str">
        <x:v>0.2.0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28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28" t="str">
        <x:v>activation_status</x:v>
      </x:c>
      <x:c r="B1" s="28" t="str">
        <x:v>meaning</x:v>
      </x:c>
      <x:c r="C1" s="28" t="str">
        <x:v>can_retrieve</x:v>
      </x:c>
      <x:c r="D1" s="28" t="str">
        <x:v>can_classify</x:v>
      </x:c>
      <x:c r="E1" s="28" t="str">
        <x:v>required_fields</x:v>
      </x:c>
      <x:c r="F1" s="28" t="str">
        <x:v>human_review_required</x:v>
      </x:c>
      <x:c r="G1" s="28" t="str">
        <x:v>dashboard_action</x:v>
      </x:c>
      <x:c r="H1" s="28" t="str">
        <x:v>notes</x:v>
      </x:c>
    </x:row>
    <x:row r="2">
      <x:c r="A2" s="12" t="str">
        <x:v>candidate</x:v>
      </x:c>
      <x:c r="B2" s="12" t="str">
        <x:v>Raw or newly imported item; not ready for use</x:v>
      </x:c>
      <x:c r="C2" s="12" t="str">
        <x:v>no</x:v>
      </x:c>
      <x:c r="D2" s="12" t="str">
        <x:v>no</x:v>
      </x:c>
      <x:c r="E2" s="12" t="str">
        <x:v>id, name, category, draft definition</x:v>
      </x:c>
      <x:c r="F2" s="12" t="str">
        <x:v>yes</x:v>
      </x:c>
      <x:c r="G2" s="12" t="str">
        <x:v>Send to backlog</x:v>
      </x:c>
      <x:c r="H2" s="12" t="str">
        <x:v>No analyzer output.</x:v>
      </x:c>
    </x:row>
    <x:row r="3">
      <x:c r="A3" s="12" t="str">
        <x:v>needs_source</x:v>
      </x:c>
      <x:c r="B3" s="12" t="str">
        <x:v>Concept lacks source support</x:v>
      </x:c>
      <x:c r="C3" s="12" t="str">
        <x:v>no</x:v>
      </x:c>
      <x:c r="D3" s="12" t="str">
        <x:v>no</x:v>
      </x:c>
      <x:c r="E3" s="12" t="str">
        <x:v>source_refs</x:v>
      </x:c>
      <x:c r="F3" s="12" t="str">
        <x:v>yes</x:v>
      </x:c>
      <x:c r="G3" s="12" t="str">
        <x:v>Add source</x:v>
      </x:c>
      <x:c r="H3" s="12" t="str">
        <x:v>Cannot be canonical.</x:v>
      </x:c>
    </x:row>
    <x:row r="4">
      <x:c r="A4" s="12" t="str">
        <x:v>needs_examples</x:v>
      </x:c>
      <x:c r="B4" s="12" t="str">
        <x:v>Needs positive and negative examples</x:v>
      </x:c>
      <x:c r="C4" s="12" t="str">
        <x:v>yes</x:v>
      </x:c>
      <x:c r="D4" s="12" t="str">
        <x:v>no</x:v>
      </x:c>
      <x:c r="E4" s="12" t="str">
        <x:v>positive_examples, negative_examples</x:v>
      </x:c>
      <x:c r="F4" s="12" t="str">
        <x:v>yes</x:v>
      </x:c>
      <x:c r="G4" s="12" t="str">
        <x:v>Add examples</x:v>
      </x:c>
      <x:c r="H4" s="12" t="str">
        <x:v>Good for taxonomy browser only.</x:v>
      </x:c>
    </x:row>
    <x:row r="5">
      <x:c r="A5" s="12" t="str">
        <x:v>needs_false_positive_review</x:v>
      </x:c>
      <x:c r="B5" s="12" t="str">
        <x:v>Likely to over-label without guardrails</x:v>
      </x:c>
      <x:c r="C5" s="12" t="str">
        <x:v>yes</x:v>
      </x:c>
      <x:c r="D5" s="12" t="str">
        <x:v>no</x:v>
      </x:c>
      <x:c r="E5" s="12" t="str">
        <x:v>exclusion_criteria, false_positive_guard</x:v>
      </x:c>
      <x:c r="F5" s="12" t="str">
        <x:v>yes</x:v>
      </x:c>
      <x:c r="G5" s="12" t="str">
        <x:v>Review guardrails</x:v>
      </x:c>
      <x:c r="H5" s="12" t="str">
        <x:v>Common for broad cognitive bias labels.</x:v>
      </x:c>
    </x:row>
    <x:row r="6">
      <x:c r="A6" s="12" t="str">
        <x:v>review_required</x:v>
      </x:c>
      <x:c r="B6" s="12" t="str">
        <x:v>Candidate can be retrieved but not final-classified</x:v>
      </x:c>
      <x:c r="C6" s="12" t="str">
        <x:v>yes</x:v>
      </x:c>
      <x:c r="D6" s="12" t="str">
        <x:v>no</x:v>
      </x:c>
      <x:c r="E6" s="12" t="str">
        <x:v>minimum evidence, examples, source refs</x:v>
      </x:c>
      <x:c r="F6" s="12" t="str">
        <x:v>yes</x:v>
      </x:c>
      <x:c r="G6" s="12" t="str">
        <x:v>Reviewer decision</x:v>
      </x:c>
      <x:c r="H6" s="12" t="str">
        <x:v>Useful as candidate suggestions.</x:v>
      </x:c>
    </x:row>
    <x:row r="7">
      <x:c r="A7" s="12" t="str">
        <x:v>active</x:v>
      </x:c>
      <x:c r="B7" s="12" t="str">
        <x:v>Reviewed enough for conservative classification</x:v>
      </x:c>
      <x:c r="C7" s="12" t="str">
        <x:v>yes</x:v>
      </x:c>
      <x:c r="D7" s="12" t="str">
        <x:v>yes</x:v>
      </x:c>
      <x:c r="E7" s="12" t="str">
        <x:v>all MVP fields complete</x:v>
      </x:c>
      <x:c r="F7" s="12" t="str">
        <x:v>yes for high FP sensitivity</x:v>
      </x:c>
      <x:c r="G7" s="12" t="str">
        <x:v>Activate</x:v>
      </x:c>
      <x:c r="H7" s="12" t="str">
        <x:v>Only active entries appear in final detected_risks.</x:v>
      </x:c>
    </x:row>
    <x:row r="8">
      <x:c r="A8" s="12" t="str">
        <x:v>suppression_only</x:v>
      </x:c>
      <x:c r="B8" s="12" t="str">
        <x:v>Healthy reasoning pattern; suppresses risk labels</x:v>
      </x:c>
      <x:c r="C8" s="12" t="str">
        <x:v>yes</x:v>
      </x:c>
      <x:c r="D8" s="12" t="str">
        <x:v>no</x:v>
      </x:c>
      <x:c r="E8" s="12" t="str">
        <x:v>signals, examples</x:v>
      </x:c>
      <x:c r="F8" s="12" t="str">
        <x:v>no</x:v>
      </x:c>
      <x:c r="G8" s="12" t="str">
        <x:v>Use as suppressor</x:v>
      </x:c>
      <x:c r="H8" s="12" t="str">
        <x:v>Never return as risk.</x:v>
      </x:c>
    </x:row>
    <x:row r="9">
      <x:c r="A9" s="12" t="str">
        <x:v>deprecated</x:v>
      </x:c>
      <x:c r="B9" s="12" t="str">
        <x:v>Merged or invalid entry</x:v>
      </x:c>
      <x:c r="C9" s="12" t="str">
        <x:v>no</x:v>
      </x:c>
      <x:c r="D9" s="12" t="str">
        <x:v>no</x:v>
      </x:c>
      <x:c r="E9" s="12" t="str">
        <x:v>deprecation note</x:v>
      </x:c>
      <x:c r="F9" s="12" t="str">
        <x:v>no</x:v>
      </x:c>
      <x:c r="G9" s="12" t="str">
        <x:v>Hide by default</x:v>
      </x:c>
      <x:c r="H9" s="12" t="str">
        <x:v>Keep for synonym/migration only.</x:v>
      </x:c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</x:row>
    <x:row r="11">
      <x:c r="A11" s="12" t="str">
        <x:v>Rule</x:v>
      </x:c>
      <x:c r="B11" s="12" t="str">
        <x:v>Implementation requirement</x:v>
      </x:c>
      <x:c r="C11" s="12" t="str"/>
      <x:c r="D11" s="12" t="str"/>
      <x:c r="E11" s="12" t="str"/>
      <x:c r="F11" s="12" t="str"/>
      <x:c r="G11" s="12" t="str"/>
      <x:c r="H11" s="12" t="str"/>
    </x:row>
    <x:row r="12">
      <x:c r="A12" s="12" t="str">
        <x:v>Large taxonomy rule</x:v>
      </x:c>
      <x:c r="B12" s="12" t="str">
        <x:v>Taxonomy size must not increase classifier aggressiveness. Use activation flags.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Evidence rule</x:v>
      </x:c>
      <x:c r="B13" s="12" t="str">
        <x:v>Final risk must include exact evidence span from text.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Source rule</x:v>
      </x:c>
      <x:c r="B14" s="12" t="str">
        <x:v>Canonical items require source_refs; operational items must not be marked canonical.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Healthy pattern rule</x:v>
      </x:c>
      <x:c r="B15" s="12" t="str">
        <x:v>Healthy reasoning patterns reduce risk scores and should be visible separately.</x:v>
      </x:c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>
        <x:v>Context rule</x:v>
      </x:c>
      <x:c r="B16" s="12" t="str">
        <x:v>Contextual/discourse entries cannot be high-scored from one isolated sentence.</x:v>
      </x:c>
      <x:c r="C16" s="12" t="str"/>
      <x:c r="D16" s="12" t="str"/>
      <x:c r="E16" s="12" t="str"/>
      <x:c r="F16" s="12" t="str"/>
      <x:c r="G16" s="12" t="str"/>
      <x:c r="H16" s="12" t="str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44" hidden="0" customWidth="1"/>
    <x:col min="5" max="5" width="44" hidden="0" customWidth="1"/>
    <x:col min="6" max="6" width="44" hidden="0" customWidth="1"/>
    <x:col min="7" max="7" width="26" hidden="0" customWidth="1"/>
    <x:col min="8" max="8" width="26" hidden="0" customWidth="1"/>
    <x:col min="9" max="9" width="26" hidden="0" customWidth="1"/>
    <x:col min="10" max="10" width="40" hidden="0" customWidth="1"/>
  </x:cols>
  <x:sheetData>
    <x:row r="1" ht="30" customHeight="1">
      <x:c r="A1" s="28" t="str">
        <x:v>endpoint</x:v>
      </x:c>
      <x:c r="B1" s="28" t="str">
        <x:v>method</x:v>
      </x:c>
      <x:c r="C1" s="28" t="str">
        <x:v>purpose</x:v>
      </x:c>
      <x:c r="D1" s="28" t="str">
        <x:v>request_fields</x:v>
      </x:c>
      <x:c r="E1" s="28" t="str">
        <x:v>response_fields</x:v>
      </x:c>
      <x:c r="F1" s="28" t="str">
        <x:v>security_rule</x:v>
      </x:c>
      <x:c r="G1" s="28" t="str">
        <x:v>frontend_component</x:v>
      </x:c>
      <x:c r="H1" s="28" t="str">
        <x:v>priority</x:v>
      </x:c>
      <x:c r="I1" s="28" t="str">
        <x:v>codex_prompt</x:v>
      </x:c>
      <x:c r="J1" s="28" t="str">
        <x:v>notes</x:v>
      </x:c>
    </x:row>
    <x:row r="2">
      <x:c r="A2" s="12" t="str">
        <x:v>/settings/model-providers</x:v>
      </x:c>
      <x:c r="B2" s="12" t="str">
        <x:v>GET</x:v>
      </x:c>
      <x:c r="C2" s="12" t="str">
        <x:v>List provider profiles</x:v>
      </x:c>
      <x:c r="D2" s="12" t="str"/>
      <x:c r="E2" s="12" t="str">
        <x:v>provider_id,label,type,status,model_name</x:v>
      </x:c>
      <x:c r="F2" s="12" t="str">
        <x:v>never return raw API keys</x:v>
      </x:c>
      <x:c r="G2" s="12" t="str">
        <x:v>ModelSettingsPage</x:v>
      </x:c>
      <x:c r="H2" s="12" t="str">
        <x:v>P0</x:v>
      </x:c>
      <x:c r="I2" s="12" t="str">
        <x:v>Add-on prompt 1</x:v>
      </x:c>
      <x:c r="J2" s="12" t="str">
        <x:v>Must include deterministic baseline.</x:v>
      </x:c>
    </x:row>
    <x:row r="3">
      <x:c r="A3" s="12" t="str">
        <x:v>/settings/model-providers</x:v>
      </x:c>
      <x:c r="B3" s="12" t="str">
        <x:v>POST</x:v>
      </x:c>
      <x:c r="C3" s="12" t="str">
        <x:v>Create/update provider profile</x:v>
      </x:c>
      <x:c r="D3" s="12" t="str">
        <x:v>provider_id, base_url, model_name, api_key_env_var, parameters</x:v>
      </x:c>
      <x:c r="E3" s="12" t="str">
        <x:v>created profile without secret value</x:v>
      </x:c>
      <x:c r="F3" s="12" t="str">
        <x:v>env var name only</x:v>
      </x:c>
      <x:c r="G3" s="12" t="str">
        <x:v>ModelParameterForm</x:v>
      </x:c>
      <x:c r="H3" s="12" t="str">
        <x:v>P1</x:v>
      </x:c>
      <x:c r="I3" s="12" t="str">
        <x:v>Add-on prompt 1</x:v>
      </x:c>
      <x:c r="J3" s="12" t="str">
        <x:v>Optional for MVP; PATCH enough.</x:v>
      </x:c>
    </x:row>
    <x:row r="4">
      <x:c r="A4" s="12" t="str">
        <x:v>/settings/model-providers/{provider_id}</x:v>
      </x:c>
      <x:c r="B4" s="12" t="str">
        <x:v>PATCH</x:v>
      </x:c>
      <x:c r="C4" s="12" t="str">
        <x:v>Update non-secret provider settings</x:v>
      </x:c>
      <x:c r="D4" s="12" t="str">
        <x:v>base_url, model_name, timeout, temperature</x:v>
      </x:c>
      <x:c r="E4" s="12" t="str">
        <x:v>updated provider</x:v>
      </x:c>
      <x:c r="F4" s="12" t="str">
        <x:v>no secrets in frontend</x:v>
      </x:c>
      <x:c r="G4" s="12" t="str">
        <x:v>ProviderProfileCard</x:v>
      </x:c>
      <x:c r="H4" s="12" t="str">
        <x:v>P1</x:v>
      </x:c>
      <x:c r="I4" s="12" t="str">
        <x:v>Add-on prompt 1</x:v>
      </x:c>
      <x:c r="J4" s="12" t="str">
        <x:v>Useful for local model config.</x:v>
      </x:c>
    </x:row>
    <x:row r="5">
      <x:c r="A5" s="12" t="str">
        <x:v>/settings/model-providers/{provider_id}/test</x:v>
      </x:c>
      <x:c r="B5" s="12" t="str">
        <x:v>POST</x:v>
      </x:c>
      <x:c r="C5" s="12" t="str">
        <x:v>Test local/remote model connection</x:v>
      </x:c>
      <x:c r="D5" s="12" t="str">
        <x:v>optional test prompt</x:v>
      </x:c>
      <x:c r="E5" s="12" t="str">
        <x:v>status, latency_ms, warnings, available_models</x:v>
      </x:c>
      <x:c r="F5" s="12" t="str">
        <x:v>backend reads API key from env</x:v>
      </x:c>
      <x:c r="G5" s="12" t="str">
        <x:v>ProviderTestPanel</x:v>
      </x:c>
      <x:c r="H5" s="12" t="str">
        <x:v>P0</x:v>
      </x:c>
      <x:c r="I5" s="12" t="str">
        <x:v>Add-on prompt 1</x:v>
      </x:c>
      <x:c r="J5" s="12" t="str">
        <x:v>Try /v1/models, fallback to minimal chat completion.</x:v>
      </x:c>
    </x:row>
    <x:row r="6">
      <x:c r="A6" s="12" t="str">
        <x:v>/settings/active-model-provider</x:v>
      </x:c>
      <x:c r="B6" s="12" t="str">
        <x:v>GET</x:v>
      </x:c>
      <x:c r="C6" s="12" t="str">
        <x:v>Get active provider</x:v>
      </x:c>
      <x:c r="D6" s="12" t="str"/>
      <x:c r="E6" s="12" t="str">
        <x:v>provider_id, model_name, status</x:v>
      </x:c>
      <x:c r="F6" s="12" t="str">
        <x:v>no key exposure</x:v>
      </x:c>
      <x:c r="G6" s="12" t="str">
        <x:v>AnalyzePage</x:v>
      </x:c>
      <x:c r="H6" s="12" t="str">
        <x:v>P0</x:v>
      </x:c>
      <x:c r="I6" s="12" t="str">
        <x:v>Add-on prompt 5</x:v>
      </x:c>
      <x:c r="J6" s="12" t="str">
        <x:v>Analyzer page can display current provider.</x:v>
      </x:c>
    </x:row>
    <x:row r="7">
      <x:c r="A7" s="12" t="str">
        <x:v>/settings/active-model-provider</x:v>
      </x:c>
      <x:c r="B7" s="12" t="str">
        <x:v>POST</x:v>
      </x:c>
      <x:c r="C7" s="12" t="str">
        <x:v>Set active provider</x:v>
      </x:c>
      <x:c r="D7" s="12" t="str">
        <x:v>provider_id, deterministic_fallback_enabled</x:v>
      </x:c>
      <x:c r="E7" s="12" t="str">
        <x:v>active provider response</x:v>
      </x:c>
      <x:c r="F7" s="12" t="str">
        <x:v>no silent paid-provider switching</x:v>
      </x:c>
      <x:c r="G7" s="12" t="str">
        <x:v>AnalyzePage</x:v>
      </x:c>
      <x:c r="H7" s="12" t="str">
        <x:v>P0</x:v>
      </x:c>
      <x:c r="I7" s="12" t="str">
        <x:v>Add-on prompt 5</x:v>
      </x:c>
      <x:c r="J7" s="12" t="str">
        <x:v>Warn if provider not configured.</x:v>
      </x:c>
    </x:row>
    <x:row r="8">
      <x:c r="A8" s="12" t="str">
        <x:v>/taxonomy-workbench/packs</x:v>
      </x:c>
      <x:c r="B8" s="12" t="str">
        <x:v>GET</x:v>
      </x:c>
      <x:c r="C8" s="12" t="str">
        <x:v>Pack summary</x:v>
      </x:c>
      <x:c r="D8" s="12" t="str"/>
      <x:c r="E8" s="12" t="str">
        <x:v>pack counts and activation stats</x:v>
      </x:c>
      <x:c r="F8" s="12" t="str">
        <x:v>none</x:v>
      </x:c>
      <x:c r="G8" s="12" t="str">
        <x:v>TaxonomyWorkbenchPage</x:v>
      </x:c>
      <x:c r="H8" s="12" t="str">
        <x:v>P0</x:v>
      </x:c>
      <x:c r="I8" s="12" t="str">
        <x:v>Add-on prompt 2</x:v>
      </x:c>
      <x:c r="J8" s="12" t="str">
        <x:v>Supports large taxonomy.</x:v>
      </x:c>
    </x:row>
    <x:row r="9">
      <x:c r="A9" s="12" t="str">
        <x:v>/taxonomy-workbench/quality-report</x:v>
      </x:c>
      <x:c r="B9" s="12" t="str">
        <x:v>GET</x:v>
      </x:c>
      <x:c r="C9" s="12" t="str">
        <x:v>Taxonomy quality audit</x:v>
      </x:c>
      <x:c r="D9" s="12" t="str"/>
      <x:c r="E9" s="12" t="str">
        <x:v>missing fields, duplicate IDs, FP risk warnings</x:v>
      </x:c>
      <x:c r="F9" s="12" t="str">
        <x:v>none</x:v>
      </x:c>
      <x:c r="G9" s="12" t="str">
        <x:v>TaxonomyQualityPanel</x:v>
      </x:c>
      <x:c r="H9" s="12" t="str">
        <x:v>P0</x:v>
      </x:c>
      <x:c r="I9" s="12" t="str">
        <x:v>Add-on prompt 2</x:v>
      </x:c>
      <x:c r="J9" s="12" t="str">
        <x:v>Should be visible before activation.</x:v>
      </x:c>
    </x:row>
    <x:row r="10">
      <x:c r="A10" s="12" t="str">
        <x:v>/taxonomy-workbench/import-excel</x:v>
      </x:c>
      <x:c r="B10" s="12" t="str">
        <x:v>POST</x:v>
      </x:c>
      <x:c r="C10" s="12" t="str">
        <x:v>Import this workbook</x:v>
      </x:c>
      <x:c r="D10" s="12" t="str">
        <x:v>xlsx file</x:v>
      </x:c>
      <x:c r="E10" s="12" t="str">
        <x:v>validation report, imported rows</x:v>
      </x:c>
      <x:c r="F10" s="12" t="str">
        <x:v>validate before overwrite</x:v>
      </x:c>
      <x:c r="G10" s="12" t="str">
        <x:v>TaxonomyImportExportPanel</x:v>
      </x:c>
      <x:c r="H10" s="12" t="str">
        <x:v>P0</x:v>
      </x:c>
      <x:c r="I10" s="12" t="str">
        <x:v>Prompt 2/add-on 2</x:v>
      </x:c>
      <x:c r="J10" s="12" t="str">
        <x:v>The uploaded workbook is the base.</x:v>
      </x:c>
    </x:row>
    <x:row r="11">
      <x:c r="A11" s="12" t="str">
        <x:v>/taxonomy-workbench/export-excel</x:v>
      </x:c>
      <x:c r="B11" s="12" t="str">
        <x:v>GET</x:v>
      </x:c>
      <x:c r="C11" s="12" t="str">
        <x:v>Export taxonomy workbook</x:v>
      </x:c>
      <x:c r="D11" s="12" t="str"/>
      <x:c r="E11" s="12" t="str">
        <x:v>xlsx file</x:v>
      </x:c>
      <x:c r="F11" s="12" t="str">
        <x:v>none</x:v>
      </x:c>
      <x:c r="G11" s="12" t="str">
        <x:v>TaxonomyImportExportPanel</x:v>
      </x:c>
      <x:c r="H11" s="12" t="str">
        <x:v>P1</x:v>
      </x:c>
      <x:c r="I11" s="12" t="str">
        <x:v>Prompt 2/add-on 2</x:v>
      </x:c>
      <x:c r="J11" s="12" t="str">
        <x:v>Round-trip important.</x:v>
      </x:c>
    </x:row>
    <x:row r="12">
      <x:c r="A12" s="12" t="str">
        <x:v>/taxonomy-workbench/entries/{risk_id}/activation</x:v>
      </x:c>
      <x:c r="B12" s="12" t="str">
        <x:v>PATCH</x:v>
      </x:c>
      <x:c r="C12" s="12" t="str">
        <x:v>Activate/deactivate entry</x:v>
      </x:c>
      <x:c r="D12" s="12" t="str">
        <x:v>activation_status, flags</x:v>
      </x:c>
      <x:c r="E12" s="12" t="str">
        <x:v>updated entry</x:v>
      </x:c>
      <x:c r="F12" s="12" t="str">
        <x:v>warn high FP sensitivity</x:v>
      </x:c>
      <x:c r="G12" s="12" t="str">
        <x:v>TaxonomyActivationPanel</x:v>
      </x:c>
      <x:c r="H12" s="12" t="str">
        <x:v>P0</x:v>
      </x:c>
      <x:c r="I12" s="12" t="str">
        <x:v>Add-on prompt 2</x:v>
      </x:c>
      <x:c r="J12" s="12" t="str">
        <x:v>Do not bulk-enable without review.</x:v>
      </x:c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46" hidden="0" customWidth="1"/>
    <x:col min="4" max="4" width="28" hidden="0" customWidth="1"/>
    <x:col min="5" max="5" width="36" hidden="0" customWidth="1"/>
    <x:col min="6" max="6" width="36" hidden="0" customWidth="1"/>
    <x:col min="7" max="7" width="36" hidden="0" customWidth="1"/>
    <x:col min="8" max="8" width="28" hidden="0" customWidth="1"/>
  </x:cols>
  <x:sheetData>
    <x:row r="1" ht="30" customHeight="1">
      <x:c r="A1" s="28" t="str">
        <x:v>check_id</x:v>
      </x:c>
      <x:c r="B1" s="28" t="str">
        <x:v>audit_check</x:v>
      </x:c>
      <x:c r="C1" s="28" t="str">
        <x:v>formula_or_logic</x:v>
      </x:c>
      <x:c r="D1" s="28" t="str">
        <x:v>severity</x:v>
      </x:c>
      <x:c r="E1" s="28" t="str">
        <x:v>codex_action</x:v>
      </x:c>
      <x:c r="F1" s="28" t="str">
        <x:v>dashboard_visibility</x:v>
      </x:c>
      <x:c r="G1" s="28" t="str">
        <x:v>notes</x:v>
      </x:c>
      <x:c r="H1" s="28" t="str">
        <x:v>status</x:v>
      </x:c>
    </x:row>
    <x:row r="2">
      <x:c r="A2" s="12" t="str">
        <x:v>QA001</x:v>
      </x:c>
      <x:c r="B2" s="12" t="str">
        <x:v>Duplicate tax_id</x:v>
      </x:c>
      <x:c r="C2" s="12" t="str">
        <x:v>COUNTIF(Taxonomy_Master!A:A,A2)&gt;1</x:v>
      </x:c>
      <x:c r="D2" s="12" t="str">
        <x:v>blocker</x:v>
      </x:c>
      <x:c r="E2" s="12" t="str">
        <x:v>Fail validation</x:v>
      </x:c>
      <x:c r="F2" s="12" t="str">
        <x:v>show in quality report</x:v>
      </x:c>
      <x:c r="G2" s="12" t="str">
        <x:v>IDs must be unique.</x:v>
      </x:c>
      <x:c r="H2" s="12" t="str">
        <x:v>required</x:v>
      </x:c>
    </x:row>
    <x:row r="3">
      <x:c r="A3" s="12" t="str">
        <x:v>QA002</x:v>
      </x:c>
      <x:c r="B3" s="12" t="str">
        <x:v>Active entry missing evidence span requirements</x:v>
      </x:c>
      <x:c r="C3" s="12" t="str">
        <x:v>enabled_for_classification=yes AND minimum_evidence_required empty</x:v>
      </x:c>
      <x:c r="D3" s="12" t="str">
        <x:v>blocker</x:v>
      </x:c>
      <x:c r="E3" s="12" t="str">
        <x:v>Block activation</x:v>
      </x:c>
      <x:c r="F3" s="12" t="str">
        <x:v>show</x:v>
      </x:c>
      <x:c r="G3" s="12" t="str">
        <x:v>Final risks need exact evidence spans.</x:v>
      </x:c>
      <x:c r="H3" s="12" t="str">
        <x:v>required</x:v>
      </x:c>
    </x:row>
    <x:row r="4">
      <x:c r="A4" s="12" t="str">
        <x:v>QA003</x:v>
      </x:c>
      <x:c r="B4" s="12" t="str">
        <x:v>Canonical entry missing source</x:v>
      </x:c>
      <x:c r="C4" s="12" t="str">
        <x:v>academic_status_v2=canonical AND primary_source_url empty</x:v>
      </x:c>
      <x:c r="D4" s="12" t="str">
        <x:v>high</x:v>
      </x:c>
      <x:c r="E4" s="12" t="str">
        <x:v>Require source_ref</x:v>
      </x:c>
      <x:c r="F4" s="12" t="str">
        <x:v>show</x:v>
      </x:c>
      <x:c r="G4" s="12" t="str">
        <x:v>Canonical must be traceable.</x:v>
      </x:c>
      <x:c r="H4" s="12" t="str">
        <x:v>required</x:v>
      </x:c>
    </x:row>
    <x:row r="5">
      <x:c r="A5" s="12" t="str">
        <x:v>QA004</x:v>
      </x:c>
      <x:c r="B5" s="12" t="str">
        <x:v>MVP entry missing positive/negative examples</x:v>
      </x:c>
      <x:c r="C5" s="12" t="str">
        <x:v>enabled_for_mvp=yes AND examples empty</x:v>
      </x:c>
      <x:c r="D5" s="12" t="str">
        <x:v>high</x:v>
      </x:c>
      <x:c r="E5" s="12" t="str">
        <x:v>Block MVP activation</x:v>
      </x:c>
      <x:c r="F5" s="12" t="str">
        <x:v>show</x:v>
      </x:c>
      <x:c r="G5" s="12" t="str">
        <x:v>False positives need hard negatives.</x:v>
      </x:c>
      <x:c r="H5" s="12" t="str">
        <x:v>required</x:v>
      </x:c>
    </x:row>
    <x:row r="6">
      <x:c r="A6" s="12" t="str">
        <x:v>QA005</x:v>
      </x:c>
      <x:c r="B6" s="12" t="str">
        <x:v>High false-positive sensitivity active without human review</x:v>
      </x:c>
      <x:c r="C6" s="12" t="str">
        <x:v>false_positive_sensitivity=high AND requires_human_judgment&lt;&gt;yes</x:v>
      </x:c>
      <x:c r="D6" s="12" t="str">
        <x:v>high</x:v>
      </x:c>
      <x:c r="E6" s="12" t="str">
        <x:v>Force review</x:v>
      </x:c>
      <x:c r="F6" s="12" t="str">
        <x:v>show</x:v>
      </x:c>
      <x:c r="G6" s="12" t="str">
        <x:v>Especially cognitive/social influence labels.</x:v>
      </x:c>
      <x:c r="H6" s="12" t="str">
        <x:v>required</x:v>
      </x:c>
    </x:row>
    <x:row r="7">
      <x:c r="A7" s="12" t="str">
        <x:v>QA006</x:v>
      </x:c>
      <x:c r="B7" s="12" t="str">
        <x:v>Healthy pattern classified as risk</x:v>
      </x:c>
      <x:c r="C7" s="12" t="str">
        <x:v>healthy_suppressor=yes AND enabled_for_classification=yes</x:v>
      </x:c>
      <x:c r="D7" s="12" t="str">
        <x:v>blocker</x:v>
      </x:c>
      <x:c r="E7" s="12" t="str">
        <x:v>Fail validation</x:v>
      </x:c>
      <x:c r="F7" s="12" t="str">
        <x:v>show</x:v>
      </x:c>
      <x:c r="G7" s="12" t="str">
        <x:v>Healthy patterns suppress only.</x:v>
      </x:c>
      <x:c r="H7" s="12" t="str">
        <x:v>required</x:v>
      </x:c>
    </x:row>
    <x:row r="8">
      <x:c r="A8" s="12" t="str">
        <x:v>QA007</x:v>
      </x:c>
      <x:c r="B8" s="12" t="str">
        <x:v>Deprecated entry active</x:v>
      </x:c>
      <x:c r="C8" s="12" t="str">
        <x:v>activation_status=deprecated AND enabled_for_classification=yes</x:v>
      </x:c>
      <x:c r="D8" s="12" t="str">
        <x:v>blocker</x:v>
      </x:c>
      <x:c r="E8" s="12" t="str">
        <x:v>Fail validation</x:v>
      </x:c>
      <x:c r="F8" s="12" t="str">
        <x:v>show</x:v>
      </x:c>
      <x:c r="G8" s="12" t="str">
        <x:v>Deprecated entries never classify.</x:v>
      </x:c>
      <x:c r="H8" s="12" t="str">
        <x:v>required</x:v>
      </x:c>
    </x:row>
    <x:row r="9">
      <x:c r="A9" s="12" t="str">
        <x:v>QA008</x:v>
      </x:c>
      <x:c r="B9" s="12" t="str">
        <x:v>Contextual entry high-scored from single sentence</x:v>
      </x:c>
      <x:c r="C9" s="12" t="str">
        <x:v>requires_context=yes AND context absent</x:v>
      </x:c>
      <x:c r="D9" s="12" t="str">
        <x:v>medium</x:v>
      </x:c>
      <x:c r="E9" s="12" t="str">
        <x:v>Mark human review</x:v>
      </x:c>
      <x:c r="F9" s="12" t="str">
        <x:v>show in analysis warning</x:v>
      </x:c>
      <x:c r="G9" s="12" t="str">
        <x:v>Handled in scorer.</x:v>
      </x:c>
      <x:c r="H9" s="12" t="str">
        <x:v>required</x:v>
      </x:c>
    </x:row>
    <x:row r="10">
      <x:c r="A10" s="12" t="str">
        <x:v>QA009</x:v>
      </x:c>
      <x:c r="B10" s="12" t="str">
        <x:v>Generic trigger patterns</x:v>
      </x:c>
      <x:c r="C10" s="12" t="str">
        <x:v>trigger terms are generic: good,bad,better,worse,people,thing</x:v>
      </x:c>
      <x:c r="D10" s="12" t="str">
        <x:v>medium</x:v>
      </x:c>
      <x:c r="E10" s="12" t="str">
        <x:v>Warn and lower score</x:v>
      </x:c>
      <x:c r="F10" s="12" t="str">
        <x:v>show</x:v>
      </x:c>
      <x:c r="G10" s="12" t="str">
        <x:v>Avoid lexical overmatching.</x:v>
      </x:c>
      <x:c r="H10" s="12" t="str">
        <x:v>recommended</x:v>
      </x:c>
    </x:row>
    <x:row r="11">
      <x:c r="A11" s="12" t="str">
        <x:v>QA010</x:v>
      </x:c>
      <x:c r="B11" s="12" t="str">
        <x:v>Related risk missing ID</x:v>
      </x:c>
      <x:c r="C11" s="12" t="str">
        <x:v>related_family_ids contains IDs not in tax_id/family_id</x:v>
      </x:c>
      <x:c r="D11" s="12" t="str">
        <x:v>medium</x:v>
      </x:c>
      <x:c r="E11" s="12" t="str">
        <x:v>Warn</x:v>
      </x:c>
      <x:c r="F11" s="12" t="str">
        <x:v>show</x:v>
      </x:c>
      <x:c r="G11" s="12" t="str">
        <x:v>Good for taxonomy graph hygiene.</x:v>
      </x:c>
      <x:c r="H11" s="12" t="str">
        <x:v>recommended</x:v>
      </x:c>
    </x:row>
    <x:row r="12">
      <x:c r="A12" s="12" t="str">
        <x:v>QA011</x:v>
      </x:c>
      <x:c r="B12" s="12" t="str">
        <x:v>Operational entry mislabeled canonical</x:v>
      </x:c>
      <x:c r="C12" s="12" t="str">
        <x:v>academic_status_v2=canonical AND taxonomy_status contains operational</x:v>
      </x:c>
      <x:c r="D12" s="12" t="str">
        <x:v>high</x:v>
      </x:c>
      <x:c r="E12" s="12" t="str">
        <x:v>Fix label</x:v>
      </x:c>
      <x:c r="F12" s="12" t="str">
        <x:v>show</x:v>
      </x:c>
      <x:c r="G12" s="12" t="str">
        <x:v>Avoid academic overclaiming.</x:v>
      </x:c>
      <x:c r="H12" s="12" t="str">
        <x:v>required</x:v>
      </x:c>
    </x:row>
    <x:row r="13">
      <x:c r="A13" s="12" t="str">
        <x:v>QA012</x:v>
      </x:c>
      <x:c r="B13" s="12" t="str">
        <x:v>Backlog entry returned as final risk</x:v>
      </x:c>
      <x:c r="C13" s="12" t="str">
        <x:v>activation_status=backlog AND final risk output</x:v>
      </x:c>
      <x:c r="D13" s="12" t="str">
        <x:v>blocker</x:v>
      </x:c>
      <x:c r="E13" s="12" t="str">
        <x:v>Fail analyzer test</x:v>
      </x:c>
      <x:c r="F13" s="12" t="str">
        <x:v>analysis warning</x:v>
      </x:c>
      <x:c r="G13" s="12" t="str">
        <x:v>Analyzer must filter.</x:v>
      </x:c>
      <x:c r="H13" s="12" t="str">
        <x:v>required</x:v>
      </x:c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</x:row>
    <x:row r="15">
      <x:c r="A15" s="33" t="str">
        <x:v>Workbook formula snapshot</x:v>
      </x:c>
      <x:c r="B15" s="33" t="str">
        <x:v>Metric</x:v>
      </x:c>
      <x:c r="C15" s="33" t="str">
        <x:v>Formula</x:v>
      </x:c>
      <x:c r="D15" s="33" t="str">
        <x:v>Expected interpretation</x:v>
      </x:c>
      <x:c r="E15" s="33" t="str"/>
      <x:c r="F15" s="33" t="str"/>
      <x:c r="G15" s="33" t="str"/>
      <x:c r="H15" s="33" t="str"/>
    </x:row>
    <x:row r="16">
      <x:c r="A16" s="12" t="str">
        <x:v>Total rows</x:v>
      </x:c>
      <x:c r="B16" s="12" t="str">
        <x:v>All taxonomy rows</x:v>
      </x:c>
      <x:c r="C16" s="12" t="n">
        <x:f>COUNTA(Taxonomy_Master!A:A)-1</x:f>
        <x:v>1100</x:v>
      </x:c>
      <x:c r="D16" s="12" t="str">
        <x:v>Large taxonomy size</x:v>
      </x:c>
      <x:c r="E16" s="12" t="str"/>
      <x:c r="F16" s="12" t="str"/>
      <x:c r="G16" s="12" t="str"/>
      <x:c r="H16" s="12" t="str"/>
    </x:row>
    <x:row r="17">
      <x:c r="A17" s="12" t="str">
        <x:v>Active classification rows</x:v>
      </x:c>
      <x:c r="B17" s="12" t="str">
        <x:v>Classification-enabled rows</x:v>
      </x:c>
      <x:c r="C17" s="12" t="n">
        <x:f>COUNTIF(Taxonomy_Master!AG:AG,"yes")</x:f>
        <x:v>46</x:v>
      </x:c>
      <x:c r="D17" s="12" t="str">
        <x:v>Should stay conservative</x:v>
      </x:c>
      <x:c r="E17" s="12" t="str"/>
      <x:c r="F17" s="12" t="str"/>
      <x:c r="G17" s="12" t="str"/>
      <x:c r="H17" s="12" t="str"/>
    </x:row>
    <x:row r="18">
      <x:c r="A18" s="12" t="str">
        <x:v>Retrieval-enabled rows</x:v>
      </x:c>
      <x:c r="B18" s="12" t="str">
        <x:v>Retrieval-enabled rows</x:v>
      </x:c>
      <x:c r="C18" s="12" t="n">
        <x:f>COUNTIF(Taxonomy_Master!AF:AF,"yes")</x:f>
        <x:v>175</x:v>
      </x:c>
      <x:c r="D18" s="12" t="str">
        <x:v>Can be larger than classification rows</x:v>
      </x:c>
      <x:c r="E18" s="12" t="str"/>
      <x:c r="F18" s="12" t="str"/>
      <x:c r="G18" s="12" t="str"/>
      <x:c r="H18" s="12" t="str"/>
    </x:row>
    <x:row r="19">
      <x:c r="A19" s="12" t="str">
        <x:v>Backlog rows</x:v>
      </x:c>
      <x:c r="B19" s="12" t="str">
        <x:v>Activation backlog</x:v>
      </x:c>
      <x:c r="C19" s="12" t="n">
        <x:f>COUNTIF(Taxonomy_Master!AE:AE,"backlog")</x:f>
        <x:v>925</x:v>
      </x:c>
      <x:c r="D19" s="12" t="str">
        <x:v>Safe place for large taxonomy</x:v>
      </x:c>
      <x:c r="E19" s="12" t="str"/>
      <x:c r="F19" s="12" t="str"/>
      <x:c r="G19" s="12" t="str"/>
      <x:c r="H19" s="12" t="str"/>
    </x:row>
    <x:row r="20">
      <x:c r="A20" s="12" t="str">
        <x:v>High FP sensitivity rows</x:v>
      </x:c>
      <x:c r="B20" s="12" t="str">
        <x:v>Potential over-label risk</x:v>
      </x:c>
      <x:c r="C20" s="12" t="n">
        <x:f>COUNTIF(Taxonomy_Master!AJ:AJ,"high")</x:f>
        <x:v>1041</x:v>
      </x:c>
      <x:c r="D20" s="12" t="str">
        <x:v>Must require review</x:v>
      </x:c>
      <x:c r="E20" s="12" t="str"/>
      <x:c r="F20" s="12" t="str"/>
      <x:c r="G20" s="12" t="str"/>
      <x:c r="H20" s="12" t="str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5" hidden="0" customWidth="1"/>
    <x:col min="5" max="5" width="25" hidden="0" customWidth="1"/>
    <x:col min="6" max="6" width="25" hidden="0" customWidth="1"/>
    <x:col min="7" max="7" width="50" hidden="0" customWidth="1"/>
    <x:col min="8" max="8" width="25" hidden="0" customWidth="1"/>
    <x:col min="9" max="9" width="50" hidden="0" customWidth="1"/>
  </x:cols>
  <x:sheetData>
    <x:row r="1" ht="30" customHeight="1">
      <x:c r="A1" s="28" t="str">
        <x:v>source_id</x:v>
      </x:c>
      <x:c r="B1" s="28" t="str">
        <x:v>author_or_editor</x:v>
      </x:c>
      <x:c r="C1" s="28" t="str">
        <x:v>year</x:v>
      </x:c>
      <x:c r="D1" s="28" t="str">
        <x:v>title</x:v>
      </x:c>
      <x:c r="E1" s="28" t="str">
        <x:v>source_type</x:v>
      </x:c>
      <x:c r="F1" s="28" t="str">
        <x:v>domain</x:v>
      </x:c>
      <x:c r="G1" s="28" t="str">
        <x:v>url</x:v>
      </x:c>
      <x:c r="H1" s="28" t="str">
        <x:v>confidence</x:v>
      </x:c>
      <x:c r="I1" s="28" t="str">
        <x:v>how_to_use</x:v>
      </x:c>
    </x:row>
    <x:row r="2">
      <x:c r="A2" s="12" t="str">
        <x:v>sep_fallacies</x:v>
      </x:c>
      <x:c r="B2" s="12" t="str">
        <x:v>Hansen / Groarke</x:v>
      </x:c>
      <x:c r="C2" s="12" t="str">
        <x:v>updated</x:v>
      </x:c>
      <x:c r="D2" s="12" t="str">
        <x:v>Fallacies, Stanford Encyclopedia of Philosophy</x:v>
      </x:c>
      <x:c r="E2" s="12" t="str">
        <x:v>encyclopedia</x:v>
      </x:c>
      <x:c r="F2" s="12" t="str">
        <x:v>informal_logic</x:v>
      </x:c>
      <x:c r="G2" s="12" t="str">
        <x:v>https://plato.stanford.edu/entries/fallacies/</x:v>
      </x:c>
      <x:c r="H2" s="12" t="str">
        <x:v>high</x:v>
      </x:c>
      <x:c r="I2" s="12" t="str">
        <x:v>Use for context-sensitive fallacy analysis and warnings against naive labeling.</x:v>
      </x:c>
    </x:row>
    <x:row r="3">
      <x:c r="A3" s="12" t="str">
        <x:v>sep_informal_logic</x:v>
      </x:c>
      <x:c r="B3" s="12" t="str">
        <x:v>Groarke</x:v>
      </x:c>
      <x:c r="C3" s="12" t="str">
        <x:v>updated</x:v>
      </x:c>
      <x:c r="D3" s="12" t="str">
        <x:v>Informal Logic, Stanford Encyclopedia of Philosophy</x:v>
      </x:c>
      <x:c r="E3" s="12" t="str">
        <x:v>encyclopedia</x:v>
      </x:c>
      <x:c r="F3" s="12" t="str">
        <x:v>informal_logic</x:v>
      </x:c>
      <x:c r="G3" s="12" t="str">
        <x:v>https://plato.stanford.edu/entries/logic-informal/</x:v>
      </x:c>
      <x:c r="H3" s="12" t="str">
        <x:v>high</x:v>
      </x:c>
      <x:c r="I3" s="12" t="str">
        <x:v>Use for ordinary-language argument assessment.</x:v>
      </x:c>
    </x:row>
    <x:row r="4">
      <x:c r="A4" s="12" t="str">
        <x:v>hamblin_fallacies</x:v>
      </x:c>
      <x:c r="B4" s="12" t="str">
        <x:v>C. L. Hamblin</x:v>
      </x:c>
      <x:c r="C4" s="12" t="str">
        <x:v>1970</x:v>
      </x:c>
      <x:c r="D4" s="12" t="str">
        <x:v>Fallacies</x:v>
      </x:c>
      <x:c r="E4" s="12" t="str">
        <x:v>book</x:v>
      </x:c>
      <x:c r="F4" s="12" t="str">
        <x:v>informal_logic</x:v>
      </x:c>
      <x:c r="G4" s="12" t="str">
        <x:v>https://archive.org/details/fallacies0000hamb</x:v>
      </x:c>
      <x:c r="H4" s="12" t="str">
        <x:v>high</x:v>
      </x:c>
      <x:c r="I4" s="12" t="str">
        <x:v>Use as methodological caution; traditional lists are not simple detectors.</x:v>
      </x:c>
    </x:row>
    <x:row r="5">
      <x:c r="A5" s="12" t="str">
        <x:v>walton_argumentation_schemes</x:v>
      </x:c>
      <x:c r="B5" s="12" t="str">
        <x:v>Walton, Reed, Macagno</x:v>
      </x:c>
      <x:c r="C5" s="12" t="str">
        <x:v>2008</x:v>
      </x:c>
      <x:c r="D5" s="12" t="str">
        <x:v>Argumentation Schemes</x:v>
      </x:c>
      <x:c r="E5" s="12" t="str">
        <x:v>book</x:v>
      </x:c>
      <x:c r="F5" s="12" t="str">
        <x:v>argumentation_theory</x:v>
      </x:c>
      <x:c r="G5" s="12" t="str">
        <x:v>https://www.cambridge.org/core/books/argumentation-schemes/1D013BFA2695C72B14134F2C38B17B85</x:v>
      </x:c>
      <x:c r="H5" s="12" t="str">
        <x:v>high</x:v>
      </x:c>
      <x:c r="I5" s="12" t="str">
        <x:v>Use for defeasible schemes and critical questions.</x:v>
      </x:c>
    </x:row>
    <x:row r="6">
      <x:c r="A6" s="12" t="str">
        <x:v>toulmin_uses_argument</x:v>
      </x:c>
      <x:c r="B6" s="12" t="str">
        <x:v>Stephen Toulmin</x:v>
      </x:c>
      <x:c r="C6" s="12" t="str">
        <x:v>1958</x:v>
      </x:c>
      <x:c r="D6" s="12" t="str">
        <x:v>The Uses of Argument</x:v>
      </x:c>
      <x:c r="E6" s="12" t="str">
        <x:v>book</x:v>
      </x:c>
      <x:c r="F6" s="12" t="str">
        <x:v>argumentation_theory</x:v>
      </x:c>
      <x:c r="G6" s="12" t="str">
        <x:v>https://doi.org/10.1017/CBO9780511840005</x:v>
      </x:c>
      <x:c r="H6" s="12" t="str">
        <x:v>high</x:v>
      </x:c>
      <x:c r="I6" s="12" t="str">
        <x:v>Use for claim-data-warrant-backing-qualifier-rebuttal model.</x:v>
      </x:c>
    </x:row>
    <x:row r="7">
      <x:c r="A7" s="12" t="str">
        <x:v>eemeren_grootendorst_systematic</x:v>
      </x:c>
      <x:c r="B7" s="12" t="str">
        <x:v>van Eemeren &amp; Grootendorst</x:v>
      </x:c>
      <x:c r="C7" s="12" t="str">
        <x:v>2004</x:v>
      </x:c>
      <x:c r="D7" s="12" t="str">
        <x:v>A Systematic Theory of Argumentation</x:v>
      </x:c>
      <x:c r="E7" s="12" t="str">
        <x:v>book</x:v>
      </x:c>
      <x:c r="F7" s="12" t="str">
        <x:v>pragma_dialectics</x:v>
      </x:c>
      <x:c r="G7" s="12" t="str">
        <x:v>https://doi.org/10.1017/CBO9780511616389</x:v>
      </x:c>
      <x:c r="H7" s="12" t="str">
        <x:v>high</x:v>
      </x:c>
      <x:c r="I7" s="12" t="str">
        <x:v>Use for dialogue obligations and discourse-level derailment.</x:v>
      </x:c>
    </x:row>
    <x:row r="8">
      <x:c r="A8" s="12" t="str">
        <x:v>kahneman_tversky_1974</x:v>
      </x:c>
      <x:c r="B8" s="12" t="str">
        <x:v>Tversky &amp; Kahneman</x:v>
      </x:c>
      <x:c r="C8" s="12" t="str">
        <x:v>1974</x:v>
      </x:c>
      <x:c r="D8" s="12" t="str">
        <x:v>Judgment under Uncertainty: Heuristics and Biases</x:v>
      </x:c>
      <x:c r="E8" s="12" t="str">
        <x:v>article</x:v>
      </x:c>
      <x:c r="F8" s="12" t="str">
        <x:v>cognitive_psychology</x:v>
      </x:c>
      <x:c r="G8" s="12" t="str">
        <x:v>https://doi.org/10.1126/science.185.4157.1124</x:v>
      </x:c>
      <x:c r="H8" s="12" t="str">
        <x:v>high</x:v>
      </x:c>
      <x:c r="I8" s="12" t="str">
        <x:v>Use for representativeness, availability, anchoring.</x:v>
      </x:c>
    </x:row>
    <x:row r="9">
      <x:c r="A9" s="12" t="str">
        <x:v>kahneman_tversky_1979</x:v>
      </x:c>
      <x:c r="B9" s="12" t="str">
        <x:v>Kahneman &amp; Tversky</x:v>
      </x:c>
      <x:c r="C9" s="12" t="str">
        <x:v>1979</x:v>
      </x:c>
      <x:c r="D9" s="12" t="str">
        <x:v>Prospect Theory: An Analysis of Decision under Risk</x:v>
      </x:c>
      <x:c r="E9" s="12" t="str">
        <x:v>article</x:v>
      </x:c>
      <x:c r="F9" s="12" t="str">
        <x:v>behavioral_economics</x:v>
      </x:c>
      <x:c r="G9" s="12" t="str">
        <x:v>https://doi.org/10.2307/1914185</x:v>
      </x:c>
      <x:c r="H9" s="12" t="str">
        <x:v>high</x:v>
      </x:c>
      <x:c r="I9" s="12" t="str">
        <x:v>Use for reference dependence and loss aversion framing.</x:v>
      </x:c>
    </x:row>
    <x:row r="10">
      <x:c r="A10" s="12" t="str">
        <x:v>tversky_kahneman_1981</x:v>
      </x:c>
      <x:c r="B10" s="12" t="str">
        <x:v>Tversky &amp; Kahneman</x:v>
      </x:c>
      <x:c r="C10" s="12" t="str">
        <x:v>1981</x:v>
      </x:c>
      <x:c r="D10" s="12" t="str">
        <x:v>The Framing of Decisions and the Psychology of Choice</x:v>
      </x:c>
      <x:c r="E10" s="12" t="str">
        <x:v>article</x:v>
      </x:c>
      <x:c r="F10" s="12" t="str">
        <x:v>behavioral_economics</x:v>
      </x:c>
      <x:c r="G10" s="12" t="str">
        <x:v>https://doi.org/10.1126/science.7455683</x:v>
      </x:c>
      <x:c r="H10" s="12" t="str">
        <x:v>high</x:v>
      </x:c>
      <x:c r="I10" s="12" t="str">
        <x:v>Use for framing effects.</x:v>
      </x:c>
    </x:row>
    <x:row r="11">
      <x:c r="A11" s="12" t="str">
        <x:v>nickerson_1998</x:v>
      </x:c>
      <x:c r="B11" s="12" t="str">
        <x:v>Nickerson</x:v>
      </x:c>
      <x:c r="C11" s="12" t="str">
        <x:v>1998</x:v>
      </x:c>
      <x:c r="D11" s="12" t="str">
        <x:v>Confirmation Bias: A Ubiquitous Phenomenon in Many Guises</x:v>
      </x:c>
      <x:c r="E11" s="12" t="str">
        <x:v>article</x:v>
      </x:c>
      <x:c r="F11" s="12" t="str">
        <x:v>cognitive_psychology</x:v>
      </x:c>
      <x:c r="G11" s="12" t="str">
        <x:v>https://doi.org/10.1037/1089-2680.2.2.175</x:v>
      </x:c>
      <x:c r="H11" s="12" t="str">
        <x:v>high</x:v>
      </x:c>
      <x:c r="I11" s="12" t="str">
        <x:v>Use for confirmation bias; avoid overdiagnosis.</x:v>
      </x:c>
    </x:row>
    <x:row r="12">
      <x:c r="A12" s="12" t="str">
        <x:v>cialdini_influence</x:v>
      </x:c>
      <x:c r="B12" s="12" t="str">
        <x:v>Cialdini</x:v>
      </x:c>
      <x:c r="C12" s="12" t="str">
        <x:v>2001+</x:v>
      </x:c>
      <x:c r="D12" s="12" t="str">
        <x:v>Influence: Science and Practice / Influence: The Psychology of Persuasion</x:v>
      </x:c>
      <x:c r="E12" s="12" t="str">
        <x:v>book</x:v>
      </x:c>
      <x:c r="F12" s="12" t="str">
        <x:v>social_psychology</x:v>
      </x:c>
      <x:c r="G12" s="12" t="str">
        <x:v>https://www.pearson.com/en-us/subject-catalog/p/influence-science-and-practice/P200000003004</x:v>
      </x:c>
      <x:c r="H12" s="12" t="str">
        <x:v>medium</x:v>
      </x:c>
      <x:c r="I12" s="12" t="str">
        <x:v>Use for social influence patterns; not moral judgment.</x:v>
      </x:c>
    </x:row>
    <x:row r="13">
      <x:c r="A13" s="12" t="str">
        <x:v>grice_logic_conversation</x:v>
      </x:c>
      <x:c r="B13" s="12" t="str">
        <x:v>Grice</x:v>
      </x:c>
      <x:c r="C13" s="12" t="str">
        <x:v>1975</x:v>
      </x:c>
      <x:c r="D13" s="12" t="str">
        <x:v>Logic and Conversation</x:v>
      </x:c>
      <x:c r="E13" s="12" t="str">
        <x:v>chapter</x:v>
      </x:c>
      <x:c r="F13" s="12" t="str">
        <x:v>pragmatics</x:v>
      </x:c>
      <x:c r="G13" s="12" t="str">
        <x:v>https://doi.org/10.1163/9789004368811_003</x:v>
      </x:c>
      <x:c r="H13" s="12" t="str">
        <x:v>high</x:v>
      </x:c>
      <x:c r="I13" s="12" t="str">
        <x:v>Use for conversational maxims and pragmatic signals.</x:v>
      </x:c>
    </x:row>
    <x:row r="14">
      <x:c r="A14" s="12" t="str">
        <x:v>gilovich_heuristics_biases</x:v>
      </x:c>
      <x:c r="B14" s="12" t="str">
        <x:v>Gilovich, Griffin, Kahneman</x:v>
      </x:c>
      <x:c r="C14" s="12" t="str">
        <x:v>2002</x:v>
      </x:c>
      <x:c r="D14" s="12" t="str">
        <x:v>Heuristics and Biases</x:v>
      </x:c>
      <x:c r="E14" s="12" t="str">
        <x:v>edited_book</x:v>
      </x:c>
      <x:c r="F14" s="12" t="str">
        <x:v>cognitive_psychology</x:v>
      </x:c>
      <x:c r="G14" s="12" t="str">
        <x:v>https://www.cambridge.org/core/books/heuristics-and-biases/3C30D3B05D2F190C3B8BE5E2531EFD24</x:v>
      </x:c>
      <x:c r="H14" s="12" t="str">
        <x:v>high</x:v>
      </x:c>
      <x:c r="I14" s="12" t="str">
        <x:v>Use as consolidated academic source for bias families.</x:v>
      </x:c>
    </x:row>
    <x:row r="15">
      <x:c r="A15" s="12" t="str">
        <x:v>thaler_sunstein_nudge</x:v>
      </x:c>
      <x:c r="B15" s="12" t="str">
        <x:v>Thaler &amp; Sunstein</x:v>
      </x:c>
      <x:c r="C15" s="12" t="str">
        <x:v>2008</x:v>
      </x:c>
      <x:c r="D15" s="12" t="str">
        <x:v>Nudge</x:v>
      </x:c>
      <x:c r="E15" s="12" t="str">
        <x:v>book</x:v>
      </x:c>
      <x:c r="F15" s="12" t="str">
        <x:v>behavioral_economics</x:v>
      </x:c>
      <x:c r="G15" s="12" t="str">
        <x:v>https://yalebooks.yale.edu/book/9780300146813/nudge/</x:v>
      </x:c>
      <x:c r="H15" s="12" t="str">
        <x:v>medium</x:v>
      </x:c>
      <x:c r="I15" s="12" t="str">
        <x:v>Use for choice architecture and defaults; mark applied/policy framing.</x:v>
      </x:c>
    </x:row>
    <x:row r="16">
      <x:c r="A16" s="12" t="str">
        <x:v>pearl_causality</x:v>
      </x:c>
      <x:c r="B16" s="12" t="str">
        <x:v>Judea Pearl</x:v>
      </x:c>
      <x:c r="C16" s="12" t="str">
        <x:v>2009</x:v>
      </x:c>
      <x:c r="D16" s="12" t="str">
        <x:v>Causality</x:v>
      </x:c>
      <x:c r="E16" s="12" t="str">
        <x:v>book</x:v>
      </x:c>
      <x:c r="F16" s="12" t="str">
        <x:v>causal_inference</x:v>
      </x:c>
      <x:c r="G16" s="12" t="str">
        <x:v>https://www.cambridge.org/core/books/causality/2B00067E6BC60CB2B6A3B23B39F6F6D7</x:v>
      </x:c>
      <x:c r="H16" s="12" t="str">
        <x:v>high</x:v>
      </x:c>
      <x:c r="I16" s="12" t="str">
        <x:v>Use for causal reasoning concepts; avoid simplifying causal inference.</x:v>
      </x:c>
    </x:row>
    <x:row r="17">
      <x:c r="A17" s="12" t="str">
        <x:v>gelman_statistics</x:v>
      </x:c>
      <x:c r="B17" s="12" t="str">
        <x:v>Gelman et al.</x:v>
      </x:c>
      <x:c r="C17" s="12" t="str">
        <x:v>multiple</x:v>
      </x:c>
      <x:c r="D17" s="12" t="str">
        <x:v>Regression and Other Stories / Bayesian Data Analysis</x:v>
      </x:c>
      <x:c r="E17" s="12" t="str">
        <x:v>book</x:v>
      </x:c>
      <x:c r="F17" s="12" t="str">
        <x:v>statistics</x:v>
      </x:c>
      <x:c r="G17" s="12" t="str">
        <x:v>https://avehtari.github.io/ROS-Examples/</x:v>
      </x:c>
      <x:c r="H17" s="12" t="str">
        <x:v>medium</x:v>
      </x:c>
      <x:c r="I17" s="12" t="str">
        <x:v>Use for statistical reasoning examples and uncertainty communication.</x:v>
      </x:c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80" hidden="0" customWidth="1"/>
    <x:col min="4" max="4" width="80" hidden="0" customWidth="1"/>
  </x:cols>
  <x:sheetData>
    <x:row r="1" ht="30" customHeight="1">
      <x:c r="A1" s="28" t="str">
        <x:v>insert_after_prompt</x:v>
      </x:c>
      <x:c r="B1" s="28" t="str">
        <x:v>title</x:v>
      </x:c>
      <x:c r="C1" s="28" t="str">
        <x:v>codex_instruction</x:v>
      </x:c>
      <x:c r="D1" s="28" t="str">
        <x:v>acceptance_criteria</x:v>
      </x:c>
    </x:row>
    <x:row r="2">
      <x:c r="A2" s="12" t="str">
        <x:v>Prompt 2</x:v>
      </x:c>
      <x:c r="B2" s="12" t="str">
        <x:v>Use uploaded Excel workbook as taxonomy source-of-truth</x:v>
      </x:c>
      <x:c r="C2" s="12" t="str">
        <x:v>Add scripts/import_taxonomy_excel.py and scripts/export_taxonomy_excel.py. The importer must read this workbook's Taxonomy_Master sheet, including v2 columns AB:AR. The YAML taxonomy should be generated from workbook rows, preserving activation_status, enabled_for_retrieval, enabled_for_classification, pack_v2, academic_status_v2, academic_consensus, false_positive_sensitivity, healthy_suppressor, and taxonomy_quality_flag. Do not discard existing 1100 rows; inactive/backlog rows should be imported but excluded from classification.</x:v>
      </x:c>
      <x:c r="D2" s="12" t="str">
        <x:v>Excel import passes; YAML generated; active classification rows only appear in analyzer output; tests verify backlog/deprecated/healthy suppressor behavior.</x:v>
      </x:c>
    </x:row>
    <x:row r="3">
      <x:c r="A3" s="12" t="str">
        <x:v>Prompt 3</x:v>
      </x:c>
      <x:c r="B3" s="12" t="str">
        <x:v>Add taxonomy browser and workbench separation</x:v>
      </x:c>
      <x:c r="C3" s="12" t="str">
        <x:v>Taxonomy browser shows all rows. Taxonomy Workbench shows quality audit, activation status, pack summary, and missing fields. The browser must not imply all rows are active classifier labels.</x:v>
      </x:c>
      <x:c r="D3" s="12" t="str">
        <x:v>Frontend has Taxonomy and Taxonomy Workbench pages; quality report visible; active vs backlog clearly separated.</x:v>
      </x:c>
    </x:row>
    <x:row r="4">
      <x:c r="A4" s="12" t="str">
        <x:v>Prompt 5</x:v>
      </x:c>
      <x:c r="B4" s="12" t="str">
        <x:v>Use large-taxonomy retrieval controls</x:v>
      </x:c>
      <x:c r="C4" s="12" t="str">
        <x:v>When loading 1000+ entries, build an in-memory inverted index and filter by enabled_for_retrieval. Only enabled_for_classification rows can become final detected_risks. Healthy suppressor rows reduce scores and are never returned as risks.</x:v>
      </x:c>
      <x:c r="D4" s="12" t="str">
        <x:v>Large taxonomy tests pass; neutral claims do not retrieve many candidates; diagnostics report loaded/retrieved/excluded counts.</x:v>
      </x:c>
    </x:row>
    <x:row r="5">
      <x:c r="A5" s="12" t="str">
        <x:v>Prompt 6</x:v>
      </x:c>
      <x:c r="B5" s="12" t="str">
        <x:v>Add model provider registry</x:v>
      </x:c>
      <x:c r="C5" s="12" t="str">
        <x:v>Implement provider registry using Model_Provider_Profiles sheet or data/config/model_profiles.yaml. Support deterministic_baseline, LM Studio, Ollama, OpenAI-compatible remote, and custom provider. Backend reads API keys from environment variable names; frontend never stores raw API keys.</x:v>
      </x:c>
      <x:c r="D5" s="12" t="str">
        <x:v>Model settings API works; deterministic mode works offline; provider test endpoint returns status without exposing secrets.</x:v>
      </x:c>
    </x:row>
    <x:row r="6">
      <x:c r="A6" s="12" t="str">
        <x:v>Prompt 8</x:v>
      </x:c>
      <x:c r="B6" s="12" t="str">
        <x:v>Add Model Settings page and provider selector on Analyze page</x:v>
      </x:c>
      <x:c r="C6" s="12" t="str">
        <x:v>Add Model Settings page to React sidebar. Analyze page includes provider dropdown, provider status, fallback toggle, top_k, include_healthy_patterns, and mode display. Show if deterministic fallback was used.</x:v>
      </x:c>
      <x:c r="D6" s="12" t="str">
        <x:v>User can configure local/paid provider from dashboard; unconfigured provider disables Analyze or shows clear warning.</x:v>
      </x:c>
    </x:row>
    <x:row r="7">
      <x:c r="A7" s="12" t="str">
        <x:v>Prompt 9</x:v>
      </x:c>
      <x:c r="B7" s="12" t="str">
        <x:v>Add review workflow tied to taxonomy activation</x:v>
      </x:c>
      <x:c r="C7" s="12" t="str">
        <x:v>Reviewer feedback should record whether predicted risk was correct, incorrect, partially correct, insufficient_evidence, or unclear. High false-positive sensitivity taxonomy entries should require review before activation.</x:v>
      </x:c>
      <x:c r="D7" s="12" t="str">
        <x:v>Review items save to JSONL; quality report includes high-FP entries needing review.</x:v>
      </x:c>
    </x:row>
    <x:row r="8">
      <x:c r="A8" s="12" t="str">
        <x:v>Prompt 10</x:v>
      </x:c>
      <x:c r="B8" s="12" t="str">
        <x:v>Document taxonomy-first policy</x:v>
      </x:c>
      <x:c r="C8" s="12" t="str">
        <x:v>README and docs must explicitly say: larger taxonomy increases coverage, not automatic certainty. Only reviewed and activated entries are used for classification. The system is not truth detection, moral judgment, diagnosis, or author-level bias detection.</x:v>
      </x:c>
      <x:c r="D8" s="12" t="str">
        <x:v>Docs contain limitations and boundaries; no unsupported performance claims.</x:v>
      </x:c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55" hidden="0" customWidth="1"/>
    <x:col min="5" max="5" width="55" hidden="0" customWidth="1"/>
    <x:col min="6" max="6" width="55" hidden="0" customWidth="1"/>
  </x:cols>
  <x:sheetData>
    <x:row r="1" ht="30" customHeight="1">
      <x:c r="A1" s="28" t="str">
        <x:v>file_or_sheet</x:v>
      </x:c>
      <x:c r="B1" s="28" t="str">
        <x:v>direction</x:v>
      </x:c>
      <x:c r="C1" s="28" t="str">
        <x:v>required_by_prompt</x:v>
      </x:c>
      <x:c r="D1" s="28" t="str">
        <x:v>field_mapping_or_behavior</x:v>
      </x:c>
      <x:c r="E1" s="28" t="str">
        <x:v>validation_rule</x:v>
      </x:c>
      <x:c r="F1" s="28" t="str">
        <x:v>notes</x:v>
      </x:c>
    </x:row>
    <x:row r="2">
      <x:c r="A2" s="12" t="str">
        <x:v>Taxonomy_Master</x:v>
      </x:c>
      <x:c r="B2" s="12" t="str">
        <x:v>Excel input/output</x:v>
      </x:c>
      <x:c r="C2" s="12" t="str">
        <x:v>Prompt 2</x:v>
      </x:c>
      <x:c r="D2" s="12" t="str">
        <x:v>Map existing A:AA plus new AB:AR v2 columns to TaxonomyEntryV2</x:v>
      </x:c>
      <x:c r="E2" s="12" t="str">
        <x:v>Fail on duplicate tax_id; warn on missing source for canonical; block active missing examples</x:v>
      </x:c>
      <x:c r="F2" s="12" t="str">
        <x:v>Main source of truth.</x:v>
      </x:c>
    </x:row>
    <x:row r="3">
      <x:c r="A3" s="12" t="str">
        <x:v>Source_Registry_Extended</x:v>
      </x:c>
      <x:c r="B3" s="12" t="str">
        <x:v>Excel input/output</x:v>
      </x:c>
      <x:c r="C3" s="12" t="str">
        <x:v>Prompt 2/Expansion Protocol</x:v>
      </x:c>
      <x:c r="D3" s="12" t="str">
        <x:v>Map source_id to source_refs</x:v>
      </x:c>
      <x:c r="E3" s="12" t="str">
        <x:v>Canonical entries must cite at least one source_id or URL</x:v>
      </x:c>
      <x:c r="F3" s="12" t="str">
        <x:v>Use URLs as plain text in exports.</x:v>
      </x:c>
    </x:row>
    <x:row r="4">
      <x:c r="A4" s="12" t="str">
        <x:v>Model_Provider_Profiles</x:v>
      </x:c>
      <x:c r="B4" s="12" t="str">
        <x:v>config seed</x:v>
      </x:c>
      <x:c r="C4" s="12" t="str">
        <x:v>Model Settings prompt</x:v>
      </x:c>
      <x:c r="D4" s="12" t="str">
        <x:v>Generate data/config/model_profiles.yaml from this sheet</x:v>
      </x:c>
      <x:c r="E4" s="12" t="str">
        <x:v>No raw API keys; only env var names</x:v>
      </x:c>
      <x:c r="F4" s="12" t="str">
        <x:v>Dashboard can edit non-secret fields.</x:v>
      </x:c>
    </x:row>
    <x:row r="5">
      <x:c r="A5" s="12" t="str">
        <x:v>Taxonomy_Packs</x:v>
      </x:c>
      <x:c r="B5" s="12" t="str">
        <x:v>config seed</x:v>
      </x:c>
      <x:c r="C5" s="12" t="str">
        <x:v>Taxonomy-first prompt</x:v>
      </x:c>
      <x:c r="D5" s="12" t="str">
        <x:v>Generate pack_manager settings</x:v>
      </x:c>
      <x:c r="E5" s="12" t="str">
        <x:v>Only core_mvp active by default</x:v>
      </x:c>
      <x:c r="F5" s="12" t="str">
        <x:v>Large taxonomy manageable.</x:v>
      </x:c>
    </x:row>
    <x:row r="6">
      <x:c r="A6" s="12" t="str">
        <x:v>Activation_Workflow</x:v>
      </x:c>
      <x:c r="B6" s="12" t="str">
        <x:v>documentation and validation</x:v>
      </x:c>
      <x:c r="C6" s="12" t="str">
        <x:v>Taxonomy Workbench prompt</x:v>
      </x:c>
      <x:c r="D6" s="12" t="str">
        <x:v>Use statuses to determine retrieval/classification permissions</x:v>
      </x:c>
      <x:c r="E6" s="12" t="str">
        <x:v>Deprecated/candidate rows cannot classify</x:v>
      </x:c>
      <x:c r="F6" s="12" t="str">
        <x:v>Activation UI should warn on high FP sensitivity.</x:v>
      </x:c>
    </x:row>
    <x:row r="7">
      <x:c r="A7" s="12" t="str">
        <x:v>Quality_Audit</x:v>
      </x:c>
      <x:c r="B7" s="12" t="str">
        <x:v>audit spec</x:v>
      </x:c>
      <x:c r="C7" s="12" t="str">
        <x:v>Audit prompt</x:v>
      </x:c>
      <x:c r="D7" s="12" t="str">
        <x:v>Implement checks in quality_audit.py and endpoint</x:v>
      </x:c>
      <x:c r="E7" s="12" t="str">
        <x:v>Blocker/high issues visible in dashboard</x:v>
      </x:c>
      <x:c r="F7" s="12" t="str">
        <x:v>Quality report should be exportable.</x:v>
      </x:c>
    </x:row>
    <x:row r="8">
      <x:c r="A8" s="12" t="str">
        <x:v>Prompt_Addendum</x:v>
      </x:c>
      <x:c r="B8" s="12" t="str">
        <x:v>prompt planning</x:v>
      </x:c>
      <x:c r="C8" s="12" t="str">
        <x:v>All prompts</x:v>
      </x:c>
      <x:c r="D8" s="12" t="str">
        <x:v>Integrate instructions into Codex prompts</x:v>
      </x:c>
      <x:c r="E8" s="12" t="str">
        <x:v>Acceptance criteria must be tested</x:v>
      </x:c>
      <x:c r="F8" s="12" t="str">
        <x:v>Use this sheet when writing final prompts.</x:v>
      </x:c>
    </x:row>
    <x:row r="9">
      <x:c r="A9" s="12" t="str">
        <x:v>API_Settings_Spec</x:v>
      </x:c>
      <x:c r="B9" s="12" t="str">
        <x:v>backend/frontend contract</x:v>
      </x:c>
      <x:c r="C9" s="12" t="str">
        <x:v>Model Settings prompt</x:v>
      </x:c>
      <x:c r="D9" s="12" t="str">
        <x:v>Create routes_settings.py and Settings UI</x:v>
      </x:c>
      <x:c r="E9" s="12" t="str">
        <x:v>Secrets handled by backend only</x:v>
      </x:c>
      <x:c r="F9" s="12" t="str">
        <x:v>Supports LM Studio/Ollama/remote.</x:v>
      </x:c>
    </x:row>
    <x:row r="10">
      <x:c r="A10" s="12" t="str">
        <x:v>data/config/model_profiles.yaml</x:v>
      </x:c>
      <x:c r="B10" s="12" t="str">
        <x:v>generated output</x:v>
      </x:c>
      <x:c r="C10" s="12" t="str">
        <x:v>Prompt add-on 1</x:v>
      </x:c>
      <x:c r="D10" s="12" t="str">
        <x:v>Generated from Model_Provider_Profiles</x:v>
      </x:c>
      <x:c r="E10" s="12" t="str">
        <x:v>Do not commit actual keys</x:v>
      </x:c>
      <x:c r="F10" s="12" t="str">
        <x:v>Profiles are defaults.</x:v>
      </x:c>
    </x:row>
    <x:row r="11">
      <x:c r="A11" s="12" t="str">
        <x:v>data/taxonomy/packs/*.yaml</x:v>
      </x:c>
      <x:c r="B11" s="12" t="str">
        <x:v>generated output</x:v>
      </x:c>
      <x:c r="C11" s="12" t="str">
        <x:v>Prompt add-on 2</x:v>
      </x:c>
      <x:c r="D11" s="12" t="str">
        <x:v>Split imported rows by pack_v2</x:v>
      </x:c>
      <x:c r="E11" s="12" t="str">
        <x:v>Backlog excluded from final analyzer output</x:v>
      </x:c>
      <x:c r="F11" s="12" t="str">
        <x:v>Round-trip to Excel preferred.</x:v>
      </x:c>
    </x:row>
    <x:row r="12">
      <x:c r="A12" s="12" t="str">
        <x:v>reports/taxonomy_quality_report.json</x:v>
      </x:c>
      <x:c r="B12" s="12" t="str">
        <x:v>generated output</x:v>
      </x:c>
      <x:c r="C12" s="12" t="str">
        <x:v>Taxonomy Workbench</x:v>
      </x:c>
      <x:c r="D12" s="12" t="str">
        <x:v>Quality audit results</x:v>
      </x:c>
      <x:c r="E12" s="12" t="str">
        <x:v>No blocker before release</x:v>
      </x:c>
      <x:c r="F12" s="12" t="str">
        <x:v>Can be displayed in dashboard.</x:v>
      </x:c>
    </x:row>
    <x:row r="13">
      <x:c r="A13" s="12" t="str">
        <x:v>reports/evaluation_results.json</x:v>
      </x:c>
      <x:c r="B13" s="12" t="str">
        <x:v>generated output</x:v>
      </x:c>
      <x:c r="C13" s="12" t="str">
        <x:v>Prompt 9/10</x:v>
      </x:c>
      <x:c r="D13" s="12" t="str">
        <x:v>Evaluation metrics</x:v>
      </x:c>
      <x:c r="E13" s="12" t="str">
        <x:v>No invented performance claims</x:v>
      </x:c>
      <x:c r="F13" s="12" t="str">
        <x:v>Benchmark is internal only.</x:v>
      </x:c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</x:sheetData>
  <x:pageMargins left="0.7" right="0.7" top="0.75" bottom="0.75" header="0.3" footer="0.3"/>
</x:worksheet>
</file>